
<file path=[Content_Types].xml><?xml version="1.0" encoding="utf-8"?>
<Types xmlns="http://schemas.openxmlformats.org/package/2006/content-types">
  <Default ContentType="application/vnd.openxmlformats-officedocument.obfuscatedFont" Extension="odttf"/>
  <Default ContentType="image/png" Extension="png"/>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Summary" sheetId="1" r:id="rId4"/>
    <sheet state="visible" name="Payout Breakup" sheetId="2" r:id="rId5"/>
    <sheet state="visible" name="Order Level" sheetId="3" r:id="rId6"/>
    <sheet state="visible" name="Addition Deductions Details" sheetId="4" r:id="rId7"/>
    <sheet state="visible" name="Discounts Summary" sheetId="5" r:id="rId8"/>
    <sheet state="visible" name="Glossary" sheetId="6" r:id="rId9"/>
    <sheet name="HSummary" r:id="rId10" sheetId="7" state="hidden"/>
    <sheet name="HDiscount" r:id="rId11" sheetId="8" state="hidden"/>
  </sheets>
  <calcPr/>
</workbook>
</file>

<file path=xl/sharedStrings.xml><?xml version="1.0" encoding="utf-8"?>
<sst xmlns="http://schemas.openxmlformats.org/spreadsheetml/2006/main" count="347" uniqueCount="303">
  <si>
    <t>Report summary</t>
  </si>
  <si>
    <t>Report period</t>
  </si>
  <si>
    <t>Res id</t>
  </si>
  <si>
    <t>MID</t>
  </si>
  <si>
    <t>Legal entity</t>
  </si>
  <si>
    <t>Res name</t>
  </si>
  <si>
    <t>Address</t>
  </si>
  <si>
    <t>PAN</t>
  </si>
  <si>
    <t>GSTIN</t>
  </si>
  <si>
    <t>TAN</t>
  </si>
  <si>
    <t>Pay-out cycle</t>
  </si>
  <si>
    <t>Zomato GSTIN - TCS</t>
  </si>
  <si>
    <t>Zomato GSTIN - Regular</t>
  </si>
  <si>
    <r>
      <rPr>
        <rFont val="Proxima Nova"/>
        <b/>
        <color theme="1"/>
        <sz val="13.0"/>
      </rPr>
      <t xml:space="preserve">Total Orders </t>
    </r>
    <r>
      <rPr>
        <rFont val="Proxima Nova"/>
        <color theme="1"/>
        <sz val="13.0"/>
      </rPr>
      <t xml:space="preserve">
(Delivered + Cancelled/ Rejected)</t>
    </r>
  </si>
  <si>
    <r>
      <rPr>
        <rFont val="Proxima Nova"/>
        <b/>
        <color theme="1"/>
        <sz val="13.0"/>
      </rPr>
      <t>Net Payout</t>
    </r>
    <r>
      <rPr>
        <rFont val="Proxima Nova"/>
        <color theme="1"/>
        <sz val="13.0"/>
      </rPr>
      <t xml:space="preserve">
(Settled + Unsettled)</t>
    </r>
  </si>
  <si>
    <t>Bank UTR</t>
  </si>
  <si>
    <t>Report - detailed breakdown</t>
  </si>
  <si>
    <r>
      <rPr>
        <rFont val="Proxima Nova"/>
        <color rgb="FF666666"/>
        <sz val="14.0"/>
      </rPr>
      <t xml:space="preserve">This report comprises the following </t>
    </r>
    <r>
      <rPr>
        <rFont val="Proxima Nova"/>
        <b/>
        <color rgb="FF666666"/>
        <sz val="14.0"/>
      </rPr>
      <t>detailed tabs</t>
    </r>
    <r>
      <rPr>
        <rFont val="Proxima Nova"/>
        <color rgb="FF666666"/>
        <sz val="14.0"/>
      </rPr>
      <t xml:space="preserve"> regarding your pay-out: </t>
    </r>
  </si>
  <si>
    <t>Tab Name</t>
  </si>
  <si>
    <t>Description</t>
  </si>
  <si>
    <t>Payout Breakup</t>
  </si>
  <si>
    <t>Breakup of your total earnings during this report period</t>
  </si>
  <si>
    <t>Order Level</t>
  </si>
  <si>
    <t xml:space="preserve">Detailed view of your order level earnings, deductions, pay-outs and UTRs for settled orders. </t>
  </si>
  <si>
    <t>Addition/Deductions Details</t>
  </si>
  <si>
    <t xml:space="preserve">Summarized view on :
1. Res id level additions like 194 H, etc
2. Res id level deductions like pay later, etc </t>
  </si>
  <si>
    <t>Discounts Summary</t>
  </si>
  <si>
    <t>View of the different discounts running on your restaurant during this report period</t>
  </si>
  <si>
    <t>Glossary</t>
  </si>
  <si>
    <t>Descriptions of the terms used in the Order Level tab</t>
  </si>
  <si>
    <t>Payout breakup</t>
  </si>
  <si>
    <t>S.no.</t>
  </si>
  <si>
    <t>Particular</t>
  </si>
  <si>
    <t>Delivered Orders</t>
  </si>
  <si>
    <t>Cancelled/ Rejected Orders</t>
  </si>
  <si>
    <t>Total</t>
  </si>
  <si>
    <t>Number of orders</t>
  </si>
  <si>
    <t>A</t>
  </si>
  <si>
    <r>
      <rPr>
        <rFont val="Proxima Nova"/>
        <b/>
        <color theme="1"/>
        <sz val="15.0"/>
      </rPr>
      <t xml:space="preserve">Net order value 
</t>
    </r>
    <r>
      <rPr>
        <rFont val="Proxima Nova"/>
        <b val="0"/>
        <color rgb="FF666666"/>
        <sz val="10.0"/>
      </rPr>
      <t>( 1 + 2 + 3 - 4 - 5 + 6 - 7 + 8 )</t>
    </r>
  </si>
  <si>
    <t>1</t>
  </si>
  <si>
    <t>2</t>
  </si>
  <si>
    <t>3</t>
  </si>
  <si>
    <t>4</t>
  </si>
  <si>
    <t>5</t>
  </si>
  <si>
    <t xml:space="preserve"> </t>
  </si>
  <si>
    <t>6</t>
  </si>
  <si>
    <t>7</t>
  </si>
  <si>
    <t>8</t>
  </si>
  <si>
    <t>B</t>
  </si>
  <si>
    <r>
      <rPr>
        <rFont val="Proxima Nova"/>
        <b/>
        <color theme="1"/>
        <sz val="15.0"/>
      </rPr>
      <t xml:space="preserve">Total commissionable value
</t>
    </r>
    <r>
      <rPr>
        <rFont val="Proxima Nova"/>
        <b val="0"/>
        <color rgb="FF666666"/>
        <sz val="10.0"/>
      </rPr>
      <t>( 9 + 10 + 11 )</t>
    </r>
  </si>
  <si>
    <t>9</t>
  </si>
  <si>
    <r>
      <rPr>
        <rFont val="Proxima Nova"/>
        <color theme="1"/>
        <sz val="12.0"/>
      </rPr>
      <t xml:space="preserve">Commissionable value of Subtotal, excluding restuarant discounts </t>
    </r>
    <r>
      <rPr>
        <rFont val="Proxima Nova"/>
        <color rgb="FF666666"/>
        <sz val="10.0"/>
      </rPr>
      <t>( 1 - 4 - 5 )</t>
    </r>
  </si>
  <si>
    <t>10</t>
  </si>
  <si>
    <t>Commissionable value of Packaging charge</t>
  </si>
  <si>
    <t>11</t>
  </si>
  <si>
    <t>Commissionable value of Total GST collected from customers</t>
  </si>
  <si>
    <t>C</t>
  </si>
  <si>
    <r>
      <rPr>
        <rFont val="Proxima Nova"/>
        <b/>
        <color theme="1"/>
        <sz val="15.0"/>
      </rPr>
      <t xml:space="preserve">Service fees &amp; payment mechanism fees
</t>
    </r>
    <r>
      <rPr>
        <rFont val="Proxima Nova"/>
        <b val="0"/>
        <color rgb="FF666666"/>
        <sz val="10.0"/>
      </rPr>
      <t>( 12 + 13 - 14 - 15 + 16 )</t>
    </r>
  </si>
  <si>
    <t>12</t>
  </si>
  <si>
    <t>13</t>
  </si>
  <si>
    <t>14</t>
  </si>
  <si>
    <t>15</t>
  </si>
  <si>
    <r>
      <rPr>
        <rFont val="Proxima Nova"/>
        <color theme="1"/>
        <sz val="12.0"/>
      </rPr>
      <t xml:space="preserve">Discount on service fee due to 30% capping </t>
    </r>
    <r>
      <rPr>
        <rFont val="Proxima Nova"/>
        <i/>
        <color rgb="FF666666"/>
        <sz val="12.0"/>
      </rPr>
      <t>(Service fees capped at 30% of commissionable value)</t>
    </r>
  </si>
  <si>
    <t>16</t>
  </si>
  <si>
    <t>D</t>
  </si>
  <si>
    <r>
      <rPr>
        <rFont val="Proxima Nova"/>
        <b/>
        <color rgb="FF000000"/>
        <sz val="15.0"/>
      </rPr>
      <t xml:space="preserve">Government charges
</t>
    </r>
    <r>
      <rPr>
        <rFont val="Proxima Nova"/>
        <b val="0"/>
        <color rgb="FF666666"/>
        <sz val="10.0"/>
      </rPr>
      <t>( 12 + 13 + 14 + 15 )</t>
    </r>
  </si>
  <si>
    <t>17</t>
  </si>
  <si>
    <t>18</t>
  </si>
  <si>
    <t>19</t>
  </si>
  <si>
    <t>20</t>
  </si>
  <si>
    <t>E</t>
  </si>
  <si>
    <r>
      <rPr>
        <rFont val="Proxima Nova"/>
        <b/>
        <color rgb="FF000000"/>
        <sz val="15.0"/>
      </rPr>
      <t xml:space="preserve">Other order level deductions
</t>
    </r>
    <r>
      <rPr>
        <rFont val="Proxima Nova"/>
        <b val="0"/>
        <color rgb="FF666666"/>
        <sz val="10.0"/>
      </rPr>
      <t>( 16 + 17 + 18 )</t>
    </r>
  </si>
  <si>
    <t>21</t>
  </si>
  <si>
    <t>Other Order level deductions</t>
  </si>
  <si>
    <t>Rejection penalty</t>
  </si>
  <si>
    <t>22</t>
  </si>
  <si>
    <t>23</t>
  </si>
  <si>
    <r>
      <rPr>
        <rFont val="Proxima Nova"/>
        <color theme="1"/>
        <sz val="12.0"/>
      </rPr>
      <t xml:space="preserve">Adjustments from previous weeks
</t>
    </r>
    <r>
      <rPr>
        <rFont val="Proxima Nova"/>
        <i/>
        <color rgb="FF666666"/>
        <sz val="12.0"/>
      </rPr>
      <t>(Refer to Annexure : "Addition/ Deduction Details")</t>
    </r>
  </si>
  <si>
    <t>-</t>
  </si>
  <si>
    <t>F</t>
  </si>
  <si>
    <r>
      <rPr>
        <rFont val="Proxima Nova"/>
        <b/>
        <color theme="1"/>
        <sz val="15.0"/>
      </rPr>
      <t xml:space="preserve">Investment in growth services
</t>
    </r>
    <r>
      <rPr>
        <rFont val="Proxima Nova"/>
        <b val="0"/>
        <color rgb="FF666666"/>
        <sz val="10.0"/>
      </rPr>
      <t>(24 + 25 + 26)</t>
    </r>
  </si>
  <si>
    <t>24</t>
  </si>
  <si>
    <r>
      <rPr>
        <rFont val="Proxima Nova"/>
        <color theme="1"/>
        <sz val="12.0"/>
      </rPr>
      <t xml:space="preserve">Total Ads (inc. 18% GST)
</t>
    </r>
    <r>
      <rPr>
        <rFont val="Proxima Nova"/>
        <i/>
        <color rgb="FF666666"/>
        <sz val="12.0"/>
      </rPr>
      <t>(Refer to Annexure : "Addition/ Deduction Details")</t>
    </r>
  </si>
  <si>
    <t>25</t>
  </si>
  <si>
    <t>Total Dining Ads (inc. 18% GST)
(Refer to Annexure : "Addition/ Deduction Details")</t>
  </si>
  <si>
    <t>26</t>
  </si>
  <si>
    <t>Miscellaneous sevices
(Refer to Annexure : "Addition/ Deduction Details")</t>
  </si>
  <si>
    <t>G</t>
  </si>
  <si>
    <t>Investment in Hyperpure</t>
  </si>
  <si>
    <t>27</t>
  </si>
  <si>
    <t>Total Hyperpure
(Refer to Annexure : "Addition/ Deduction Details")</t>
  </si>
  <si>
    <t>H</t>
  </si>
  <si>
    <t>Other Deductions</t>
  </si>
  <si>
    <t>28</t>
  </si>
  <si>
    <t>Express order discount reversal</t>
  </si>
  <si>
    <t>I</t>
  </si>
  <si>
    <r>
      <rPr>
        <rFont val="Proxima Nova"/>
        <b/>
        <color theme="1"/>
        <sz val="15.0"/>
      </rPr>
      <t xml:space="preserve">Total Additions
</t>
    </r>
    <r>
      <rPr>
        <rFont val="Proxima Nova"/>
        <b val="0"/>
        <color rgb="FF666666"/>
        <sz val="10.0"/>
      </rPr>
      <t>(29 + 30 + 31 + 32)</t>
    </r>
  </si>
  <si>
    <t>29</t>
  </si>
  <si>
    <t>Cancellation refund for cancelled orders</t>
  </si>
  <si>
    <t>30</t>
  </si>
  <si>
    <t>Tip for kitchen staff for delivered orders</t>
  </si>
  <si>
    <t>31</t>
  </si>
  <si>
    <r>
      <rPr>
        <rFont val="Proxima Nova"/>
        <color theme="1"/>
        <sz val="12.0"/>
      </rPr>
      <t xml:space="preserve">TDS 194 H and other Res id level additions
</t>
    </r>
    <r>
      <rPr>
        <rFont val="Proxima Nova"/>
        <i/>
        <color rgb="FF666666"/>
        <sz val="12.0"/>
      </rPr>
      <t>(Refer to Annexure : "Addition/ Deduction Details")</t>
    </r>
  </si>
  <si>
    <t>32</t>
  </si>
  <si>
    <t>Restaurant-level service fees rebate</t>
  </si>
  <si>
    <t>J</t>
  </si>
  <si>
    <r>
      <rPr>
        <rFont val="Proxima Nova"/>
        <b/>
        <color theme="1"/>
        <sz val="15.0"/>
      </rPr>
      <t xml:space="preserve">Net Payout 
</t>
    </r>
    <r>
      <rPr>
        <rFont val="Proxima Nova"/>
        <b val="0"/>
        <color rgb="FF666666"/>
        <sz val="10.0"/>
      </rPr>
      <t>(A - C - D - E - F - G - H + I)</t>
    </r>
  </si>
  <si>
    <t>Settlement breakdown</t>
  </si>
  <si>
    <t>Amount settled</t>
  </si>
  <si>
    <t>Pending amount (will be credited on next payout day)</t>
  </si>
  <si>
    <t>Order level breakup</t>
  </si>
  <si>
    <t>Get definition of terms used in this sheet in the 'Glossary' tab</t>
  </si>
  <si>
    <t>RESTAURANT DETAILS &gt;</t>
  </si>
  <si>
    <t>CUSTOMER PAYABLE</t>
  </si>
  <si>
    <t>COMMISSIONABLE VALUE</t>
  </si>
  <si>
    <t xml:space="preserve">TOTAL DEDUCTIONS &amp; ADDITIONS </t>
  </si>
  <si>
    <t>SETTLEMENT DETAILS</t>
  </si>
  <si>
    <t>(1)</t>
  </si>
  <si>
    <t>(2)</t>
  </si>
  <si>
    <t>(3)</t>
  </si>
  <si>
    <t>(4)</t>
  </si>
  <si>
    <t>(5)</t>
  </si>
  <si>
    <t>(6)</t>
  </si>
  <si>
    <t>(7)</t>
  </si>
  <si>
    <t>(8)</t>
  </si>
  <si>
    <t>(A)</t>
  </si>
  <si>
    <t>(9)</t>
  </si>
  <si>
    <t>(10)</t>
  </si>
  <si>
    <t>(11)</t>
  </si>
  <si>
    <t>(B)</t>
  </si>
  <si>
    <t>(12)</t>
  </si>
  <si>
    <t>(13)</t>
  </si>
  <si>
    <t>(14)</t>
  </si>
  <si>
    <t>(15)</t>
  </si>
  <si>
    <t>(16)</t>
  </si>
  <si>
    <t>(17)</t>
  </si>
  <si>
    <t>(18)</t>
  </si>
  <si>
    <t>(C)</t>
  </si>
  <si>
    <t>(19)</t>
  </si>
  <si>
    <t>(20)</t>
  </si>
  <si>
    <t>(21)</t>
  </si>
  <si>
    <t>(22)</t>
  </si>
  <si>
    <t>(23)</t>
  </si>
  <si>
    <t>(24)</t>
  </si>
  <si>
    <t>(25)</t>
  </si>
  <si>
    <t>(26)</t>
  </si>
  <si>
    <t>(D)</t>
  </si>
  <si>
    <t>(27)</t>
  </si>
  <si>
    <t>(28)</t>
  </si>
  <si>
    <t>(29)</t>
  </si>
  <si>
    <t>(30)</t>
  </si>
  <si>
    <t>(31)</t>
  </si>
  <si>
    <t>(32)</t>
  </si>
  <si>
    <t>(33)</t>
  </si>
  <si>
    <t>(34)</t>
  </si>
  <si>
    <t>(E)</t>
  </si>
  <si>
    <t>(F)</t>
  </si>
  <si>
    <t>(G)</t>
  </si>
  <si>
    <t>(H)</t>
  </si>
  <si>
    <t>(35)</t>
  </si>
  <si>
    <t>(36)</t>
  </si>
  <si>
    <t>(37)</t>
  </si>
  <si>
    <t>(38)</t>
  </si>
  <si>
    <t>Order ID</t>
  </si>
  <si>
    <t>Order date</t>
  </si>
  <si>
    <t>Week no.</t>
  </si>
  <si>
    <t>Res. name</t>
  </si>
  <si>
    <t>Res. ID</t>
  </si>
  <si>
    <t>Discount construct</t>
  </si>
  <si>
    <t>Mode of payment</t>
  </si>
  <si>
    <r>
      <rPr>
        <rFont val="Proxima Nova"/>
        <b/>
        <color theme="1"/>
        <sz val="12.0"/>
      </rPr>
      <t xml:space="preserve">Order status </t>
    </r>
    <r>
      <rPr>
        <rFont val="Proxima Nova"/>
        <b val="0"/>
        <color theme="1"/>
        <sz val="10.0"/>
      </rPr>
      <t>(Delivered/ Cancelled/ Rejected)</t>
    </r>
  </si>
  <si>
    <r>
      <rPr>
        <rFont val="Proxima Nova"/>
        <b/>
        <color theme="1"/>
        <sz val="12.0"/>
      </rPr>
      <t xml:space="preserve">Cancellation policy
</t>
    </r>
    <r>
      <rPr>
        <rFont val="Proxima Nova"/>
        <b val="0"/>
        <color theme="1"/>
        <sz val="10.0"/>
      </rPr>
      <t>(% Amount refunded back to restaurant partner)</t>
    </r>
  </si>
  <si>
    <t>Cancellation/ Rejection reason</t>
  </si>
  <si>
    <r>
      <rPr>
        <rFont val="Proxima Nova"/>
        <b/>
        <color theme="1"/>
        <sz val="12.0"/>
      </rPr>
      <t xml:space="preserve">Cancelled/ Rejected state
</t>
    </r>
    <r>
      <rPr>
        <rFont val="Proxima Nova"/>
        <b val="0"/>
        <color theme="1"/>
        <sz val="10.0"/>
      </rPr>
      <t>(Order status at the time it was cancelled/ rejected)</t>
    </r>
  </si>
  <si>
    <t>Order type</t>
  </si>
  <si>
    <t>Delivery state code</t>
  </si>
  <si>
    <r>
      <rPr>
        <rFont val="Proxima Nova"/>
        <b/>
        <color theme="1"/>
        <sz val="12.0"/>
      </rPr>
      <t xml:space="preserve">Subtotal </t>
    </r>
    <r>
      <rPr>
        <rFont val="Proxima Nova"/>
        <b val="0"/>
        <color theme="1"/>
        <sz val="10.0"/>
      </rPr>
      <t>(items total)</t>
    </r>
  </si>
  <si>
    <t>Packaging charge</t>
  </si>
  <si>
    <t>Delivery charge for restaurants on self logistics</t>
  </si>
  <si>
    <r>
      <rPr>
        <rFont val="Proxima Nova"/>
        <b/>
        <color theme="1"/>
        <sz val="12.0"/>
      </rPr>
      <t xml:space="preserve">Restaurant discount </t>
    </r>
    <r>
      <rPr>
        <rFont val="Proxima Nova"/>
        <b val="0"/>
        <color theme="1"/>
        <sz val="10.0"/>
      </rPr>
      <t>(Promo)</t>
    </r>
  </si>
  <si>
    <r>
      <rPr>
        <rFont val="Proxima Nova"/>
        <b/>
        <color theme="1"/>
        <sz val="12.0"/>
      </rPr>
      <t xml:space="preserve">Restaurant discount </t>
    </r>
    <r>
      <rPr>
        <rFont val="Proxima Nova"/>
        <b val="0"/>
        <color theme="1"/>
        <sz val="10.0"/>
      </rPr>
      <t>(BOGO, Freebies, Gold, Brand pack &amp; others)</t>
    </r>
  </si>
  <si>
    <t xml:space="preserve">Brand pack subscription fee </t>
  </si>
  <si>
    <t xml:space="preserve">Delivery charge discount/ Relisting discount </t>
  </si>
  <si>
    <t>Total GST collected from customers</t>
  </si>
  <si>
    <r>
      <rPr>
        <rFont val="Proxima Nova"/>
        <b/>
        <color theme="1"/>
        <sz val="15.0"/>
      </rPr>
      <t xml:space="preserve">Net order value
</t>
    </r>
    <r>
      <rPr>
        <rFont val="Proxima Nova"/>
        <b val="0"/>
        <color rgb="FF666666"/>
        <sz val="10.0"/>
      </rPr>
      <t>[(1) + (2) + (3) - (4) - (5) + (6) - (7) + (8)]</t>
    </r>
  </si>
  <si>
    <r>
      <rPr>
        <rFont val="Proxima Nova"/>
        <b/>
        <color theme="1"/>
        <sz val="12.0"/>
      </rPr>
      <t xml:space="preserve">Commissionable value of Subtotal, excluding restuarant discounts 
</t>
    </r>
    <r>
      <rPr>
        <rFont val="Proxima Nova"/>
        <b val="0"/>
        <color rgb="FF666666"/>
        <sz val="10.0"/>
      </rPr>
      <t>[(1) - (4) - (5)]</t>
    </r>
  </si>
  <si>
    <r>
      <rPr>
        <rFont val="Proxima Nova"/>
        <b/>
        <color theme="1"/>
        <sz val="15.0"/>
      </rPr>
      <t xml:space="preserve">Total commissionable value
</t>
    </r>
    <r>
      <rPr>
        <rFont val="Proxima Nova"/>
        <b val="0"/>
        <color rgb="FF666666"/>
        <sz val="10.0"/>
      </rPr>
      <t>[(9) + (10) + (11)]</t>
    </r>
  </si>
  <si>
    <t>Base service fee %</t>
  </si>
  <si>
    <r>
      <rPr>
        <rFont val="Proxima Nova"/>
        <b/>
        <color theme="1"/>
        <sz val="12.0"/>
      </rPr>
      <t xml:space="preserve">Base service fee
</t>
    </r>
    <r>
      <rPr>
        <rFont val="Proxima Nova"/>
        <b val="0"/>
        <color rgb="FF666666"/>
        <sz val="10.0"/>
      </rPr>
      <t>[(12)% * (B)]</t>
    </r>
  </si>
  <si>
    <t>Actual order distance (km)</t>
  </si>
  <si>
    <t>Long distance enablement fee</t>
  </si>
  <si>
    <t>Discount on long distance enablement fee</t>
  </si>
  <si>
    <r>
      <rPr>
        <rFont val="Proxima Nova"/>
        <b/>
        <color theme="1"/>
        <sz val="12.0"/>
      </rPr>
      <t xml:space="preserve">Discount on service fee due to 30% capping
</t>
    </r>
    <r>
      <rPr>
        <rFont val="Proxima Nova"/>
        <b val="0"/>
        <color theme="1"/>
        <sz val="10.0"/>
      </rPr>
      <t>Service fees capped at 30% of commissionable value (B)</t>
    </r>
  </si>
  <si>
    <t>Payment mechanism fee</t>
  </si>
  <si>
    <r>
      <rPr>
        <rFont val="Proxima Nova"/>
        <b/>
        <color theme="1"/>
        <sz val="15.0"/>
      </rPr>
      <t xml:space="preserve">Service fee &amp; payment mechanism fee
</t>
    </r>
    <r>
      <rPr>
        <rFont val="Proxima Nova"/>
        <b val="0"/>
        <color rgb="FF666666"/>
        <sz val="10.0"/>
      </rPr>
      <t>[(13) + (15) - (16) - (17) + (18)]</t>
    </r>
  </si>
  <si>
    <r>
      <rPr>
        <rFont val="Proxima Nova"/>
        <b/>
        <color theme="1"/>
        <sz val="12.0"/>
      </rPr>
      <t xml:space="preserve">Taxes on service fee &amp; payment mechanism fee
</t>
    </r>
    <r>
      <rPr>
        <rFont val="Proxima Nova"/>
        <b val="0"/>
        <color rgb="FF666666"/>
        <sz val="10.0"/>
      </rPr>
      <t>[(C) * 18%]</t>
    </r>
  </si>
  <si>
    <t>Applicable amount for TCS</t>
  </si>
  <si>
    <t>Applicable amount for 9(5)</t>
  </si>
  <si>
    <t>Tax collected at source</t>
  </si>
  <si>
    <t>TCS IGST amount</t>
  </si>
  <si>
    <t>TDS 194O amount</t>
  </si>
  <si>
    <t>GST paid by Zomato on behalf of restaurant - under section 9(5)</t>
  </si>
  <si>
    <t>GST to be paid by Restaurant partner to Govt.</t>
  </si>
  <si>
    <r>
      <rPr>
        <rFont val="Proxima Nova"/>
        <b/>
        <color theme="1"/>
        <sz val="15.0"/>
      </rPr>
      <t xml:space="preserve">Government charges
</t>
    </r>
    <r>
      <rPr>
        <rFont val="Proxima Nova"/>
        <b val="0"/>
        <color rgb="FF666666"/>
        <sz val="10.0"/>
      </rPr>
      <t>[(19) + (22) + (23) + (24) + (25)]</t>
    </r>
  </si>
  <si>
    <t>Customer compensation/ recoupment</t>
  </si>
  <si>
    <t>Delivery charges recovery</t>
  </si>
  <si>
    <r>
      <rPr>
        <rFont val="Proxima Nova"/>
        <b/>
        <color theme="1"/>
        <sz val="12.0"/>
      </rPr>
      <t xml:space="preserve">Amount received in cash </t>
    </r>
    <r>
      <rPr>
        <rFont val="Proxima Nova"/>
        <b val="0"/>
        <color rgb="FF666666"/>
        <sz val="10.0"/>
      </rPr>
      <t>(on self delivery orders)</t>
    </r>
  </si>
  <si>
    <t>Credit note/ (Debit note) adjustment</t>
  </si>
  <si>
    <t>Promo recovery adjustment</t>
  </si>
  <si>
    <t xml:space="preserve">Extra inventory ads (order level deduction)
</t>
  </si>
  <si>
    <t xml:space="preserve">Brand loyalty points redemption
</t>
  </si>
  <si>
    <t>Express order fee</t>
  </si>
  <si>
    <r>
      <rPr>
        <rFont val="Proxima Nova"/>
        <b/>
        <color theme="1"/>
        <sz val="15.0"/>
      </rPr>
      <t xml:space="preserve">Other order-level deductions
</t>
    </r>
    <r>
      <rPr>
        <rFont val="Proxima Nova"/>
        <b val="0"/>
        <color rgb="FF666666"/>
        <sz val="10.0"/>
      </rPr>
      <t>[(27) + (28) + (29) + (30) + (31) + (32) + (33) + (34)]</t>
    </r>
  </si>
  <si>
    <r>
      <rPr>
        <rFont val="Proxima Nova"/>
        <b/>
        <color theme="1"/>
        <sz val="15.0"/>
      </rPr>
      <t xml:space="preserve">Net Deductions
</t>
    </r>
    <r>
      <rPr>
        <rFont val="Proxima Nova"/>
        <b val="0"/>
        <color rgb="FF666666"/>
        <sz val="10.0"/>
      </rPr>
      <t>[(C) + (D) + (E)]</t>
    </r>
  </si>
  <si>
    <r>
      <rPr>
        <rFont val="Proxima Nova"/>
        <b/>
        <color theme="1"/>
        <sz val="15.0"/>
      </rPr>
      <t xml:space="preserve">Net Additions 
</t>
    </r>
    <r>
      <rPr>
        <rFont val="Proxima Nova"/>
        <b val="0"/>
        <color rgb="FF666666"/>
        <sz val="10.0"/>
      </rPr>
      <t>(cancellation refund for cancelled orders/ tip for kitchen staff for delivered orders)</t>
    </r>
  </si>
  <si>
    <r>
      <rPr>
        <rFont val="Proxima Nova"/>
        <b/>
        <color theme="1"/>
        <sz val="14.0"/>
      </rPr>
      <t xml:space="preserve">Order level Payout
</t>
    </r>
    <r>
      <rPr>
        <rFont val="Proxima Nova"/>
        <b val="0"/>
        <color rgb="FF666666"/>
        <sz val="10.0"/>
      </rPr>
      <t>(A) - (F) + (G)</t>
    </r>
  </si>
  <si>
    <t>Settlement status</t>
  </si>
  <si>
    <t>Settlement date</t>
  </si>
  <si>
    <t>Unsettled amount</t>
  </si>
  <si>
    <t>Customer ID</t>
  </si>
  <si>
    <t>#REF!</t>
  </si>
  <si>
    <t>Addition/ Deduction details (non order-level additions &amp; deductions and adjustments from previous weeks)</t>
  </si>
  <si>
    <t>Offers and Discounts summary</t>
  </si>
  <si>
    <t>Discount Construct</t>
  </si>
  <si>
    <t>Orders</t>
  </si>
  <si>
    <t>Discount given</t>
  </si>
  <si>
    <t>Discount given per order</t>
  </si>
  <si>
    <t>Effective Discount %</t>
  </si>
  <si>
    <t>S.no</t>
  </si>
  <si>
    <t>Particulars</t>
  </si>
  <si>
    <t>Definition</t>
  </si>
  <si>
    <t>Subtotal (items total)</t>
  </si>
  <si>
    <t>Gross total of dishes/items ordered by the customer before discount</t>
  </si>
  <si>
    <t>Cost set by the restaurant partner for the packaging material of whatever nature, including containers and coverings</t>
  </si>
  <si>
    <t>Cost charged by restaurant partner when the delivery of order is undertaken by the restaurant partner themselves</t>
  </si>
  <si>
    <t>Restaurant discount (Promo)</t>
  </si>
  <si>
    <t>Offer or promo discounts borne by the restaurant partner on the order</t>
  </si>
  <si>
    <t>Restaurant discount (BOGO, Freebies, Gold &amp; others)</t>
  </si>
  <si>
    <t>BOGO/Freebie/Gold or any other discounts borne by the restaurant partner on the order</t>
  </si>
  <si>
    <t>Brand pack subscription fee</t>
  </si>
  <si>
    <t>Revenue generated for the restaurant through brand pack subscriptions</t>
  </si>
  <si>
    <t>Delivery charge discount</t>
  </si>
  <si>
    <t>Delivery charge discount borne by the resturant partner on the order</t>
  </si>
  <si>
    <t>Total tax amount paid by the customer on the order. It include GST on food items, packaging charge and delivery charge (for orders delivered by the restaurant partners themselves) after adjusting restaurant partner discount</t>
  </si>
  <si>
    <t>Net order value</t>
  </si>
  <si>
    <t>This means the subtotal value received, including the packaging charge, delivery charge (for orders delivered by the restaurant partners themselves) and less restaurant partner discounts</t>
  </si>
  <si>
    <t xml:space="preserve">Commissionable value of Subtotal, excluding restuarant discounts </t>
  </si>
  <si>
    <t>This is the commission-applicable amount of the subtotal value, excluding restaurant discounts</t>
  </si>
  <si>
    <t>This is the commission-applicable amount of the packaging charge</t>
  </si>
  <si>
    <t>Commissionable value of Total GST collected from customers (if applicable)</t>
  </si>
  <si>
    <t>This is the commission-applicable amount of the total GST collected from customers</t>
  </si>
  <si>
    <t>Total commissionable value</t>
  </si>
  <si>
    <t>It is total amount on which Zomato commission will be applied</t>
  </si>
  <si>
    <t>This means the amount payable by the restaurant partner to Zomato, being a % of commissionable value</t>
  </si>
  <si>
    <t>Base service fee</t>
  </si>
  <si>
    <t>Derived value after multiplying total commissionable value with base service fee %</t>
  </si>
  <si>
    <t>Actual order distance</t>
  </si>
  <si>
    <t>This is the shortest distance between the restaurant and the customer as per Google maps.</t>
  </si>
  <si>
    <t>Long distance enablement fee (if applicable)</t>
  </si>
  <si>
    <t>Amount payable to Zomato for facilitating long distance orders, charged per order basis delivery distance</t>
  </si>
  <si>
    <t>Discount on long distance enablement fee (if applicable)</t>
  </si>
  <si>
    <t>Discount on long distance fee to adjust for set distance cap</t>
  </si>
  <si>
    <t>Discount on service fee due to 30% capping</t>
  </si>
  <si>
    <t>This is a discount on service fee given by Zomato on orders where the sum of all types of service fees exceeds 30% of the commissionable value. The discount is equal to whatever amount exceeds 30% of the commissionable value.</t>
  </si>
  <si>
    <t>Payment mechanism fee is the amount payable by the Restaurant Partner to Zomato, being a % of Order Value including taxes less any charge not levied by restaurant but collected by Zomato, as more specifically set out in the Form</t>
  </si>
  <si>
    <t>Service fee &amp; payment mechanism fee</t>
  </si>
  <si>
    <t>Total service fee, including payment mechanism fee, net of any discounts</t>
  </si>
  <si>
    <t>Taxes on service fee &amp; payment mechanism fee</t>
  </si>
  <si>
    <t>Tax charged on service fee &amp; payment mechanism fee</t>
  </si>
  <si>
    <t>It is gross sales amount (less applicable taxes) on which Tax Collected at Source under CGST Act 2017. It is applicable on items other than supply of Restaurant Service.</t>
  </si>
  <si>
    <t>It is gross sales amount (less applicable taxes) of items under Restaurant Service category as per Section 9(5) of Central Goods and Services Tax Act, 2017, with effect from 1 January 2022</t>
  </si>
  <si>
    <t>Tax collected at source (TCS)</t>
  </si>
  <si>
    <t>TCS is amount collected at source by Zomato on items other than Restaurant Services in terms of provisions of Section 52 of the CGST Act, 2017. The said amount will be deposited to Government upon filing of TCS return {GSTR-8} at GSTIN level.</t>
  </si>
  <si>
    <t>If TCS is deducted on interstate supply, same will be updated here</t>
  </si>
  <si>
    <t>TDS 194O</t>
  </si>
  <si>
    <t>Zomato is required to deduct taxes at source from the amount for all orders that are settled via Zomato’s platform. TDS u/s 194-O shall be applied on gross sales (less applicable taxes charged by the Restaurant) as per the applicable tax law on the rate as applicable and amended from time to time</t>
  </si>
  <si>
    <t>Tax amount retained by Zomato for restaurant services as per Section 9(5) of Central Goods and Services Tax Act 2017, with effect from 1 January 2022. Zomato deposits this tax amount with authorities on behalf of the restaurant</t>
  </si>
  <si>
    <t>GST to be paid by restaurant partner to Govt.</t>
  </si>
  <si>
    <t>This amount is residual value of total GST collected from user and deposited by Zomato under section 9(5) of GST Act. This amount need to deposited to Govt by restaurant partners</t>
  </si>
  <si>
    <t>Government charges</t>
  </si>
  <si>
    <t>Sum of all the taxes charged on the order as per the government guidelines</t>
  </si>
  <si>
    <t>Customer compensation/recoupment</t>
  </si>
  <si>
    <t>The amount recovered/recouped against customer refunds made by Zomato, from the restaurant partners</t>
  </si>
  <si>
    <t>Amount of discount offers by merchant on the delivery fee charged by the delivery partner, where the restaurant partner is availing logistics services from Zomato</t>
  </si>
  <si>
    <t>Amount received in cash (on self delivery orders)</t>
  </si>
  <si>
    <t>Amount received by restaurant partner from customers for cash on delivery orders where the restaurant partner provided logistics services</t>
  </si>
  <si>
    <t>Credit note/(Debit note) adjustment</t>
  </si>
  <si>
    <t>CN/DN raised to adjust commission/convenience fee or other revenue</t>
  </si>
  <si>
    <t>Manual promo recovery from the restaurant partner where automated recovery was not made</t>
  </si>
  <si>
    <t>Extra inventory ads (order level deduction)</t>
  </si>
  <si>
    <t>The amount deducted against Extra inventory ads campaign</t>
  </si>
  <si>
    <t xml:space="preserve">Other order-level deductions
</t>
  </si>
  <si>
    <t>Sum of all deductions at an order level other than the service fee, payment mechanism fee, and government charges</t>
  </si>
  <si>
    <t>Net Deductions</t>
  </si>
  <si>
    <t>Sum of all the recoveries which need to be deducted from Restaurant Partner's payout</t>
  </si>
  <si>
    <t>Net Additions 
(cancellation refund)</t>
  </si>
  <si>
    <t>Amount reimbursed against the rejected orders (Zomato rejections) under the compensation policy</t>
  </si>
  <si>
    <t>Order level payout</t>
  </si>
  <si>
    <t>Net transferable amount after all deductions</t>
  </si>
  <si>
    <t>The payment status of an order id i.e. "settled" means the payment for an order id is done while "pending" status means yet to be transferred.</t>
  </si>
  <si>
    <t>The date on which an order amount was transferred to partner's bank account</t>
  </si>
  <si>
    <t>The transaction reference number against which payments were transferred to the restaurant partner</t>
  </si>
  <si>
    <t>The part of the order level payout which is pending to be settled</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</si>
</sst>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0"/>
    <numFmt numFmtId="165" formatCode="[$₹]#,##0.0000000"/>
    <numFmt numFmtId="166" formatCode="&quot;₹&quot;#,##0"/>
    <numFmt numFmtId="167" formatCode="[$₹]#,##0"/>
    <numFmt numFmtId="168" formatCode="m/d/yyyy"/>
    <numFmt numFmtId="169" formatCode="&quot;₹&quot;#,##0.0"/>
    <numFmt numFmtId="170" formatCode="0.0%"/>
    <numFmt numFmtId="171" formatCode="₹#,##0.00"/>
  </numFmts>
  <fonts count="39">
    <font>
      <sz val="10.0"/>
      <color rgb="FF000000"/>
      <name val="Roboto"/>
      <scheme val="minor"/>
    </font>
    <font>
      <sz val="10.0"/>
      <color theme="1"/>
      <name val="Proxima Nova"/>
    </font>
    <font>
      <b/>
      <u/>
      <sz val="18.0"/>
      <color rgb="FFFFFFFF"/>
      <name val="Proxima Nova"/>
    </font>
    <font>
      <b/>
      <sz val="18.0"/>
      <color rgb="FFFFFFFF"/>
      <name val="Proxima Nova"/>
    </font>
    <font/>
    <font>
      <b/>
      <sz val="10.0"/>
      <color theme="1"/>
      <name val="Proxima Nova"/>
    </font>
    <font>
      <sz val="12.0"/>
      <color theme="1"/>
      <name val="Proxima Nova"/>
    </font>
    <font>
      <b/>
      <sz val="12.0"/>
      <color theme="1"/>
      <name val="Proxima Nova"/>
    </font>
    <font>
      <b/>
      <sz val="12.0"/>
      <color rgb="FF000000"/>
      <name val="Proxima Nova"/>
    </font>
    <font>
      <b/>
      <sz val="13.0"/>
      <color theme="1"/>
      <name val="Proxima Nova"/>
    </font>
    <font>
      <sz val="13.0"/>
      <color theme="1"/>
      <name val="Proxima Nova"/>
    </font>
    <font>
      <b/>
      <sz val="20.0"/>
      <color rgb="FF1D1C1D"/>
      <name val="Proxima Nova"/>
    </font>
    <font>
      <b/>
      <sz val="12.0"/>
      <color rgb="FF1D1C1D"/>
      <name val="Proxima Nova"/>
    </font>
    <font>
      <sz val="14.0"/>
      <color theme="1"/>
      <name val="Proxima Nova"/>
    </font>
    <font>
      <sz val="15.0"/>
      <color rgb="FF666666"/>
      <name val="Proxima Nova"/>
    </font>
    <font>
      <sz val="14.0"/>
      <color rgb="FF666666"/>
      <name val="Proxima Nova"/>
    </font>
    <font>
      <b/>
      <sz val="13.0"/>
      <color rgb="FF1155CC"/>
      <name val="Proxima Nova"/>
    </font>
    <font>
      <i/>
      <sz val="10.0"/>
      <color theme="7"/>
      <name val="Proxima Nova"/>
    </font>
    <font>
      <color theme="1"/>
      <name val="Proxima Nova"/>
    </font>
    <font>
      <b/>
      <sz val="20.0"/>
      <color rgb="FFFFFFFF"/>
      <name val="Proxima Nova"/>
    </font>
    <font>
      <b/>
      <sz val="15.0"/>
      <color theme="1"/>
      <name val="Proxima Nova"/>
    </font>
    <font>
      <b/>
      <sz val="15.0"/>
      <color rgb="FF38761D"/>
      <name val="Proxima Nova"/>
    </font>
    <font>
      <b/>
      <sz val="15.0"/>
      <color rgb="FF980000"/>
      <name val="Proxima Nova"/>
    </font>
    <font>
      <b/>
      <sz val="17.0"/>
      <color rgb="FF38761D"/>
      <name val="Proxima Nova"/>
    </font>
    <font>
      <b/>
      <sz val="12.0"/>
      <color rgb="FFB7B7B7"/>
      <name val="Proxima Nova"/>
    </font>
    <font>
      <b/>
      <sz val="12.0"/>
      <color rgb="FF666666"/>
      <name val="Proxima Nova"/>
    </font>
    <font>
      <i/>
      <sz val="10.0"/>
      <color theme="1"/>
      <name val="Proxima Nova"/>
    </font>
    <font>
      <b/>
      <sz val="14.0"/>
      <color theme="1"/>
      <name val="Proxima Nova"/>
    </font>
    <font>
      <sz val="12.0"/>
      <color rgb="FF000000"/>
      <name val="Proxima Nova"/>
    </font>
    <font>
      <color theme="1"/>
      <name val="Arial"/>
    </font>
    <font>
      <sz val="10.0"/>
      <color rgb="FF000000"/>
      <name val="Proxima Nova"/>
    </font>
    <font>
      <b/>
      <sz val="15.0"/>
      <color rgb="FFFFFFFF"/>
      <name val="Proxima Nova"/>
    </font>
    <font>
      <color theme="1"/>
      <name val="Roboto"/>
    </font>
    <font>
      <name val="Proxima Nova"/>
      <sz val="15.0"/>
      <b val="true"/>
    </font>
    <font>
      <name val="Proxima Nova"/>
      <sz val="12.0"/>
      <b val="true"/>
    </font>
    <font>
      <name val="Proxima Nova"/>
      <sz val="15.0"/>
      <b val="true"/>
    </font>
    <font>
      <name val="Proxima Nova"/>
      <sz val="15.0"/>
      <b val="true"/>
    </font>
    <font>
      <name val="Proxima Nova"/>
      <sz val="12.0"/>
    </font>
    <font>
      <name val="Proxima Nova"/>
      <sz val="12.0"/>
      <b val="true"/>
    </font>
  </fonts>
  <fills count="17">
    <fill>
      <patternFill patternType="none"/>
    </fill>
    <fill>
      <patternFill patternType="lightGray"/>
    </fill>
    <fill>
      <patternFill patternType="solid">
        <fgColor theme="0"/>
        <bgColor theme="0"/>
      </patternFill>
    </fill>
    <fill>
      <patternFill patternType="solid">
        <fgColor rgb="FF3C78D8"/>
        <bgColor rgb="FF3C78D8"/>
      </patternFill>
    </fill>
    <fill>
      <patternFill patternType="solid">
        <fgColor rgb="FFFFFFFF"/>
        <bgColor rgb="FFFFFFFF"/>
      </patternFill>
    </fill>
    <fill>
      <patternFill patternType="solid">
        <fgColor rgb="FFEFEFEF"/>
        <bgColor rgb="FFEFEFEF"/>
      </patternFill>
    </fill>
    <fill>
      <patternFill patternType="solid">
        <fgColor rgb="FFDEEAF6"/>
        <bgColor rgb="FFDEEAF6"/>
      </patternFill>
    </fill>
    <fill>
      <patternFill patternType="solid">
        <fgColor rgb="FFF3F3F3"/>
        <bgColor rgb="FFF3F3F3"/>
      </patternFill>
    </fill>
    <fill>
      <patternFill patternType="solid">
        <fgColor rgb="FFF2F2F2"/>
        <bgColor rgb="FFF2F2F2"/>
      </patternFill>
    </fill>
    <fill>
      <patternFill patternType="solid">
        <fgColor rgb="FFCFE2F3"/>
        <bgColor rgb="FFCFE2F3"/>
      </patternFill>
    </fill>
    <fill>
      <patternFill patternType="solid">
        <fgColor rgb="FF9FC5E8"/>
        <bgColor rgb="FF9FC5E8"/>
      </patternFill>
    </fill>
    <fill>
      <patternFill patternType="none">
        <fgColor indexed="9"/>
      </patternFill>
    </fill>
    <fill>
      <patternFill patternType="solid">
        <fgColor indexed="9"/>
      </patternFill>
    </fill>
    <fill>
      <patternFill patternType="none">
        <fgColor rgb="FFF2F2F2"/>
      </patternFill>
    </fill>
    <fill>
      <patternFill patternType="solid">
        <fgColor rgb="FFF2F2F2"/>
      </patternFill>
    </fill>
    <fill>
      <patternFill patternType="none">
        <fgColor rgb="FFDBD5F5"/>
      </patternFill>
    </fill>
    <fill>
      <patternFill patternType="solid">
        <fgColor rgb="FFDBD5F5"/>
      </patternFill>
    </fill>
  </fills>
  <borders count="112">
    <border/>
    <border>
      <left/>
      <right/>
      <top/>
      <bottom/>
    </border>
    <border>
      <left style="thin">
        <color rgb="FFBDBDBD"/>
      </left>
      <top style="thin">
        <color rgb="FFBDBDBD"/>
      </top>
      <bottom/>
    </border>
    <border>
      <right style="thin">
        <color rgb="FFBDBDBD"/>
      </right>
      <top style="thin">
        <color rgb="FFBDBDBD"/>
      </top>
      <bottom/>
    </border>
    <border>
      <left style="thin">
        <color rgb="FFBDBDBD"/>
      </left>
    </border>
    <border>
      <right style="thin">
        <color rgb="FFBDBDBD"/>
      </right>
    </border>
    <border>
      <left style="thin">
        <color rgb="FFBDBDBD"/>
      </left>
      <right/>
      <top/>
      <bottom/>
    </border>
    <border>
      <left/>
      <right style="thin">
        <color rgb="FFBDBDBD"/>
      </right>
      <top/>
      <bottom/>
    </border>
    <border>
      <left style="thin">
        <color rgb="FFBDBDBD"/>
      </left>
      <right/>
      <top/>
      <bottom style="thin">
        <color rgb="FFBDBDBD"/>
      </bottom>
    </border>
    <border>
      <left/>
      <right style="thin">
        <color rgb="FFBDBDBD"/>
      </right>
      <top/>
      <bottom style="thin">
        <color rgb="FFBDBDBD"/>
      </bottom>
    </border>
    <border>
      <top style="thin">
        <color rgb="FFBDBDBD"/>
      </top>
      <bottom/>
    </border>
    <border>
      <left style="thin">
        <color rgb="FFBDBDBD"/>
      </left>
      <top/>
      <bottom/>
    </border>
    <border>
      <top/>
      <bottom/>
    </border>
    <border>
      <right style="thin">
        <color rgb="FFBDBDBD"/>
      </right>
      <top/>
      <bottom/>
    </border>
    <border>
      <left style="thin">
        <color rgb="FFBDBDBD"/>
      </left>
      <right/>
      <top style="thin">
        <color rgb="FFB7B7B7"/>
      </top>
      <bottom/>
    </border>
    <border>
      <left style="thin">
        <color rgb="FFB7B7B7"/>
      </left>
      <right/>
      <top style="thin">
        <color rgb="FFB7B7B7"/>
      </top>
      <bottom/>
    </border>
    <border>
      <left/>
      <right style="thin">
        <color rgb="FFBDBDBD"/>
      </right>
      <top style="thin">
        <color rgb="FFB7B7B7"/>
      </top>
      <bottom/>
    </border>
    <border>
      <left style="thin">
        <color rgb="FFBDBDBD"/>
      </left>
      <right style="thin">
        <color rgb="FFBDBDBD"/>
      </right>
      <top style="thin">
        <color rgb="FFBDBDBD"/>
      </top>
      <bottom style="thin">
        <color rgb="FFBDBDBD"/>
      </bottom>
    </border>
    <border>
      <left style="thin">
        <color rgb="FFBDBDBD"/>
      </left>
      <top style="thin">
        <color rgb="FFBDBDBD"/>
      </top>
      <bottom style="thin">
        <color rgb="FFBDBDBD"/>
      </bottom>
    </border>
    <border>
      <right style="thin">
        <color rgb="FFBDBDBD"/>
      </right>
      <top style="thin">
        <color rgb="FFBDBDBD"/>
      </top>
      <bottom style="thin">
        <color rgb="FFBDBDBD"/>
      </bottom>
    </border>
    <border>
      <lef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hair">
        <color rgb="FF999999"/>
      </right>
      <top style="hair">
        <color rgb="FF999999"/>
      </top>
      <bottom style="hair">
        <color rgb="FF999999"/>
      </bottom>
    </border>
    <border>
      <left style="hair">
        <color rgb="FF999999"/>
      </left>
      <right style="hair">
        <color rgb="FF999999"/>
      </right>
      <top style="hair">
        <color rgb="FF999999"/>
      </top>
      <bottom style="hair">
        <color rgb="FF999999"/>
      </bottom>
    </border>
    <border>
      <left style="hair">
        <color rgb="FF999999"/>
      </left>
      <right style="thin">
        <color rgb="FF000000"/>
      </right>
      <top style="hair">
        <color rgb="FF999999"/>
      </top>
      <bottom style="hair">
        <color rgb="FF999999"/>
      </bottom>
    </border>
    <border>
      <right style="hair">
        <color rgb="FF999999"/>
      </right>
      <top style="hair">
        <color rgb="FF999999"/>
      </top>
      <bottom style="hair">
        <color rgb="FF999999"/>
      </bottom>
    </border>
    <border>
      <right style="thin">
        <color rgb="FF000000"/>
      </right>
      <top style="hair">
        <color rgb="FF999999"/>
      </top>
      <bottom style="hair">
        <color rgb="FF999999"/>
      </bottom>
    </border>
    <border>
      <top style="hair">
        <color rgb="FF000000"/>
      </top>
    </border>
    <border>
      <left style="hair">
        <color rgb="FF000000"/>
      </left>
      <right style="hair">
        <color rgb="FF000000"/>
      </right>
      <top style="hair">
        <color rgb="FF000000"/>
      </top>
      <bottom style="hair">
        <color rgb="FF000000"/>
      </bottom>
    </border>
    <border>
      <left style="thin">
        <color rgb="FF000000"/>
      </left>
      <right style="hair">
        <color rgb="FF999999"/>
      </right>
      <top style="hair">
        <color rgb="FF999999"/>
      </top>
      <bottom style="thin">
        <color rgb="FF000000"/>
      </bottom>
    </border>
    <border>
      <left style="hair">
        <color rgb="FF999999"/>
      </left>
      <right style="hair">
        <color rgb="FF999999"/>
      </right>
      <top style="hair">
        <color rgb="FF999999"/>
      </top>
      <bottom style="thin">
        <color rgb="FF000000"/>
      </bottom>
    </border>
    <border>
      <left style="hair">
        <color rgb="FF999999"/>
      </left>
      <right style="thin">
        <color rgb="FF000000"/>
      </right>
      <top style="hair">
        <color rgb="FF999999"/>
      </top>
      <bottom style="thin">
        <color rgb="FF000000"/>
      </bottom>
    </border>
    <border>
      <right/>
      <top style="medium">
        <color rgb="FFD8D8D8"/>
      </top>
      <bottom/>
    </border>
    <border>
      <left/>
      <right/>
      <top style="medium">
        <color rgb="FFD8D8D8"/>
      </top>
      <bottom/>
    </border>
    <border>
      <left style="medium">
        <color rgb="FFD8D8D8"/>
      </left>
      <right/>
      <top style="medium">
        <color rgb="FFD8D8D8"/>
      </top>
      <bottom/>
    </border>
    <border>
      <left/>
      <top style="medium">
        <color rgb="FFD8D8D8"/>
      </top>
      <bottom/>
    </border>
    <border>
      <left style="thick">
        <color rgb="FFCCCCCC"/>
      </left>
      <right/>
      <top style="medium">
        <color rgb="FFD8D8D8"/>
      </top>
      <bottom/>
    </border>
    <border>
      <top style="medium">
        <color rgb="FFD8D8D8"/>
      </top>
      <bottom/>
    </border>
    <border>
      <right style="thick">
        <color rgb="FFCCCCCC"/>
      </right>
      <top style="medium">
        <color rgb="FFD8D8D8"/>
      </top>
      <bottom/>
    </border>
    <border>
      <left/>
      <right style="medium">
        <color rgb="FFD8D8D8"/>
      </right>
      <top style="medium">
        <color rgb="FFD8D8D8"/>
      </top>
      <bottom/>
    </border>
    <border>
      <left style="medium">
        <color rgb="FFD8D8D8"/>
      </left>
      <right style="medium">
        <color rgb="FFD8D8D8"/>
      </right>
      <top style="medium">
        <color rgb="FFD8D8D8"/>
      </top>
      <bottom/>
    </border>
    <border>
      <left style="medium">
        <color rgb="FFD8D8D8"/>
      </left>
    </border>
    <border>
      <left style="thick">
        <color rgb="FFCCCCCC"/>
      </left>
    </border>
    <border>
      <right style="thick">
        <color rgb="FFCCCCCC"/>
      </right>
    </border>
    <border>
      <right style="medium">
        <color rgb="FFD8D8D8"/>
      </right>
    </border>
    <border>
      <left style="medium">
        <color rgb="FFD8D8D8"/>
      </left>
      <right style="medium">
        <color rgb="FFD8D8D8"/>
      </right>
    </border>
    <border>
      <left style="medium">
        <color rgb="FFD8D8D8"/>
      </left>
      <right/>
      <top style="thin">
        <color rgb="FFCCCCCC"/>
      </top>
      <bottom/>
    </border>
    <border>
      <left/>
      <right/>
      <top style="thin">
        <color rgb="FFCCCCCC"/>
      </top>
      <bottom/>
    </border>
    <border>
      <left style="medium">
        <color rgb="FFD8D8D8"/>
      </left>
      <top style="thin">
        <color rgb="FFCCCCCC"/>
      </top>
      <bottom style="thin">
        <color rgb="FFCCCCCC"/>
      </bottom>
    </border>
    <border>
      <top style="thin">
        <color rgb="FFCCCCCC"/>
      </top>
      <bottom style="thin">
        <color rgb="FFCCCCCC"/>
      </bottom>
    </border>
    <border>
      <right style="thick">
        <color rgb="FFCCCCCC"/>
      </right>
      <top style="thin">
        <color rgb="FFCCCCCC"/>
      </top>
      <bottom style="thin">
        <color rgb="FFCCCCCC"/>
      </bottom>
    </border>
    <border>
      <top style="thin">
        <color rgb="FFCCCCCC"/>
      </top>
    </border>
    <border>
      <right style="thick">
        <color rgb="FFCCCCCC"/>
      </right>
      <top style="thin">
        <color rgb="FFCCCCCC"/>
      </top>
    </border>
    <border>
      <left style="medium">
        <color rgb="FFD8D8D8"/>
      </left>
      <right style="medium">
        <color rgb="FFD8D8D8"/>
      </right>
      <top style="thin">
        <color rgb="FFCCCCCC"/>
      </top>
    </border>
    <border>
      <right style="medium">
        <color rgb="FFD8D8D8"/>
      </right>
      <top style="thin">
        <color rgb="FFCCCCCC"/>
      </top>
      <bottom style="thin">
        <color rgb="FFCCCCCC"/>
      </bottom>
    </border>
    <border>
      <left style="medium">
        <color rgb="FFD8D8D8"/>
      </left>
      <right/>
      <top/>
      <bottom style="thin">
        <color rgb="FFCCCCCC"/>
      </bottom>
    </border>
    <border>
      <left/>
      <right/>
      <top/>
      <bottom style="thin">
        <color rgb="FFCCCCCC"/>
      </bottom>
    </border>
    <border>
      <left style="medium">
        <color rgb="FFD8D8D8"/>
      </left>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top/>
      <bottom style="thin">
        <color rgb="FFCCCCCC"/>
      </bottom>
    </border>
    <border>
      <left style="thick">
        <color rgb="FFCCCCCC"/>
      </left>
      <top style="thin">
        <color rgb="FFCCCCCC"/>
      </top>
    </border>
    <border>
      <left style="thin">
        <color rgb="FFCCCCCC"/>
      </left>
      <right style="thin">
        <color rgb="FFCCCCCC"/>
      </right>
      <top style="thin">
        <color rgb="FFCCCCCC"/>
      </top>
    </border>
    <border>
      <right style="thin">
        <color rgb="FFCCCCCC"/>
      </right>
      <top style="thin">
        <color rgb="FFCCCCCC"/>
      </top>
      <bottom style="thin">
        <color rgb="FFCCCCCC"/>
      </bottom>
    </border>
    <border>
      <left/>
      <right/>
      <top style="thin">
        <color rgb="FFCCCCCC"/>
      </top>
      <bottom style="thin">
        <color rgb="FFCCCCCC"/>
      </bottom>
    </border>
    <border>
      <left/>
      <right style="thin">
        <color rgb="FFCCCCCC"/>
      </right>
      <top style="thin">
        <color rgb="FFCCCCCC"/>
      </top>
      <bottom style="thin">
        <color rgb="FFCCCCCC"/>
      </bottom>
    </border>
    <border>
      <left style="medium">
        <color rgb="FFD8D8D8"/>
      </left>
      <right style="medium">
        <color rgb="FFD8D8D8"/>
      </right>
      <top style="thin">
        <color rgb="FFCCCCCC"/>
      </top>
      <bottom/>
    </border>
    <border>
      <left style="medium">
        <color rgb="FFD8D8D8"/>
      </left>
      <right style="thin">
        <color rgb="FFCCCCCC"/>
      </right>
      <top style="thin">
        <color rgb="FFCCCCCC"/>
      </top>
      <bottom/>
    </border>
    <border>
      <left style="thin">
        <color rgb="FFCCCCCC"/>
      </left>
      <right style="thin">
        <color rgb="FFCCCCCC"/>
      </right>
      <top style="thin">
        <color rgb="FFCCCCCC"/>
      </top>
      <bottom/>
    </border>
    <border>
      <left style="thin">
        <color rgb="FFCCCCCC"/>
      </left>
      <right/>
      <top style="thin">
        <color rgb="FFCCCCCC"/>
      </top>
      <bottom/>
    </border>
    <border>
      <left/>
      <bottom/>
    </border>
    <border>
      <left style="thick">
        <color rgb="FFCCCCCC"/>
      </left>
      <right style="thin">
        <color rgb="FFCCCCCC"/>
      </right>
      <top style="thin">
        <color rgb="FFCCCCCC"/>
      </top>
      <bottom/>
    </border>
    <border>
      <left style="thin">
        <color rgb="FFCCCCCC"/>
      </left>
      <top style="thin">
        <color rgb="FFCCCCCC"/>
      </top>
      <bottom/>
    </border>
    <border>
      <right style="thick">
        <color rgb="FFCCCCCC"/>
      </right>
      <top style="thin">
        <color rgb="FFCCCCCC"/>
      </top>
      <bottom/>
    </border>
    <border>
      <right style="thin">
        <color rgb="FFCCCCCC"/>
      </right>
      <top style="thin">
        <color rgb="FFCCCCCC"/>
      </top>
      <bottom/>
    </border>
    <border>
      <left/>
      <right/>
      <bottom/>
    </border>
    <border>
      <left/>
      <right style="thin">
        <color rgb="FFCCCCCC"/>
      </right>
      <bottom/>
    </border>
    <border>
      <left/>
      <right style="medium">
        <color rgb="FFD8D8D8"/>
      </right>
      <bottom/>
    </border>
    <border>
      <left/>
      <right style="medium">
        <color rgb="FFD8D8D8"/>
      </right>
      <top style="thin">
        <color rgb="FFCCCCCC"/>
      </top>
      <bottom/>
    </border>
    <border>
      <left style="medium">
        <color rgb="FFD8D8D8"/>
      </left>
      <right style="medium">
        <color rgb="FFD8D8D8"/>
      </right>
      <top/>
      <bottom/>
    </border>
    <border>
      <left style="thin">
        <color rgb="FFD8D8D8"/>
      </left>
      <top style="thin">
        <color rgb="FFD8D8D8"/>
      </top>
      <bottom/>
    </border>
    <border>
      <top style="thin">
        <color rgb="FFD8D8D8"/>
      </top>
      <bottom/>
    </border>
    <border>
      <right style="thin">
        <color rgb="FFD8D8D8"/>
      </right>
      <top style="thin">
        <color rgb="FFD8D8D8"/>
      </top>
      <bottom/>
    </border>
    <border>
      <left style="thin">
        <color rgb="FFD8D8D8"/>
      </left>
      <bottom style="thin">
        <color rgb="FFD8D8D8"/>
      </bottom>
    </border>
    <border>
      <bottom style="thin">
        <color rgb="FFD8D8D8"/>
      </bottom>
    </border>
    <border>
      <left/>
      <right/>
      <top/>
      <bottom style="thin">
        <color rgb="FFD8D8D8"/>
      </bottom>
    </border>
    <border>
      <right style="thin">
        <color rgb="FFD8D8D8"/>
      </right>
      <bottom style="thin">
        <color rgb="FFD8D8D8"/>
      </bottom>
    </border>
    <border>
      <left style="thin">
        <color rgb="FFD8D8D8"/>
      </left>
    </border>
    <border>
      <right style="thin">
        <color rgb="FFD8D8D8"/>
      </right>
    </border>
    <border>
      <left style="thin">
        <color rgb="FFD8D8D8"/>
      </left>
      <right/>
      <top/>
      <bottom/>
    </border>
    <border>
      <left style="thin">
        <color rgb="FFD8D8D8"/>
      </left>
      <right style="thin">
        <color rgb="FFD8D8D8"/>
      </right>
      <top style="thin">
        <color rgb="FFD8D8D8"/>
      </top>
      <bottom style="thin">
        <color rgb="FFD8D8D8"/>
      </bottom>
    </border>
    <border>
      <top style="thin">
        <color rgb="FFCCCCCC"/>
      </top>
      <bottom/>
    </border>
    <border>
      <left style="hair">
        <color rgb="FFCCCCCC"/>
      </left>
      <right style="hair">
        <color rgb="FFCCCCCC"/>
      </right>
      <top style="hair">
        <color rgb="FFCCCCCC"/>
      </top>
      <bottom style="hair">
        <color rgb="FFCCCCCC"/>
      </bottom>
    </border>
    <border>
      <top style="thin"/>
    </border>
    <border>
      <top style="thin">
        <color indexed="22"/>
      </top>
    </border>
    <border>
      <left style="thin"/>
      <top style="thin">
        <color indexed="22"/>
      </top>
    </border>
    <border>
      <left style="thin">
        <color indexed="22"/>
      </left>
      <top style="thin">
        <color indexed="22"/>
      </top>
    </border>
    <border>
      <left style="thin">
        <color indexed="22"/>
      </left>
      <right style="thin"/>
      <top style="thin">
        <color indexed="22"/>
      </top>
    </border>
    <border>
      <left style="thin">
        <color indexed="22"/>
      </left>
      <right style="thin">
        <color indexed="22"/>
      </right>
      <top style="thin">
        <color indexed="22"/>
      </top>
    </border>
    <border>
      <bottom style="thin"/>
    </border>
    <border>
      <bottom style="thin">
        <color indexed="22"/>
      </bottom>
    </border>
    <border>
      <left style="thin"/>
    </border>
    <border>
      <left style="thin">
        <color indexed="22"/>
      </left>
    </border>
    <border>
      <right style="thin"/>
    </border>
    <border>
      <right style="thin">
        <color indexed="22"/>
      </right>
    </border>
    <border>
      <left style="thin"/>
      <bottom style="thin">
        <color indexed="22"/>
      </bottom>
    </border>
    <border>
      <left style="thin">
        <color indexed="22"/>
      </left>
      <bottom style="thin">
        <color indexed="22"/>
      </bottom>
    </border>
    <border>
      <right style="thin"/>
      <bottom style="thin">
        <color indexed="22"/>
      </bottom>
    </border>
    <border>
      <right style="thin">
        <color indexed="22"/>
      </right>
      <bottom style="thin">
        <color indexed="22"/>
      </bottom>
    </border>
    <border>
      <right style="thin"/>
      <top style="thin">
        <color indexed="22"/>
      </top>
    </border>
    <border>
      <right style="thin">
        <color indexed="22"/>
      </right>
      <top style="thin">
        <color indexed="22"/>
      </top>
    </border>
  </borders>
  <cellStyleXfs count="1">
    <xf borderId="0" fillId="0" fontId="0" numFmtId="0" applyAlignment="1" applyFont="1"/>
  </cellStyleXfs>
  <cellXfs count="284">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0" fillId="0" fontId="1" numFmtId="0" xfId="0" applyAlignment="1" applyFont="1">
      <alignment shrinkToFit="0" vertical="center" wrapText="1"/>
    </xf>
    <xf borderId="0" fillId="0" fontId="1" numFmtId="0" xfId="0" applyFont="1"/>
    <xf borderId="1" fillId="2" fontId="2" numFmtId="0" xfId="0" applyAlignment="1" applyBorder="1" applyFont="1">
      <alignment horizontal="left" shrinkToFit="0" vertical="center" wrapText="1"/>
    </xf>
    <xf borderId="2" fillId="3" fontId="3" numFmtId="0" xfId="0" applyAlignment="1" applyBorder="1" applyFill="1" applyFont="1">
      <alignment horizontal="left" shrinkToFit="0" vertical="center" wrapText="1"/>
    </xf>
    <xf borderId="3" fillId="0" fontId="4" numFmtId="0" xfId="0" applyBorder="1" applyFont="1"/>
    <xf borderId="1" fillId="2" fontId="5" numFmtId="0" xfId="0" applyAlignment="1" applyBorder="1" applyFont="1">
      <alignment shrinkToFit="0" vertical="center" wrapText="1"/>
    </xf>
    <xf borderId="4" fillId="0" fontId="5" numFmtId="0" xfId="0" applyAlignment="1" applyBorder="1" applyFont="1">
      <alignment shrinkToFit="0" vertical="center" wrapText="1"/>
    </xf>
    <xf borderId="5" fillId="0" fontId="1" numFmtId="0" xfId="0" applyAlignment="1" applyBorder="1" applyFont="1">
      <alignment shrinkToFit="0" vertical="center" wrapText="1"/>
    </xf>
    <xf borderId="1" fillId="4" fontId="6" numFmtId="0" xfId="0" applyBorder="1" applyFill="1" applyFont="1"/>
    <xf borderId="1" fillId="2" fontId="7" numFmtId="0" xfId="0" applyAlignment="1" applyBorder="1" applyFont="1">
      <alignment shrinkToFit="0" vertical="center" wrapText="1"/>
    </xf>
    <xf borderId="4" fillId="0" fontId="6" numFmtId="0" xfId="0" applyAlignment="1" applyBorder="1" applyFont="1">
      <alignment shrinkToFit="0" vertical="center" wrapText="1"/>
    </xf>
    <xf borderId="5" fillId="0" fontId="8" numFmtId="0" xfId="0" applyAlignment="1" applyBorder="1" applyFont="1">
      <alignment horizontal="left" shrinkToFit="0" vertical="center" wrapText="1"/>
    </xf>
    <xf borderId="1" fillId="2" fontId="7" numFmtId="0" xfId="0" applyAlignment="1" applyBorder="1" applyFont="1">
      <alignment horizontal="left" shrinkToFit="0" vertical="center" wrapText="1"/>
    </xf>
    <xf borderId="4" fillId="0" fontId="6" numFmtId="0" xfId="0" applyAlignment="1" applyBorder="1" applyFont="1">
      <alignment horizontal="left" shrinkToFit="0" vertical="center" wrapText="1"/>
    </xf>
    <xf borderId="4" fillId="0" fontId="6" numFmtId="0" xfId="0" applyAlignment="1" applyBorder="1" applyFont="1">
      <alignment shrinkToFit="0" wrapText="1"/>
    </xf>
    <xf borderId="5" fillId="0" fontId="7" numFmtId="0" xfId="0" applyAlignment="1" applyBorder="1" applyFont="1">
      <alignment horizontal="left" shrinkToFit="0" wrapText="1"/>
    </xf>
    <xf borderId="1" fillId="4" fontId="9" numFmtId="0" xfId="0" applyAlignment="1" applyBorder="1" applyFont="1">
      <alignment shrinkToFit="0" vertical="center" wrapText="1"/>
    </xf>
    <xf borderId="6" fillId="4" fontId="10" numFmtId="0" xfId="0" applyAlignment="1" applyBorder="1" applyFont="1">
      <alignment shrinkToFit="0" vertical="center" wrapText="1"/>
    </xf>
    <xf borderId="7" fillId="4" fontId="11" numFmtId="1" xfId="0" applyAlignment="1" applyBorder="1" applyFont="1" applyNumberFormat="1">
      <alignment horizontal="right" shrinkToFit="0" vertical="center" wrapText="1"/>
    </xf>
    <xf borderId="1" fillId="4" fontId="1" numFmtId="0" xfId="0" applyBorder="1" applyFont="1"/>
    <xf borderId="1" fillId="4" fontId="1" numFmtId="0" xfId="0" applyAlignment="1" applyBorder="1" applyFont="1">
      <alignment shrinkToFit="0" vertical="center" wrapText="1"/>
    </xf>
    <xf borderId="7" fillId="4" fontId="11" numFmtId="164" xfId="0" applyAlignment="1" applyBorder="1" applyFont="1" applyNumberFormat="1">
      <alignment horizontal="right" shrinkToFit="0" vertical="center" wrapText="1"/>
    </xf>
    <xf borderId="8" fillId="4" fontId="9" numFmtId="0" xfId="0" applyAlignment="1" applyBorder="1" applyFont="1">
      <alignment shrinkToFit="0" vertical="center" wrapText="1"/>
    </xf>
    <xf borderId="9" fillId="4" fontId="12" numFmtId="49" xfId="0" applyAlignment="1" applyBorder="1" applyFont="1" applyNumberFormat="1">
      <alignment horizontal="right" shrinkToFit="0" vertical="center" wrapText="1"/>
    </xf>
    <xf borderId="1" fillId="4" fontId="13" numFmtId="0" xfId="0" applyBorder="1" applyFont="1"/>
    <xf borderId="10" fillId="0" fontId="4" numFmtId="0" xfId="0" applyBorder="1" applyFont="1"/>
    <xf borderId="1" fillId="2" fontId="14" numFmtId="0" xfId="0" applyAlignment="1" applyBorder="1" applyFont="1">
      <alignment shrinkToFit="0" vertical="center" wrapText="1"/>
    </xf>
    <xf borderId="11" fillId="4" fontId="15" numFmtId="0" xfId="0" applyAlignment="1" applyBorder="1" applyFont="1">
      <alignment shrinkToFit="0" vertical="center" wrapText="1"/>
    </xf>
    <xf borderId="12" fillId="0" fontId="4" numFmtId="0" xfId="0" applyBorder="1" applyFont="1"/>
    <xf borderId="13" fillId="0" fontId="4" numFmtId="0" xfId="0" applyBorder="1" applyFont="1"/>
    <xf borderId="1" fillId="2" fontId="9" numFmtId="0" xfId="0" applyAlignment="1" applyBorder="1" applyFont="1">
      <alignment shrinkToFit="0" vertical="center" wrapText="1"/>
    </xf>
    <xf borderId="14" fillId="5" fontId="9" numFmtId="0" xfId="0" applyAlignment="1" applyBorder="1" applyFill="1" applyFont="1">
      <alignment shrinkToFit="0" vertical="center" wrapText="1"/>
    </xf>
    <xf borderId="15" fillId="5" fontId="9" numFmtId="0" xfId="0" applyAlignment="1" applyBorder="1" applyFont="1">
      <alignment horizontal="left" shrinkToFit="0" vertical="center" wrapText="1"/>
    </xf>
    <xf borderId="16" fillId="5" fontId="10" numFmtId="0" xfId="0" applyAlignment="1" applyBorder="1" applyFont="1">
      <alignment horizontal="left" shrinkToFit="0" vertical="center" wrapText="1"/>
    </xf>
    <xf borderId="1" fillId="2" fontId="16" numFmtId="0" xfId="0" applyAlignment="1" applyBorder="1" applyFont="1">
      <alignment shrinkToFit="0" vertical="top" wrapText="1"/>
    </xf>
    <xf borderId="17" fillId="4" fontId="16" numFmtId="0" xfId="0" applyAlignment="1" applyBorder="1" applyFont="1">
      <alignment shrinkToFit="0" vertical="top" wrapText="1"/>
    </xf>
    <xf borderId="18" fillId="4" fontId="10" numFmtId="0" xfId="0" applyAlignment="1" applyBorder="1" applyFont="1">
      <alignment horizontal="left" shrinkToFit="0" vertical="top" wrapText="1"/>
    </xf>
    <xf borderId="19" fillId="0" fontId="4" numFmtId="0" xfId="0" applyBorder="1" applyFont="1"/>
    <xf borderId="1" fillId="2" fontId="16" numFmtId="0" xfId="0" applyAlignment="1" applyBorder="1" applyFont="1">
      <alignment horizontal="left" shrinkToFit="0" vertical="top" wrapText="1"/>
    </xf>
    <xf borderId="17" fillId="4" fontId="16" numFmtId="0" xfId="0" applyAlignment="1" applyBorder="1" applyFont="1">
      <alignment horizontal="left" shrinkToFit="0" vertical="top" wrapText="1"/>
    </xf>
    <xf borderId="0" fillId="0" fontId="5" numFmtId="0" xfId="0" applyAlignment="1" applyFont="1">
      <alignment shrinkToFit="0" vertical="center" wrapText="1"/>
    </xf>
    <xf borderId="20" fillId="2" fontId="17" numFmtId="0" xfId="0" applyAlignment="1" applyBorder="1" applyFont="1">
      <alignment horizontal="left" shrinkToFit="0" vertical="center" wrapText="1"/>
    </xf>
    <xf borderId="1" fillId="2" fontId="1" numFmtId="0" xfId="0" applyBorder="1" applyFont="1"/>
    <xf borderId="0" fillId="0" fontId="1" numFmtId="49" xfId="0" applyAlignment="1" applyFont="1" applyNumberFormat="1">
      <alignment horizontal="center" shrinkToFit="0" wrapText="1"/>
    </xf>
    <xf borderId="1" fillId="4" fontId="18" numFmtId="0" xfId="0" applyAlignment="1" applyBorder="1" applyFont="1">
      <alignment vertical="top"/>
    </xf>
    <xf borderId="0" fillId="0" fontId="18" numFmtId="0" xfId="0" applyAlignment="1" applyFont="1">
      <alignment vertical="top"/>
    </xf>
    <xf borderId="0" fillId="0" fontId="18" numFmtId="3" xfId="0" applyAlignment="1" applyFont="1" applyNumberFormat="1">
      <alignment vertical="top"/>
    </xf>
    <xf borderId="0" fillId="0" fontId="18" numFmtId="0" xfId="0" applyAlignment="1" applyFont="1">
      <alignment vertical="bottom"/>
    </xf>
    <xf borderId="20" fillId="4" fontId="18" numFmtId="0" xfId="0" applyAlignment="1" applyBorder="1" applyFont="1">
      <alignment vertical="top"/>
    </xf>
    <xf borderId="21" fillId="3" fontId="19" numFmtId="0" xfId="0" applyAlignment="1" applyBorder="1" applyFont="1">
      <alignment vertical="top"/>
    </xf>
    <xf borderId="22" fillId="0" fontId="4" numFmtId="0" xfId="0" applyBorder="1" applyFont="1"/>
    <xf borderId="23" fillId="0" fontId="4" numFmtId="0" xfId="0" applyBorder="1" applyFont="1"/>
    <xf borderId="24" fillId="6" fontId="20" numFmtId="0" xfId="0" applyAlignment="1" applyBorder="1" applyFill="1" applyFont="1">
      <alignment shrinkToFit="0" wrapText="1"/>
    </xf>
    <xf borderId="25" fillId="6" fontId="20" numFmtId="0" xfId="0" applyAlignment="1" applyBorder="1" applyFont="1">
      <alignment shrinkToFit="0" wrapText="1"/>
    </xf>
    <xf borderId="25" fillId="6" fontId="20" numFmtId="3" xfId="0" applyAlignment="1" applyBorder="1" applyFont="1" applyNumberFormat="1">
      <alignment horizontal="right" shrinkToFit="0" wrapText="1"/>
    </xf>
    <xf borderId="26" fillId="6" fontId="20" numFmtId="3" xfId="0" applyAlignment="1" applyBorder="1" applyFont="1" applyNumberFormat="1">
      <alignment horizontal="right" shrinkToFit="0" wrapText="1"/>
    </xf>
    <xf borderId="24" fillId="0" fontId="18" numFmtId="0" xfId="0" applyAlignment="1" applyBorder="1" applyFont="1">
      <alignment vertical="top"/>
    </xf>
    <xf borderId="25" fillId="0" fontId="7" numFmtId="0" xfId="0" applyAlignment="1" applyBorder="1" applyFont="1">
      <alignment vertical="top"/>
    </xf>
    <xf borderId="25" fillId="0" fontId="7" numFmtId="0" xfId="0" applyAlignment="1" applyBorder="1" applyFont="1">
      <alignment horizontal="right" vertical="bottom"/>
    </xf>
    <xf borderId="26" fillId="0" fontId="7" numFmtId="0" xfId="0" applyAlignment="1" applyBorder="1" applyFont="1">
      <alignment horizontal="right" vertical="bottom"/>
    </xf>
    <xf borderId="0" fillId="0" fontId="18" numFmtId="164" xfId="0" applyAlignment="1" applyFont="1" applyNumberFormat="1">
      <alignment vertical="top"/>
    </xf>
    <xf borderId="0" fillId="0" fontId="18" numFmtId="49" xfId="0" applyAlignment="1" applyFont="1" applyNumberFormat="1">
      <alignment vertical="top"/>
    </xf>
    <xf borderId="24" fillId="0" fontId="18" numFmtId="49" xfId="0" applyAlignment="1" applyBorder="1" applyFont="1" applyNumberFormat="1">
      <alignment vertical="top"/>
    </xf>
    <xf borderId="25" fillId="0" fontId="18" numFmtId="4" xfId="0" applyAlignment="1" applyBorder="1" applyFont="1" applyNumberFormat="1">
      <alignment vertical="top"/>
    </xf>
    <xf borderId="25" fillId="0" fontId="18" numFmtId="164" xfId="0" applyAlignment="1" applyBorder="1" applyFont="1" applyNumberFormat="1">
      <alignment vertical="bottom"/>
    </xf>
    <xf borderId="26" fillId="0" fontId="18" numFmtId="164" xfId="0" applyAlignment="1" applyBorder="1" applyFont="1" applyNumberFormat="1">
      <alignment vertical="bottom"/>
    </xf>
    <xf borderId="24" fillId="7" fontId="20" numFmtId="0" xfId="0" applyAlignment="1" applyBorder="1" applyFill="1" applyFont="1">
      <alignment vertical="top"/>
    </xf>
    <xf borderId="25" fillId="7" fontId="20" numFmtId="0" xfId="0" applyAlignment="1" applyBorder="1" applyFont="1">
      <alignment shrinkToFit="0" vertical="top" wrapText="1"/>
    </xf>
    <xf borderId="25" fillId="7" fontId="20" numFmtId="164" xfId="0" applyAlignment="1" applyBorder="1" applyFont="1" applyNumberFormat="1">
      <alignment horizontal="right" vertical="bottom"/>
    </xf>
    <xf borderId="26" fillId="7" fontId="21" numFmtId="164" xfId="0" applyAlignment="1" applyBorder="1" applyFont="1" applyNumberFormat="1">
      <alignment horizontal="right" vertical="bottom"/>
    </xf>
    <xf borderId="24" fillId="0" fontId="6" numFmtId="49" xfId="0" applyAlignment="1" applyBorder="1" applyFont="1" applyNumberFormat="1">
      <alignment vertical="top"/>
    </xf>
    <xf borderId="25" fillId="0" fontId="6" numFmtId="4" xfId="0" applyAlignment="1" applyBorder="1" applyFont="1" applyNumberFormat="1">
      <alignment shrinkToFit="0" vertical="top" wrapText="1"/>
    </xf>
    <xf borderId="25" fillId="0" fontId="6" numFmtId="164" xfId="0" applyAlignment="1" applyBorder="1" applyFont="1" applyNumberFormat="1">
      <alignment horizontal="right" vertical="bottom"/>
    </xf>
    <xf borderId="26" fillId="0" fontId="6" numFmtId="164" xfId="0" applyAlignment="1" applyBorder="1" applyFont="1" applyNumberFormat="1">
      <alignment horizontal="right" vertical="bottom"/>
    </xf>
    <xf borderId="25" fillId="0" fontId="6" numFmtId="4" xfId="0" applyAlignment="1" applyBorder="1" applyFont="1" applyNumberFormat="1">
      <alignment vertical="top"/>
    </xf>
    <xf borderId="27" fillId="0" fontId="6" numFmtId="164" xfId="0" applyAlignment="1" applyBorder="1" applyFont="1" applyNumberFormat="1">
      <alignment horizontal="right" vertical="bottom"/>
    </xf>
    <xf borderId="28" fillId="0" fontId="6" numFmtId="164" xfId="0" applyAlignment="1" applyBorder="1" applyFont="1" applyNumberFormat="1">
      <alignment horizontal="right" vertical="bottom"/>
    </xf>
    <xf borderId="25" fillId="0" fontId="18" numFmtId="0" xfId="0" applyAlignment="1" applyBorder="1" applyFont="1">
      <alignment vertical="top"/>
    </xf>
    <xf borderId="25" fillId="0" fontId="18" numFmtId="165" xfId="0" applyAlignment="1" applyBorder="1" applyFont="1" applyNumberFormat="1">
      <alignment vertical="bottom"/>
    </xf>
    <xf borderId="26" fillId="0" fontId="18" numFmtId="165" xfId="0" applyAlignment="1" applyBorder="1" applyFont="1" applyNumberFormat="1">
      <alignment vertical="bottom"/>
    </xf>
    <xf borderId="24" fillId="7" fontId="20" numFmtId="49" xfId="0" applyAlignment="1" applyBorder="1" applyFont="1" applyNumberFormat="1">
      <alignment vertical="top"/>
    </xf>
    <xf borderId="26" fillId="7" fontId="20" numFmtId="164" xfId="0" applyAlignment="1" applyBorder="1" applyFont="1" applyNumberFormat="1">
      <alignment horizontal="right" vertical="bottom"/>
    </xf>
    <xf borderId="24" fillId="4" fontId="6" numFmtId="49" xfId="0" applyAlignment="1" applyBorder="1" applyFont="1" applyNumberFormat="1">
      <alignment vertical="top"/>
    </xf>
    <xf borderId="26" fillId="7" fontId="22" numFmtId="164" xfId="0" applyAlignment="1" applyBorder="1" applyFont="1" applyNumberFormat="1">
      <alignment horizontal="right" vertical="bottom"/>
    </xf>
    <xf borderId="25" fillId="7" fontId="20" numFmtId="4" xfId="0" applyAlignment="1" applyBorder="1" applyFont="1" applyNumberFormat="1">
      <alignment shrinkToFit="0" vertical="top" wrapText="1"/>
    </xf>
    <xf borderId="25" fillId="0" fontId="6" numFmtId="4" xfId="0" applyAlignment="1" applyBorder="1" applyFont="1" applyNumberFormat="1">
      <alignment horizontal="right" vertical="top"/>
    </xf>
    <xf borderId="0" fillId="0" fontId="6" numFmtId="4" xfId="0" applyAlignment="1" applyFont="1" applyNumberFormat="1">
      <alignment horizontal="right" vertical="top"/>
    </xf>
    <xf borderId="29" fillId="0" fontId="6" numFmtId="4" xfId="0" applyAlignment="1" applyBorder="1" applyFont="1" applyNumberFormat="1">
      <alignment horizontal="right" vertical="top"/>
    </xf>
    <xf borderId="25" fillId="7" fontId="20" numFmtId="4" xfId="0" applyAlignment="1" applyBorder="1" applyFont="1" applyNumberFormat="1">
      <alignment horizontal="right" vertical="bottom"/>
    </xf>
    <xf borderId="25" fillId="0" fontId="6" numFmtId="0" xfId="0" applyAlignment="1" applyBorder="1" applyFont="1">
      <alignment shrinkToFit="0" vertical="top" wrapText="1"/>
    </xf>
    <xf borderId="27" fillId="0" fontId="18" numFmtId="165" xfId="0" applyAlignment="1" applyBorder="1" applyFont="1" applyNumberFormat="1">
      <alignment vertical="bottom"/>
    </xf>
    <xf borderId="27" fillId="0" fontId="18" numFmtId="4" xfId="0" applyAlignment="1" applyBorder="1" applyFont="1" applyNumberFormat="1">
      <alignment vertical="bottom"/>
    </xf>
    <xf borderId="28" fillId="0" fontId="18" numFmtId="165" xfId="0" applyAlignment="1" applyBorder="1" applyFont="1" applyNumberFormat="1">
      <alignment vertical="bottom"/>
    </xf>
    <xf borderId="25" fillId="0" fontId="6" numFmtId="4" xfId="0" applyAlignment="1" applyBorder="1" applyFont="1" applyNumberFormat="1">
      <alignment horizontal="right" vertical="bottom"/>
    </xf>
    <xf borderId="25" fillId="0" fontId="18" numFmtId="4" xfId="0" applyAlignment="1" applyBorder="1" applyFont="1" applyNumberFormat="1">
      <alignment vertical="bottom"/>
    </xf>
    <xf borderId="30" fillId="7" fontId="20" numFmtId="164" xfId="0" applyAlignment="1" applyBorder="1" applyFont="1" applyNumberFormat="1">
      <alignment horizontal="right" vertical="bottom"/>
    </xf>
    <xf borderId="30" fillId="7" fontId="20" numFmtId="4" xfId="0" applyAlignment="1" applyBorder="1" applyFont="1" applyNumberFormat="1">
      <alignment horizontal="right" vertical="bottom"/>
    </xf>
    <xf borderId="25" fillId="0" fontId="6" numFmtId="164" xfId="0" applyAlignment="1" applyBorder="1" applyFont="1" applyNumberFormat="1">
      <alignment vertical="bottom"/>
    </xf>
    <xf borderId="25" fillId="0" fontId="18" numFmtId="49" xfId="0" applyAlignment="1" applyBorder="1" applyFont="1" applyNumberFormat="1">
      <alignment vertical="top"/>
    </xf>
    <xf borderId="25" fillId="7" fontId="20" numFmtId="49" xfId="0" applyAlignment="1" applyBorder="1" applyFont="1" applyNumberFormat="1">
      <alignment shrinkToFit="0" vertical="top" wrapText="1"/>
    </xf>
    <xf borderId="25" fillId="0" fontId="6" numFmtId="49" xfId="0" applyAlignment="1" applyBorder="1" applyFont="1" applyNumberFormat="1">
      <alignment vertical="bottom"/>
    </xf>
    <xf borderId="25" fillId="0" fontId="6" numFmtId="49" xfId="0" applyAlignment="1" applyBorder="1" applyFont="1" applyNumberFormat="1">
      <alignment shrinkToFit="0" vertical="top" wrapText="1"/>
    </xf>
    <xf borderId="25" fillId="0" fontId="6" numFmtId="49" xfId="0" applyAlignment="1" applyBorder="1" applyFont="1" applyNumberFormat="1">
      <alignment vertical="top"/>
    </xf>
    <xf borderId="26" fillId="7" fontId="23" numFmtId="164" xfId="0" applyAlignment="1" applyBorder="1" applyFont="1" applyNumberFormat="1">
      <alignment horizontal="right" vertical="bottom"/>
    </xf>
    <xf borderId="25" fillId="0" fontId="18" numFmtId="166" xfId="0" applyAlignment="1" applyBorder="1" applyFont="1" applyNumberFormat="1">
      <alignment vertical="bottom"/>
    </xf>
    <xf borderId="26" fillId="0" fontId="18" numFmtId="166" xfId="0" applyAlignment="1" applyBorder="1" applyFont="1" applyNumberFormat="1">
      <alignment vertical="bottom"/>
    </xf>
    <xf borderId="25" fillId="7" fontId="18" numFmtId="0" xfId="0" applyAlignment="1" applyBorder="1" applyFont="1">
      <alignment vertical="top"/>
    </xf>
    <xf borderId="25" fillId="7" fontId="18" numFmtId="166" xfId="0" applyAlignment="1" applyBorder="1" applyFont="1" applyNumberFormat="1">
      <alignment vertical="bottom"/>
    </xf>
    <xf borderId="26" fillId="7" fontId="18" numFmtId="166" xfId="0" applyAlignment="1" applyBorder="1" applyFont="1" applyNumberFormat="1">
      <alignment vertical="bottom"/>
    </xf>
    <xf borderId="25" fillId="0" fontId="10" numFmtId="0" xfId="0" applyAlignment="1" applyBorder="1" applyFont="1">
      <alignment shrinkToFit="0" vertical="top" wrapText="1"/>
    </xf>
    <xf borderId="25" fillId="0" fontId="9" numFmtId="164" xfId="0" applyAlignment="1" applyBorder="1" applyFont="1" applyNumberFormat="1">
      <alignment horizontal="right" vertical="bottom"/>
    </xf>
    <xf borderId="26" fillId="0" fontId="9" numFmtId="164" xfId="0" applyAlignment="1" applyBorder="1" applyFont="1" applyNumberFormat="1">
      <alignment horizontal="right" vertical="bottom"/>
    </xf>
    <xf borderId="31" fillId="0" fontId="18" numFmtId="49" xfId="0" applyAlignment="1" applyBorder="1" applyFont="1" applyNumberFormat="1">
      <alignment vertical="top"/>
    </xf>
    <xf borderId="32" fillId="0" fontId="10" numFmtId="0" xfId="0" applyAlignment="1" applyBorder="1" applyFont="1">
      <alignment shrinkToFit="0" vertical="top" wrapText="1"/>
    </xf>
    <xf borderId="32" fillId="0" fontId="10" numFmtId="164" xfId="0" applyAlignment="1" applyBorder="1" applyFont="1" applyNumberFormat="1">
      <alignment horizontal="right" vertical="bottom"/>
    </xf>
    <xf borderId="33" fillId="0" fontId="10" numFmtId="164" xfId="0" applyAlignment="1" applyBorder="1" applyFont="1" applyNumberFormat="1">
      <alignment horizontal="right" vertical="bottom"/>
    </xf>
    <xf borderId="0" fillId="0" fontId="18" numFmtId="167" xfId="0" applyAlignment="1" applyFont="1" applyNumberFormat="1">
      <alignment vertical="top"/>
    </xf>
    <xf borderId="0" fillId="0" fontId="18" numFmtId="167" xfId="0" applyAlignment="1" applyFont="1" applyNumberFormat="1">
      <alignment vertical="bottom"/>
    </xf>
    <xf borderId="0" fillId="0" fontId="18" numFmtId="49" xfId="0" applyAlignment="1" applyFont="1" applyNumberFormat="1">
      <alignment vertical="bottom"/>
    </xf>
    <xf borderId="0" fillId="0" fontId="18" numFmtId="164" xfId="0" applyAlignment="1" applyFont="1" applyNumberFormat="1">
      <alignment vertical="bottom"/>
    </xf>
    <xf borderId="0" fillId="0" fontId="18" numFmtId="3" xfId="0" applyAlignment="1" applyFont="1" applyNumberFormat="1">
      <alignment vertical="bottom"/>
    </xf>
    <xf borderId="0" fillId="3" fontId="19" numFmtId="0" xfId="0" applyAlignment="1" applyFont="1">
      <alignment horizontal="left" vertical="top"/>
    </xf>
    <xf borderId="34" fillId="3" fontId="8" numFmtId="4" xfId="0" applyAlignment="1" applyBorder="1" applyFont="1" applyNumberFormat="1">
      <alignment horizontal="left"/>
    </xf>
    <xf borderId="35" fillId="3" fontId="8" numFmtId="0" xfId="0" applyAlignment="1" applyBorder="1" applyFont="1">
      <alignment horizontal="center"/>
    </xf>
    <xf borderId="35" fillId="3" fontId="8" numFmtId="4" xfId="0" applyAlignment="1" applyBorder="1" applyFont="1" applyNumberFormat="1">
      <alignment horizontal="left" vertical="top"/>
    </xf>
    <xf borderId="35" fillId="3" fontId="8" numFmtId="4" xfId="0" applyAlignment="1" applyBorder="1" applyFont="1" applyNumberFormat="1">
      <alignment horizontal="center"/>
    </xf>
    <xf borderId="36" fillId="3" fontId="8" numFmtId="4" xfId="0" applyAlignment="1" applyBorder="1" applyFont="1" applyNumberFormat="1">
      <alignment horizontal="center"/>
    </xf>
    <xf borderId="37" fillId="3" fontId="8" numFmtId="4" xfId="0" applyAlignment="1" applyBorder="1" applyFont="1" applyNumberFormat="1">
      <alignment horizontal="center"/>
    </xf>
    <xf borderId="38" fillId="3" fontId="24" numFmtId="4" xfId="0" applyAlignment="1" applyBorder="1" applyFont="1" applyNumberFormat="1">
      <alignment horizontal="center"/>
    </xf>
    <xf borderId="39" fillId="3" fontId="8" numFmtId="4" xfId="0" applyAlignment="1" applyBorder="1" applyFont="1" applyNumberFormat="1">
      <alignment horizontal="center"/>
    </xf>
    <xf borderId="0" fillId="3" fontId="8" numFmtId="4" xfId="0" applyAlignment="1" applyFont="1" applyNumberFormat="1">
      <alignment horizontal="center"/>
    </xf>
    <xf borderId="40" fillId="3" fontId="8" numFmtId="4" xfId="0" applyAlignment="1" applyBorder="1" applyFont="1" applyNumberFormat="1">
      <alignment horizontal="center"/>
    </xf>
    <xf borderId="34" fillId="3" fontId="8" numFmtId="4" xfId="0" applyAlignment="1" applyBorder="1" applyFont="1" applyNumberFormat="1">
      <alignment horizontal="center"/>
    </xf>
    <xf borderId="41" fillId="3" fontId="8" numFmtId="4" xfId="0" applyAlignment="1" applyBorder="1" applyFont="1" applyNumberFormat="1">
      <alignment horizontal="center"/>
    </xf>
    <xf borderId="42" fillId="3" fontId="8" numFmtId="4" xfId="0" applyAlignment="1" applyBorder="1" applyFont="1" applyNumberFormat="1">
      <alignment horizontal="center"/>
    </xf>
    <xf borderId="42" fillId="3" fontId="8" numFmtId="4" xfId="0" applyAlignment="1" applyBorder="1" applyFont="1" applyNumberFormat="1">
      <alignment horizontal="left"/>
    </xf>
    <xf borderId="0" fillId="0" fontId="25" numFmtId="0" xfId="0" applyAlignment="1" applyFont="1">
      <alignment vertical="bottom"/>
    </xf>
    <xf borderId="0" fillId="0" fontId="8" numFmtId="0" xfId="0" applyAlignment="1" applyFont="1">
      <alignment horizontal="center"/>
    </xf>
    <xf borderId="0" fillId="0" fontId="8" numFmtId="168" xfId="0" applyAlignment="1" applyFont="1" applyNumberFormat="1">
      <alignment horizontal="center"/>
    </xf>
    <xf borderId="0" fillId="0" fontId="8" numFmtId="4" xfId="0" applyAlignment="1" applyFont="1" applyNumberFormat="1">
      <alignment horizontal="center"/>
    </xf>
    <xf borderId="0" fillId="0" fontId="8" numFmtId="4" xfId="0" applyAlignment="1" applyFont="1" applyNumberFormat="1">
      <alignment horizontal="left"/>
    </xf>
    <xf borderId="0" fillId="0" fontId="8" numFmtId="4" xfId="0" applyAlignment="1" applyFont="1" applyNumberFormat="1">
      <alignment horizontal="left" vertical="top"/>
    </xf>
    <xf borderId="43" fillId="0" fontId="8" numFmtId="4" xfId="0" applyAlignment="1" applyBorder="1" applyFont="1" applyNumberFormat="1">
      <alignment horizontal="center"/>
    </xf>
    <xf borderId="44" fillId="0" fontId="24" numFmtId="4" xfId="0" applyAlignment="1" applyBorder="1" applyFont="1" applyNumberFormat="1">
      <alignment horizontal="center"/>
    </xf>
    <xf borderId="45" fillId="0" fontId="8" numFmtId="4" xfId="0" applyAlignment="1" applyBorder="1" applyFont="1" applyNumberFormat="1">
      <alignment horizontal="center"/>
    </xf>
    <xf borderId="46" fillId="0" fontId="8" numFmtId="4" xfId="0" applyAlignment="1" applyBorder="1" applyFont="1" applyNumberFormat="1">
      <alignment horizontal="center"/>
    </xf>
    <xf borderId="47" fillId="0" fontId="8" numFmtId="4" xfId="0" applyAlignment="1" applyBorder="1" applyFont="1" applyNumberFormat="1">
      <alignment horizontal="center"/>
    </xf>
    <xf borderId="47" fillId="0" fontId="8" numFmtId="4" xfId="0" applyAlignment="1" applyBorder="1" applyFont="1" applyNumberFormat="1">
      <alignment horizontal="left"/>
    </xf>
    <xf borderId="43" fillId="0" fontId="26" numFmtId="0" xfId="0" applyBorder="1" applyFont="1"/>
    <xf borderId="43" fillId="0" fontId="1" numFmtId="0" xfId="0" applyBorder="1" applyFont="1"/>
    <xf borderId="48" fillId="5" fontId="7" numFmtId="0" xfId="0" applyAlignment="1" applyBorder="1" applyFont="1">
      <alignment horizontal="left" vertical="top"/>
    </xf>
    <xf borderId="49" fillId="5" fontId="7" numFmtId="0" xfId="0" applyAlignment="1" applyBorder="1" applyFont="1">
      <alignment horizontal="center" vertical="top"/>
    </xf>
    <xf borderId="49" fillId="5" fontId="7" numFmtId="0" xfId="0" applyAlignment="1" applyBorder="1" applyFont="1">
      <alignment horizontal="left" vertical="top"/>
    </xf>
    <xf borderId="50" fillId="8" fontId="7" numFmtId="4" xfId="0" applyAlignment="1" applyBorder="1" applyFill="1" applyFont="1" applyNumberFormat="1">
      <alignment horizontal="center" vertical="top"/>
    </xf>
    <xf borderId="51" fillId="0" fontId="4" numFmtId="0" xfId="0" applyBorder="1" applyFont="1"/>
    <xf borderId="52" fillId="0" fontId="4" numFmtId="0" xfId="0" applyBorder="1" applyFont="1"/>
    <xf borderId="53" fillId="5" fontId="7" numFmtId="0" xfId="0" applyAlignment="1" applyBorder="1" applyFont="1">
      <alignment horizontal="center" vertical="top"/>
    </xf>
    <xf borderId="53" fillId="0" fontId="4" numFmtId="0" xfId="0" applyBorder="1" applyFont="1"/>
    <xf borderId="54" fillId="0" fontId="4" numFmtId="0" xfId="0" applyBorder="1" applyFont="1"/>
    <xf borderId="55" fillId="5" fontId="8" numFmtId="4" xfId="0" applyAlignment="1" applyBorder="1" applyFont="1" applyNumberFormat="1">
      <alignment horizontal="center"/>
    </xf>
    <xf borderId="50" fillId="5" fontId="7" numFmtId="4" xfId="0" applyAlignment="1" applyBorder="1" applyFont="1" applyNumberFormat="1">
      <alignment horizontal="center" vertical="top"/>
    </xf>
    <xf borderId="56" fillId="0" fontId="4" numFmtId="0" xfId="0" applyBorder="1" applyFont="1"/>
    <xf borderId="55" fillId="8" fontId="7" numFmtId="49" xfId="0" applyAlignment="1" applyBorder="1" applyFont="1" applyNumberFormat="1">
      <alignment horizontal="left" shrinkToFit="0" vertical="top" wrapText="1"/>
    </xf>
    <xf borderId="57" fillId="5" fontId="7" numFmtId="0" xfId="0" applyAlignment="1" applyBorder="1" applyFont="1">
      <alignment horizontal="center" vertical="top"/>
    </xf>
    <xf borderId="58" fillId="5" fontId="7" numFmtId="0" xfId="0" applyAlignment="1" applyBorder="1" applyFont="1">
      <alignment horizontal="center" vertical="top"/>
    </xf>
    <xf borderId="58" fillId="5" fontId="7" numFmtId="0" xfId="0" applyAlignment="1" applyBorder="1" applyFont="1">
      <alignment horizontal="left" vertical="top"/>
    </xf>
    <xf borderId="59" fillId="5" fontId="7" numFmtId="49" xfId="0" applyAlignment="1" applyBorder="1" applyFont="1" applyNumberFormat="1">
      <alignment horizontal="center" shrinkToFit="0" vertical="top" wrapText="1"/>
    </xf>
    <xf borderId="60" fillId="5" fontId="7" numFmtId="49" xfId="0" applyAlignment="1" applyBorder="1" applyFont="1" applyNumberFormat="1">
      <alignment horizontal="center" shrinkToFit="0" vertical="top" wrapText="1"/>
    </xf>
    <xf borderId="61" fillId="9" fontId="7" numFmtId="0" xfId="0" applyAlignment="1" applyBorder="1" applyFill="1" applyFont="1">
      <alignment horizontal="center" vertical="top"/>
    </xf>
    <xf borderId="62" fillId="8" fontId="8" numFmtId="49" xfId="0" applyAlignment="1" applyBorder="1" applyFont="1" applyNumberFormat="1">
      <alignment horizontal="center" shrinkToFit="0" vertical="top" wrapText="1"/>
    </xf>
    <xf borderId="63" fillId="8" fontId="7" numFmtId="49" xfId="0" applyAlignment="1" applyBorder="1" applyFont="1" applyNumberFormat="1">
      <alignment horizontal="center" shrinkToFit="0" vertical="top" wrapText="1"/>
    </xf>
    <xf borderId="52" fillId="9" fontId="7" numFmtId="49" xfId="0" applyAlignment="1" applyBorder="1" applyFont="1" applyNumberFormat="1">
      <alignment horizontal="center" shrinkToFit="0" vertical="top" wrapText="1"/>
    </xf>
    <xf borderId="64" fillId="8" fontId="7" numFmtId="49" xfId="0" applyAlignment="1" applyBorder="1" applyFont="1" applyNumberFormat="1">
      <alignment horizontal="center" shrinkToFit="0" vertical="top" wrapText="1"/>
    </xf>
    <xf borderId="60" fillId="8" fontId="7" numFmtId="49" xfId="0" applyAlignment="1" applyBorder="1" applyFont="1" applyNumberFormat="1">
      <alignment horizontal="center" shrinkToFit="0" vertical="top" wrapText="1"/>
    </xf>
    <xf borderId="49" fillId="9" fontId="7" numFmtId="49" xfId="0" applyAlignment="1" applyBorder="1" applyFont="1" applyNumberFormat="1">
      <alignment horizontal="center" vertical="top"/>
    </xf>
    <xf borderId="65" fillId="9" fontId="7" numFmtId="49" xfId="0" applyAlignment="1" applyBorder="1" applyFont="1" applyNumberFormat="1">
      <alignment horizontal="center" vertical="top"/>
    </xf>
    <xf borderId="65" fillId="8" fontId="7" numFmtId="49" xfId="0" applyAlignment="1" applyBorder="1" applyFont="1" applyNumberFormat="1">
      <alignment horizontal="center" shrinkToFit="0" vertical="top" wrapText="1"/>
    </xf>
    <xf borderId="66" fillId="9" fontId="7" numFmtId="0" xfId="0" applyAlignment="1" applyBorder="1" applyFont="1">
      <alignment horizontal="center" vertical="top"/>
    </xf>
    <xf borderId="66" fillId="10" fontId="7" numFmtId="0" xfId="0" applyAlignment="1" applyBorder="1" applyFill="1" applyFont="1">
      <alignment horizontal="center" vertical="top"/>
    </xf>
    <xf borderId="67" fillId="8" fontId="7" numFmtId="49" xfId="0" applyAlignment="1" applyBorder="1" applyFont="1" applyNumberFormat="1">
      <alignment horizontal="left" shrinkToFit="0" vertical="top" wrapText="1"/>
    </xf>
    <xf borderId="68" fillId="5" fontId="7" numFmtId="0" xfId="0" applyAlignment="1" applyBorder="1" applyFont="1">
      <alignment horizontal="center" shrinkToFit="0" vertical="top" wrapText="1"/>
    </xf>
    <xf borderId="69" fillId="5" fontId="7" numFmtId="0" xfId="0" applyAlignment="1" applyBorder="1" applyFont="1">
      <alignment horizontal="center" shrinkToFit="0" vertical="top" wrapText="1"/>
    </xf>
    <xf borderId="69" fillId="5" fontId="7" numFmtId="4" xfId="0" applyAlignment="1" applyBorder="1" applyFont="1" applyNumberFormat="1">
      <alignment horizontal="center" shrinkToFit="0" vertical="top" wrapText="1"/>
    </xf>
    <xf borderId="69" fillId="5" fontId="7" numFmtId="4" xfId="0" applyAlignment="1" applyBorder="1" applyFont="1" applyNumberFormat="1">
      <alignment horizontal="left" shrinkToFit="0" vertical="top" wrapText="1"/>
    </xf>
    <xf borderId="70" fillId="5" fontId="7" numFmtId="4" xfId="0" applyAlignment="1" applyBorder="1" applyFont="1" applyNumberFormat="1">
      <alignment horizontal="center" shrinkToFit="0" vertical="top" wrapText="1"/>
    </xf>
    <xf borderId="68" fillId="5" fontId="7" numFmtId="4" xfId="0" applyAlignment="1" applyBorder="1" applyFont="1" applyNumberFormat="1">
      <alignment horizontal="center" shrinkToFit="0" vertical="top" wrapText="1"/>
    </xf>
    <xf borderId="0" fillId="5" fontId="7" numFmtId="4" xfId="0" applyAlignment="1" applyFont="1" applyNumberFormat="1">
      <alignment horizontal="center" shrinkToFit="0" vertical="top" wrapText="1"/>
    </xf>
    <xf borderId="71" fillId="9" fontId="20" numFmtId="0" xfId="0" applyAlignment="1" applyBorder="1" applyFont="1">
      <alignment horizontal="center" shrinkToFit="0" vertical="top" wrapText="1"/>
    </xf>
    <xf borderId="72" fillId="5" fontId="7" numFmtId="4" xfId="0" applyAlignment="1" applyBorder="1" applyFont="1" applyNumberFormat="1">
      <alignment horizontal="center" shrinkToFit="0" vertical="top" wrapText="1"/>
    </xf>
    <xf borderId="73" fillId="5" fontId="7" numFmtId="4" xfId="0" applyAlignment="1" applyBorder="1" applyFont="1" applyNumberFormat="1">
      <alignment horizontal="center" shrinkToFit="0" vertical="top" wrapText="1"/>
    </xf>
    <xf borderId="63" fillId="5" fontId="7" numFmtId="4" xfId="0" applyAlignment="1" applyBorder="1" applyFont="1" applyNumberFormat="1">
      <alignment horizontal="center" shrinkToFit="0" vertical="top" wrapText="1"/>
    </xf>
    <xf borderId="74" fillId="9" fontId="7" numFmtId="4" xfId="0" applyAlignment="1" applyBorder="1" applyFont="1" applyNumberFormat="1">
      <alignment horizontal="center" shrinkToFit="0" vertical="top" wrapText="1"/>
    </xf>
    <xf borderId="75" fillId="5" fontId="7" numFmtId="4" xfId="0" applyAlignment="1" applyBorder="1" applyFont="1" applyNumberFormat="1">
      <alignment horizontal="center" shrinkToFit="0" vertical="top" wrapText="1"/>
    </xf>
    <xf borderId="69" fillId="8" fontId="7" numFmtId="4" xfId="0" applyAlignment="1" applyBorder="1" applyFont="1" applyNumberFormat="1">
      <alignment horizontal="center" shrinkToFit="0" vertical="top" wrapText="1"/>
    </xf>
    <xf borderId="1" fillId="9" fontId="20" numFmtId="0" xfId="0" applyAlignment="1" applyBorder="1" applyFont="1">
      <alignment horizontal="center" shrinkToFit="0" vertical="top" wrapText="1"/>
    </xf>
    <xf borderId="76" fillId="9" fontId="20" numFmtId="0" xfId="0" applyAlignment="1" applyBorder="1" applyFont="1">
      <alignment horizontal="center" shrinkToFit="0" vertical="top" wrapText="1"/>
    </xf>
    <xf borderId="77" fillId="9" fontId="20" numFmtId="0" xfId="0" applyAlignment="1" applyBorder="1" applyFont="1">
      <alignment horizontal="center" shrinkToFit="0" vertical="top" wrapText="1"/>
    </xf>
    <xf borderId="78" fillId="10" fontId="27" numFmtId="4" xfId="0" applyAlignment="1" applyBorder="1" applyFont="1" applyNumberFormat="1">
      <alignment horizontal="center" shrinkToFit="0" vertical="top" wrapText="1"/>
    </xf>
    <xf borderId="48" fillId="5" fontId="7" numFmtId="4" xfId="0" applyAlignment="1" applyBorder="1" applyFont="1" applyNumberFormat="1">
      <alignment horizontal="center" shrinkToFit="0" vertical="top" wrapText="1"/>
    </xf>
    <xf borderId="49" fillId="5" fontId="7" numFmtId="4" xfId="0" applyAlignment="1" applyBorder="1" applyFont="1" applyNumberFormat="1">
      <alignment horizontal="center" shrinkToFit="0" vertical="top" wrapText="1"/>
    </xf>
    <xf borderId="79" fillId="5" fontId="7" numFmtId="4" xfId="0" applyAlignment="1" applyBorder="1" applyFont="1" applyNumberFormat="1">
      <alignment horizontal="center" shrinkToFit="0" vertical="top" wrapText="1"/>
    </xf>
    <xf borderId="80" fillId="8" fontId="27" numFmtId="4" xfId="0" applyAlignment="1" applyBorder="1" applyFont="1" applyNumberFormat="1">
      <alignment horizontal="center" shrinkToFit="0" vertical="top" wrapText="1"/>
    </xf>
    <xf borderId="0" fillId="0" fontId="28" numFmtId="0" xfId="0" applyFont="1"/>
    <xf borderId="0" fillId="0" fontId="28" numFmtId="0" xfId="0" applyAlignment="1" applyFont="1">
      <alignment horizontal="left" vertical="top"/>
    </xf>
    <xf borderId="1" fillId="4" fontId="28" numFmtId="0" xfId="0" applyBorder="1" applyFont="1"/>
    <xf borderId="0" fillId="0" fontId="28" numFmtId="0" xfId="0" applyAlignment="1" applyFont="1">
      <alignment horizontal="left"/>
    </xf>
    <xf borderId="20" fillId="4" fontId="29" numFmtId="0" xfId="0" applyAlignment="1" applyBorder="1" applyFont="1">
      <alignment vertical="top"/>
    </xf>
    <xf borderId="81" fillId="3" fontId="19" numFmtId="0" xfId="0" applyAlignment="1" applyBorder="1" applyFont="1">
      <alignment vertical="top"/>
    </xf>
    <xf borderId="82" fillId="3" fontId="29" numFmtId="0" xfId="0" applyAlignment="1" applyBorder="1" applyFont="1">
      <alignment vertical="top"/>
    </xf>
    <xf borderId="83" fillId="3" fontId="29" numFmtId="0" xfId="0" applyAlignment="1" applyBorder="1" applyFont="1">
      <alignment vertical="top"/>
    </xf>
    <xf borderId="0" fillId="0" fontId="29" numFmtId="0" xfId="0" applyAlignment="1" applyFont="1">
      <alignment vertical="top"/>
    </xf>
    <xf borderId="1" fillId="4" fontId="29" numFmtId="0" xfId="0" applyAlignment="1" applyBorder="1" applyFont="1">
      <alignment vertical="top"/>
    </xf>
    <xf borderId="84" fillId="0" fontId="25" numFmtId="0" xfId="0" applyAlignment="1" applyBorder="1" applyFont="1">
      <alignment shrinkToFit="0" vertical="top" wrapText="1"/>
    </xf>
    <xf borderId="85" fillId="0" fontId="29" numFmtId="0" xfId="0" applyAlignment="1" applyBorder="1" applyFont="1">
      <alignment vertical="top"/>
    </xf>
    <xf borderId="86" fillId="4" fontId="29" numFmtId="0" xfId="0" applyAlignment="1" applyBorder="1" applyFont="1">
      <alignment vertical="top"/>
    </xf>
    <xf borderId="87" fillId="0" fontId="29" numFmtId="0" xfId="0" applyAlignment="1" applyBorder="1" applyFont="1">
      <alignment vertical="top"/>
    </xf>
    <xf borderId="0" fillId="0" fontId="29" numFmtId="0" xfId="0" applyAlignment="1" applyFont="1">
      <alignment vertical="bottom"/>
    </xf>
    <xf borderId="0" fillId="0" fontId="30" numFmtId="0" xfId="0" applyFont="1"/>
    <xf borderId="81" fillId="3" fontId="3" numFmtId="0" xfId="0" applyAlignment="1" applyBorder="1" applyFont="1">
      <alignment horizontal="left" shrinkToFit="0" vertical="center" wrapText="1"/>
    </xf>
    <xf borderId="82" fillId="0" fontId="4" numFmtId="0" xfId="0" applyBorder="1" applyFont="1"/>
    <xf borderId="83" fillId="0" fontId="4" numFmtId="0" xfId="0" applyBorder="1" applyFont="1"/>
    <xf borderId="88" fillId="0" fontId="25" numFmtId="0" xfId="0" applyAlignment="1" applyBorder="1" applyFont="1">
      <alignment vertical="top"/>
    </xf>
    <xf borderId="1" fillId="4" fontId="8" numFmtId="0" xfId="0" applyAlignment="1" applyBorder="1" applyFont="1">
      <alignment shrinkToFit="0" vertical="top" wrapText="1"/>
    </xf>
    <xf borderId="89" fillId="0" fontId="30" numFmtId="0" xfId="0" applyBorder="1" applyFont="1"/>
    <xf borderId="90" fillId="4" fontId="8" numFmtId="0" xfId="0" applyAlignment="1" applyBorder="1" applyFont="1">
      <alignment shrinkToFit="0" vertical="top" wrapText="1"/>
    </xf>
    <xf borderId="91" fillId="5" fontId="8" numFmtId="0" xfId="0" applyAlignment="1" applyBorder="1" applyFont="1">
      <alignment shrinkToFit="0" vertical="top" wrapText="1"/>
    </xf>
    <xf borderId="91" fillId="5" fontId="8" numFmtId="0" xfId="0" applyAlignment="1" applyBorder="1" applyFont="1">
      <alignment horizontal="center" shrinkToFit="0" vertical="top" wrapText="1"/>
    </xf>
    <xf borderId="91" fillId="5" fontId="8" numFmtId="4" xfId="0" applyAlignment="1" applyBorder="1" applyFont="1" applyNumberFormat="1">
      <alignment horizontal="center" shrinkToFit="0" vertical="top" wrapText="1"/>
    </xf>
    <xf borderId="91" fillId="0" fontId="28" numFmtId="0" xfId="0" applyAlignment="1" applyBorder="1" applyFont="1">
      <alignment vertical="top"/>
    </xf>
    <xf borderId="91" fillId="0" fontId="28" numFmtId="0" xfId="0" applyAlignment="1" applyBorder="1" applyFont="1">
      <alignment horizontal="center" vertical="top"/>
    </xf>
    <xf borderId="91" fillId="0" fontId="28" numFmtId="169" xfId="0" applyAlignment="1" applyBorder="1" applyFont="1" applyNumberFormat="1">
      <alignment horizontal="center" vertical="top"/>
    </xf>
    <xf borderId="91" fillId="0" fontId="28" numFmtId="170" xfId="0" applyAlignment="1" applyBorder="1" applyFont="1" applyNumberFormat="1">
      <alignment horizontal="center" vertical="top"/>
    </xf>
    <xf borderId="73" fillId="3" fontId="31" numFmtId="0" xfId="0" applyAlignment="1" applyBorder="1" applyFont="1">
      <alignment horizontal="center" shrinkToFit="0" wrapText="1"/>
    </xf>
    <xf borderId="92" fillId="0" fontId="4" numFmtId="0" xfId="0" applyBorder="1" applyFont="1"/>
    <xf borderId="0" fillId="0" fontId="32" numFmtId="0" xfId="0" applyAlignment="1" applyFont="1">
      <alignment vertical="top"/>
    </xf>
    <xf borderId="0" fillId="0" fontId="32" numFmtId="0" xfId="0" applyAlignment="1" applyFont="1">
      <alignment vertical="bottom"/>
    </xf>
    <xf borderId="0" fillId="0" fontId="25" numFmtId="0" xfId="0" applyAlignment="1" applyFont="1">
      <alignment vertical="top"/>
    </xf>
    <xf borderId="93" fillId="5" fontId="20" numFmtId="0" xfId="0" applyAlignment="1" applyBorder="1" applyFont="1">
      <alignment horizontal="center" shrinkToFit="0" vertical="top" wrapText="1"/>
    </xf>
    <xf borderId="93" fillId="5" fontId="20" numFmtId="0" xfId="0" applyAlignment="1" applyBorder="1" applyFont="1">
      <alignment shrinkToFit="0" vertical="top" wrapText="1"/>
    </xf>
    <xf borderId="93" fillId="4" fontId="18" numFmtId="0" xfId="0" applyAlignment="1" applyBorder="1" applyFont="1">
      <alignment horizontal="center" shrinkToFit="0" vertical="top" wrapText="1"/>
    </xf>
    <xf borderId="93" fillId="4" fontId="18" numFmtId="0" xfId="0" applyAlignment="1" applyBorder="1" applyFont="1">
      <alignment shrinkToFit="0" vertical="top" wrapText="1"/>
    </xf>
    <xf borderId="93" fillId="4" fontId="18" numFmtId="49" xfId="0" applyAlignment="1" applyBorder="1" applyFont="1" applyNumberFormat="1">
      <alignment shrinkToFit="0" vertical="top" wrapText="1"/>
    </xf>
    <xf numFmtId="0" fontId="33" fillId="12" borderId="99" xfId="0" applyFont="true" applyFill="true" applyBorder="true"/>
    <xf numFmtId="0" fontId="34" fillId="14" borderId="0" xfId="0" applyFont="true" applyFill="true"/>
    <xf numFmtId="171" fontId="35" fillId="16" borderId="101" xfId="0" applyFont="true" applyFill="true" applyBorder="true" applyNumberFormat="true"/>
    <xf numFmtId="0" fontId="36" fillId="14" borderId="99" xfId="0" applyFont="true" applyFill="true" applyBorder="true"/>
    <xf numFmtId="0" fontId="37" fillId="0" borderId="0" xfId="0" applyFont="true"/>
    <xf numFmtId="0" fontId="38" fillId="0" borderId="0" xfId="0" applyFont="true"/>
    <xf numFmtId="0" fontId="34" fillId="14" borderId="103" xfId="0" applyFont="true" applyFill="true" applyBorder="true"/>
    <xf numFmtId="0" fontId="34" fillId="14" borderId="105" xfId="0" applyFont="true" applyFill="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5" fillId="16" borderId="107" xfId="0" applyFont="true" applyFill="true" applyBorder="true"/>
    <xf numFmtId="171" fontId="35" fillId="16" borderId="109" xfId="0" applyFont="true" applyFill="true" applyBorder="true" applyNumberFormat="true"/>
    <xf numFmtId="0" fontId="34" fillId="14" borderId="95" xfId="0" applyFont="true" applyFill="true" applyBorder="true"/>
    <xf numFmtId="0" fontId="34" fillId="14" borderId="97" xfId="0" applyFont="true" applyFill="true" applyBorder="true"/>
    <xf numFmtId="0" fontId="34" fillId="14" borderId="111" xfId="0" applyFont="true" applyFill="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8" fillId="0" borderId="103" xfId="0" applyFont="true" applyBorder="true"/>
    <xf numFmtId="0" fontId="38" fillId="0" borderId="105" xfId="0" applyFont="true" applyBorder="true"/>
    <xf numFmtId="0" fontId="38" fillId="0" borderId="103" xfId="0" applyFont="true" applyBorder="true"/>
    <xf numFmtId="0" fontId="38" fillId="0" borderId="105" xfId="0" applyFont="true" applyBorder="true"/>
    <xf numFmtId="0" fontId="34" fillId="14" borderId="95" xfId="0" applyFont="true" applyFill="true" applyBorder="true"/>
    <xf numFmtId="0" fontId="34" fillId="14" borderId="97" xfId="0" applyFont="true" applyFill="true" applyBorder="true"/>
    <xf numFmtId="0" fontId="34" fillId="14" borderId="111" xfId="0" applyFont="true" applyFill="true" applyBorder="true"/>
    <xf numFmtId="0" fontId="37" fillId="0" borderId="103" xfId="0" applyFont="true" applyBorder="true"/>
    <xf numFmtId="0" fontId="37" fillId="0" borderId="105" xfId="0" applyFont="true" applyBorder="true"/>
    <xf numFmtId="0" fontId="38" fillId="0" borderId="103" xfId="0" applyFont="true" applyBorder="true"/>
    <xf numFmtId="0" fontId="38" fillId="0" borderId="105" xfId="0" applyFont="true" applyBorder="true"/>
    <xf numFmtId="0" fontId="38" fillId="0" borderId="103" xfId="0" applyFont="true" applyBorder="true"/>
    <xf numFmtId="0" fontId="38" fillId="0" borderId="105" xfId="0" applyFont="true" applyBorder="true"/>
    <xf numFmtId="171" fontId="35" fillId="16" borderId="107" xfId="0" applyFont="true" applyFill="true" applyBorder="true" applyNumberFormat="true"/>
    <xf numFmtId="171" fontId="35" fillId="16" borderId="109" xfId="0" applyFont="true" applyFill="true" applyBorder="true" applyNumberFormat="true"/>
  </cellXfs>
  <cellStyles count="1">
    <cellStyle xfId="0" name="Normal" builtinId="0"/>
  </cellStyles>
  <dxfs count="4">
    <dxf>
      <font/>
      <fill>
        <patternFill patternType="none"/>
      </fill>
      <border/>
    </dxf>
    <dxf>
      <font/>
      <fill>
        <patternFill patternType="solid">
          <fgColor rgb="FFE91D63"/>
          <bgColor rgb="FFE91D63"/>
        </patternFill>
      </fill>
      <border/>
    </dxf>
    <dxf>
      <font/>
      <fill>
        <patternFill patternType="solid">
          <fgColor rgb="FFFFFFFF"/>
          <bgColor rgb="FFFFFFFF"/>
        </patternFill>
      </fill>
      <border/>
    </dxf>
    <dxf>
      <font/>
      <fill>
        <patternFill patternType="solid">
          <fgColor rgb="FFFDDCE8"/>
          <bgColor rgb="FFFDDCE8"/>
        </patternFill>
      </fill>
      <border/>
    </dxf>
  </dxfs>
  <tableStyles count="1">
    <tableStyle count="3" pivot="0" name="Summary-style">
      <tableStyleElement dxfId="1" type="headerRow"/>
      <tableStyleElement dxfId="2" type="firstRowStripe"/>
      <tableStyleElement dxfId="3" type="secondRowStripe"/>
    </tableStyle>
  </tableStyles>
</styleSheet>
</file>

<file path=xl/_rels/workbook.xml.rels><?xml version="1.0" encoding="UTF-8" standalone="yes"?><Relationships xmlns="http://schemas.openxmlformats.org/package/2006/relationships"><Relationship Id="rId1" Target="theme/theme1.xml" Type="http://schemas.openxmlformats.org/officeDocument/2006/relationships/theme"/><Relationship Id="rId10" Target="worksheets/sheet7.xml" Type="http://schemas.openxmlformats.org/officeDocument/2006/relationships/worksheet"/><Relationship Id="rId11" Target="worksheets/sheet8.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247650</xdr:colOff>
      <xdr:row>0</xdr:row>
      <xdr:rowOff>180975</xdr:rowOff>
    </xdr:from>
    <xdr:ext cx="1495425" cy="1495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6:C18" displayName="Table_1" name="Table_1" id="1">
  <tableColumns count="3">
    <tableColumn name="" id="1"/>
    <tableColumn name="Total Orders _x000a_(Delivered + Cancelled/ Rejected)" id="2"/>
    <tableColumn name="'Payout Breakup'!F4" id="3"/>
  </tableColumns>
  <tableStyleInfo name="Summary-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A4C2F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3" Target="../tables/table1.xml" Type="http://schemas.openxmlformats.org/officeDocument/2006/relationships/table"/></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2.38"/>
    <col min="2" max="2" customWidth="true" width="34.75"/>
    <col min="3" max="3" customWidth="true" width="30.5"/>
    <col min="4" max="4" customWidth="true" width="60.88"/>
    <col min="5" max="6" customWidth="true" width="12.63"/>
  </cols>
  <sheetData>
    <row r="1" ht="15.75" customHeight="1">
      <c r="A1" s="1"/>
      <c r="B1" s="2"/>
      <c r="C1" s="2"/>
      <c r="D1" s="2"/>
      <c r="E1" s="2"/>
      <c r="F1" s="2"/>
      <c r="G1" s="2"/>
      <c r="H1" s="3"/>
      <c r="I1" s="3"/>
      <c r="J1" s="3"/>
      <c r="K1" s="3"/>
      <c r="L1" s="3"/>
      <c r="M1" s="3"/>
      <c r="N1" s="3"/>
      <c r="O1" s="3"/>
      <c r="P1" s="3"/>
      <c r="Q1" s="3"/>
      <c r="R1" s="3"/>
      <c r="S1" s="3"/>
      <c r="T1" s="3"/>
      <c r="U1" s="3"/>
      <c r="V1" s="3"/>
      <c r="W1" s="3"/>
      <c r="X1" s="3"/>
      <c r="Y1" s="3"/>
      <c r="Z1" s="3"/>
    </row>
    <row r="2">
      <c r="A2" s="4"/>
      <c r="B2" s="5" t="s">
        <v>0</v>
      </c>
      <c r="C2" s="6"/>
      <c r="D2" s="3"/>
      <c r="E2" s="2"/>
      <c r="F2" s="2"/>
      <c r="G2" s="2"/>
      <c r="H2" s="3"/>
      <c r="I2" s="3"/>
      <c r="J2" s="3"/>
      <c r="K2" s="3"/>
      <c r="L2" s="3"/>
      <c r="M2" s="3"/>
      <c r="N2" s="3"/>
      <c r="O2" s="3"/>
      <c r="P2" s="3"/>
      <c r="Q2" s="3"/>
      <c r="R2" s="3"/>
      <c r="S2" s="3"/>
      <c r="T2" s="3"/>
      <c r="U2" s="3"/>
      <c r="V2" s="3"/>
      <c r="W2" s="3"/>
      <c r="X2" s="3"/>
      <c r="Y2" s="3"/>
      <c r="Z2" s="3"/>
    </row>
    <row r="3" ht="15.75" customHeight="1">
      <c r="A3" s="7"/>
      <c r="B3" s="8"/>
      <c r="C3" s="9"/>
      <c r="D3" s="3"/>
      <c r="E3" s="10"/>
      <c r="F3" s="2"/>
      <c r="G3" s="2"/>
      <c r="H3" s="3"/>
      <c r="I3" s="3"/>
      <c r="J3" s="3"/>
      <c r="K3" s="3"/>
      <c r="L3" s="3"/>
      <c r="M3" s="3"/>
      <c r="N3" s="3"/>
      <c r="O3" s="3"/>
      <c r="P3" s="3"/>
      <c r="Q3" s="3"/>
      <c r="R3" s="3"/>
      <c r="S3" s="3"/>
      <c r="T3" s="3"/>
      <c r="U3" s="3"/>
      <c r="V3" s="3"/>
      <c r="W3" s="3"/>
      <c r="X3" s="3"/>
      <c r="Y3" s="3"/>
      <c r="Z3" s="3"/>
    </row>
    <row r="4" ht="15.75" customHeight="1">
      <c r="A4" s="11"/>
      <c r="B4" s="12" t="s">
        <v>1</v>
      </c>
      <c r="C4" s="13" t="str">
        <f>HSummary!E2</f>
        <v>#REF!</v>
      </c>
      <c r="D4" s="3"/>
      <c r="E4" s="2"/>
      <c r="F4" s="2"/>
      <c r="G4" s="2"/>
      <c r="H4" s="3"/>
      <c r="I4" s="3"/>
      <c r="J4" s="3"/>
      <c r="K4" s="3"/>
      <c r="L4" s="3"/>
      <c r="M4" s="3"/>
      <c r="N4" s="3"/>
      <c r="O4" s="3"/>
      <c r="P4" s="3"/>
      <c r="Q4" s="3"/>
      <c r="R4" s="3"/>
      <c r="S4" s="3"/>
      <c r="T4" s="3"/>
      <c r="U4" s="3"/>
      <c r="V4" s="3"/>
      <c r="W4" s="3"/>
      <c r="X4" s="3"/>
      <c r="Y4" s="3"/>
      <c r="Z4" s="3"/>
    </row>
    <row r="5" ht="15.75" customHeight="1">
      <c r="A5" s="14"/>
      <c r="B5" s="15" t="s">
        <v>2</v>
      </c>
      <c r="C5" s="13" t="str">
        <f>HSummary!F2</f>
        <v>#REF!</v>
      </c>
      <c r="D5" s="3"/>
      <c r="E5" s="2"/>
      <c r="F5" s="2"/>
      <c r="G5" s="2"/>
      <c r="H5" s="3"/>
      <c r="I5" s="3"/>
      <c r="J5" s="3"/>
      <c r="K5" s="3"/>
      <c r="L5" s="3"/>
      <c r="M5" s="3"/>
      <c r="N5" s="3"/>
      <c r="O5" s="3"/>
      <c r="P5" s="3"/>
      <c r="Q5" s="3"/>
      <c r="R5" s="3"/>
      <c r="S5" s="3"/>
      <c r="T5" s="3"/>
      <c r="U5" s="3"/>
      <c r="V5" s="3"/>
      <c r="W5" s="3"/>
      <c r="X5" s="3"/>
      <c r="Y5" s="3"/>
      <c r="Z5" s="3"/>
    </row>
    <row r="6" ht="15.75" customHeight="1">
      <c r="A6" s="14"/>
      <c r="B6" s="15" t="s">
        <v>3</v>
      </c>
      <c r="C6" s="13" t="str">
        <f>HSummary!G2</f>
        <v>#REF!</v>
      </c>
      <c r="D6" s="3"/>
      <c r="E6" s="2"/>
      <c r="F6" s="2"/>
      <c r="G6" s="2"/>
      <c r="H6" s="3"/>
      <c r="I6" s="3"/>
      <c r="J6" s="3"/>
      <c r="K6" s="3"/>
      <c r="L6" s="3"/>
      <c r="M6" s="3"/>
      <c r="N6" s="3"/>
      <c r="O6" s="3"/>
      <c r="P6" s="3"/>
      <c r="Q6" s="3"/>
      <c r="R6" s="3"/>
      <c r="S6" s="3"/>
      <c r="T6" s="3"/>
      <c r="U6" s="3"/>
      <c r="V6" s="3"/>
      <c r="W6" s="3"/>
      <c r="X6" s="3"/>
      <c r="Y6" s="3"/>
      <c r="Z6" s="3"/>
    </row>
    <row r="7" ht="15.75" customHeight="1">
      <c r="A7" s="14"/>
      <c r="B7" s="15" t="s">
        <v>4</v>
      </c>
      <c r="C7" s="13" t="str">
        <f>HSummary!H2</f>
        <v>#REF!</v>
      </c>
      <c r="D7" s="3"/>
      <c r="E7" s="2"/>
      <c r="F7" s="2"/>
      <c r="G7" s="2"/>
      <c r="H7" s="3"/>
      <c r="I7" s="3"/>
      <c r="J7" s="3"/>
      <c r="K7" s="3"/>
      <c r="L7" s="3"/>
      <c r="M7" s="3"/>
      <c r="N7" s="3"/>
      <c r="O7" s="3"/>
      <c r="P7" s="3"/>
      <c r="Q7" s="3"/>
      <c r="R7" s="3"/>
      <c r="S7" s="3"/>
      <c r="T7" s="3"/>
      <c r="U7" s="3"/>
      <c r="V7" s="3"/>
      <c r="W7" s="3"/>
      <c r="X7" s="3"/>
      <c r="Y7" s="3"/>
      <c r="Z7" s="3"/>
    </row>
    <row r="8" ht="15.75" customHeight="1">
      <c r="A8" s="14"/>
      <c r="B8" s="15" t="s">
        <v>5</v>
      </c>
      <c r="C8" s="13" t="str">
        <f>HSummary!I2</f>
        <v>#REF!</v>
      </c>
      <c r="D8" s="3"/>
      <c r="E8" s="2"/>
      <c r="F8" s="2"/>
      <c r="G8" s="2"/>
      <c r="H8" s="3"/>
      <c r="I8" s="3"/>
      <c r="J8" s="3"/>
      <c r="K8" s="3"/>
      <c r="L8" s="3"/>
      <c r="M8" s="3"/>
      <c r="N8" s="3"/>
      <c r="O8" s="3"/>
      <c r="P8" s="3"/>
      <c r="Q8" s="3"/>
      <c r="R8" s="3"/>
      <c r="S8" s="3"/>
      <c r="T8" s="3"/>
      <c r="U8" s="3"/>
      <c r="V8" s="3"/>
      <c r="W8" s="3"/>
      <c r="X8" s="3"/>
      <c r="Y8" s="3"/>
      <c r="Z8" s="3"/>
    </row>
    <row r="9" ht="15.75" customHeight="1">
      <c r="A9" s="14"/>
      <c r="B9" s="15" t="s">
        <v>6</v>
      </c>
      <c r="C9" s="13" t="str">
        <f>HSummary!J2</f>
        <v>#REF!</v>
      </c>
      <c r="D9" s="3"/>
      <c r="E9" s="2"/>
      <c r="F9" s="2"/>
      <c r="G9" s="2"/>
      <c r="H9" s="3"/>
      <c r="I9" s="3"/>
      <c r="J9" s="3"/>
      <c r="K9" s="3"/>
      <c r="L9" s="3"/>
      <c r="M9" s="3"/>
      <c r="N9" s="3"/>
      <c r="O9" s="3"/>
      <c r="P9" s="3"/>
      <c r="Q9" s="3"/>
      <c r="R9" s="3"/>
      <c r="S9" s="3"/>
      <c r="T9" s="3"/>
      <c r="U9" s="3"/>
      <c r="V9" s="3"/>
      <c r="W9" s="3"/>
      <c r="X9" s="3"/>
      <c r="Y9" s="3"/>
      <c r="Z9" s="3"/>
    </row>
    <row r="10" ht="15.75" customHeight="1">
      <c r="A10" s="14"/>
      <c r="B10" s="15" t="s">
        <v>7</v>
      </c>
      <c r="C10" s="13" t="str">
        <f>HSummary!K2</f>
        <v>#REF!</v>
      </c>
      <c r="D10" s="3"/>
      <c r="E10" s="2"/>
      <c r="F10" s="2"/>
      <c r="G10" s="2"/>
      <c r="H10" s="3"/>
      <c r="I10" s="3"/>
      <c r="J10" s="3"/>
      <c r="K10" s="3"/>
      <c r="L10" s="3"/>
      <c r="M10" s="3"/>
      <c r="N10" s="3"/>
      <c r="O10" s="3"/>
      <c r="P10" s="3"/>
      <c r="Q10" s="3"/>
      <c r="R10" s="3"/>
      <c r="S10" s="3"/>
      <c r="T10" s="3"/>
      <c r="U10" s="3"/>
      <c r="V10" s="3"/>
      <c r="W10" s="3"/>
      <c r="X10" s="3"/>
      <c r="Y10" s="3"/>
      <c r="Z10" s="3"/>
    </row>
    <row r="11" ht="15.75" customHeight="1">
      <c r="A11" s="14"/>
      <c r="B11" s="15" t="s">
        <v>8</v>
      </c>
      <c r="C11" s="13" t="str">
        <f>HSummary!L2</f>
        <v>#REF!</v>
      </c>
      <c r="D11" s="3"/>
      <c r="E11" s="2"/>
      <c r="F11" s="2"/>
      <c r="G11" s="2"/>
      <c r="H11" s="3"/>
      <c r="I11" s="3"/>
      <c r="J11" s="3"/>
      <c r="K11" s="3"/>
      <c r="L11" s="3"/>
      <c r="M11" s="3"/>
      <c r="N11" s="3"/>
      <c r="O11" s="3"/>
      <c r="P11" s="3"/>
      <c r="Q11" s="3"/>
      <c r="R11" s="3"/>
      <c r="S11" s="3"/>
      <c r="T11" s="3"/>
      <c r="U11" s="3"/>
      <c r="V11" s="3"/>
      <c r="W11" s="3"/>
      <c r="X11" s="3"/>
      <c r="Y11" s="3"/>
      <c r="Z11" s="3"/>
    </row>
    <row r="12" ht="15.75" customHeight="1">
      <c r="A12" s="11"/>
      <c r="B12" s="12" t="s">
        <v>9</v>
      </c>
      <c r="C12" s="13" t="str">
        <f>HSummary!M2</f>
        <v>#REF!</v>
      </c>
      <c r="D12" s="3"/>
      <c r="E12" s="2"/>
      <c r="F12" s="2"/>
      <c r="G12" s="2"/>
      <c r="H12" s="3"/>
      <c r="I12" s="3"/>
      <c r="J12" s="3"/>
      <c r="K12" s="3"/>
      <c r="L12" s="3"/>
      <c r="M12" s="3"/>
      <c r="N12" s="3"/>
      <c r="O12" s="3"/>
      <c r="P12" s="3"/>
      <c r="Q12" s="3"/>
      <c r="R12" s="3"/>
      <c r="S12" s="3"/>
      <c r="T12" s="3"/>
      <c r="U12" s="3"/>
      <c r="V12" s="3"/>
      <c r="W12" s="3"/>
      <c r="X12" s="3"/>
      <c r="Y12" s="3"/>
      <c r="Z12" s="3"/>
    </row>
    <row r="13" ht="15.75" customHeight="1">
      <c r="A13" s="11"/>
      <c r="B13" s="12" t="s">
        <v>10</v>
      </c>
      <c r="C13" s="13" t="str">
        <f>HSummary!N2</f>
        <v>#REF!</v>
      </c>
      <c r="D13" s="3"/>
      <c r="E13" s="2"/>
      <c r="F13" s="2"/>
      <c r="G13" s="2"/>
      <c r="H13" s="3"/>
      <c r="I13" s="3"/>
      <c r="J13" s="3"/>
      <c r="K13" s="3"/>
      <c r="L13" s="3"/>
      <c r="M13" s="3"/>
      <c r="N13" s="3"/>
      <c r="O13" s="3"/>
      <c r="P13" s="3"/>
      <c r="Q13" s="3"/>
      <c r="R13" s="3"/>
      <c r="S13" s="3"/>
      <c r="T13" s="3"/>
      <c r="U13" s="3"/>
      <c r="V13" s="3"/>
      <c r="W13" s="3"/>
      <c r="X13" s="3"/>
      <c r="Y13" s="3"/>
      <c r="Z13" s="3"/>
    </row>
    <row r="14" ht="15.75" customHeight="1">
      <c r="A14" s="1"/>
      <c r="B14" s="16" t="s">
        <v>11</v>
      </c>
      <c r="C14" s="17" t="str">
        <f>HSummary!O2</f>
        <v>#REF!</v>
      </c>
      <c r="D14" s="3"/>
      <c r="E14" s="2"/>
      <c r="F14" s="2"/>
      <c r="G14" s="2"/>
      <c r="H14" s="3"/>
      <c r="I14" s="3"/>
      <c r="J14" s="3"/>
      <c r="K14" s="3"/>
      <c r="L14" s="3"/>
      <c r="M14" s="3"/>
      <c r="N14" s="3"/>
      <c r="O14" s="3"/>
      <c r="P14" s="3"/>
      <c r="Q14" s="3"/>
      <c r="R14" s="3"/>
      <c r="S14" s="3"/>
      <c r="T14" s="3"/>
      <c r="U14" s="3"/>
      <c r="V14" s="3"/>
      <c r="W14" s="3"/>
      <c r="X14" s="3"/>
      <c r="Y14" s="3"/>
      <c r="Z14" s="3"/>
    </row>
    <row r="15" ht="15.75" customHeight="1">
      <c r="A15" s="1"/>
      <c r="B15" s="16" t="s">
        <v>12</v>
      </c>
      <c r="C15" s="17" t="str">
        <f>HSummary!P2</f>
        <v>#REF!</v>
      </c>
      <c r="D15" s="3"/>
      <c r="E15" s="2"/>
      <c r="F15" s="2"/>
      <c r="G15" s="2"/>
      <c r="H15" s="3"/>
      <c r="I15" s="3"/>
      <c r="J15" s="3"/>
      <c r="K15" s="3"/>
      <c r="L15" s="3"/>
      <c r="M15" s="3"/>
      <c r="N15" s="3"/>
      <c r="O15" s="3"/>
      <c r="P15" s="3"/>
      <c r="Q15" s="3"/>
      <c r="R15" s="3"/>
      <c r="S15" s="3"/>
      <c r="T15" s="3"/>
      <c r="U15" s="3"/>
      <c r="V15" s="3"/>
      <c r="W15" s="3"/>
      <c r="X15" s="3"/>
      <c r="Y15" s="3"/>
      <c r="Z15" s="3"/>
    </row>
    <row r="16">
      <c r="A16" s="18"/>
      <c r="B16" s="19" t="s">
        <v>13</v>
      </c>
      <c r="C16" s="20">
        <f>'Payout Breakup'!F4</f>
        <v>0</v>
      </c>
      <c r="D16" s="21"/>
      <c r="E16" s="22"/>
      <c r="F16" s="22"/>
      <c r="G16" s="22"/>
      <c r="H16" s="21"/>
      <c r="I16" s="21"/>
      <c r="J16" s="21"/>
      <c r="K16" s="21"/>
      <c r="L16" s="21"/>
      <c r="M16" s="21"/>
      <c r="N16" s="21"/>
      <c r="O16" s="21"/>
      <c r="P16" s="21"/>
      <c r="Q16" s="21"/>
      <c r="R16" s="21"/>
      <c r="S16" s="21"/>
      <c r="T16" s="21"/>
      <c r="U16" s="21"/>
      <c r="V16" s="21"/>
      <c r="W16" s="21"/>
      <c r="X16" s="21"/>
      <c r="Y16" s="21"/>
      <c r="Z16" s="21"/>
    </row>
    <row r="17">
      <c r="A17" s="18"/>
      <c r="B17" s="19" t="s">
        <v>14</v>
      </c>
      <c r="C17" s="23">
        <f>'Payout Breakup'!F64</f>
        <v>0</v>
      </c>
      <c r="D17" s="21"/>
      <c r="E17" s="22"/>
      <c r="F17" s="22"/>
      <c r="G17" s="22"/>
      <c r="H17" s="21"/>
      <c r="I17" s="21"/>
      <c r="J17" s="21"/>
      <c r="K17" s="21"/>
      <c r="L17" s="21"/>
      <c r="M17" s="21"/>
      <c r="N17" s="21"/>
      <c r="O17" s="21"/>
      <c r="P17" s="21"/>
      <c r="Q17" s="21"/>
      <c r="R17" s="21"/>
      <c r="S17" s="21"/>
      <c r="T17" s="21"/>
      <c r="U17" s="21"/>
      <c r="V17" s="21"/>
      <c r="W17" s="21"/>
      <c r="X17" s="21"/>
      <c r="Y17" s="21"/>
      <c r="Z17" s="21"/>
    </row>
    <row r="18">
      <c r="A18" s="18"/>
      <c r="B18" s="24" t="s">
        <v>15</v>
      </c>
      <c r="C18" s="25" t="str">
        <f>IF(RIGHT(HSummary!S2,1)=",",LEFT(HSummary!S2,LEN(HSummary!S2)-1),HSummary!S2)</f>
        <v>#REF!</v>
      </c>
      <c r="D18" s="26"/>
      <c r="E18" s="22"/>
      <c r="F18" s="22"/>
      <c r="G18" s="22"/>
      <c r="H18" s="21"/>
      <c r="I18" s="21"/>
      <c r="J18" s="21"/>
      <c r="K18" s="21"/>
      <c r="L18" s="21"/>
      <c r="M18" s="21"/>
      <c r="N18" s="21"/>
      <c r="O18" s="21"/>
      <c r="P18" s="21"/>
      <c r="Q18" s="21"/>
      <c r="R18" s="21"/>
      <c r="S18" s="21"/>
      <c r="T18" s="21"/>
      <c r="U18" s="21"/>
      <c r="V18" s="21"/>
      <c r="W18" s="21"/>
      <c r="X18" s="21"/>
      <c r="Y18" s="21"/>
      <c r="Z18" s="21"/>
    </row>
    <row r="19" ht="15.75" customHeight="1">
      <c r="A19" s="1"/>
      <c r="B19" s="2"/>
      <c r="C19" s="2"/>
      <c r="D19" s="2"/>
      <c r="E19" s="2"/>
      <c r="F19" s="2"/>
      <c r="G19" s="2"/>
      <c r="H19" s="3"/>
      <c r="I19" s="3"/>
      <c r="J19" s="3"/>
      <c r="K19" s="3"/>
      <c r="L19" s="3"/>
      <c r="M19" s="3"/>
      <c r="N19" s="3"/>
      <c r="O19" s="3"/>
      <c r="P19" s="3"/>
      <c r="Q19" s="3"/>
      <c r="R19" s="3"/>
      <c r="S19" s="3"/>
      <c r="T19" s="3"/>
      <c r="U19" s="3"/>
      <c r="V19" s="3"/>
      <c r="W19" s="3"/>
      <c r="X19" s="3"/>
      <c r="Y19" s="3"/>
      <c r="Z19" s="3"/>
    </row>
    <row r="20" ht="15.75" customHeight="1">
      <c r="A20" s="1"/>
      <c r="B20" s="2"/>
      <c r="C20" s="2"/>
      <c r="D20" s="2"/>
      <c r="E20" s="2"/>
      <c r="F20" s="2"/>
      <c r="G20" s="2"/>
      <c r="H20" s="3"/>
      <c r="I20" s="3"/>
      <c r="J20" s="3"/>
      <c r="K20" s="3"/>
      <c r="L20" s="3"/>
      <c r="M20" s="3"/>
      <c r="N20" s="3"/>
      <c r="O20" s="3"/>
      <c r="P20" s="3"/>
      <c r="Q20" s="3"/>
      <c r="R20" s="3"/>
      <c r="S20" s="3"/>
      <c r="T20" s="3"/>
      <c r="U20" s="3"/>
      <c r="V20" s="3"/>
      <c r="W20" s="3"/>
      <c r="X20" s="3"/>
      <c r="Y20" s="3"/>
      <c r="Z20" s="3"/>
    </row>
    <row r="21" ht="15.75" customHeight="1">
      <c r="A21" s="1"/>
      <c r="B21" s="2"/>
      <c r="C21" s="2"/>
      <c r="D21" s="2"/>
      <c r="E21" s="2"/>
      <c r="F21" s="2"/>
      <c r="G21" s="2"/>
      <c r="H21" s="3"/>
      <c r="I21" s="3"/>
      <c r="J21" s="3"/>
      <c r="K21" s="3"/>
      <c r="L21" s="3"/>
      <c r="M21" s="3"/>
      <c r="N21" s="3"/>
      <c r="O21" s="3"/>
      <c r="P21" s="3"/>
      <c r="Q21" s="3"/>
      <c r="R21" s="3"/>
      <c r="S21" s="3"/>
      <c r="T21" s="3"/>
      <c r="U21" s="3"/>
      <c r="V21" s="3"/>
      <c r="W21" s="3"/>
      <c r="X21" s="3"/>
      <c r="Y21" s="3"/>
      <c r="Z21" s="3"/>
    </row>
    <row r="22" ht="27.0" customHeight="1">
      <c r="A22" s="4"/>
      <c r="B22" s="5" t="s">
        <v>16</v>
      </c>
      <c r="C22" s="27"/>
      <c r="D22" s="6"/>
      <c r="E22" s="2"/>
      <c r="F22" s="2"/>
      <c r="G22" s="2"/>
      <c r="H22" s="3"/>
      <c r="I22" s="3"/>
      <c r="J22" s="3"/>
      <c r="K22" s="3"/>
      <c r="L22" s="3"/>
      <c r="M22" s="3"/>
      <c r="N22" s="3"/>
      <c r="O22" s="3"/>
      <c r="P22" s="3"/>
      <c r="Q22" s="3"/>
      <c r="R22" s="3"/>
      <c r="S22" s="3"/>
      <c r="T22" s="3"/>
      <c r="U22" s="3"/>
      <c r="V22" s="3"/>
      <c r="W22" s="3"/>
      <c r="X22" s="3"/>
      <c r="Y22" s="3"/>
      <c r="Z22" s="3"/>
    </row>
    <row r="23" ht="30.75" customHeight="1">
      <c r="A23" s="28"/>
      <c r="B23" s="29" t="s">
        <v>17</v>
      </c>
      <c r="C23" s="30"/>
      <c r="D23" s="31"/>
      <c r="E23" s="2"/>
      <c r="F23" s="2"/>
      <c r="G23" s="2"/>
      <c r="H23" s="3"/>
      <c r="I23" s="3"/>
      <c r="J23" s="3"/>
      <c r="K23" s="3"/>
      <c r="L23" s="3"/>
      <c r="M23" s="3"/>
      <c r="N23" s="3"/>
      <c r="O23" s="3"/>
      <c r="P23" s="3"/>
      <c r="Q23" s="3"/>
      <c r="R23" s="3"/>
      <c r="S23" s="3"/>
      <c r="T23" s="3"/>
      <c r="U23" s="3"/>
      <c r="V23" s="3"/>
      <c r="W23" s="3"/>
      <c r="X23" s="3"/>
      <c r="Y23" s="3"/>
      <c r="Z23" s="3"/>
    </row>
    <row r="24" ht="18.75" customHeight="1">
      <c r="A24" s="32"/>
      <c r="B24" s="33" t="s">
        <v>18</v>
      </c>
      <c r="C24" s="34" t="s">
        <v>19</v>
      </c>
      <c r="D24" s="35"/>
      <c r="E24" s="2"/>
      <c r="F24" s="2"/>
      <c r="G24" s="2"/>
      <c r="H24" s="3"/>
      <c r="I24" s="3"/>
      <c r="J24" s="3"/>
      <c r="K24" s="3"/>
      <c r="L24" s="3"/>
      <c r="M24" s="3"/>
      <c r="N24" s="3"/>
      <c r="O24" s="3"/>
      <c r="P24" s="3"/>
      <c r="Q24" s="3"/>
      <c r="R24" s="3"/>
      <c r="S24" s="3"/>
      <c r="T24" s="3"/>
      <c r="U24" s="3"/>
      <c r="V24" s="3"/>
      <c r="W24" s="3"/>
      <c r="X24" s="3"/>
      <c r="Y24" s="3"/>
      <c r="Z24" s="3"/>
    </row>
    <row r="25" ht="18.75" customHeight="1">
      <c r="A25" s="36"/>
      <c r="B25" s="37" t="s">
        <v>20</v>
      </c>
      <c r="C25" s="38" t="s">
        <v>21</v>
      </c>
      <c r="D25" s="39"/>
      <c r="E25" s="2"/>
      <c r="F25" s="2"/>
      <c r="G25" s="2"/>
      <c r="H25" s="3"/>
      <c r="I25" s="3"/>
      <c r="J25" s="3"/>
      <c r="K25" s="3"/>
      <c r="L25" s="3"/>
      <c r="M25" s="3"/>
      <c r="N25" s="3"/>
      <c r="O25" s="3"/>
      <c r="P25" s="3"/>
      <c r="Q25" s="3"/>
      <c r="R25" s="3"/>
      <c r="S25" s="3"/>
      <c r="T25" s="3"/>
      <c r="U25" s="3"/>
      <c r="V25" s="3"/>
      <c r="W25" s="3"/>
      <c r="X25" s="3"/>
      <c r="Y25" s="3"/>
      <c r="Z25" s="3"/>
    </row>
    <row r="26" ht="18.75" customHeight="1">
      <c r="A26" s="40"/>
      <c r="B26" s="41" t="s">
        <v>22</v>
      </c>
      <c r="C26" s="38" t="s">
        <v>23</v>
      </c>
      <c r="D26" s="39"/>
      <c r="E26" s="2"/>
      <c r="F26" s="2"/>
      <c r="G26" s="2"/>
      <c r="H26" s="3"/>
      <c r="I26" s="3"/>
      <c r="J26" s="3"/>
      <c r="K26" s="3"/>
      <c r="L26" s="3"/>
      <c r="M26" s="3"/>
      <c r="N26" s="3"/>
      <c r="O26" s="3"/>
      <c r="P26" s="3"/>
      <c r="Q26" s="3"/>
      <c r="R26" s="3"/>
      <c r="S26" s="3"/>
      <c r="T26" s="3"/>
      <c r="U26" s="3"/>
      <c r="V26" s="3"/>
      <c r="W26" s="3"/>
      <c r="X26" s="3"/>
      <c r="Y26" s="3"/>
      <c r="Z26" s="3"/>
    </row>
    <row r="27" ht="51.75" customHeight="1">
      <c r="A27" s="36"/>
      <c r="B27" s="37" t="s">
        <v>24</v>
      </c>
      <c r="C27" s="38" t="s">
        <v>25</v>
      </c>
      <c r="D27" s="39"/>
      <c r="E27" s="2"/>
      <c r="F27" s="2"/>
      <c r="G27" s="2"/>
      <c r="H27" s="3"/>
      <c r="I27" s="3"/>
      <c r="J27" s="3"/>
      <c r="K27" s="3"/>
      <c r="L27" s="3"/>
      <c r="M27" s="3"/>
      <c r="N27" s="3"/>
      <c r="O27" s="3"/>
      <c r="P27" s="3"/>
      <c r="Q27" s="3"/>
      <c r="R27" s="3"/>
      <c r="S27" s="3"/>
      <c r="T27" s="3"/>
      <c r="U27" s="3"/>
      <c r="V27" s="3"/>
      <c r="W27" s="3"/>
      <c r="X27" s="3"/>
      <c r="Y27" s="3"/>
      <c r="Z27" s="3"/>
    </row>
    <row r="28" ht="18.75" customHeight="1">
      <c r="A28" s="36"/>
      <c r="B28" s="37" t="s">
        <v>26</v>
      </c>
      <c r="C28" s="38" t="s">
        <v>27</v>
      </c>
      <c r="D28" s="39"/>
      <c r="E28" s="2"/>
      <c r="F28" s="2"/>
      <c r="G28" s="2"/>
      <c r="H28" s="3"/>
      <c r="I28" s="3"/>
      <c r="J28" s="3"/>
      <c r="K28" s="3"/>
      <c r="L28" s="3"/>
      <c r="M28" s="3"/>
      <c r="N28" s="3"/>
      <c r="O28" s="3"/>
      <c r="P28" s="3"/>
      <c r="Q28" s="3"/>
      <c r="R28" s="3"/>
      <c r="S28" s="3"/>
      <c r="T28" s="3"/>
      <c r="U28" s="3"/>
      <c r="V28" s="3"/>
      <c r="W28" s="3"/>
      <c r="X28" s="3"/>
      <c r="Y28" s="3"/>
      <c r="Z28" s="3"/>
    </row>
    <row r="29" ht="18.75" customHeight="1">
      <c r="A29" s="36"/>
      <c r="B29" s="37" t="s">
        <v>28</v>
      </c>
      <c r="C29" s="38" t="s">
        <v>29</v>
      </c>
      <c r="D29" s="39"/>
      <c r="E29" s="2"/>
      <c r="F29" s="2"/>
      <c r="G29" s="2"/>
      <c r="H29" s="3"/>
      <c r="I29" s="3"/>
      <c r="J29" s="3"/>
      <c r="K29" s="3"/>
      <c r="L29" s="3"/>
      <c r="M29" s="3"/>
      <c r="N29" s="3"/>
      <c r="O29" s="3"/>
      <c r="P29" s="3"/>
      <c r="Q29" s="3"/>
      <c r="R29" s="3"/>
      <c r="S29" s="3"/>
      <c r="T29" s="3"/>
      <c r="U29" s="3"/>
      <c r="V29" s="3"/>
      <c r="W29" s="3"/>
      <c r="X29" s="3"/>
      <c r="Y29" s="3"/>
      <c r="Z29" s="3"/>
    </row>
    <row r="30" ht="15.75" customHeight="1">
      <c r="A30" s="1"/>
      <c r="B30" s="2"/>
      <c r="C30" s="2"/>
      <c r="D30" s="2"/>
      <c r="E30" s="2"/>
      <c r="F30" s="2"/>
      <c r="G30" s="2"/>
      <c r="H30" s="3"/>
      <c r="I30" s="3"/>
      <c r="J30" s="3"/>
      <c r="K30" s="3"/>
      <c r="L30" s="3"/>
      <c r="M30" s="3"/>
      <c r="N30" s="3"/>
      <c r="O30" s="3"/>
      <c r="P30" s="3"/>
      <c r="Q30" s="3"/>
      <c r="R30" s="3"/>
      <c r="S30" s="3"/>
      <c r="T30" s="3"/>
      <c r="U30" s="3"/>
      <c r="V30" s="3"/>
      <c r="W30" s="3"/>
      <c r="X30" s="3"/>
      <c r="Y30" s="3"/>
      <c r="Z30" s="3"/>
    </row>
    <row r="31" ht="15.75" customHeight="1">
      <c r="A31" s="7"/>
      <c r="B31" s="42"/>
      <c r="C31" s="43"/>
      <c r="D31" s="30"/>
      <c r="E31" s="2"/>
      <c r="F31" s="2"/>
      <c r="G31" s="2"/>
      <c r="H31" s="3"/>
      <c r="I31" s="3"/>
      <c r="J31" s="3"/>
      <c r="K31" s="3"/>
      <c r="L31" s="3"/>
      <c r="M31" s="3"/>
      <c r="N31" s="3"/>
      <c r="O31" s="3"/>
      <c r="P31" s="3"/>
      <c r="Q31" s="3"/>
      <c r="R31" s="3"/>
      <c r="S31" s="3"/>
      <c r="T31" s="3"/>
      <c r="U31" s="3"/>
      <c r="V31" s="3"/>
      <c r="W31" s="3"/>
      <c r="X31" s="3"/>
      <c r="Y31" s="3"/>
      <c r="Z31" s="3"/>
    </row>
    <row r="32" ht="15.75" customHeight="1">
      <c r="A32" s="1"/>
      <c r="B32" s="2"/>
      <c r="C32" s="2"/>
      <c r="D32" s="2"/>
      <c r="E32" s="2"/>
      <c r="F32" s="2"/>
      <c r="G32" s="2"/>
      <c r="H32" s="3"/>
      <c r="I32" s="3"/>
      <c r="J32" s="3"/>
      <c r="K32" s="3"/>
      <c r="L32" s="3"/>
      <c r="M32" s="3"/>
      <c r="N32" s="3"/>
      <c r="O32" s="3"/>
      <c r="P32" s="3"/>
      <c r="Q32" s="3"/>
      <c r="R32" s="3"/>
      <c r="S32" s="3"/>
      <c r="T32" s="3"/>
      <c r="U32" s="3"/>
      <c r="V32" s="3"/>
      <c r="W32" s="3"/>
      <c r="X32" s="3"/>
      <c r="Y32" s="3"/>
      <c r="Z32" s="3"/>
    </row>
    <row r="33" ht="15.75" customHeight="1">
      <c r="A33" s="44"/>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44"/>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44"/>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44"/>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44"/>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44"/>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44"/>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44"/>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44"/>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44"/>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44"/>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44"/>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44"/>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44"/>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44"/>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44"/>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44"/>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44"/>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44"/>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44"/>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44"/>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44"/>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44"/>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44"/>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44"/>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44"/>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44"/>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44"/>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44"/>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44"/>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44"/>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44"/>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44"/>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44"/>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1"/>
      <c r="B67" s="2"/>
      <c r="C67" s="2"/>
      <c r="D67" s="2"/>
      <c r="E67" s="2"/>
      <c r="F67" s="2"/>
      <c r="G67" s="2"/>
      <c r="H67" s="3"/>
      <c r="I67" s="3"/>
      <c r="J67" s="3"/>
      <c r="K67" s="3"/>
      <c r="L67" s="3"/>
      <c r="M67" s="3"/>
      <c r="N67" s="3"/>
      <c r="O67" s="3"/>
      <c r="P67" s="3"/>
      <c r="Q67" s="3"/>
      <c r="R67" s="3"/>
      <c r="S67" s="3"/>
      <c r="T67" s="3"/>
      <c r="U67" s="3"/>
      <c r="V67" s="3"/>
      <c r="W67" s="3"/>
      <c r="X67" s="3"/>
      <c r="Y67" s="3"/>
      <c r="Z67" s="3"/>
    </row>
    <row r="68" ht="15.75" customHeight="1">
      <c r="A68" s="1"/>
      <c r="B68" s="2"/>
      <c r="C68" s="2"/>
      <c r="D68" s="45"/>
      <c r="H68" s="3"/>
      <c r="I68" s="3"/>
      <c r="J68" s="3"/>
      <c r="K68" s="3"/>
      <c r="L68" s="3"/>
      <c r="M68" s="3"/>
      <c r="N68" s="3"/>
      <c r="O68" s="3"/>
      <c r="P68" s="3"/>
      <c r="Q68" s="3"/>
      <c r="R68" s="3"/>
      <c r="S68" s="3"/>
      <c r="T68" s="3"/>
      <c r="U68" s="3"/>
      <c r="V68" s="3"/>
      <c r="W68" s="3"/>
      <c r="X68" s="3"/>
      <c r="Y68" s="3"/>
      <c r="Z68" s="3"/>
    </row>
    <row r="69" ht="15.75" customHeight="1">
      <c r="A69" s="1"/>
      <c r="B69" s="2"/>
      <c r="C69" s="2"/>
      <c r="D69" s="45"/>
      <c r="H69" s="3"/>
      <c r="I69" s="3"/>
      <c r="J69" s="3"/>
      <c r="K69" s="3"/>
      <c r="L69" s="3"/>
      <c r="M69" s="3"/>
      <c r="N69" s="3"/>
      <c r="O69" s="3"/>
      <c r="P69" s="3"/>
      <c r="Q69" s="3"/>
      <c r="R69" s="3"/>
      <c r="S69" s="3"/>
      <c r="T69" s="3"/>
      <c r="U69" s="3"/>
      <c r="V69" s="3"/>
      <c r="W69" s="3"/>
      <c r="X69" s="3"/>
      <c r="Y69" s="3"/>
      <c r="Z69" s="3"/>
    </row>
    <row r="70" ht="15.75" customHeight="1">
      <c r="A70" s="1"/>
      <c r="B70" s="2"/>
      <c r="C70" s="2"/>
      <c r="D70" s="45"/>
      <c r="H70" s="3"/>
      <c r="I70" s="3"/>
      <c r="J70" s="3"/>
      <c r="K70" s="3"/>
      <c r="L70" s="3"/>
      <c r="M70" s="3"/>
      <c r="N70" s="3"/>
      <c r="O70" s="3"/>
      <c r="P70" s="3"/>
      <c r="Q70" s="3"/>
      <c r="R70" s="3"/>
      <c r="S70" s="3"/>
      <c r="T70" s="3"/>
      <c r="U70" s="3"/>
      <c r="V70" s="3"/>
      <c r="W70" s="3"/>
      <c r="X70" s="3"/>
      <c r="Y70" s="3"/>
      <c r="Z70" s="3"/>
    </row>
    <row r="71" ht="15.75" customHeight="1">
      <c r="A71" s="1"/>
      <c r="B71" s="2"/>
      <c r="C71" s="2"/>
      <c r="D71" s="45"/>
      <c r="H71" s="3"/>
      <c r="I71" s="3"/>
      <c r="J71" s="3"/>
      <c r="K71" s="3"/>
      <c r="L71" s="3"/>
      <c r="M71" s="3"/>
      <c r="N71" s="3"/>
      <c r="O71" s="3"/>
      <c r="P71" s="3"/>
      <c r="Q71" s="3"/>
      <c r="R71" s="3"/>
      <c r="S71" s="3"/>
      <c r="T71" s="3"/>
      <c r="U71" s="3"/>
      <c r="V71" s="3"/>
      <c r="W71" s="3"/>
      <c r="X71" s="3"/>
      <c r="Y71" s="3"/>
      <c r="Z71" s="3"/>
    </row>
    <row r="72" ht="15.75" customHeight="1">
      <c r="A72" s="1"/>
      <c r="B72" s="2"/>
      <c r="C72" s="2"/>
      <c r="D72" s="45"/>
      <c r="H72" s="3"/>
      <c r="I72" s="3"/>
      <c r="J72" s="3"/>
      <c r="K72" s="3"/>
      <c r="L72" s="3"/>
      <c r="M72" s="3"/>
      <c r="N72" s="3"/>
      <c r="O72" s="3"/>
      <c r="P72" s="3"/>
      <c r="Q72" s="3"/>
      <c r="R72" s="3"/>
      <c r="S72" s="3"/>
      <c r="T72" s="3"/>
      <c r="U72" s="3"/>
      <c r="V72" s="3"/>
      <c r="W72" s="3"/>
      <c r="X72" s="3"/>
      <c r="Y72" s="3"/>
      <c r="Z72" s="3"/>
    </row>
    <row r="73" ht="15.75" customHeight="1">
      <c r="A73" s="1"/>
      <c r="B73" s="2"/>
      <c r="C73" s="2"/>
      <c r="D73" s="45"/>
      <c r="H73" s="3"/>
      <c r="I73" s="3"/>
      <c r="J73" s="3"/>
      <c r="K73" s="3"/>
      <c r="L73" s="3"/>
      <c r="M73" s="3"/>
      <c r="N73" s="3"/>
      <c r="O73" s="3"/>
      <c r="P73" s="3"/>
      <c r="Q73" s="3"/>
      <c r="R73" s="3"/>
      <c r="S73" s="3"/>
      <c r="T73" s="3"/>
      <c r="U73" s="3"/>
      <c r="V73" s="3"/>
      <c r="W73" s="3"/>
      <c r="X73" s="3"/>
      <c r="Y73" s="3"/>
      <c r="Z73" s="3"/>
    </row>
    <row r="74" ht="15.75" customHeight="1">
      <c r="A74" s="1"/>
      <c r="B74" s="2"/>
      <c r="C74" s="2"/>
      <c r="D74" s="2"/>
      <c r="E74" s="2"/>
      <c r="F74" s="2"/>
      <c r="G74" s="2"/>
      <c r="H74" s="3"/>
      <c r="I74" s="3"/>
      <c r="J74" s="3"/>
      <c r="K74" s="3"/>
      <c r="L74" s="3"/>
      <c r="M74" s="3"/>
      <c r="N74" s="3"/>
      <c r="O74" s="3"/>
      <c r="P74" s="3"/>
      <c r="Q74" s="3"/>
      <c r="R74" s="3"/>
      <c r="S74" s="3"/>
      <c r="T74" s="3"/>
      <c r="U74" s="3"/>
      <c r="V74" s="3"/>
      <c r="W74" s="3"/>
      <c r="X74" s="3"/>
      <c r="Y74" s="3"/>
      <c r="Z74" s="3"/>
    </row>
    <row r="75" ht="15.75" customHeight="1">
      <c r="A75" s="1"/>
      <c r="B75" s="2"/>
      <c r="C75" s="2"/>
      <c r="D75" s="2"/>
      <c r="E75" s="2"/>
      <c r="F75" s="2"/>
      <c r="G75" s="2"/>
      <c r="H75" s="3"/>
      <c r="I75" s="3"/>
      <c r="J75" s="3"/>
      <c r="K75" s="3"/>
      <c r="L75" s="3"/>
      <c r="M75" s="3"/>
      <c r="N75" s="3"/>
      <c r="O75" s="3"/>
      <c r="P75" s="3"/>
      <c r="Q75" s="3"/>
      <c r="R75" s="3"/>
      <c r="S75" s="3"/>
      <c r="T75" s="3"/>
      <c r="U75" s="3"/>
      <c r="V75" s="3"/>
      <c r="W75" s="3"/>
      <c r="X75" s="3"/>
      <c r="Y75" s="3"/>
      <c r="Z75" s="3"/>
    </row>
    <row r="76" ht="15.75" customHeight="1">
      <c r="A76" s="1"/>
      <c r="B76" s="2"/>
      <c r="C76" s="2"/>
      <c r="D76" s="2"/>
      <c r="E76" s="2"/>
      <c r="F76" s="2"/>
      <c r="G76" s="2"/>
      <c r="H76" s="3"/>
      <c r="I76" s="3"/>
      <c r="J76" s="3"/>
      <c r="K76" s="3"/>
      <c r="L76" s="3"/>
      <c r="M76" s="3"/>
      <c r="N76" s="3"/>
      <c r="O76" s="3"/>
      <c r="P76" s="3"/>
      <c r="Q76" s="3"/>
      <c r="R76" s="3"/>
      <c r="S76" s="3"/>
      <c r="T76" s="3"/>
      <c r="U76" s="3"/>
      <c r="V76" s="3"/>
      <c r="W76" s="3"/>
      <c r="X76" s="3"/>
      <c r="Y76" s="3"/>
      <c r="Z76" s="3"/>
    </row>
    <row r="77" ht="15.75" customHeight="1">
      <c r="A77" s="1"/>
      <c r="B77" s="2"/>
      <c r="C77" s="2"/>
      <c r="D77" s="2"/>
      <c r="E77" s="2"/>
      <c r="F77" s="2"/>
      <c r="G77" s="2"/>
      <c r="H77" s="3"/>
      <c r="I77" s="3"/>
      <c r="J77" s="3"/>
      <c r="K77" s="3"/>
      <c r="L77" s="3"/>
      <c r="M77" s="3"/>
      <c r="N77" s="3"/>
      <c r="O77" s="3"/>
      <c r="P77" s="3"/>
      <c r="Q77" s="3"/>
      <c r="R77" s="3"/>
      <c r="S77" s="3"/>
      <c r="T77" s="3"/>
      <c r="U77" s="3"/>
      <c r="V77" s="3"/>
      <c r="W77" s="3"/>
      <c r="X77" s="3"/>
      <c r="Y77" s="3"/>
      <c r="Z77" s="3"/>
    </row>
    <row r="78" ht="15.75" customHeight="1">
      <c r="A78" s="1"/>
      <c r="B78" s="2"/>
      <c r="C78" s="2"/>
      <c r="D78" s="2"/>
      <c r="E78" s="2"/>
      <c r="F78" s="2"/>
      <c r="G78" s="2"/>
      <c r="H78" s="3"/>
      <c r="I78" s="3"/>
      <c r="J78" s="3"/>
      <c r="K78" s="3"/>
      <c r="L78" s="3"/>
      <c r="M78" s="3"/>
      <c r="N78" s="3"/>
      <c r="O78" s="3"/>
      <c r="P78" s="3"/>
      <c r="Q78" s="3"/>
      <c r="R78" s="3"/>
      <c r="S78" s="3"/>
      <c r="T78" s="3"/>
      <c r="U78" s="3"/>
      <c r="V78" s="3"/>
      <c r="W78" s="3"/>
      <c r="X78" s="3"/>
      <c r="Y78" s="3"/>
      <c r="Z78" s="3"/>
    </row>
    <row r="79" ht="15.75" customHeight="1">
      <c r="A79" s="1"/>
      <c r="B79" s="2"/>
      <c r="C79" s="2"/>
      <c r="D79" s="2"/>
      <c r="E79" s="2"/>
      <c r="F79" s="2"/>
      <c r="G79" s="2"/>
      <c r="H79" s="3"/>
      <c r="I79" s="3"/>
      <c r="J79" s="3"/>
      <c r="K79" s="3"/>
      <c r="L79" s="3"/>
      <c r="M79" s="3"/>
      <c r="N79" s="3"/>
      <c r="O79" s="3"/>
      <c r="P79" s="3"/>
      <c r="Q79" s="3"/>
      <c r="R79" s="3"/>
      <c r="S79" s="3"/>
      <c r="T79" s="3"/>
      <c r="U79" s="3"/>
      <c r="V79" s="3"/>
      <c r="W79" s="3"/>
      <c r="X79" s="3"/>
      <c r="Y79" s="3"/>
      <c r="Z79" s="3"/>
    </row>
    <row r="80" ht="15.75" customHeight="1">
      <c r="A80" s="1"/>
      <c r="B80" s="2"/>
      <c r="C80" s="2"/>
      <c r="D80" s="2"/>
      <c r="E80" s="2"/>
      <c r="F80" s="2"/>
      <c r="G80" s="2"/>
      <c r="H80" s="3"/>
      <c r="I80" s="3"/>
      <c r="J80" s="3"/>
      <c r="K80" s="3"/>
      <c r="L80" s="3"/>
      <c r="M80" s="3"/>
      <c r="N80" s="3"/>
      <c r="O80" s="3"/>
      <c r="P80" s="3"/>
      <c r="Q80" s="3"/>
      <c r="R80" s="3"/>
      <c r="S80" s="3"/>
      <c r="T80" s="3"/>
      <c r="U80" s="3"/>
      <c r="V80" s="3"/>
      <c r="W80" s="3"/>
      <c r="X80" s="3"/>
      <c r="Y80" s="3"/>
      <c r="Z80" s="3"/>
    </row>
    <row r="81" ht="15.75" customHeight="1">
      <c r="A81" s="1"/>
      <c r="B81" s="2"/>
      <c r="C81" s="2"/>
      <c r="D81" s="2"/>
      <c r="E81" s="2"/>
      <c r="F81" s="2"/>
      <c r="G81" s="2"/>
      <c r="H81" s="3"/>
      <c r="I81" s="3"/>
      <c r="J81" s="3"/>
      <c r="K81" s="3"/>
      <c r="L81" s="3"/>
      <c r="M81" s="3"/>
      <c r="N81" s="3"/>
      <c r="O81" s="3"/>
      <c r="P81" s="3"/>
      <c r="Q81" s="3"/>
      <c r="R81" s="3"/>
      <c r="S81" s="3"/>
      <c r="T81" s="3"/>
      <c r="U81" s="3"/>
      <c r="V81" s="3"/>
      <c r="W81" s="3"/>
      <c r="X81" s="3"/>
      <c r="Y81" s="3"/>
      <c r="Z81" s="3"/>
    </row>
    <row r="82" ht="15.75" customHeight="1">
      <c r="A82" s="1"/>
      <c r="B82" s="2"/>
      <c r="C82" s="2"/>
      <c r="D82" s="2"/>
      <c r="E82" s="2"/>
      <c r="F82" s="2"/>
      <c r="G82" s="2"/>
      <c r="H82" s="3"/>
      <c r="I82" s="3"/>
      <c r="J82" s="3"/>
      <c r="K82" s="3"/>
      <c r="L82" s="3"/>
      <c r="M82" s="3"/>
      <c r="N82" s="3"/>
      <c r="O82" s="3"/>
      <c r="P82" s="3"/>
      <c r="Q82" s="3"/>
      <c r="R82" s="3"/>
      <c r="S82" s="3"/>
      <c r="T82" s="3"/>
      <c r="U82" s="3"/>
      <c r="V82" s="3"/>
      <c r="W82" s="3"/>
      <c r="X82" s="3"/>
      <c r="Y82" s="3"/>
      <c r="Z82" s="3"/>
    </row>
    <row r="83" ht="15.75" customHeight="1">
      <c r="A83" s="1"/>
      <c r="B83" s="2"/>
      <c r="C83" s="2"/>
      <c r="D83" s="2"/>
      <c r="E83" s="2"/>
      <c r="F83" s="2"/>
      <c r="G83" s="2"/>
      <c r="H83" s="3"/>
      <c r="I83" s="3"/>
      <c r="J83" s="3"/>
      <c r="K83" s="3"/>
      <c r="L83" s="3"/>
      <c r="M83" s="3"/>
      <c r="N83" s="3"/>
      <c r="O83" s="3"/>
      <c r="P83" s="3"/>
      <c r="Q83" s="3"/>
      <c r="R83" s="3"/>
      <c r="S83" s="3"/>
      <c r="T83" s="3"/>
      <c r="U83" s="3"/>
      <c r="V83" s="3"/>
      <c r="W83" s="3"/>
      <c r="X83" s="3"/>
      <c r="Y83" s="3"/>
      <c r="Z83" s="3"/>
    </row>
    <row r="84" ht="15.75" customHeight="1">
      <c r="A84" s="1"/>
      <c r="B84" s="2"/>
      <c r="C84" s="2"/>
      <c r="D84" s="2"/>
      <c r="E84" s="2"/>
      <c r="F84" s="2"/>
      <c r="G84" s="2"/>
      <c r="H84" s="3"/>
      <c r="I84" s="3"/>
      <c r="J84" s="3"/>
      <c r="K84" s="3"/>
      <c r="L84" s="3"/>
      <c r="M84" s="3"/>
      <c r="N84" s="3"/>
      <c r="O84" s="3"/>
      <c r="P84" s="3"/>
      <c r="Q84" s="3"/>
      <c r="R84" s="3"/>
      <c r="S84" s="3"/>
      <c r="T84" s="3"/>
      <c r="U84" s="3"/>
      <c r="V84" s="3"/>
      <c r="W84" s="3"/>
      <c r="X84" s="3"/>
      <c r="Y84" s="3"/>
      <c r="Z84" s="3"/>
    </row>
    <row r="85" ht="15.75" customHeight="1">
      <c r="A85" s="1"/>
      <c r="B85" s="2"/>
      <c r="C85" s="2"/>
      <c r="D85" s="2"/>
      <c r="E85" s="2"/>
      <c r="F85" s="2"/>
      <c r="G85" s="2"/>
      <c r="H85" s="3"/>
      <c r="I85" s="3"/>
      <c r="J85" s="3"/>
      <c r="K85" s="3"/>
      <c r="L85" s="3"/>
      <c r="M85" s="3"/>
      <c r="N85" s="3"/>
      <c r="O85" s="3"/>
      <c r="P85" s="3"/>
      <c r="Q85" s="3"/>
      <c r="R85" s="3"/>
      <c r="S85" s="3"/>
      <c r="T85" s="3"/>
      <c r="U85" s="3"/>
      <c r="V85" s="3"/>
      <c r="W85" s="3"/>
      <c r="X85" s="3"/>
      <c r="Y85" s="3"/>
      <c r="Z85" s="3"/>
    </row>
    <row r="86" ht="15.75" customHeight="1">
      <c r="A86" s="1"/>
      <c r="B86" s="2"/>
      <c r="C86" s="2"/>
      <c r="D86" s="2"/>
      <c r="E86" s="2"/>
      <c r="F86" s="2"/>
      <c r="G86" s="2"/>
      <c r="H86" s="3"/>
      <c r="I86" s="3"/>
      <c r="J86" s="3"/>
      <c r="K86" s="3"/>
      <c r="L86" s="3"/>
      <c r="M86" s="3"/>
      <c r="N86" s="3"/>
      <c r="O86" s="3"/>
      <c r="P86" s="3"/>
      <c r="Q86" s="3"/>
      <c r="R86" s="3"/>
      <c r="S86" s="3"/>
      <c r="T86" s="3"/>
      <c r="U86" s="3"/>
      <c r="V86" s="3"/>
      <c r="W86" s="3"/>
      <c r="X86" s="3"/>
      <c r="Y86" s="3"/>
      <c r="Z86" s="3"/>
    </row>
    <row r="87" ht="15.75" customHeight="1">
      <c r="A87" s="1"/>
      <c r="B87" s="2"/>
      <c r="C87" s="2"/>
      <c r="D87" s="2"/>
      <c r="E87" s="2"/>
      <c r="F87" s="2"/>
      <c r="G87" s="2"/>
      <c r="H87" s="3"/>
      <c r="I87" s="3"/>
      <c r="J87" s="3"/>
      <c r="K87" s="3"/>
      <c r="L87" s="3"/>
      <c r="M87" s="3"/>
      <c r="N87" s="3"/>
      <c r="O87" s="3"/>
      <c r="P87" s="3"/>
      <c r="Q87" s="3"/>
      <c r="R87" s="3"/>
      <c r="S87" s="3"/>
      <c r="T87" s="3"/>
      <c r="U87" s="3"/>
      <c r="V87" s="3"/>
      <c r="W87" s="3"/>
      <c r="X87" s="3"/>
      <c r="Y87" s="3"/>
      <c r="Z87" s="3"/>
    </row>
    <row r="88" ht="15.75" customHeight="1">
      <c r="A88" s="1"/>
      <c r="B88" s="2"/>
      <c r="C88" s="2"/>
      <c r="D88" s="2"/>
      <c r="E88" s="2"/>
      <c r="F88" s="2"/>
      <c r="G88" s="2"/>
      <c r="H88" s="3"/>
      <c r="I88" s="3"/>
      <c r="J88" s="3"/>
      <c r="K88" s="3"/>
      <c r="L88" s="3"/>
      <c r="M88" s="3"/>
      <c r="N88" s="3"/>
      <c r="O88" s="3"/>
      <c r="P88" s="3"/>
      <c r="Q88" s="3"/>
      <c r="R88" s="3"/>
      <c r="S88" s="3"/>
      <c r="T88" s="3"/>
      <c r="U88" s="3"/>
      <c r="V88" s="3"/>
      <c r="W88" s="3"/>
      <c r="X88" s="3"/>
      <c r="Y88" s="3"/>
      <c r="Z88" s="3"/>
    </row>
    <row r="89" ht="15.75" customHeight="1">
      <c r="A89" s="1"/>
      <c r="B89" s="2"/>
      <c r="C89" s="2"/>
      <c r="D89" s="2"/>
      <c r="E89" s="2"/>
      <c r="F89" s="2"/>
      <c r="G89" s="2"/>
      <c r="H89" s="3"/>
      <c r="I89" s="3"/>
      <c r="J89" s="3"/>
      <c r="K89" s="3"/>
      <c r="L89" s="3"/>
      <c r="M89" s="3"/>
      <c r="N89" s="3"/>
      <c r="O89" s="3"/>
      <c r="P89" s="3"/>
      <c r="Q89" s="3"/>
      <c r="R89" s="3"/>
      <c r="S89" s="3"/>
      <c r="T89" s="3"/>
      <c r="U89" s="3"/>
      <c r="V89" s="3"/>
      <c r="W89" s="3"/>
      <c r="X89" s="3"/>
      <c r="Y89" s="3"/>
      <c r="Z89" s="3"/>
    </row>
    <row r="90" ht="15.75" customHeight="1">
      <c r="A90" s="1"/>
      <c r="B90" s="2"/>
      <c r="C90" s="2"/>
      <c r="D90" s="2"/>
      <c r="E90" s="2"/>
      <c r="F90" s="2"/>
      <c r="G90" s="2"/>
      <c r="H90" s="3"/>
      <c r="I90" s="3"/>
      <c r="J90" s="3"/>
      <c r="K90" s="3"/>
      <c r="L90" s="3"/>
      <c r="M90" s="3"/>
      <c r="N90" s="3"/>
      <c r="O90" s="3"/>
      <c r="P90" s="3"/>
      <c r="Q90" s="3"/>
      <c r="R90" s="3"/>
      <c r="S90" s="3"/>
      <c r="T90" s="3"/>
      <c r="U90" s="3"/>
      <c r="V90" s="3"/>
      <c r="W90" s="3"/>
      <c r="X90" s="3"/>
      <c r="Y90" s="3"/>
      <c r="Z90" s="3"/>
    </row>
    <row r="91" ht="15.75" customHeight="1">
      <c r="A91" s="1"/>
      <c r="B91" s="2"/>
      <c r="C91" s="2"/>
      <c r="D91" s="2"/>
      <c r="E91" s="2"/>
      <c r="F91" s="2"/>
      <c r="G91" s="2"/>
      <c r="H91" s="3"/>
      <c r="I91" s="3"/>
      <c r="J91" s="3"/>
      <c r="K91" s="3"/>
      <c r="L91" s="3"/>
      <c r="M91" s="3"/>
      <c r="N91" s="3"/>
      <c r="O91" s="3"/>
      <c r="P91" s="3"/>
      <c r="Q91" s="3"/>
      <c r="R91" s="3"/>
      <c r="S91" s="3"/>
      <c r="T91" s="3"/>
      <c r="U91" s="3"/>
      <c r="V91" s="3"/>
      <c r="W91" s="3"/>
      <c r="X91" s="3"/>
      <c r="Y91" s="3"/>
      <c r="Z91" s="3"/>
    </row>
    <row r="92" ht="15.75" customHeight="1">
      <c r="A92" s="1"/>
      <c r="B92" s="2"/>
      <c r="C92" s="2"/>
      <c r="D92" s="2"/>
      <c r="E92" s="2"/>
      <c r="F92" s="2"/>
      <c r="G92" s="2"/>
      <c r="H92" s="3"/>
      <c r="I92" s="3"/>
      <c r="J92" s="3"/>
      <c r="K92" s="3"/>
      <c r="L92" s="3"/>
      <c r="M92" s="3"/>
      <c r="N92" s="3"/>
      <c r="O92" s="3"/>
      <c r="P92" s="3"/>
      <c r="Q92" s="3"/>
      <c r="R92" s="3"/>
      <c r="S92" s="3"/>
      <c r="T92" s="3"/>
      <c r="U92" s="3"/>
      <c r="V92" s="3"/>
      <c r="W92" s="3"/>
      <c r="X92" s="3"/>
      <c r="Y92" s="3"/>
      <c r="Z92" s="3"/>
    </row>
    <row r="93" ht="15.75" customHeight="1">
      <c r="A93" s="1"/>
      <c r="B93" s="2"/>
      <c r="C93" s="2"/>
      <c r="D93" s="2"/>
      <c r="E93" s="2"/>
      <c r="F93" s="2"/>
      <c r="G93" s="2"/>
      <c r="H93" s="3"/>
      <c r="I93" s="3"/>
      <c r="J93" s="3"/>
      <c r="K93" s="3"/>
      <c r="L93" s="3"/>
      <c r="M93" s="3"/>
      <c r="N93" s="3"/>
      <c r="O93" s="3"/>
      <c r="P93" s="3"/>
      <c r="Q93" s="3"/>
      <c r="R93" s="3"/>
      <c r="S93" s="3"/>
      <c r="T93" s="3"/>
      <c r="U93" s="3"/>
      <c r="V93" s="3"/>
      <c r="W93" s="3"/>
      <c r="X93" s="3"/>
      <c r="Y93" s="3"/>
      <c r="Z93" s="3"/>
    </row>
    <row r="94" ht="15.75" customHeight="1">
      <c r="A94" s="1"/>
      <c r="B94" s="2"/>
      <c r="C94" s="2"/>
      <c r="D94" s="2"/>
      <c r="E94" s="2"/>
      <c r="F94" s="2"/>
      <c r="G94" s="2"/>
      <c r="H94" s="3"/>
      <c r="I94" s="3"/>
      <c r="J94" s="3"/>
      <c r="K94" s="3"/>
      <c r="L94" s="3"/>
      <c r="M94" s="3"/>
      <c r="N94" s="3"/>
      <c r="O94" s="3"/>
      <c r="P94" s="3"/>
      <c r="Q94" s="3"/>
      <c r="R94" s="3"/>
      <c r="S94" s="3"/>
      <c r="T94" s="3"/>
      <c r="U94" s="3"/>
      <c r="V94" s="3"/>
      <c r="W94" s="3"/>
      <c r="X94" s="3"/>
      <c r="Y94" s="3"/>
      <c r="Z94" s="3"/>
    </row>
    <row r="95" ht="15.75" customHeight="1">
      <c r="A95" s="1"/>
      <c r="B95" s="2"/>
      <c r="C95" s="2"/>
      <c r="D95" s="2"/>
      <c r="E95" s="2"/>
      <c r="F95" s="2"/>
      <c r="G95" s="2"/>
      <c r="H95" s="3"/>
      <c r="I95" s="3"/>
      <c r="J95" s="3"/>
      <c r="K95" s="3"/>
      <c r="L95" s="3"/>
      <c r="M95" s="3"/>
      <c r="N95" s="3"/>
      <c r="O95" s="3"/>
      <c r="P95" s="3"/>
      <c r="Q95" s="3"/>
      <c r="R95" s="3"/>
      <c r="S95" s="3"/>
      <c r="T95" s="3"/>
      <c r="U95" s="3"/>
      <c r="V95" s="3"/>
      <c r="W95" s="3"/>
      <c r="X95" s="3"/>
      <c r="Y95" s="3"/>
      <c r="Z95" s="3"/>
    </row>
    <row r="96" ht="15.75" customHeight="1">
      <c r="A96" s="1"/>
      <c r="B96" s="2"/>
      <c r="C96" s="2"/>
      <c r="D96" s="2"/>
      <c r="E96" s="2"/>
      <c r="F96" s="2"/>
      <c r="G96" s="2"/>
      <c r="H96" s="3"/>
      <c r="I96" s="3"/>
      <c r="J96" s="3"/>
      <c r="K96" s="3"/>
      <c r="L96" s="3"/>
      <c r="M96" s="3"/>
      <c r="N96" s="3"/>
      <c r="O96" s="3"/>
      <c r="P96" s="3"/>
      <c r="Q96" s="3"/>
      <c r="R96" s="3"/>
      <c r="S96" s="3"/>
      <c r="T96" s="3"/>
      <c r="U96" s="3"/>
      <c r="V96" s="3"/>
      <c r="W96" s="3"/>
      <c r="X96" s="3"/>
      <c r="Y96" s="3"/>
      <c r="Z96" s="3"/>
    </row>
    <row r="97" ht="15.75" customHeight="1">
      <c r="A97" s="1"/>
      <c r="B97" s="2"/>
      <c r="C97" s="2"/>
      <c r="D97" s="2"/>
      <c r="E97" s="2"/>
      <c r="F97" s="2"/>
      <c r="G97" s="2"/>
      <c r="H97" s="3"/>
      <c r="I97" s="3"/>
      <c r="J97" s="3"/>
      <c r="K97" s="3"/>
      <c r="L97" s="3"/>
      <c r="M97" s="3"/>
      <c r="N97" s="3"/>
      <c r="O97" s="3"/>
      <c r="P97" s="3"/>
      <c r="Q97" s="3"/>
      <c r="R97" s="3"/>
      <c r="S97" s="3"/>
      <c r="T97" s="3"/>
      <c r="U97" s="3"/>
      <c r="V97" s="3"/>
      <c r="W97" s="3"/>
      <c r="X97" s="3"/>
      <c r="Y97" s="3"/>
      <c r="Z97" s="3"/>
    </row>
    <row r="98" ht="15.75" customHeight="1">
      <c r="A98" s="1"/>
      <c r="B98" s="2"/>
      <c r="C98" s="2"/>
      <c r="D98" s="2"/>
      <c r="E98" s="2"/>
      <c r="F98" s="2"/>
      <c r="G98" s="2"/>
      <c r="H98" s="3"/>
      <c r="I98" s="3"/>
      <c r="J98" s="3"/>
      <c r="K98" s="3"/>
      <c r="L98" s="3"/>
      <c r="M98" s="3"/>
      <c r="N98" s="3"/>
      <c r="O98" s="3"/>
      <c r="P98" s="3"/>
      <c r="Q98" s="3"/>
      <c r="R98" s="3"/>
      <c r="S98" s="3"/>
      <c r="T98" s="3"/>
      <c r="U98" s="3"/>
      <c r="V98" s="3"/>
      <c r="W98" s="3"/>
      <c r="X98" s="3"/>
      <c r="Y98" s="3"/>
      <c r="Z98" s="3"/>
    </row>
    <row r="99" ht="15.75" customHeight="1">
      <c r="A99" s="1"/>
      <c r="B99" s="2"/>
      <c r="C99" s="2"/>
      <c r="D99" s="2"/>
      <c r="E99" s="2"/>
      <c r="F99" s="2"/>
      <c r="G99" s="2"/>
      <c r="H99" s="3"/>
      <c r="I99" s="3"/>
      <c r="J99" s="3"/>
      <c r="K99" s="3"/>
      <c r="L99" s="3"/>
      <c r="M99" s="3"/>
      <c r="N99" s="3"/>
      <c r="O99" s="3"/>
      <c r="P99" s="3"/>
      <c r="Q99" s="3"/>
      <c r="R99" s="3"/>
      <c r="S99" s="3"/>
      <c r="T99" s="3"/>
      <c r="U99" s="3"/>
      <c r="V99" s="3"/>
      <c r="W99" s="3"/>
      <c r="X99" s="3"/>
      <c r="Y99" s="3"/>
      <c r="Z99" s="3"/>
    </row>
    <row r="100" ht="15.75" customHeight="1">
      <c r="A100" s="1"/>
      <c r="B100" s="2"/>
      <c r="C100" s="2"/>
      <c r="D100" s="2"/>
      <c r="E100" s="2"/>
      <c r="F100" s="2"/>
      <c r="G100" s="2"/>
      <c r="H100" s="3"/>
      <c r="I100" s="3"/>
      <c r="J100" s="3"/>
      <c r="K100" s="3"/>
      <c r="L100" s="3"/>
      <c r="M100" s="3"/>
      <c r="N100" s="3"/>
      <c r="O100" s="3"/>
      <c r="P100" s="3"/>
      <c r="Q100" s="3"/>
      <c r="R100" s="3"/>
      <c r="S100" s="3"/>
      <c r="T100" s="3"/>
      <c r="U100" s="3"/>
      <c r="V100" s="3"/>
      <c r="W100" s="3"/>
      <c r="X100" s="3"/>
      <c r="Y100" s="3"/>
      <c r="Z100" s="3"/>
    </row>
    <row r="101" ht="15.75" customHeight="1">
      <c r="A101" s="1"/>
      <c r="B101" s="2"/>
      <c r="C101" s="2"/>
      <c r="D101" s="2"/>
      <c r="E101" s="2"/>
      <c r="F101" s="2"/>
      <c r="G101" s="2"/>
      <c r="H101" s="3"/>
      <c r="I101" s="3"/>
      <c r="J101" s="3"/>
      <c r="K101" s="3"/>
      <c r="L101" s="3"/>
      <c r="M101" s="3"/>
      <c r="N101" s="3"/>
      <c r="O101" s="3"/>
      <c r="P101" s="3"/>
      <c r="Q101" s="3"/>
      <c r="R101" s="3"/>
      <c r="S101" s="3"/>
      <c r="T101" s="3"/>
      <c r="U101" s="3"/>
      <c r="V101" s="3"/>
      <c r="W101" s="3"/>
      <c r="X101" s="3"/>
      <c r="Y101" s="3"/>
      <c r="Z101" s="3"/>
    </row>
    <row r="102" ht="15.75" customHeight="1">
      <c r="A102" s="1"/>
      <c r="B102" s="2"/>
      <c r="C102" s="2"/>
      <c r="D102" s="2"/>
      <c r="E102" s="2"/>
      <c r="F102" s="2"/>
      <c r="G102" s="2"/>
      <c r="H102" s="3"/>
      <c r="I102" s="3"/>
      <c r="J102" s="3"/>
      <c r="K102" s="3"/>
      <c r="L102" s="3"/>
      <c r="M102" s="3"/>
      <c r="N102" s="3"/>
      <c r="O102" s="3"/>
      <c r="P102" s="3"/>
      <c r="Q102" s="3"/>
      <c r="R102" s="3"/>
      <c r="S102" s="3"/>
      <c r="T102" s="3"/>
      <c r="U102" s="3"/>
      <c r="V102" s="3"/>
      <c r="W102" s="3"/>
      <c r="X102" s="3"/>
      <c r="Y102" s="3"/>
      <c r="Z102" s="3"/>
    </row>
    <row r="103" ht="15.75" customHeight="1">
      <c r="A103" s="1"/>
      <c r="B103" s="2"/>
      <c r="C103" s="2"/>
      <c r="D103" s="2"/>
      <c r="E103" s="2"/>
      <c r="F103" s="2"/>
      <c r="G103" s="2"/>
      <c r="H103" s="3"/>
      <c r="I103" s="3"/>
      <c r="J103" s="3"/>
      <c r="K103" s="3"/>
      <c r="L103" s="3"/>
      <c r="M103" s="3"/>
      <c r="N103" s="3"/>
      <c r="O103" s="3"/>
      <c r="P103" s="3"/>
      <c r="Q103" s="3"/>
      <c r="R103" s="3"/>
      <c r="S103" s="3"/>
      <c r="T103" s="3"/>
      <c r="U103" s="3"/>
      <c r="V103" s="3"/>
      <c r="W103" s="3"/>
      <c r="X103" s="3"/>
      <c r="Y103" s="3"/>
      <c r="Z103" s="3"/>
    </row>
    <row r="104" ht="15.75" customHeight="1">
      <c r="A104" s="1"/>
      <c r="B104" s="2"/>
      <c r="C104" s="2"/>
      <c r="D104" s="2"/>
      <c r="E104" s="2"/>
      <c r="F104" s="2"/>
      <c r="G104" s="2"/>
      <c r="H104" s="3"/>
      <c r="I104" s="3"/>
      <c r="J104" s="3"/>
      <c r="K104" s="3"/>
      <c r="L104" s="3"/>
      <c r="M104" s="3"/>
      <c r="N104" s="3"/>
      <c r="O104" s="3"/>
      <c r="P104" s="3"/>
      <c r="Q104" s="3"/>
      <c r="R104" s="3"/>
      <c r="S104" s="3"/>
      <c r="T104" s="3"/>
      <c r="U104" s="3"/>
      <c r="V104" s="3"/>
      <c r="W104" s="3"/>
      <c r="X104" s="3"/>
      <c r="Y104" s="3"/>
      <c r="Z104" s="3"/>
    </row>
    <row r="105" ht="15.75" customHeight="1">
      <c r="A105" s="1"/>
      <c r="B105" s="2"/>
      <c r="C105" s="2"/>
      <c r="D105" s="2"/>
      <c r="E105" s="2"/>
      <c r="F105" s="2"/>
      <c r="G105" s="2"/>
      <c r="H105" s="3"/>
      <c r="I105" s="3"/>
      <c r="J105" s="3"/>
      <c r="K105" s="3"/>
      <c r="L105" s="3"/>
      <c r="M105" s="3"/>
      <c r="N105" s="3"/>
      <c r="O105" s="3"/>
      <c r="P105" s="3"/>
      <c r="Q105" s="3"/>
      <c r="R105" s="3"/>
      <c r="S105" s="3"/>
      <c r="T105" s="3"/>
      <c r="U105" s="3"/>
      <c r="V105" s="3"/>
      <c r="W105" s="3"/>
      <c r="X105" s="3"/>
      <c r="Y105" s="3"/>
      <c r="Z105" s="3"/>
    </row>
    <row r="106" ht="15.75" customHeight="1">
      <c r="A106" s="1"/>
      <c r="B106" s="2"/>
      <c r="C106" s="2"/>
      <c r="D106" s="2"/>
      <c r="E106" s="2"/>
      <c r="F106" s="2"/>
      <c r="G106" s="2"/>
      <c r="H106" s="3"/>
      <c r="I106" s="3"/>
      <c r="J106" s="3"/>
      <c r="K106" s="3"/>
      <c r="L106" s="3"/>
      <c r="M106" s="3"/>
      <c r="N106" s="3"/>
      <c r="O106" s="3"/>
      <c r="P106" s="3"/>
      <c r="Q106" s="3"/>
      <c r="R106" s="3"/>
      <c r="S106" s="3"/>
      <c r="T106" s="3"/>
      <c r="U106" s="3"/>
      <c r="V106" s="3"/>
      <c r="W106" s="3"/>
      <c r="X106" s="3"/>
      <c r="Y106" s="3"/>
      <c r="Z106" s="3"/>
    </row>
    <row r="107" ht="15.75" customHeight="1">
      <c r="A107" s="1"/>
      <c r="B107" s="2"/>
      <c r="C107" s="2"/>
      <c r="D107" s="2"/>
      <c r="E107" s="2"/>
      <c r="F107" s="2"/>
      <c r="G107" s="2"/>
      <c r="H107" s="3"/>
      <c r="I107" s="3"/>
      <c r="J107" s="3"/>
      <c r="K107" s="3"/>
      <c r="L107" s="3"/>
      <c r="M107" s="3"/>
      <c r="N107" s="3"/>
      <c r="O107" s="3"/>
      <c r="P107" s="3"/>
      <c r="Q107" s="3"/>
      <c r="R107" s="3"/>
      <c r="S107" s="3"/>
      <c r="T107" s="3"/>
      <c r="U107" s="3"/>
      <c r="V107" s="3"/>
      <c r="W107" s="3"/>
      <c r="X107" s="3"/>
      <c r="Y107" s="3"/>
      <c r="Z107" s="3"/>
    </row>
    <row r="108" ht="15.75" customHeight="1">
      <c r="A108" s="1"/>
      <c r="B108" s="2"/>
      <c r="C108" s="2"/>
      <c r="D108" s="2"/>
      <c r="E108" s="2"/>
      <c r="F108" s="2"/>
      <c r="G108" s="2"/>
      <c r="H108" s="3"/>
      <c r="I108" s="3"/>
      <c r="J108" s="3"/>
      <c r="K108" s="3"/>
      <c r="L108" s="3"/>
      <c r="M108" s="3"/>
      <c r="N108" s="3"/>
      <c r="O108" s="3"/>
      <c r="P108" s="3"/>
      <c r="Q108" s="3"/>
      <c r="R108" s="3"/>
      <c r="S108" s="3"/>
      <c r="T108" s="3"/>
      <c r="U108" s="3"/>
      <c r="V108" s="3"/>
      <c r="W108" s="3"/>
      <c r="X108" s="3"/>
      <c r="Y108" s="3"/>
      <c r="Z108" s="3"/>
    </row>
    <row r="109" ht="15.75" customHeight="1">
      <c r="A109" s="1"/>
      <c r="B109" s="2"/>
      <c r="C109" s="2"/>
      <c r="D109" s="2"/>
      <c r="E109" s="2"/>
      <c r="F109" s="2"/>
      <c r="G109" s="2"/>
      <c r="H109" s="3"/>
      <c r="I109" s="3"/>
      <c r="J109" s="3"/>
      <c r="K109" s="3"/>
      <c r="L109" s="3"/>
      <c r="M109" s="3"/>
      <c r="N109" s="3"/>
      <c r="O109" s="3"/>
      <c r="P109" s="3"/>
      <c r="Q109" s="3"/>
      <c r="R109" s="3"/>
      <c r="S109" s="3"/>
      <c r="T109" s="3"/>
      <c r="U109" s="3"/>
      <c r="V109" s="3"/>
      <c r="W109" s="3"/>
      <c r="X109" s="3"/>
      <c r="Y109" s="3"/>
      <c r="Z109" s="3"/>
    </row>
    <row r="110" ht="15.75" customHeight="1">
      <c r="A110" s="1"/>
      <c r="B110" s="2"/>
      <c r="C110" s="2"/>
      <c r="D110" s="2"/>
      <c r="E110" s="2"/>
      <c r="F110" s="2"/>
      <c r="G110" s="2"/>
      <c r="H110" s="3"/>
      <c r="I110" s="3"/>
      <c r="J110" s="3"/>
      <c r="K110" s="3"/>
      <c r="L110" s="3"/>
      <c r="M110" s="3"/>
      <c r="N110" s="3"/>
      <c r="O110" s="3"/>
      <c r="P110" s="3"/>
      <c r="Q110" s="3"/>
      <c r="R110" s="3"/>
      <c r="S110" s="3"/>
      <c r="T110" s="3"/>
      <c r="U110" s="3"/>
      <c r="V110" s="3"/>
      <c r="W110" s="3"/>
      <c r="X110" s="3"/>
      <c r="Y110" s="3"/>
      <c r="Z110" s="3"/>
    </row>
    <row r="111" ht="15.75" customHeight="1">
      <c r="A111" s="1"/>
      <c r="B111" s="2"/>
      <c r="C111" s="2"/>
      <c r="D111" s="2"/>
      <c r="E111" s="2"/>
      <c r="F111" s="2"/>
      <c r="G111" s="2"/>
      <c r="H111" s="3"/>
      <c r="I111" s="3"/>
      <c r="J111" s="3"/>
      <c r="K111" s="3"/>
      <c r="L111" s="3"/>
      <c r="M111" s="3"/>
      <c r="N111" s="3"/>
      <c r="O111" s="3"/>
      <c r="P111" s="3"/>
      <c r="Q111" s="3"/>
      <c r="R111" s="3"/>
      <c r="S111" s="3"/>
      <c r="T111" s="3"/>
      <c r="U111" s="3"/>
      <c r="V111" s="3"/>
      <c r="W111" s="3"/>
      <c r="X111" s="3"/>
      <c r="Y111" s="3"/>
      <c r="Z111" s="3"/>
    </row>
    <row r="112" ht="15.75" customHeight="1">
      <c r="A112" s="1"/>
      <c r="B112" s="2"/>
      <c r="C112" s="2"/>
      <c r="D112" s="2"/>
      <c r="E112" s="2"/>
      <c r="F112" s="2"/>
      <c r="G112" s="2"/>
      <c r="H112" s="3"/>
      <c r="I112" s="3"/>
      <c r="J112" s="3"/>
      <c r="K112" s="3"/>
      <c r="L112" s="3"/>
      <c r="M112" s="3"/>
      <c r="N112" s="3"/>
      <c r="O112" s="3"/>
      <c r="P112" s="3"/>
      <c r="Q112" s="3"/>
      <c r="R112" s="3"/>
      <c r="S112" s="3"/>
      <c r="T112" s="3"/>
      <c r="U112" s="3"/>
      <c r="V112" s="3"/>
      <c r="W112" s="3"/>
      <c r="X112" s="3"/>
      <c r="Y112" s="3"/>
      <c r="Z112" s="3"/>
    </row>
    <row r="113" ht="15.75" customHeight="1">
      <c r="A113" s="1"/>
      <c r="B113" s="2"/>
      <c r="C113" s="2"/>
      <c r="D113" s="2"/>
      <c r="E113" s="2"/>
      <c r="F113" s="2"/>
      <c r="G113" s="2"/>
      <c r="H113" s="3"/>
      <c r="I113" s="3"/>
      <c r="J113" s="3"/>
      <c r="K113" s="3"/>
      <c r="L113" s="3"/>
      <c r="M113" s="3"/>
      <c r="N113" s="3"/>
      <c r="O113" s="3"/>
      <c r="P113" s="3"/>
      <c r="Q113" s="3"/>
      <c r="R113" s="3"/>
      <c r="S113" s="3"/>
      <c r="T113" s="3"/>
      <c r="U113" s="3"/>
      <c r="V113" s="3"/>
      <c r="W113" s="3"/>
      <c r="X113" s="3"/>
      <c r="Y113" s="3"/>
      <c r="Z113" s="3"/>
    </row>
    <row r="114" ht="15.75" customHeight="1">
      <c r="A114" s="1"/>
      <c r="B114" s="2"/>
      <c r="C114" s="2"/>
      <c r="D114" s="2"/>
      <c r="E114" s="2"/>
      <c r="F114" s="2"/>
      <c r="G114" s="2"/>
      <c r="H114" s="3"/>
      <c r="I114" s="3"/>
      <c r="J114" s="3"/>
      <c r="K114" s="3"/>
      <c r="L114" s="3"/>
      <c r="M114" s="3"/>
      <c r="N114" s="3"/>
      <c r="O114" s="3"/>
      <c r="P114" s="3"/>
      <c r="Q114" s="3"/>
      <c r="R114" s="3"/>
      <c r="S114" s="3"/>
      <c r="T114" s="3"/>
      <c r="U114" s="3"/>
      <c r="V114" s="3"/>
      <c r="W114" s="3"/>
      <c r="X114" s="3"/>
      <c r="Y114" s="3"/>
      <c r="Z114" s="3"/>
    </row>
    <row r="115" ht="15.75" customHeight="1">
      <c r="A115" s="1"/>
      <c r="B115" s="2"/>
      <c r="C115" s="2"/>
      <c r="D115" s="2"/>
      <c r="E115" s="2"/>
      <c r="F115" s="2"/>
      <c r="G115" s="2"/>
      <c r="H115" s="3"/>
      <c r="I115" s="3"/>
      <c r="J115" s="3"/>
      <c r="K115" s="3"/>
      <c r="L115" s="3"/>
      <c r="M115" s="3"/>
      <c r="N115" s="3"/>
      <c r="O115" s="3"/>
      <c r="P115" s="3"/>
      <c r="Q115" s="3"/>
      <c r="R115" s="3"/>
      <c r="S115" s="3"/>
      <c r="T115" s="3"/>
      <c r="U115" s="3"/>
      <c r="V115" s="3"/>
      <c r="W115" s="3"/>
      <c r="X115" s="3"/>
      <c r="Y115" s="3"/>
      <c r="Z115" s="3"/>
    </row>
    <row r="116" ht="15.75" customHeight="1">
      <c r="A116" s="1"/>
      <c r="B116" s="2"/>
      <c r="C116" s="2"/>
      <c r="D116" s="2"/>
      <c r="E116" s="2"/>
      <c r="F116" s="2"/>
      <c r="G116" s="2"/>
      <c r="H116" s="3"/>
      <c r="I116" s="3"/>
      <c r="J116" s="3"/>
      <c r="K116" s="3"/>
      <c r="L116" s="3"/>
      <c r="M116" s="3"/>
      <c r="N116" s="3"/>
      <c r="O116" s="3"/>
      <c r="P116" s="3"/>
      <c r="Q116" s="3"/>
      <c r="R116" s="3"/>
      <c r="S116" s="3"/>
      <c r="T116" s="3"/>
      <c r="U116" s="3"/>
      <c r="V116" s="3"/>
      <c r="W116" s="3"/>
      <c r="X116" s="3"/>
      <c r="Y116" s="3"/>
      <c r="Z116" s="3"/>
    </row>
    <row r="117" ht="15.75" customHeight="1">
      <c r="A117" s="1"/>
      <c r="B117" s="2"/>
      <c r="C117" s="2"/>
      <c r="D117" s="2"/>
      <c r="E117" s="2"/>
      <c r="F117" s="2"/>
      <c r="G117" s="2"/>
      <c r="H117" s="3"/>
      <c r="I117" s="3"/>
      <c r="J117" s="3"/>
      <c r="K117" s="3"/>
      <c r="L117" s="3"/>
      <c r="M117" s="3"/>
      <c r="N117" s="3"/>
      <c r="O117" s="3"/>
      <c r="P117" s="3"/>
      <c r="Q117" s="3"/>
      <c r="R117" s="3"/>
      <c r="S117" s="3"/>
      <c r="T117" s="3"/>
      <c r="U117" s="3"/>
      <c r="V117" s="3"/>
      <c r="W117" s="3"/>
      <c r="X117" s="3"/>
      <c r="Y117" s="3"/>
      <c r="Z117" s="3"/>
    </row>
    <row r="118" ht="15.75" customHeight="1">
      <c r="A118" s="1"/>
      <c r="B118" s="2"/>
      <c r="C118" s="2"/>
      <c r="D118" s="2"/>
      <c r="E118" s="2"/>
      <c r="F118" s="2"/>
      <c r="G118" s="2"/>
      <c r="H118" s="3"/>
      <c r="I118" s="3"/>
      <c r="J118" s="3"/>
      <c r="K118" s="3"/>
      <c r="L118" s="3"/>
      <c r="M118" s="3"/>
      <c r="N118" s="3"/>
      <c r="O118" s="3"/>
      <c r="P118" s="3"/>
      <c r="Q118" s="3"/>
      <c r="R118" s="3"/>
      <c r="S118" s="3"/>
      <c r="T118" s="3"/>
      <c r="U118" s="3"/>
      <c r="V118" s="3"/>
      <c r="W118" s="3"/>
      <c r="X118" s="3"/>
      <c r="Y118" s="3"/>
      <c r="Z118" s="3"/>
    </row>
    <row r="119" ht="15.75" customHeight="1">
      <c r="A119" s="1"/>
      <c r="B119" s="2"/>
      <c r="C119" s="2"/>
      <c r="D119" s="2"/>
      <c r="E119" s="2"/>
      <c r="F119" s="2"/>
      <c r="G119" s="2"/>
      <c r="H119" s="3"/>
      <c r="I119" s="3"/>
      <c r="J119" s="3"/>
      <c r="K119" s="3"/>
      <c r="L119" s="3"/>
      <c r="M119" s="3"/>
      <c r="N119" s="3"/>
      <c r="O119" s="3"/>
      <c r="P119" s="3"/>
      <c r="Q119" s="3"/>
      <c r="R119" s="3"/>
      <c r="S119" s="3"/>
      <c r="T119" s="3"/>
      <c r="U119" s="3"/>
      <c r="V119" s="3"/>
      <c r="W119" s="3"/>
      <c r="X119" s="3"/>
      <c r="Y119" s="3"/>
      <c r="Z119" s="3"/>
    </row>
    <row r="120" ht="15.75" customHeight="1">
      <c r="A120" s="1"/>
      <c r="B120" s="2"/>
      <c r="C120" s="2"/>
      <c r="D120" s="2"/>
      <c r="E120" s="2"/>
      <c r="F120" s="2"/>
      <c r="G120" s="2"/>
      <c r="H120" s="3"/>
      <c r="I120" s="3"/>
      <c r="J120" s="3"/>
      <c r="K120" s="3"/>
      <c r="L120" s="3"/>
      <c r="M120" s="3"/>
      <c r="N120" s="3"/>
      <c r="O120" s="3"/>
      <c r="P120" s="3"/>
      <c r="Q120" s="3"/>
      <c r="R120" s="3"/>
      <c r="S120" s="3"/>
      <c r="T120" s="3"/>
      <c r="U120" s="3"/>
      <c r="V120" s="3"/>
      <c r="W120" s="3"/>
      <c r="X120" s="3"/>
      <c r="Y120" s="3"/>
      <c r="Z120" s="3"/>
    </row>
    <row r="121" ht="15.75" customHeight="1">
      <c r="A121" s="1"/>
      <c r="B121" s="2"/>
      <c r="C121" s="2"/>
      <c r="D121" s="2"/>
      <c r="E121" s="2"/>
      <c r="F121" s="2"/>
      <c r="G121" s="2"/>
      <c r="H121" s="3"/>
      <c r="I121" s="3"/>
      <c r="J121" s="3"/>
      <c r="K121" s="3"/>
      <c r="L121" s="3"/>
      <c r="M121" s="3"/>
      <c r="N121" s="3"/>
      <c r="O121" s="3"/>
      <c r="P121" s="3"/>
      <c r="Q121" s="3"/>
      <c r="R121" s="3"/>
      <c r="S121" s="3"/>
      <c r="T121" s="3"/>
      <c r="U121" s="3"/>
      <c r="V121" s="3"/>
      <c r="W121" s="3"/>
      <c r="X121" s="3"/>
      <c r="Y121" s="3"/>
      <c r="Z121" s="3"/>
    </row>
    <row r="122" ht="15.75" customHeight="1">
      <c r="A122" s="1"/>
      <c r="B122" s="2"/>
      <c r="C122" s="2"/>
      <c r="D122" s="2"/>
      <c r="E122" s="2"/>
      <c r="F122" s="2"/>
      <c r="G122" s="2"/>
      <c r="H122" s="3"/>
      <c r="I122" s="3"/>
      <c r="J122" s="3"/>
      <c r="K122" s="3"/>
      <c r="L122" s="3"/>
      <c r="M122" s="3"/>
      <c r="N122" s="3"/>
      <c r="O122" s="3"/>
      <c r="P122" s="3"/>
      <c r="Q122" s="3"/>
      <c r="R122" s="3"/>
      <c r="S122" s="3"/>
      <c r="T122" s="3"/>
      <c r="U122" s="3"/>
      <c r="V122" s="3"/>
      <c r="W122" s="3"/>
      <c r="X122" s="3"/>
      <c r="Y122" s="3"/>
      <c r="Z122" s="3"/>
    </row>
    <row r="123" ht="15.75" customHeight="1">
      <c r="A123" s="1"/>
      <c r="B123" s="2"/>
      <c r="C123" s="2"/>
      <c r="D123" s="2"/>
      <c r="E123" s="2"/>
      <c r="F123" s="2"/>
      <c r="G123" s="2"/>
      <c r="H123" s="3"/>
      <c r="I123" s="3"/>
      <c r="J123" s="3"/>
      <c r="K123" s="3"/>
      <c r="L123" s="3"/>
      <c r="M123" s="3"/>
      <c r="N123" s="3"/>
      <c r="O123" s="3"/>
      <c r="P123" s="3"/>
      <c r="Q123" s="3"/>
      <c r="R123" s="3"/>
      <c r="S123" s="3"/>
      <c r="T123" s="3"/>
      <c r="U123" s="3"/>
      <c r="V123" s="3"/>
      <c r="W123" s="3"/>
      <c r="X123" s="3"/>
      <c r="Y123" s="3"/>
      <c r="Z123" s="3"/>
    </row>
    <row r="124" ht="15.75" customHeight="1">
      <c r="A124" s="1"/>
      <c r="B124" s="2"/>
      <c r="C124" s="2"/>
      <c r="D124" s="2"/>
      <c r="E124" s="2"/>
      <c r="F124" s="2"/>
      <c r="G124" s="2"/>
      <c r="H124" s="3"/>
      <c r="I124" s="3"/>
      <c r="J124" s="3"/>
      <c r="K124" s="3"/>
      <c r="L124" s="3"/>
      <c r="M124" s="3"/>
      <c r="N124" s="3"/>
      <c r="O124" s="3"/>
      <c r="P124" s="3"/>
      <c r="Q124" s="3"/>
      <c r="R124" s="3"/>
      <c r="S124" s="3"/>
      <c r="T124" s="3"/>
      <c r="U124" s="3"/>
      <c r="V124" s="3"/>
      <c r="W124" s="3"/>
      <c r="X124" s="3"/>
      <c r="Y124" s="3"/>
      <c r="Z124" s="3"/>
    </row>
    <row r="125" ht="15.75" customHeight="1">
      <c r="A125" s="1"/>
      <c r="B125" s="2"/>
      <c r="C125" s="2"/>
      <c r="D125" s="2"/>
      <c r="E125" s="2"/>
      <c r="F125" s="2"/>
      <c r="G125" s="2"/>
      <c r="H125" s="3"/>
      <c r="I125" s="3"/>
      <c r="J125" s="3"/>
      <c r="K125" s="3"/>
      <c r="L125" s="3"/>
      <c r="M125" s="3"/>
      <c r="N125" s="3"/>
      <c r="O125" s="3"/>
      <c r="P125" s="3"/>
      <c r="Q125" s="3"/>
      <c r="R125" s="3"/>
      <c r="S125" s="3"/>
      <c r="T125" s="3"/>
      <c r="U125" s="3"/>
      <c r="V125" s="3"/>
      <c r="W125" s="3"/>
      <c r="X125" s="3"/>
      <c r="Y125" s="3"/>
      <c r="Z125" s="3"/>
    </row>
    <row r="126" ht="15.75" customHeight="1">
      <c r="A126" s="1"/>
      <c r="B126" s="2"/>
      <c r="C126" s="2"/>
      <c r="D126" s="2"/>
      <c r="E126" s="2"/>
      <c r="F126" s="2"/>
      <c r="G126" s="2"/>
      <c r="H126" s="3"/>
      <c r="I126" s="3"/>
      <c r="J126" s="3"/>
      <c r="K126" s="3"/>
      <c r="L126" s="3"/>
      <c r="M126" s="3"/>
      <c r="N126" s="3"/>
      <c r="O126" s="3"/>
      <c r="P126" s="3"/>
      <c r="Q126" s="3"/>
      <c r="R126" s="3"/>
      <c r="S126" s="3"/>
      <c r="T126" s="3"/>
      <c r="U126" s="3"/>
      <c r="V126" s="3"/>
      <c r="W126" s="3"/>
      <c r="X126" s="3"/>
      <c r="Y126" s="3"/>
      <c r="Z126" s="3"/>
    </row>
    <row r="127" ht="15.75" customHeight="1">
      <c r="A127" s="1"/>
      <c r="B127" s="2"/>
      <c r="C127" s="2"/>
      <c r="D127" s="2"/>
      <c r="E127" s="2"/>
      <c r="F127" s="2"/>
      <c r="G127" s="2"/>
      <c r="H127" s="3"/>
      <c r="I127" s="3"/>
      <c r="J127" s="3"/>
      <c r="K127" s="3"/>
      <c r="L127" s="3"/>
      <c r="M127" s="3"/>
      <c r="N127" s="3"/>
      <c r="O127" s="3"/>
      <c r="P127" s="3"/>
      <c r="Q127" s="3"/>
      <c r="R127" s="3"/>
      <c r="S127" s="3"/>
      <c r="T127" s="3"/>
      <c r="U127" s="3"/>
      <c r="V127" s="3"/>
      <c r="W127" s="3"/>
      <c r="X127" s="3"/>
      <c r="Y127" s="3"/>
      <c r="Z127" s="3"/>
    </row>
    <row r="128" ht="15.75" customHeight="1">
      <c r="A128" s="1"/>
      <c r="B128" s="2"/>
      <c r="C128" s="2"/>
      <c r="D128" s="2"/>
      <c r="E128" s="2"/>
      <c r="F128" s="2"/>
      <c r="G128" s="2"/>
      <c r="H128" s="3"/>
      <c r="I128" s="3"/>
      <c r="J128" s="3"/>
      <c r="K128" s="3"/>
      <c r="L128" s="3"/>
      <c r="M128" s="3"/>
      <c r="N128" s="3"/>
      <c r="O128" s="3"/>
      <c r="P128" s="3"/>
      <c r="Q128" s="3"/>
      <c r="R128" s="3"/>
      <c r="S128" s="3"/>
      <c r="T128" s="3"/>
      <c r="U128" s="3"/>
      <c r="V128" s="3"/>
      <c r="W128" s="3"/>
      <c r="X128" s="3"/>
      <c r="Y128" s="3"/>
      <c r="Z128" s="3"/>
    </row>
    <row r="129" ht="15.75" customHeight="1">
      <c r="A129" s="1"/>
      <c r="B129" s="2"/>
      <c r="C129" s="2"/>
      <c r="D129" s="2"/>
      <c r="E129" s="2"/>
      <c r="F129" s="2"/>
      <c r="G129" s="2"/>
      <c r="H129" s="3"/>
      <c r="I129" s="3"/>
      <c r="J129" s="3"/>
      <c r="K129" s="3"/>
      <c r="L129" s="3"/>
      <c r="M129" s="3"/>
      <c r="N129" s="3"/>
      <c r="O129" s="3"/>
      <c r="P129" s="3"/>
      <c r="Q129" s="3"/>
      <c r="R129" s="3"/>
      <c r="S129" s="3"/>
      <c r="T129" s="3"/>
      <c r="U129" s="3"/>
      <c r="V129" s="3"/>
      <c r="W129" s="3"/>
      <c r="X129" s="3"/>
      <c r="Y129" s="3"/>
      <c r="Z129" s="3"/>
    </row>
    <row r="130" ht="15.75" customHeight="1">
      <c r="A130" s="1"/>
      <c r="B130" s="2"/>
      <c r="C130" s="2"/>
      <c r="D130" s="2"/>
      <c r="E130" s="2"/>
      <c r="F130" s="2"/>
      <c r="G130" s="2"/>
      <c r="H130" s="3"/>
      <c r="I130" s="3"/>
      <c r="J130" s="3"/>
      <c r="K130" s="3"/>
      <c r="L130" s="3"/>
      <c r="M130" s="3"/>
      <c r="N130" s="3"/>
      <c r="O130" s="3"/>
      <c r="P130" s="3"/>
      <c r="Q130" s="3"/>
      <c r="R130" s="3"/>
      <c r="S130" s="3"/>
      <c r="T130" s="3"/>
      <c r="U130" s="3"/>
      <c r="V130" s="3"/>
      <c r="W130" s="3"/>
      <c r="X130" s="3"/>
      <c r="Y130" s="3"/>
      <c r="Z130" s="3"/>
    </row>
    <row r="131" ht="15.75" customHeight="1">
      <c r="A131" s="1"/>
      <c r="B131" s="2"/>
      <c r="C131" s="2"/>
      <c r="D131" s="2"/>
      <c r="E131" s="2"/>
      <c r="F131" s="2"/>
      <c r="G131" s="2"/>
      <c r="H131" s="3"/>
      <c r="I131" s="3"/>
      <c r="J131" s="3"/>
      <c r="K131" s="3"/>
      <c r="L131" s="3"/>
      <c r="M131" s="3"/>
      <c r="N131" s="3"/>
      <c r="O131" s="3"/>
      <c r="P131" s="3"/>
      <c r="Q131" s="3"/>
      <c r="R131" s="3"/>
      <c r="S131" s="3"/>
      <c r="T131" s="3"/>
      <c r="U131" s="3"/>
      <c r="V131" s="3"/>
      <c r="W131" s="3"/>
      <c r="X131" s="3"/>
      <c r="Y131" s="3"/>
      <c r="Z131" s="3"/>
    </row>
    <row r="132" ht="15.75" customHeight="1">
      <c r="A132" s="1"/>
      <c r="B132" s="2"/>
      <c r="C132" s="2"/>
      <c r="D132" s="2"/>
      <c r="E132" s="2"/>
      <c r="F132" s="2"/>
      <c r="G132" s="2"/>
      <c r="H132" s="3"/>
      <c r="I132" s="3"/>
      <c r="J132" s="3"/>
      <c r="K132" s="3"/>
      <c r="L132" s="3"/>
      <c r="M132" s="3"/>
      <c r="N132" s="3"/>
      <c r="O132" s="3"/>
      <c r="P132" s="3"/>
      <c r="Q132" s="3"/>
      <c r="R132" s="3"/>
      <c r="S132" s="3"/>
      <c r="T132" s="3"/>
      <c r="U132" s="3"/>
      <c r="V132" s="3"/>
      <c r="W132" s="3"/>
      <c r="X132" s="3"/>
      <c r="Y132" s="3"/>
      <c r="Z132" s="3"/>
    </row>
    <row r="133" ht="15.75" customHeight="1">
      <c r="A133" s="1"/>
      <c r="B133" s="2"/>
      <c r="C133" s="2"/>
      <c r="D133" s="2"/>
      <c r="E133" s="2"/>
      <c r="F133" s="2"/>
      <c r="G133" s="2"/>
      <c r="H133" s="3"/>
      <c r="I133" s="3"/>
      <c r="J133" s="3"/>
      <c r="K133" s="3"/>
      <c r="L133" s="3"/>
      <c r="M133" s="3"/>
      <c r="N133" s="3"/>
      <c r="O133" s="3"/>
      <c r="P133" s="3"/>
      <c r="Q133" s="3"/>
      <c r="R133" s="3"/>
      <c r="S133" s="3"/>
      <c r="T133" s="3"/>
      <c r="U133" s="3"/>
      <c r="V133" s="3"/>
      <c r="W133" s="3"/>
      <c r="X133" s="3"/>
      <c r="Y133" s="3"/>
      <c r="Z133" s="3"/>
    </row>
    <row r="134" ht="15.75" customHeight="1">
      <c r="A134" s="1"/>
      <c r="B134" s="2"/>
      <c r="C134" s="2"/>
      <c r="D134" s="2"/>
      <c r="E134" s="2"/>
      <c r="F134" s="2"/>
      <c r="G134" s="2"/>
      <c r="H134" s="3"/>
      <c r="I134" s="3"/>
      <c r="J134" s="3"/>
      <c r="K134" s="3"/>
      <c r="L134" s="3"/>
      <c r="M134" s="3"/>
      <c r="N134" s="3"/>
      <c r="O134" s="3"/>
      <c r="P134" s="3"/>
      <c r="Q134" s="3"/>
      <c r="R134" s="3"/>
      <c r="S134" s="3"/>
      <c r="T134" s="3"/>
      <c r="U134" s="3"/>
      <c r="V134" s="3"/>
      <c r="W134" s="3"/>
      <c r="X134" s="3"/>
      <c r="Y134" s="3"/>
      <c r="Z134" s="3"/>
    </row>
    <row r="135" ht="15.75" customHeight="1">
      <c r="A135" s="1"/>
      <c r="B135" s="2"/>
      <c r="C135" s="2"/>
      <c r="D135" s="2"/>
      <c r="E135" s="2"/>
      <c r="F135" s="2"/>
      <c r="G135" s="2"/>
      <c r="H135" s="3"/>
      <c r="I135" s="3"/>
      <c r="J135" s="3"/>
      <c r="K135" s="3"/>
      <c r="L135" s="3"/>
      <c r="M135" s="3"/>
      <c r="N135" s="3"/>
      <c r="O135" s="3"/>
      <c r="P135" s="3"/>
      <c r="Q135" s="3"/>
      <c r="R135" s="3"/>
      <c r="S135" s="3"/>
      <c r="T135" s="3"/>
      <c r="U135" s="3"/>
      <c r="V135" s="3"/>
      <c r="W135" s="3"/>
      <c r="X135" s="3"/>
      <c r="Y135" s="3"/>
      <c r="Z135" s="3"/>
    </row>
    <row r="136" ht="15.75" customHeight="1">
      <c r="A136" s="1"/>
      <c r="B136" s="2"/>
      <c r="C136" s="2"/>
      <c r="D136" s="2"/>
      <c r="E136" s="2"/>
      <c r="F136" s="2"/>
      <c r="G136" s="2"/>
      <c r="H136" s="3"/>
      <c r="I136" s="3"/>
      <c r="J136" s="3"/>
      <c r="K136" s="3"/>
      <c r="L136" s="3"/>
      <c r="M136" s="3"/>
      <c r="N136" s="3"/>
      <c r="O136" s="3"/>
      <c r="P136" s="3"/>
      <c r="Q136" s="3"/>
      <c r="R136" s="3"/>
      <c r="S136" s="3"/>
      <c r="T136" s="3"/>
      <c r="U136" s="3"/>
      <c r="V136" s="3"/>
      <c r="W136" s="3"/>
      <c r="X136" s="3"/>
      <c r="Y136" s="3"/>
      <c r="Z136" s="3"/>
    </row>
    <row r="137" ht="15.75" customHeight="1">
      <c r="A137" s="1"/>
      <c r="B137" s="2"/>
      <c r="C137" s="2"/>
      <c r="D137" s="2"/>
      <c r="E137" s="2"/>
      <c r="F137" s="2"/>
      <c r="G137" s="2"/>
      <c r="H137" s="3"/>
      <c r="I137" s="3"/>
      <c r="J137" s="3"/>
      <c r="K137" s="3"/>
      <c r="L137" s="3"/>
      <c r="M137" s="3"/>
      <c r="N137" s="3"/>
      <c r="O137" s="3"/>
      <c r="P137" s="3"/>
      <c r="Q137" s="3"/>
      <c r="R137" s="3"/>
      <c r="S137" s="3"/>
      <c r="T137" s="3"/>
      <c r="U137" s="3"/>
      <c r="V137" s="3"/>
      <c r="W137" s="3"/>
      <c r="X137" s="3"/>
      <c r="Y137" s="3"/>
      <c r="Z137" s="3"/>
    </row>
    <row r="138" ht="15.75" customHeight="1">
      <c r="A138" s="1"/>
      <c r="B138" s="2"/>
      <c r="C138" s="2"/>
      <c r="D138" s="2"/>
      <c r="E138" s="2"/>
      <c r="F138" s="2"/>
      <c r="G138" s="2"/>
      <c r="H138" s="3"/>
      <c r="I138" s="3"/>
      <c r="J138" s="3"/>
      <c r="K138" s="3"/>
      <c r="L138" s="3"/>
      <c r="M138" s="3"/>
      <c r="N138" s="3"/>
      <c r="O138" s="3"/>
      <c r="P138" s="3"/>
      <c r="Q138" s="3"/>
      <c r="R138" s="3"/>
      <c r="S138" s="3"/>
      <c r="T138" s="3"/>
      <c r="U138" s="3"/>
      <c r="V138" s="3"/>
      <c r="W138" s="3"/>
      <c r="X138" s="3"/>
      <c r="Y138" s="3"/>
      <c r="Z138" s="3"/>
    </row>
    <row r="139" ht="15.75" customHeight="1">
      <c r="A139" s="1"/>
      <c r="B139" s="2"/>
      <c r="C139" s="2"/>
      <c r="D139" s="2"/>
      <c r="E139" s="2"/>
      <c r="F139" s="2"/>
      <c r="G139" s="2"/>
      <c r="H139" s="3"/>
      <c r="I139" s="3"/>
      <c r="J139" s="3"/>
      <c r="K139" s="3"/>
      <c r="L139" s="3"/>
      <c r="M139" s="3"/>
      <c r="N139" s="3"/>
      <c r="O139" s="3"/>
      <c r="P139" s="3"/>
      <c r="Q139" s="3"/>
      <c r="R139" s="3"/>
      <c r="S139" s="3"/>
      <c r="T139" s="3"/>
      <c r="U139" s="3"/>
      <c r="V139" s="3"/>
      <c r="W139" s="3"/>
      <c r="X139" s="3"/>
      <c r="Y139" s="3"/>
      <c r="Z139" s="3"/>
    </row>
    <row r="140" ht="15.75" customHeight="1">
      <c r="A140" s="1"/>
      <c r="B140" s="2"/>
      <c r="C140" s="2"/>
      <c r="D140" s="2"/>
      <c r="E140" s="2"/>
      <c r="F140" s="2"/>
      <c r="G140" s="2"/>
      <c r="H140" s="3"/>
      <c r="I140" s="3"/>
      <c r="J140" s="3"/>
      <c r="K140" s="3"/>
      <c r="L140" s="3"/>
      <c r="M140" s="3"/>
      <c r="N140" s="3"/>
      <c r="O140" s="3"/>
      <c r="P140" s="3"/>
      <c r="Q140" s="3"/>
      <c r="R140" s="3"/>
      <c r="S140" s="3"/>
      <c r="T140" s="3"/>
      <c r="U140" s="3"/>
      <c r="V140" s="3"/>
      <c r="W140" s="3"/>
      <c r="X140" s="3"/>
      <c r="Y140" s="3"/>
      <c r="Z140" s="3"/>
    </row>
    <row r="141" ht="15.75" customHeight="1">
      <c r="A141" s="1"/>
      <c r="B141" s="2"/>
      <c r="C141" s="2"/>
      <c r="D141" s="2"/>
      <c r="E141" s="2"/>
      <c r="F141" s="2"/>
      <c r="G141" s="2"/>
      <c r="H141" s="3"/>
      <c r="I141" s="3"/>
      <c r="J141" s="3"/>
      <c r="K141" s="3"/>
      <c r="L141" s="3"/>
      <c r="M141" s="3"/>
      <c r="N141" s="3"/>
      <c r="O141" s="3"/>
      <c r="P141" s="3"/>
      <c r="Q141" s="3"/>
      <c r="R141" s="3"/>
      <c r="S141" s="3"/>
      <c r="T141" s="3"/>
      <c r="U141" s="3"/>
      <c r="V141" s="3"/>
      <c r="W141" s="3"/>
      <c r="X141" s="3"/>
      <c r="Y141" s="3"/>
      <c r="Z141" s="3"/>
    </row>
    <row r="142" ht="15.75" customHeight="1">
      <c r="A142" s="1"/>
      <c r="B142" s="2"/>
      <c r="C142" s="2"/>
      <c r="D142" s="2"/>
      <c r="E142" s="2"/>
      <c r="F142" s="2"/>
      <c r="G142" s="2"/>
      <c r="H142" s="3"/>
      <c r="I142" s="3"/>
      <c r="J142" s="3"/>
      <c r="K142" s="3"/>
      <c r="L142" s="3"/>
      <c r="M142" s="3"/>
      <c r="N142" s="3"/>
      <c r="O142" s="3"/>
      <c r="P142" s="3"/>
      <c r="Q142" s="3"/>
      <c r="R142" s="3"/>
      <c r="S142" s="3"/>
      <c r="T142" s="3"/>
      <c r="U142" s="3"/>
      <c r="V142" s="3"/>
      <c r="W142" s="3"/>
      <c r="X142" s="3"/>
      <c r="Y142" s="3"/>
      <c r="Z142" s="3"/>
    </row>
    <row r="143" ht="15.75" customHeight="1">
      <c r="A143" s="1"/>
      <c r="B143" s="2"/>
      <c r="C143" s="2"/>
      <c r="D143" s="2"/>
      <c r="E143" s="2"/>
      <c r="F143" s="2"/>
      <c r="G143" s="2"/>
      <c r="H143" s="3"/>
      <c r="I143" s="3"/>
      <c r="J143" s="3"/>
      <c r="K143" s="3"/>
      <c r="L143" s="3"/>
      <c r="M143" s="3"/>
      <c r="N143" s="3"/>
      <c r="O143" s="3"/>
      <c r="P143" s="3"/>
      <c r="Q143" s="3"/>
      <c r="R143" s="3"/>
      <c r="S143" s="3"/>
      <c r="T143" s="3"/>
      <c r="U143" s="3"/>
      <c r="V143" s="3"/>
      <c r="W143" s="3"/>
      <c r="X143" s="3"/>
      <c r="Y143" s="3"/>
      <c r="Z143" s="3"/>
    </row>
    <row r="144" ht="15.75" customHeight="1">
      <c r="A144" s="1"/>
      <c r="B144" s="2"/>
      <c r="C144" s="2"/>
      <c r="D144" s="2"/>
      <c r="E144" s="2"/>
      <c r="F144" s="2"/>
      <c r="G144" s="2"/>
      <c r="H144" s="3"/>
      <c r="I144" s="3"/>
      <c r="J144" s="3"/>
      <c r="K144" s="3"/>
      <c r="L144" s="3"/>
      <c r="M144" s="3"/>
      <c r="N144" s="3"/>
      <c r="O144" s="3"/>
      <c r="P144" s="3"/>
      <c r="Q144" s="3"/>
      <c r="R144" s="3"/>
      <c r="S144" s="3"/>
      <c r="T144" s="3"/>
      <c r="U144" s="3"/>
      <c r="V144" s="3"/>
      <c r="W144" s="3"/>
      <c r="X144" s="3"/>
      <c r="Y144" s="3"/>
      <c r="Z144" s="3"/>
    </row>
    <row r="145" ht="15.75" customHeight="1">
      <c r="A145" s="1"/>
      <c r="B145" s="2"/>
      <c r="C145" s="2"/>
      <c r="D145" s="2"/>
      <c r="E145" s="2"/>
      <c r="F145" s="2"/>
      <c r="G145" s="2"/>
      <c r="H145" s="3"/>
      <c r="I145" s="3"/>
      <c r="J145" s="3"/>
      <c r="K145" s="3"/>
      <c r="L145" s="3"/>
      <c r="M145" s="3"/>
      <c r="N145" s="3"/>
      <c r="O145" s="3"/>
      <c r="P145" s="3"/>
      <c r="Q145" s="3"/>
      <c r="R145" s="3"/>
      <c r="S145" s="3"/>
      <c r="T145" s="3"/>
      <c r="U145" s="3"/>
      <c r="V145" s="3"/>
      <c r="W145" s="3"/>
      <c r="X145" s="3"/>
      <c r="Y145" s="3"/>
      <c r="Z145" s="3"/>
    </row>
    <row r="146" ht="15.75" customHeight="1">
      <c r="A146" s="1"/>
      <c r="B146" s="2"/>
      <c r="C146" s="2"/>
      <c r="D146" s="2"/>
      <c r="E146" s="2"/>
      <c r="F146" s="2"/>
      <c r="G146" s="2"/>
      <c r="H146" s="3"/>
      <c r="I146" s="3"/>
      <c r="J146" s="3"/>
      <c r="K146" s="3"/>
      <c r="L146" s="3"/>
      <c r="M146" s="3"/>
      <c r="N146" s="3"/>
      <c r="O146" s="3"/>
      <c r="P146" s="3"/>
      <c r="Q146" s="3"/>
      <c r="R146" s="3"/>
      <c r="S146" s="3"/>
      <c r="T146" s="3"/>
      <c r="U146" s="3"/>
      <c r="V146" s="3"/>
      <c r="W146" s="3"/>
      <c r="X146" s="3"/>
      <c r="Y146" s="3"/>
      <c r="Z146" s="3"/>
    </row>
    <row r="147" ht="15.75" customHeight="1">
      <c r="A147" s="1"/>
      <c r="B147" s="2"/>
      <c r="C147" s="2"/>
      <c r="D147" s="2"/>
      <c r="E147" s="2"/>
      <c r="F147" s="2"/>
      <c r="G147" s="2"/>
      <c r="H147" s="3"/>
      <c r="I147" s="3"/>
      <c r="J147" s="3"/>
      <c r="K147" s="3"/>
      <c r="L147" s="3"/>
      <c r="M147" s="3"/>
      <c r="N147" s="3"/>
      <c r="O147" s="3"/>
      <c r="P147" s="3"/>
      <c r="Q147" s="3"/>
      <c r="R147" s="3"/>
      <c r="S147" s="3"/>
      <c r="T147" s="3"/>
      <c r="U147" s="3"/>
      <c r="V147" s="3"/>
      <c r="W147" s="3"/>
      <c r="X147" s="3"/>
      <c r="Y147" s="3"/>
      <c r="Z147" s="3"/>
    </row>
    <row r="148" ht="15.75" customHeight="1">
      <c r="A148" s="1"/>
      <c r="B148" s="2"/>
      <c r="C148" s="2"/>
      <c r="D148" s="2"/>
      <c r="E148" s="2"/>
      <c r="F148" s="2"/>
      <c r="G148" s="2"/>
      <c r="H148" s="3"/>
      <c r="I148" s="3"/>
      <c r="J148" s="3"/>
      <c r="K148" s="3"/>
      <c r="L148" s="3"/>
      <c r="M148" s="3"/>
      <c r="N148" s="3"/>
      <c r="O148" s="3"/>
      <c r="P148" s="3"/>
      <c r="Q148" s="3"/>
      <c r="R148" s="3"/>
      <c r="S148" s="3"/>
      <c r="T148" s="3"/>
      <c r="U148" s="3"/>
      <c r="V148" s="3"/>
      <c r="W148" s="3"/>
      <c r="X148" s="3"/>
      <c r="Y148" s="3"/>
      <c r="Z148" s="3"/>
    </row>
    <row r="149" ht="15.75" customHeight="1">
      <c r="A149" s="1"/>
      <c r="B149" s="2"/>
      <c r="C149" s="2"/>
      <c r="D149" s="2"/>
      <c r="E149" s="2"/>
      <c r="F149" s="2"/>
      <c r="G149" s="2"/>
      <c r="H149" s="3"/>
      <c r="I149" s="3"/>
      <c r="J149" s="3"/>
      <c r="K149" s="3"/>
      <c r="L149" s="3"/>
      <c r="M149" s="3"/>
      <c r="N149" s="3"/>
      <c r="O149" s="3"/>
      <c r="P149" s="3"/>
      <c r="Q149" s="3"/>
      <c r="R149" s="3"/>
      <c r="S149" s="3"/>
      <c r="T149" s="3"/>
      <c r="U149" s="3"/>
      <c r="V149" s="3"/>
      <c r="W149" s="3"/>
      <c r="X149" s="3"/>
      <c r="Y149" s="3"/>
      <c r="Z149" s="3"/>
    </row>
    <row r="150" ht="15.75" customHeight="1">
      <c r="A150" s="1"/>
      <c r="B150" s="2"/>
      <c r="C150" s="2"/>
      <c r="D150" s="2"/>
      <c r="E150" s="2"/>
      <c r="F150" s="2"/>
      <c r="G150" s="2"/>
      <c r="H150" s="3"/>
      <c r="I150" s="3"/>
      <c r="J150" s="3"/>
      <c r="K150" s="3"/>
      <c r="L150" s="3"/>
      <c r="M150" s="3"/>
      <c r="N150" s="3"/>
      <c r="O150" s="3"/>
      <c r="P150" s="3"/>
      <c r="Q150" s="3"/>
      <c r="R150" s="3"/>
      <c r="S150" s="3"/>
      <c r="T150" s="3"/>
      <c r="U150" s="3"/>
      <c r="V150" s="3"/>
      <c r="W150" s="3"/>
      <c r="X150" s="3"/>
      <c r="Y150" s="3"/>
      <c r="Z150" s="3"/>
    </row>
    <row r="151" ht="15.75" customHeight="1">
      <c r="A151" s="1"/>
      <c r="B151" s="2"/>
      <c r="C151" s="2"/>
      <c r="D151" s="2"/>
      <c r="E151" s="2"/>
      <c r="F151" s="2"/>
      <c r="G151" s="2"/>
      <c r="H151" s="3"/>
      <c r="I151" s="3"/>
      <c r="J151" s="3"/>
      <c r="K151" s="3"/>
      <c r="L151" s="3"/>
      <c r="M151" s="3"/>
      <c r="N151" s="3"/>
      <c r="O151" s="3"/>
      <c r="P151" s="3"/>
      <c r="Q151" s="3"/>
      <c r="R151" s="3"/>
      <c r="S151" s="3"/>
      <c r="T151" s="3"/>
      <c r="U151" s="3"/>
      <c r="V151" s="3"/>
      <c r="W151" s="3"/>
      <c r="X151" s="3"/>
      <c r="Y151" s="3"/>
      <c r="Z151" s="3"/>
    </row>
    <row r="152" ht="15.75" customHeight="1">
      <c r="A152" s="1"/>
      <c r="B152" s="2"/>
      <c r="C152" s="2"/>
      <c r="D152" s="2"/>
      <c r="E152" s="2"/>
      <c r="F152" s="2"/>
      <c r="G152" s="2"/>
      <c r="H152" s="3"/>
      <c r="I152" s="3"/>
      <c r="J152" s="3"/>
      <c r="K152" s="3"/>
      <c r="L152" s="3"/>
      <c r="M152" s="3"/>
      <c r="N152" s="3"/>
      <c r="O152" s="3"/>
      <c r="P152" s="3"/>
      <c r="Q152" s="3"/>
      <c r="R152" s="3"/>
      <c r="S152" s="3"/>
      <c r="T152" s="3"/>
      <c r="U152" s="3"/>
      <c r="V152" s="3"/>
      <c r="W152" s="3"/>
      <c r="X152" s="3"/>
      <c r="Y152" s="3"/>
      <c r="Z152" s="3"/>
    </row>
    <row r="153" ht="15.75" customHeight="1">
      <c r="A153" s="1"/>
      <c r="B153" s="2"/>
      <c r="C153" s="2"/>
      <c r="D153" s="2"/>
      <c r="E153" s="2"/>
      <c r="F153" s="2"/>
      <c r="G153" s="2"/>
      <c r="H153" s="3"/>
      <c r="I153" s="3"/>
      <c r="J153" s="3"/>
      <c r="K153" s="3"/>
      <c r="L153" s="3"/>
      <c r="M153" s="3"/>
      <c r="N153" s="3"/>
      <c r="O153" s="3"/>
      <c r="P153" s="3"/>
      <c r="Q153" s="3"/>
      <c r="R153" s="3"/>
      <c r="S153" s="3"/>
      <c r="T153" s="3"/>
      <c r="U153" s="3"/>
      <c r="V153" s="3"/>
      <c r="W153" s="3"/>
      <c r="X153" s="3"/>
      <c r="Y153" s="3"/>
      <c r="Z153" s="3"/>
    </row>
    <row r="154" ht="15.75" customHeight="1">
      <c r="A154" s="1"/>
      <c r="B154" s="2"/>
      <c r="C154" s="2"/>
      <c r="D154" s="2"/>
      <c r="E154" s="2"/>
      <c r="F154" s="2"/>
      <c r="G154" s="2"/>
      <c r="H154" s="3"/>
      <c r="I154" s="3"/>
      <c r="J154" s="3"/>
      <c r="K154" s="3"/>
      <c r="L154" s="3"/>
      <c r="M154" s="3"/>
      <c r="N154" s="3"/>
      <c r="O154" s="3"/>
      <c r="P154" s="3"/>
      <c r="Q154" s="3"/>
      <c r="R154" s="3"/>
      <c r="S154" s="3"/>
      <c r="T154" s="3"/>
      <c r="U154" s="3"/>
      <c r="V154" s="3"/>
      <c r="W154" s="3"/>
      <c r="X154" s="3"/>
      <c r="Y154" s="3"/>
      <c r="Z154" s="3"/>
    </row>
    <row r="155" ht="15.75" customHeight="1">
      <c r="A155" s="1"/>
      <c r="B155" s="2"/>
      <c r="C155" s="2"/>
      <c r="D155" s="2"/>
      <c r="E155" s="2"/>
      <c r="F155" s="2"/>
      <c r="G155" s="2"/>
      <c r="H155" s="3"/>
      <c r="I155" s="3"/>
      <c r="J155" s="3"/>
      <c r="K155" s="3"/>
      <c r="L155" s="3"/>
      <c r="M155" s="3"/>
      <c r="N155" s="3"/>
      <c r="O155" s="3"/>
      <c r="P155" s="3"/>
      <c r="Q155" s="3"/>
      <c r="R155" s="3"/>
      <c r="S155" s="3"/>
      <c r="T155" s="3"/>
      <c r="U155" s="3"/>
      <c r="V155" s="3"/>
      <c r="W155" s="3"/>
      <c r="X155" s="3"/>
      <c r="Y155" s="3"/>
      <c r="Z155" s="3"/>
    </row>
    <row r="156" ht="15.75" customHeight="1">
      <c r="A156" s="1"/>
      <c r="B156" s="2"/>
      <c r="C156" s="2"/>
      <c r="D156" s="2"/>
      <c r="E156" s="2"/>
      <c r="F156" s="2"/>
      <c r="G156" s="2"/>
      <c r="H156" s="3"/>
      <c r="I156" s="3"/>
      <c r="J156" s="3"/>
      <c r="K156" s="3"/>
      <c r="L156" s="3"/>
      <c r="M156" s="3"/>
      <c r="N156" s="3"/>
      <c r="O156" s="3"/>
      <c r="P156" s="3"/>
      <c r="Q156" s="3"/>
      <c r="R156" s="3"/>
      <c r="S156" s="3"/>
      <c r="T156" s="3"/>
      <c r="U156" s="3"/>
      <c r="V156" s="3"/>
      <c r="W156" s="3"/>
      <c r="X156" s="3"/>
      <c r="Y156" s="3"/>
      <c r="Z156" s="3"/>
    </row>
    <row r="157" ht="15.75" customHeight="1">
      <c r="A157" s="1"/>
      <c r="B157" s="2"/>
      <c r="C157" s="2"/>
      <c r="D157" s="2"/>
      <c r="E157" s="2"/>
      <c r="F157" s="2"/>
      <c r="G157" s="2"/>
      <c r="H157" s="3"/>
      <c r="I157" s="3"/>
      <c r="J157" s="3"/>
      <c r="K157" s="3"/>
      <c r="L157" s="3"/>
      <c r="M157" s="3"/>
      <c r="N157" s="3"/>
      <c r="O157" s="3"/>
      <c r="P157" s="3"/>
      <c r="Q157" s="3"/>
      <c r="R157" s="3"/>
      <c r="S157" s="3"/>
      <c r="T157" s="3"/>
      <c r="U157" s="3"/>
      <c r="V157" s="3"/>
      <c r="W157" s="3"/>
      <c r="X157" s="3"/>
      <c r="Y157" s="3"/>
      <c r="Z157" s="3"/>
    </row>
    <row r="158" ht="15.75" customHeight="1">
      <c r="A158" s="1"/>
      <c r="B158" s="2"/>
      <c r="C158" s="2"/>
      <c r="D158" s="2"/>
      <c r="E158" s="2"/>
      <c r="F158" s="2"/>
      <c r="G158" s="2"/>
      <c r="H158" s="3"/>
      <c r="I158" s="3"/>
      <c r="J158" s="3"/>
      <c r="K158" s="3"/>
      <c r="L158" s="3"/>
      <c r="M158" s="3"/>
      <c r="N158" s="3"/>
      <c r="O158" s="3"/>
      <c r="P158" s="3"/>
      <c r="Q158" s="3"/>
      <c r="R158" s="3"/>
      <c r="S158" s="3"/>
      <c r="T158" s="3"/>
      <c r="U158" s="3"/>
      <c r="V158" s="3"/>
      <c r="W158" s="3"/>
      <c r="X158" s="3"/>
      <c r="Y158" s="3"/>
      <c r="Z158" s="3"/>
    </row>
    <row r="159" ht="15.75" customHeight="1">
      <c r="A159" s="1"/>
      <c r="B159" s="2"/>
      <c r="C159" s="2"/>
      <c r="D159" s="2"/>
      <c r="E159" s="2"/>
      <c r="F159" s="2"/>
      <c r="G159" s="2"/>
      <c r="H159" s="3"/>
      <c r="I159" s="3"/>
      <c r="J159" s="3"/>
      <c r="K159" s="3"/>
      <c r="L159" s="3"/>
      <c r="M159" s="3"/>
      <c r="N159" s="3"/>
      <c r="O159" s="3"/>
      <c r="P159" s="3"/>
      <c r="Q159" s="3"/>
      <c r="R159" s="3"/>
      <c r="S159" s="3"/>
      <c r="T159" s="3"/>
      <c r="U159" s="3"/>
      <c r="V159" s="3"/>
      <c r="W159" s="3"/>
      <c r="X159" s="3"/>
      <c r="Y159" s="3"/>
      <c r="Z159" s="3"/>
    </row>
    <row r="160" ht="15.75" customHeight="1">
      <c r="A160" s="1"/>
      <c r="B160" s="2"/>
      <c r="C160" s="2"/>
      <c r="D160" s="2"/>
      <c r="E160" s="2"/>
      <c r="F160" s="2"/>
      <c r="G160" s="2"/>
      <c r="H160" s="3"/>
      <c r="I160" s="3"/>
      <c r="J160" s="3"/>
      <c r="K160" s="3"/>
      <c r="L160" s="3"/>
      <c r="M160" s="3"/>
      <c r="N160" s="3"/>
      <c r="O160" s="3"/>
      <c r="P160" s="3"/>
      <c r="Q160" s="3"/>
      <c r="R160" s="3"/>
      <c r="S160" s="3"/>
      <c r="T160" s="3"/>
      <c r="U160" s="3"/>
      <c r="V160" s="3"/>
      <c r="W160" s="3"/>
      <c r="X160" s="3"/>
      <c r="Y160" s="3"/>
      <c r="Z160" s="3"/>
    </row>
    <row r="161" ht="15.75" customHeight="1">
      <c r="A161" s="1"/>
      <c r="B161" s="2"/>
      <c r="C161" s="2"/>
      <c r="D161" s="2"/>
      <c r="E161" s="2"/>
      <c r="F161" s="2"/>
      <c r="G161" s="2"/>
      <c r="H161" s="3"/>
      <c r="I161" s="3"/>
      <c r="J161" s="3"/>
      <c r="K161" s="3"/>
      <c r="L161" s="3"/>
      <c r="M161" s="3"/>
      <c r="N161" s="3"/>
      <c r="O161" s="3"/>
      <c r="P161" s="3"/>
      <c r="Q161" s="3"/>
      <c r="R161" s="3"/>
      <c r="S161" s="3"/>
      <c r="T161" s="3"/>
      <c r="U161" s="3"/>
      <c r="V161" s="3"/>
      <c r="W161" s="3"/>
      <c r="X161" s="3"/>
      <c r="Y161" s="3"/>
      <c r="Z161" s="3"/>
    </row>
    <row r="162" ht="15.75" customHeight="1">
      <c r="A162" s="1"/>
      <c r="B162" s="2"/>
      <c r="C162" s="2"/>
      <c r="D162" s="2"/>
      <c r="E162" s="2"/>
      <c r="F162" s="2"/>
      <c r="G162" s="2"/>
      <c r="H162" s="3"/>
      <c r="I162" s="3"/>
      <c r="J162" s="3"/>
      <c r="K162" s="3"/>
      <c r="L162" s="3"/>
      <c r="M162" s="3"/>
      <c r="N162" s="3"/>
      <c r="O162" s="3"/>
      <c r="P162" s="3"/>
      <c r="Q162" s="3"/>
      <c r="R162" s="3"/>
      <c r="S162" s="3"/>
      <c r="T162" s="3"/>
      <c r="U162" s="3"/>
      <c r="V162" s="3"/>
      <c r="W162" s="3"/>
      <c r="X162" s="3"/>
      <c r="Y162" s="3"/>
      <c r="Z162" s="3"/>
    </row>
    <row r="163" ht="15.75" customHeight="1">
      <c r="A163" s="1"/>
      <c r="B163" s="2"/>
      <c r="C163" s="2"/>
      <c r="D163" s="2"/>
      <c r="E163" s="2"/>
      <c r="F163" s="2"/>
      <c r="G163" s="2"/>
      <c r="H163" s="3"/>
      <c r="I163" s="3"/>
      <c r="J163" s="3"/>
      <c r="K163" s="3"/>
      <c r="L163" s="3"/>
      <c r="M163" s="3"/>
      <c r="N163" s="3"/>
      <c r="O163" s="3"/>
      <c r="P163" s="3"/>
      <c r="Q163" s="3"/>
      <c r="R163" s="3"/>
      <c r="S163" s="3"/>
      <c r="T163" s="3"/>
      <c r="U163" s="3"/>
      <c r="V163" s="3"/>
      <c r="W163" s="3"/>
      <c r="X163" s="3"/>
      <c r="Y163" s="3"/>
      <c r="Z163" s="3"/>
    </row>
    <row r="164" ht="15.75" customHeight="1">
      <c r="A164" s="1"/>
      <c r="B164" s="2"/>
      <c r="C164" s="2"/>
      <c r="D164" s="2"/>
      <c r="E164" s="2"/>
      <c r="F164" s="2"/>
      <c r="G164" s="2"/>
      <c r="H164" s="3"/>
      <c r="I164" s="3"/>
      <c r="J164" s="3"/>
      <c r="K164" s="3"/>
      <c r="L164" s="3"/>
      <c r="M164" s="3"/>
      <c r="N164" s="3"/>
      <c r="O164" s="3"/>
      <c r="P164" s="3"/>
      <c r="Q164" s="3"/>
      <c r="R164" s="3"/>
      <c r="S164" s="3"/>
      <c r="T164" s="3"/>
      <c r="U164" s="3"/>
      <c r="V164" s="3"/>
      <c r="W164" s="3"/>
      <c r="X164" s="3"/>
      <c r="Y164" s="3"/>
      <c r="Z164" s="3"/>
    </row>
    <row r="165" ht="15.75" customHeight="1">
      <c r="A165" s="1"/>
      <c r="B165" s="2"/>
      <c r="C165" s="2"/>
      <c r="D165" s="2"/>
      <c r="E165" s="2"/>
      <c r="F165" s="2"/>
      <c r="G165" s="2"/>
      <c r="H165" s="3"/>
      <c r="I165" s="3"/>
      <c r="J165" s="3"/>
      <c r="K165" s="3"/>
      <c r="L165" s="3"/>
      <c r="M165" s="3"/>
      <c r="N165" s="3"/>
      <c r="O165" s="3"/>
      <c r="P165" s="3"/>
      <c r="Q165" s="3"/>
      <c r="R165" s="3"/>
      <c r="S165" s="3"/>
      <c r="T165" s="3"/>
      <c r="U165" s="3"/>
      <c r="V165" s="3"/>
      <c r="W165" s="3"/>
      <c r="X165" s="3"/>
      <c r="Y165" s="3"/>
      <c r="Z165" s="3"/>
    </row>
    <row r="166" ht="15.75" customHeight="1">
      <c r="A166" s="1"/>
      <c r="B166" s="2"/>
      <c r="C166" s="2"/>
      <c r="D166" s="2"/>
      <c r="E166" s="2"/>
      <c r="F166" s="2"/>
      <c r="G166" s="2"/>
      <c r="H166" s="3"/>
      <c r="I166" s="3"/>
      <c r="J166" s="3"/>
      <c r="K166" s="3"/>
      <c r="L166" s="3"/>
      <c r="M166" s="3"/>
      <c r="N166" s="3"/>
      <c r="O166" s="3"/>
      <c r="P166" s="3"/>
      <c r="Q166" s="3"/>
      <c r="R166" s="3"/>
      <c r="S166" s="3"/>
      <c r="T166" s="3"/>
      <c r="U166" s="3"/>
      <c r="V166" s="3"/>
      <c r="W166" s="3"/>
      <c r="X166" s="3"/>
      <c r="Y166" s="3"/>
      <c r="Z166" s="3"/>
    </row>
    <row r="167" ht="15.75" customHeight="1">
      <c r="A167" s="1"/>
      <c r="B167" s="2"/>
      <c r="C167" s="2"/>
      <c r="D167" s="2"/>
      <c r="E167" s="2"/>
      <c r="F167" s="2"/>
      <c r="G167" s="2"/>
      <c r="H167" s="3"/>
      <c r="I167" s="3"/>
      <c r="J167" s="3"/>
      <c r="K167" s="3"/>
      <c r="L167" s="3"/>
      <c r="M167" s="3"/>
      <c r="N167" s="3"/>
      <c r="O167" s="3"/>
      <c r="P167" s="3"/>
      <c r="Q167" s="3"/>
      <c r="R167" s="3"/>
      <c r="S167" s="3"/>
      <c r="T167" s="3"/>
      <c r="U167" s="3"/>
      <c r="V167" s="3"/>
      <c r="W167" s="3"/>
      <c r="X167" s="3"/>
      <c r="Y167" s="3"/>
      <c r="Z167" s="3"/>
    </row>
    <row r="168" ht="15.75" customHeight="1">
      <c r="A168" s="1"/>
      <c r="B168" s="2"/>
      <c r="C168" s="2"/>
      <c r="D168" s="2"/>
      <c r="E168" s="2"/>
      <c r="F168" s="2"/>
      <c r="G168" s="2"/>
      <c r="H168" s="3"/>
      <c r="I168" s="3"/>
      <c r="J168" s="3"/>
      <c r="K168" s="3"/>
      <c r="L168" s="3"/>
      <c r="M168" s="3"/>
      <c r="N168" s="3"/>
      <c r="O168" s="3"/>
      <c r="P168" s="3"/>
      <c r="Q168" s="3"/>
      <c r="R168" s="3"/>
      <c r="S168" s="3"/>
      <c r="T168" s="3"/>
      <c r="U168" s="3"/>
      <c r="V168" s="3"/>
      <c r="W168" s="3"/>
      <c r="X168" s="3"/>
      <c r="Y168" s="3"/>
      <c r="Z168" s="3"/>
    </row>
    <row r="169" ht="15.75" customHeight="1">
      <c r="A169" s="1"/>
      <c r="B169" s="2"/>
      <c r="C169" s="2"/>
      <c r="D169" s="2"/>
      <c r="E169" s="2"/>
      <c r="F169" s="2"/>
      <c r="G169" s="2"/>
      <c r="H169" s="3"/>
      <c r="I169" s="3"/>
      <c r="J169" s="3"/>
      <c r="K169" s="3"/>
      <c r="L169" s="3"/>
      <c r="M169" s="3"/>
      <c r="N169" s="3"/>
      <c r="O169" s="3"/>
      <c r="P169" s="3"/>
      <c r="Q169" s="3"/>
      <c r="R169" s="3"/>
      <c r="S169" s="3"/>
      <c r="T169" s="3"/>
      <c r="U169" s="3"/>
      <c r="V169" s="3"/>
      <c r="W169" s="3"/>
      <c r="X169" s="3"/>
      <c r="Y169" s="3"/>
      <c r="Z169" s="3"/>
    </row>
    <row r="170" ht="15.75" customHeight="1">
      <c r="A170" s="1"/>
      <c r="B170" s="2"/>
      <c r="C170" s="2"/>
      <c r="D170" s="2"/>
      <c r="E170" s="2"/>
      <c r="F170" s="2"/>
      <c r="G170" s="2"/>
      <c r="H170" s="3"/>
      <c r="I170" s="3"/>
      <c r="J170" s="3"/>
      <c r="K170" s="3"/>
      <c r="L170" s="3"/>
      <c r="M170" s="3"/>
      <c r="N170" s="3"/>
      <c r="O170" s="3"/>
      <c r="P170" s="3"/>
      <c r="Q170" s="3"/>
      <c r="R170" s="3"/>
      <c r="S170" s="3"/>
      <c r="T170" s="3"/>
      <c r="U170" s="3"/>
      <c r="V170" s="3"/>
      <c r="W170" s="3"/>
      <c r="X170" s="3"/>
      <c r="Y170" s="3"/>
      <c r="Z170" s="3"/>
    </row>
    <row r="171" ht="15.75" customHeight="1">
      <c r="A171" s="1"/>
      <c r="B171" s="2"/>
      <c r="C171" s="2"/>
      <c r="D171" s="2"/>
      <c r="E171" s="2"/>
      <c r="F171" s="2"/>
      <c r="G171" s="2"/>
      <c r="H171" s="3"/>
      <c r="I171" s="3"/>
      <c r="J171" s="3"/>
      <c r="K171" s="3"/>
      <c r="L171" s="3"/>
      <c r="M171" s="3"/>
      <c r="N171" s="3"/>
      <c r="O171" s="3"/>
      <c r="P171" s="3"/>
      <c r="Q171" s="3"/>
      <c r="R171" s="3"/>
      <c r="S171" s="3"/>
      <c r="T171" s="3"/>
      <c r="U171" s="3"/>
      <c r="V171" s="3"/>
      <c r="W171" s="3"/>
      <c r="X171" s="3"/>
      <c r="Y171" s="3"/>
      <c r="Z171" s="3"/>
    </row>
    <row r="172" ht="15.75" customHeight="1">
      <c r="A172" s="1"/>
      <c r="B172" s="2"/>
      <c r="C172" s="2"/>
      <c r="D172" s="2"/>
      <c r="E172" s="2"/>
      <c r="F172" s="2"/>
      <c r="G172" s="2"/>
      <c r="H172" s="3"/>
      <c r="I172" s="3"/>
      <c r="J172" s="3"/>
      <c r="K172" s="3"/>
      <c r="L172" s="3"/>
      <c r="M172" s="3"/>
      <c r="N172" s="3"/>
      <c r="O172" s="3"/>
      <c r="P172" s="3"/>
      <c r="Q172" s="3"/>
      <c r="R172" s="3"/>
      <c r="S172" s="3"/>
      <c r="T172" s="3"/>
      <c r="U172" s="3"/>
      <c r="V172" s="3"/>
      <c r="W172" s="3"/>
      <c r="X172" s="3"/>
      <c r="Y172" s="3"/>
      <c r="Z172" s="3"/>
    </row>
    <row r="173" ht="15.75" customHeight="1">
      <c r="A173" s="1"/>
      <c r="B173" s="2"/>
      <c r="C173" s="2"/>
      <c r="D173" s="2"/>
      <c r="E173" s="2"/>
      <c r="F173" s="2"/>
      <c r="G173" s="2"/>
      <c r="H173" s="3"/>
      <c r="I173" s="3"/>
      <c r="J173" s="3"/>
      <c r="K173" s="3"/>
      <c r="L173" s="3"/>
      <c r="M173" s="3"/>
      <c r="N173" s="3"/>
      <c r="O173" s="3"/>
      <c r="P173" s="3"/>
      <c r="Q173" s="3"/>
      <c r="R173" s="3"/>
      <c r="S173" s="3"/>
      <c r="T173" s="3"/>
      <c r="U173" s="3"/>
      <c r="V173" s="3"/>
      <c r="W173" s="3"/>
      <c r="X173" s="3"/>
      <c r="Y173" s="3"/>
      <c r="Z173" s="3"/>
    </row>
    <row r="174" ht="15.75" customHeight="1">
      <c r="A174" s="1"/>
      <c r="B174" s="2"/>
      <c r="C174" s="2"/>
      <c r="D174" s="2"/>
      <c r="E174" s="2"/>
      <c r="F174" s="2"/>
      <c r="G174" s="2"/>
      <c r="H174" s="3"/>
      <c r="I174" s="3"/>
      <c r="J174" s="3"/>
      <c r="K174" s="3"/>
      <c r="L174" s="3"/>
      <c r="M174" s="3"/>
      <c r="N174" s="3"/>
      <c r="O174" s="3"/>
      <c r="P174" s="3"/>
      <c r="Q174" s="3"/>
      <c r="R174" s="3"/>
      <c r="S174" s="3"/>
      <c r="T174" s="3"/>
      <c r="U174" s="3"/>
      <c r="V174" s="3"/>
      <c r="W174" s="3"/>
      <c r="X174" s="3"/>
      <c r="Y174" s="3"/>
      <c r="Z174" s="3"/>
    </row>
    <row r="175" ht="15.75" customHeight="1">
      <c r="A175" s="1"/>
      <c r="B175" s="2"/>
      <c r="C175" s="2"/>
      <c r="D175" s="2"/>
      <c r="E175" s="2"/>
      <c r="F175" s="2"/>
      <c r="G175" s="2"/>
      <c r="H175" s="3"/>
      <c r="I175" s="3"/>
      <c r="J175" s="3"/>
      <c r="K175" s="3"/>
      <c r="L175" s="3"/>
      <c r="M175" s="3"/>
      <c r="N175" s="3"/>
      <c r="O175" s="3"/>
      <c r="P175" s="3"/>
      <c r="Q175" s="3"/>
      <c r="R175" s="3"/>
      <c r="S175" s="3"/>
      <c r="T175" s="3"/>
      <c r="U175" s="3"/>
      <c r="V175" s="3"/>
      <c r="W175" s="3"/>
      <c r="X175" s="3"/>
      <c r="Y175" s="3"/>
      <c r="Z175" s="3"/>
    </row>
    <row r="176" ht="15.75" customHeight="1">
      <c r="A176" s="1"/>
      <c r="B176" s="2"/>
      <c r="C176" s="2"/>
      <c r="D176" s="2"/>
      <c r="E176" s="2"/>
      <c r="F176" s="2"/>
      <c r="G176" s="2"/>
      <c r="H176" s="3"/>
      <c r="I176" s="3"/>
      <c r="J176" s="3"/>
      <c r="K176" s="3"/>
      <c r="L176" s="3"/>
      <c r="M176" s="3"/>
      <c r="N176" s="3"/>
      <c r="O176" s="3"/>
      <c r="P176" s="3"/>
      <c r="Q176" s="3"/>
      <c r="R176" s="3"/>
      <c r="S176" s="3"/>
      <c r="T176" s="3"/>
      <c r="U176" s="3"/>
      <c r="V176" s="3"/>
      <c r="W176" s="3"/>
      <c r="X176" s="3"/>
      <c r="Y176" s="3"/>
      <c r="Z176" s="3"/>
    </row>
    <row r="177" ht="15.75" customHeight="1">
      <c r="A177" s="1"/>
      <c r="B177" s="2"/>
      <c r="C177" s="2"/>
      <c r="D177" s="2"/>
      <c r="E177" s="2"/>
      <c r="F177" s="2"/>
      <c r="G177" s="2"/>
      <c r="H177" s="3"/>
      <c r="I177" s="3"/>
      <c r="J177" s="3"/>
      <c r="K177" s="3"/>
      <c r="L177" s="3"/>
      <c r="M177" s="3"/>
      <c r="N177" s="3"/>
      <c r="O177" s="3"/>
      <c r="P177" s="3"/>
      <c r="Q177" s="3"/>
      <c r="R177" s="3"/>
      <c r="S177" s="3"/>
      <c r="T177" s="3"/>
      <c r="U177" s="3"/>
      <c r="V177" s="3"/>
      <c r="W177" s="3"/>
      <c r="X177" s="3"/>
      <c r="Y177" s="3"/>
      <c r="Z177" s="3"/>
    </row>
    <row r="178" ht="15.75" customHeight="1">
      <c r="A178" s="1"/>
      <c r="B178" s="2"/>
      <c r="C178" s="2"/>
      <c r="D178" s="2"/>
      <c r="E178" s="2"/>
      <c r="F178" s="2"/>
      <c r="G178" s="2"/>
      <c r="H178" s="3"/>
      <c r="I178" s="3"/>
      <c r="J178" s="3"/>
      <c r="K178" s="3"/>
      <c r="L178" s="3"/>
      <c r="M178" s="3"/>
      <c r="N178" s="3"/>
      <c r="O178" s="3"/>
      <c r="P178" s="3"/>
      <c r="Q178" s="3"/>
      <c r="R178" s="3"/>
      <c r="S178" s="3"/>
      <c r="T178" s="3"/>
      <c r="U178" s="3"/>
      <c r="V178" s="3"/>
      <c r="W178" s="3"/>
      <c r="X178" s="3"/>
      <c r="Y178" s="3"/>
      <c r="Z178" s="3"/>
    </row>
    <row r="179" ht="15.75" customHeight="1">
      <c r="A179" s="1"/>
      <c r="B179" s="2"/>
      <c r="C179" s="2"/>
      <c r="D179" s="2"/>
      <c r="E179" s="2"/>
      <c r="F179" s="2"/>
      <c r="G179" s="2"/>
      <c r="H179" s="3"/>
      <c r="I179" s="3"/>
      <c r="J179" s="3"/>
      <c r="K179" s="3"/>
      <c r="L179" s="3"/>
      <c r="M179" s="3"/>
      <c r="N179" s="3"/>
      <c r="O179" s="3"/>
      <c r="P179" s="3"/>
      <c r="Q179" s="3"/>
      <c r="R179" s="3"/>
      <c r="S179" s="3"/>
      <c r="T179" s="3"/>
      <c r="U179" s="3"/>
      <c r="V179" s="3"/>
      <c r="W179" s="3"/>
      <c r="X179" s="3"/>
      <c r="Y179" s="3"/>
      <c r="Z179" s="3"/>
    </row>
    <row r="180" ht="15.75" customHeight="1">
      <c r="A180" s="1"/>
      <c r="B180" s="2"/>
      <c r="C180" s="2"/>
      <c r="D180" s="2"/>
      <c r="E180" s="2"/>
      <c r="F180" s="2"/>
      <c r="G180" s="2"/>
      <c r="H180" s="3"/>
      <c r="I180" s="3"/>
      <c r="J180" s="3"/>
      <c r="K180" s="3"/>
      <c r="L180" s="3"/>
      <c r="M180" s="3"/>
      <c r="N180" s="3"/>
      <c r="O180" s="3"/>
      <c r="P180" s="3"/>
      <c r="Q180" s="3"/>
      <c r="R180" s="3"/>
      <c r="S180" s="3"/>
      <c r="T180" s="3"/>
      <c r="U180" s="3"/>
      <c r="V180" s="3"/>
      <c r="W180" s="3"/>
      <c r="X180" s="3"/>
      <c r="Y180" s="3"/>
      <c r="Z180" s="3"/>
    </row>
    <row r="181" ht="15.75" customHeight="1">
      <c r="A181" s="1"/>
      <c r="B181" s="2"/>
      <c r="C181" s="2"/>
      <c r="D181" s="2"/>
      <c r="E181" s="2"/>
      <c r="F181" s="2"/>
      <c r="G181" s="2"/>
      <c r="H181" s="3"/>
      <c r="I181" s="3"/>
      <c r="J181" s="3"/>
      <c r="K181" s="3"/>
      <c r="L181" s="3"/>
      <c r="M181" s="3"/>
      <c r="N181" s="3"/>
      <c r="O181" s="3"/>
      <c r="P181" s="3"/>
      <c r="Q181" s="3"/>
      <c r="R181" s="3"/>
      <c r="S181" s="3"/>
      <c r="T181" s="3"/>
      <c r="U181" s="3"/>
      <c r="V181" s="3"/>
      <c r="W181" s="3"/>
      <c r="X181" s="3"/>
      <c r="Y181" s="3"/>
      <c r="Z181" s="3"/>
    </row>
    <row r="182" ht="15.75" customHeight="1">
      <c r="A182" s="1"/>
      <c r="B182" s="2"/>
      <c r="C182" s="2"/>
      <c r="D182" s="2"/>
      <c r="E182" s="2"/>
      <c r="F182" s="2"/>
      <c r="G182" s="2"/>
      <c r="H182" s="3"/>
      <c r="I182" s="3"/>
      <c r="J182" s="3"/>
      <c r="K182" s="3"/>
      <c r="L182" s="3"/>
      <c r="M182" s="3"/>
      <c r="N182" s="3"/>
      <c r="O182" s="3"/>
      <c r="P182" s="3"/>
      <c r="Q182" s="3"/>
      <c r="R182" s="3"/>
      <c r="S182" s="3"/>
      <c r="T182" s="3"/>
      <c r="U182" s="3"/>
      <c r="V182" s="3"/>
      <c r="W182" s="3"/>
      <c r="X182" s="3"/>
      <c r="Y182" s="3"/>
      <c r="Z182" s="3"/>
    </row>
    <row r="183" ht="15.75" customHeight="1">
      <c r="A183" s="1"/>
      <c r="B183" s="2"/>
      <c r="C183" s="2"/>
      <c r="D183" s="2"/>
      <c r="E183" s="2"/>
      <c r="F183" s="2"/>
      <c r="G183" s="2"/>
      <c r="H183" s="3"/>
      <c r="I183" s="3"/>
      <c r="J183" s="3"/>
      <c r="K183" s="3"/>
      <c r="L183" s="3"/>
      <c r="M183" s="3"/>
      <c r="N183" s="3"/>
      <c r="O183" s="3"/>
      <c r="P183" s="3"/>
      <c r="Q183" s="3"/>
      <c r="R183" s="3"/>
      <c r="S183" s="3"/>
      <c r="T183" s="3"/>
      <c r="U183" s="3"/>
      <c r="V183" s="3"/>
      <c r="W183" s="3"/>
      <c r="X183" s="3"/>
      <c r="Y183" s="3"/>
      <c r="Z183" s="3"/>
    </row>
    <row r="184" ht="15.75" customHeight="1">
      <c r="A184" s="1"/>
      <c r="B184" s="2"/>
      <c r="C184" s="2"/>
      <c r="D184" s="2"/>
      <c r="E184" s="2"/>
      <c r="F184" s="2"/>
      <c r="G184" s="2"/>
      <c r="H184" s="3"/>
      <c r="I184" s="3"/>
      <c r="J184" s="3"/>
      <c r="K184" s="3"/>
      <c r="L184" s="3"/>
      <c r="M184" s="3"/>
      <c r="N184" s="3"/>
      <c r="O184" s="3"/>
      <c r="P184" s="3"/>
      <c r="Q184" s="3"/>
      <c r="R184" s="3"/>
      <c r="S184" s="3"/>
      <c r="T184" s="3"/>
      <c r="U184" s="3"/>
      <c r="V184" s="3"/>
      <c r="W184" s="3"/>
      <c r="X184" s="3"/>
      <c r="Y184" s="3"/>
      <c r="Z184" s="3"/>
    </row>
    <row r="185" ht="15.75" customHeight="1">
      <c r="A185" s="1"/>
      <c r="B185" s="2"/>
      <c r="C185" s="2"/>
      <c r="D185" s="2"/>
      <c r="E185" s="2"/>
      <c r="F185" s="2"/>
      <c r="G185" s="2"/>
      <c r="H185" s="3"/>
      <c r="I185" s="3"/>
      <c r="J185" s="3"/>
      <c r="K185" s="3"/>
      <c r="L185" s="3"/>
      <c r="M185" s="3"/>
      <c r="N185" s="3"/>
      <c r="O185" s="3"/>
      <c r="P185" s="3"/>
      <c r="Q185" s="3"/>
      <c r="R185" s="3"/>
      <c r="S185" s="3"/>
      <c r="T185" s="3"/>
      <c r="U185" s="3"/>
      <c r="V185" s="3"/>
      <c r="W185" s="3"/>
      <c r="X185" s="3"/>
      <c r="Y185" s="3"/>
      <c r="Z185" s="3"/>
    </row>
    <row r="186" ht="15.75" customHeight="1">
      <c r="A186" s="1"/>
      <c r="B186" s="2"/>
      <c r="C186" s="2"/>
      <c r="D186" s="2"/>
      <c r="E186" s="2"/>
      <c r="F186" s="2"/>
      <c r="G186" s="2"/>
      <c r="H186" s="3"/>
      <c r="I186" s="3"/>
      <c r="J186" s="3"/>
      <c r="K186" s="3"/>
      <c r="L186" s="3"/>
      <c r="M186" s="3"/>
      <c r="N186" s="3"/>
      <c r="O186" s="3"/>
      <c r="P186" s="3"/>
      <c r="Q186" s="3"/>
      <c r="R186" s="3"/>
      <c r="S186" s="3"/>
      <c r="T186" s="3"/>
      <c r="U186" s="3"/>
      <c r="V186" s="3"/>
      <c r="W186" s="3"/>
      <c r="X186" s="3"/>
      <c r="Y186" s="3"/>
      <c r="Z186" s="3"/>
    </row>
    <row r="187" ht="15.75" customHeight="1">
      <c r="A187" s="1"/>
      <c r="B187" s="2"/>
      <c r="C187" s="2"/>
      <c r="D187" s="2"/>
      <c r="E187" s="2"/>
      <c r="F187" s="2"/>
      <c r="G187" s="2"/>
      <c r="H187" s="3"/>
      <c r="I187" s="3"/>
      <c r="J187" s="3"/>
      <c r="K187" s="3"/>
      <c r="L187" s="3"/>
      <c r="M187" s="3"/>
      <c r="N187" s="3"/>
      <c r="O187" s="3"/>
      <c r="P187" s="3"/>
      <c r="Q187" s="3"/>
      <c r="R187" s="3"/>
      <c r="S187" s="3"/>
      <c r="T187" s="3"/>
      <c r="U187" s="3"/>
      <c r="V187" s="3"/>
      <c r="W187" s="3"/>
      <c r="X187" s="3"/>
      <c r="Y187" s="3"/>
      <c r="Z187" s="3"/>
    </row>
    <row r="188" ht="15.75" customHeight="1">
      <c r="A188" s="1"/>
      <c r="B188" s="2"/>
      <c r="C188" s="2"/>
      <c r="D188" s="2"/>
      <c r="E188" s="2"/>
      <c r="F188" s="2"/>
      <c r="G188" s="2"/>
      <c r="H188" s="3"/>
      <c r="I188" s="3"/>
      <c r="J188" s="3"/>
      <c r="K188" s="3"/>
      <c r="L188" s="3"/>
      <c r="M188" s="3"/>
      <c r="N188" s="3"/>
      <c r="O188" s="3"/>
      <c r="P188" s="3"/>
      <c r="Q188" s="3"/>
      <c r="R188" s="3"/>
      <c r="S188" s="3"/>
      <c r="T188" s="3"/>
      <c r="U188" s="3"/>
      <c r="V188" s="3"/>
      <c r="W188" s="3"/>
      <c r="X188" s="3"/>
      <c r="Y188" s="3"/>
      <c r="Z188" s="3"/>
    </row>
    <row r="189" ht="15.75" customHeight="1">
      <c r="A189" s="1"/>
      <c r="B189" s="2"/>
      <c r="C189" s="2"/>
      <c r="D189" s="2"/>
      <c r="E189" s="2"/>
      <c r="F189" s="2"/>
      <c r="G189" s="2"/>
      <c r="H189" s="3"/>
      <c r="I189" s="3"/>
      <c r="J189" s="3"/>
      <c r="K189" s="3"/>
      <c r="L189" s="3"/>
      <c r="M189" s="3"/>
      <c r="N189" s="3"/>
      <c r="O189" s="3"/>
      <c r="P189" s="3"/>
      <c r="Q189" s="3"/>
      <c r="R189" s="3"/>
      <c r="S189" s="3"/>
      <c r="T189" s="3"/>
      <c r="U189" s="3"/>
      <c r="V189" s="3"/>
      <c r="W189" s="3"/>
      <c r="X189" s="3"/>
      <c r="Y189" s="3"/>
      <c r="Z189" s="3"/>
    </row>
    <row r="190" ht="15.75" customHeight="1">
      <c r="A190" s="1"/>
      <c r="B190" s="2"/>
      <c r="C190" s="2"/>
      <c r="D190" s="2"/>
      <c r="E190" s="2"/>
      <c r="F190" s="2"/>
      <c r="G190" s="2"/>
      <c r="H190" s="3"/>
      <c r="I190" s="3"/>
      <c r="J190" s="3"/>
      <c r="K190" s="3"/>
      <c r="L190" s="3"/>
      <c r="M190" s="3"/>
      <c r="N190" s="3"/>
      <c r="O190" s="3"/>
      <c r="P190" s="3"/>
      <c r="Q190" s="3"/>
      <c r="R190" s="3"/>
      <c r="S190" s="3"/>
      <c r="T190" s="3"/>
      <c r="U190" s="3"/>
      <c r="V190" s="3"/>
      <c r="W190" s="3"/>
      <c r="X190" s="3"/>
      <c r="Y190" s="3"/>
      <c r="Z190" s="3"/>
    </row>
    <row r="191" ht="15.75" customHeight="1">
      <c r="A191" s="1"/>
      <c r="B191" s="2"/>
      <c r="C191" s="2"/>
      <c r="D191" s="2"/>
      <c r="E191" s="2"/>
      <c r="F191" s="2"/>
      <c r="G191" s="2"/>
      <c r="H191" s="3"/>
      <c r="I191" s="3"/>
      <c r="J191" s="3"/>
      <c r="K191" s="3"/>
      <c r="L191" s="3"/>
      <c r="M191" s="3"/>
      <c r="N191" s="3"/>
      <c r="O191" s="3"/>
      <c r="P191" s="3"/>
      <c r="Q191" s="3"/>
      <c r="R191" s="3"/>
      <c r="S191" s="3"/>
      <c r="T191" s="3"/>
      <c r="U191" s="3"/>
      <c r="V191" s="3"/>
      <c r="W191" s="3"/>
      <c r="X191" s="3"/>
      <c r="Y191" s="3"/>
      <c r="Z191" s="3"/>
    </row>
    <row r="192" ht="15.75" customHeight="1">
      <c r="A192" s="1"/>
      <c r="B192" s="2"/>
      <c r="C192" s="2"/>
      <c r="D192" s="2"/>
      <c r="E192" s="2"/>
      <c r="F192" s="2"/>
      <c r="G192" s="2"/>
      <c r="H192" s="3"/>
      <c r="I192" s="3"/>
      <c r="J192" s="3"/>
      <c r="K192" s="3"/>
      <c r="L192" s="3"/>
      <c r="M192" s="3"/>
      <c r="N192" s="3"/>
      <c r="O192" s="3"/>
      <c r="P192" s="3"/>
      <c r="Q192" s="3"/>
      <c r="R192" s="3"/>
      <c r="S192" s="3"/>
      <c r="T192" s="3"/>
      <c r="U192" s="3"/>
      <c r="V192" s="3"/>
      <c r="W192" s="3"/>
      <c r="X192" s="3"/>
      <c r="Y192" s="3"/>
      <c r="Z192" s="3"/>
    </row>
    <row r="193" ht="15.75" customHeight="1">
      <c r="A193" s="1"/>
      <c r="B193" s="2"/>
      <c r="C193" s="2"/>
      <c r="D193" s="2"/>
      <c r="E193" s="2"/>
      <c r="F193" s="2"/>
      <c r="G193" s="2"/>
      <c r="H193" s="3"/>
      <c r="I193" s="3"/>
      <c r="J193" s="3"/>
      <c r="K193" s="3"/>
      <c r="L193" s="3"/>
      <c r="M193" s="3"/>
      <c r="N193" s="3"/>
      <c r="O193" s="3"/>
      <c r="P193" s="3"/>
      <c r="Q193" s="3"/>
      <c r="R193" s="3"/>
      <c r="S193" s="3"/>
      <c r="T193" s="3"/>
      <c r="U193" s="3"/>
      <c r="V193" s="3"/>
      <c r="W193" s="3"/>
      <c r="X193" s="3"/>
      <c r="Y193" s="3"/>
      <c r="Z193" s="3"/>
    </row>
    <row r="194" ht="15.75" customHeight="1">
      <c r="A194" s="1"/>
      <c r="B194" s="2"/>
      <c r="C194" s="2"/>
      <c r="D194" s="2"/>
      <c r="E194" s="2"/>
      <c r="F194" s="2"/>
      <c r="G194" s="2"/>
      <c r="H194" s="3"/>
      <c r="I194" s="3"/>
      <c r="J194" s="3"/>
      <c r="K194" s="3"/>
      <c r="L194" s="3"/>
      <c r="M194" s="3"/>
      <c r="N194" s="3"/>
      <c r="O194" s="3"/>
      <c r="P194" s="3"/>
      <c r="Q194" s="3"/>
      <c r="R194" s="3"/>
      <c r="S194" s="3"/>
      <c r="T194" s="3"/>
      <c r="U194" s="3"/>
      <c r="V194" s="3"/>
      <c r="W194" s="3"/>
      <c r="X194" s="3"/>
      <c r="Y194" s="3"/>
      <c r="Z194" s="3"/>
    </row>
    <row r="195" ht="15.75" customHeight="1">
      <c r="A195" s="1"/>
      <c r="B195" s="2"/>
      <c r="C195" s="2"/>
      <c r="D195" s="2"/>
      <c r="E195" s="2"/>
      <c r="F195" s="2"/>
      <c r="G195" s="2"/>
      <c r="H195" s="3"/>
      <c r="I195" s="3"/>
      <c r="J195" s="3"/>
      <c r="K195" s="3"/>
      <c r="L195" s="3"/>
      <c r="M195" s="3"/>
      <c r="N195" s="3"/>
      <c r="O195" s="3"/>
      <c r="P195" s="3"/>
      <c r="Q195" s="3"/>
      <c r="R195" s="3"/>
      <c r="S195" s="3"/>
      <c r="T195" s="3"/>
      <c r="U195" s="3"/>
      <c r="V195" s="3"/>
      <c r="W195" s="3"/>
      <c r="X195" s="3"/>
      <c r="Y195" s="3"/>
      <c r="Z195" s="3"/>
    </row>
    <row r="196" ht="15.75" customHeight="1">
      <c r="A196" s="1"/>
      <c r="B196" s="2"/>
      <c r="C196" s="2"/>
      <c r="D196" s="2"/>
      <c r="E196" s="2"/>
      <c r="F196" s="2"/>
      <c r="G196" s="2"/>
      <c r="H196" s="3"/>
      <c r="I196" s="3"/>
      <c r="J196" s="3"/>
      <c r="K196" s="3"/>
      <c r="L196" s="3"/>
      <c r="M196" s="3"/>
      <c r="N196" s="3"/>
      <c r="O196" s="3"/>
      <c r="P196" s="3"/>
      <c r="Q196" s="3"/>
      <c r="R196" s="3"/>
      <c r="S196" s="3"/>
      <c r="T196" s="3"/>
      <c r="U196" s="3"/>
      <c r="V196" s="3"/>
      <c r="W196" s="3"/>
      <c r="X196" s="3"/>
      <c r="Y196" s="3"/>
      <c r="Z196" s="3"/>
    </row>
    <row r="197" ht="15.75" customHeight="1">
      <c r="A197" s="1"/>
      <c r="B197" s="2"/>
      <c r="C197" s="2"/>
      <c r="D197" s="2"/>
      <c r="E197" s="2"/>
      <c r="F197" s="2"/>
      <c r="G197" s="2"/>
      <c r="H197" s="3"/>
      <c r="I197" s="3"/>
      <c r="J197" s="3"/>
      <c r="K197" s="3"/>
      <c r="L197" s="3"/>
      <c r="M197" s="3"/>
      <c r="N197" s="3"/>
      <c r="O197" s="3"/>
      <c r="P197" s="3"/>
      <c r="Q197" s="3"/>
      <c r="R197" s="3"/>
      <c r="S197" s="3"/>
      <c r="T197" s="3"/>
      <c r="U197" s="3"/>
      <c r="V197" s="3"/>
      <c r="W197" s="3"/>
      <c r="X197" s="3"/>
      <c r="Y197" s="3"/>
      <c r="Z197" s="3"/>
    </row>
    <row r="198" ht="15.75" customHeight="1">
      <c r="A198" s="1"/>
      <c r="B198" s="2"/>
      <c r="C198" s="2"/>
      <c r="D198" s="2"/>
      <c r="E198" s="2"/>
      <c r="F198" s="2"/>
      <c r="G198" s="2"/>
      <c r="H198" s="3"/>
      <c r="I198" s="3"/>
      <c r="J198" s="3"/>
      <c r="K198" s="3"/>
      <c r="L198" s="3"/>
      <c r="M198" s="3"/>
      <c r="N198" s="3"/>
      <c r="O198" s="3"/>
      <c r="P198" s="3"/>
      <c r="Q198" s="3"/>
      <c r="R198" s="3"/>
      <c r="S198" s="3"/>
      <c r="T198" s="3"/>
      <c r="U198" s="3"/>
      <c r="V198" s="3"/>
      <c r="W198" s="3"/>
      <c r="X198" s="3"/>
      <c r="Y198" s="3"/>
      <c r="Z198" s="3"/>
    </row>
    <row r="199" ht="15.75" customHeight="1">
      <c r="A199" s="1"/>
      <c r="B199" s="2"/>
      <c r="C199" s="2"/>
      <c r="D199" s="2"/>
      <c r="E199" s="2"/>
      <c r="F199" s="2"/>
      <c r="G199" s="2"/>
      <c r="H199" s="3"/>
      <c r="I199" s="3"/>
      <c r="J199" s="3"/>
      <c r="K199" s="3"/>
      <c r="L199" s="3"/>
      <c r="M199" s="3"/>
      <c r="N199" s="3"/>
      <c r="O199" s="3"/>
      <c r="P199" s="3"/>
      <c r="Q199" s="3"/>
      <c r="R199" s="3"/>
      <c r="S199" s="3"/>
      <c r="T199" s="3"/>
      <c r="U199" s="3"/>
      <c r="V199" s="3"/>
      <c r="W199" s="3"/>
      <c r="X199" s="3"/>
      <c r="Y199" s="3"/>
      <c r="Z199" s="3"/>
    </row>
    <row r="200" ht="15.75" customHeight="1">
      <c r="A200" s="1"/>
      <c r="B200" s="2"/>
      <c r="C200" s="2"/>
      <c r="D200" s="2"/>
      <c r="E200" s="2"/>
      <c r="F200" s="2"/>
      <c r="G200" s="2"/>
      <c r="H200" s="3"/>
      <c r="I200" s="3"/>
      <c r="J200" s="3"/>
      <c r="K200" s="3"/>
      <c r="L200" s="3"/>
      <c r="M200" s="3"/>
      <c r="N200" s="3"/>
      <c r="O200" s="3"/>
      <c r="P200" s="3"/>
      <c r="Q200" s="3"/>
      <c r="R200" s="3"/>
      <c r="S200" s="3"/>
      <c r="T200" s="3"/>
      <c r="U200" s="3"/>
      <c r="V200" s="3"/>
      <c r="W200" s="3"/>
      <c r="X200" s="3"/>
      <c r="Y200" s="3"/>
      <c r="Z200" s="3"/>
    </row>
    <row r="201" ht="15.75" customHeight="1">
      <c r="A201" s="1"/>
      <c r="B201" s="2"/>
      <c r="C201" s="2"/>
      <c r="D201" s="2"/>
      <c r="E201" s="2"/>
      <c r="F201" s="2"/>
      <c r="G201" s="2"/>
      <c r="H201" s="3"/>
      <c r="I201" s="3"/>
      <c r="J201" s="3"/>
      <c r="K201" s="3"/>
      <c r="L201" s="3"/>
      <c r="M201" s="3"/>
      <c r="N201" s="3"/>
      <c r="O201" s="3"/>
      <c r="P201" s="3"/>
      <c r="Q201" s="3"/>
      <c r="R201" s="3"/>
      <c r="S201" s="3"/>
      <c r="T201" s="3"/>
      <c r="U201" s="3"/>
      <c r="V201" s="3"/>
      <c r="W201" s="3"/>
      <c r="X201" s="3"/>
      <c r="Y201" s="3"/>
      <c r="Z201" s="3"/>
    </row>
    <row r="202" ht="15.75" customHeight="1">
      <c r="A202" s="1"/>
      <c r="B202" s="2"/>
      <c r="C202" s="2"/>
      <c r="D202" s="2"/>
      <c r="E202" s="2"/>
      <c r="F202" s="2"/>
      <c r="G202" s="2"/>
      <c r="H202" s="3"/>
      <c r="I202" s="3"/>
      <c r="J202" s="3"/>
      <c r="K202" s="3"/>
      <c r="L202" s="3"/>
      <c r="M202" s="3"/>
      <c r="N202" s="3"/>
      <c r="O202" s="3"/>
      <c r="P202" s="3"/>
      <c r="Q202" s="3"/>
      <c r="R202" s="3"/>
      <c r="S202" s="3"/>
      <c r="T202" s="3"/>
      <c r="U202" s="3"/>
      <c r="V202" s="3"/>
      <c r="W202" s="3"/>
      <c r="X202" s="3"/>
      <c r="Y202" s="3"/>
      <c r="Z202" s="3"/>
    </row>
    <row r="203" ht="15.75" customHeight="1">
      <c r="A203" s="1"/>
      <c r="B203" s="2"/>
      <c r="C203" s="2"/>
      <c r="D203" s="2"/>
      <c r="E203" s="2"/>
      <c r="F203" s="2"/>
      <c r="G203" s="2"/>
      <c r="H203" s="3"/>
      <c r="I203" s="3"/>
      <c r="J203" s="3"/>
      <c r="K203" s="3"/>
      <c r="L203" s="3"/>
      <c r="M203" s="3"/>
      <c r="N203" s="3"/>
      <c r="O203" s="3"/>
      <c r="P203" s="3"/>
      <c r="Q203" s="3"/>
      <c r="R203" s="3"/>
      <c r="S203" s="3"/>
      <c r="T203" s="3"/>
      <c r="U203" s="3"/>
      <c r="V203" s="3"/>
      <c r="W203" s="3"/>
      <c r="X203" s="3"/>
      <c r="Y203" s="3"/>
      <c r="Z203" s="3"/>
    </row>
    <row r="204" ht="15.75" customHeight="1">
      <c r="A204" s="1"/>
      <c r="B204" s="2"/>
      <c r="C204" s="2"/>
      <c r="D204" s="2"/>
      <c r="E204" s="2"/>
      <c r="F204" s="2"/>
      <c r="G204" s="2"/>
      <c r="H204" s="3"/>
      <c r="I204" s="3"/>
      <c r="J204" s="3"/>
      <c r="K204" s="3"/>
      <c r="L204" s="3"/>
      <c r="M204" s="3"/>
      <c r="N204" s="3"/>
      <c r="O204" s="3"/>
      <c r="P204" s="3"/>
      <c r="Q204" s="3"/>
      <c r="R204" s="3"/>
      <c r="S204" s="3"/>
      <c r="T204" s="3"/>
      <c r="U204" s="3"/>
      <c r="V204" s="3"/>
      <c r="W204" s="3"/>
      <c r="X204" s="3"/>
      <c r="Y204" s="3"/>
      <c r="Z204" s="3"/>
    </row>
    <row r="205" ht="15.75" customHeight="1">
      <c r="A205" s="1"/>
      <c r="B205" s="2"/>
      <c r="C205" s="2"/>
      <c r="D205" s="2"/>
      <c r="E205" s="2"/>
      <c r="F205" s="2"/>
      <c r="G205" s="2"/>
      <c r="H205" s="3"/>
      <c r="I205" s="3"/>
      <c r="J205" s="3"/>
      <c r="K205" s="3"/>
      <c r="L205" s="3"/>
      <c r="M205" s="3"/>
      <c r="N205" s="3"/>
      <c r="O205" s="3"/>
      <c r="P205" s="3"/>
      <c r="Q205" s="3"/>
      <c r="R205" s="3"/>
      <c r="S205" s="3"/>
      <c r="T205" s="3"/>
      <c r="U205" s="3"/>
      <c r="V205" s="3"/>
      <c r="W205" s="3"/>
      <c r="X205" s="3"/>
      <c r="Y205" s="3"/>
      <c r="Z205" s="3"/>
    </row>
    <row r="206" ht="15.75" customHeight="1">
      <c r="A206" s="1"/>
      <c r="B206" s="2"/>
      <c r="C206" s="2"/>
      <c r="D206" s="2"/>
      <c r="E206" s="2"/>
      <c r="F206" s="2"/>
      <c r="G206" s="2"/>
      <c r="H206" s="3"/>
      <c r="I206" s="3"/>
      <c r="J206" s="3"/>
      <c r="K206" s="3"/>
      <c r="L206" s="3"/>
      <c r="M206" s="3"/>
      <c r="N206" s="3"/>
      <c r="O206" s="3"/>
      <c r="P206" s="3"/>
      <c r="Q206" s="3"/>
      <c r="R206" s="3"/>
      <c r="S206" s="3"/>
      <c r="T206" s="3"/>
      <c r="U206" s="3"/>
      <c r="V206" s="3"/>
      <c r="W206" s="3"/>
      <c r="X206" s="3"/>
      <c r="Y206" s="3"/>
      <c r="Z206" s="3"/>
    </row>
    <row r="207" ht="15.75" customHeight="1">
      <c r="A207" s="1"/>
      <c r="B207" s="2"/>
      <c r="C207" s="2"/>
      <c r="D207" s="2"/>
      <c r="E207" s="2"/>
      <c r="F207" s="2"/>
      <c r="G207" s="2"/>
      <c r="H207" s="3"/>
      <c r="I207" s="3"/>
      <c r="J207" s="3"/>
      <c r="K207" s="3"/>
      <c r="L207" s="3"/>
      <c r="M207" s="3"/>
      <c r="N207" s="3"/>
      <c r="O207" s="3"/>
      <c r="P207" s="3"/>
      <c r="Q207" s="3"/>
      <c r="R207" s="3"/>
      <c r="S207" s="3"/>
      <c r="T207" s="3"/>
      <c r="U207" s="3"/>
      <c r="V207" s="3"/>
      <c r="W207" s="3"/>
      <c r="X207" s="3"/>
      <c r="Y207" s="3"/>
      <c r="Z207" s="3"/>
    </row>
    <row r="208" ht="15.75" customHeight="1">
      <c r="A208" s="1"/>
      <c r="B208" s="2"/>
      <c r="C208" s="2"/>
      <c r="D208" s="2"/>
      <c r="E208" s="2"/>
      <c r="F208" s="2"/>
      <c r="G208" s="2"/>
      <c r="H208" s="3"/>
      <c r="I208" s="3"/>
      <c r="J208" s="3"/>
      <c r="K208" s="3"/>
      <c r="L208" s="3"/>
      <c r="M208" s="3"/>
      <c r="N208" s="3"/>
      <c r="O208" s="3"/>
      <c r="P208" s="3"/>
      <c r="Q208" s="3"/>
      <c r="R208" s="3"/>
      <c r="S208" s="3"/>
      <c r="T208" s="3"/>
      <c r="U208" s="3"/>
      <c r="V208" s="3"/>
      <c r="W208" s="3"/>
      <c r="X208" s="3"/>
      <c r="Y208" s="3"/>
      <c r="Z208" s="3"/>
    </row>
    <row r="209" ht="15.75" customHeight="1">
      <c r="A209" s="1"/>
      <c r="B209" s="2"/>
      <c r="C209" s="2"/>
      <c r="D209" s="2"/>
      <c r="E209" s="2"/>
      <c r="F209" s="2"/>
      <c r="G209" s="2"/>
      <c r="H209" s="3"/>
      <c r="I209" s="3"/>
      <c r="J209" s="3"/>
      <c r="K209" s="3"/>
      <c r="L209" s="3"/>
      <c r="M209" s="3"/>
      <c r="N209" s="3"/>
      <c r="O209" s="3"/>
      <c r="P209" s="3"/>
      <c r="Q209" s="3"/>
      <c r="R209" s="3"/>
      <c r="S209" s="3"/>
      <c r="T209" s="3"/>
      <c r="U209" s="3"/>
      <c r="V209" s="3"/>
      <c r="W209" s="3"/>
      <c r="X209" s="3"/>
      <c r="Y209" s="3"/>
      <c r="Z209" s="3"/>
    </row>
    <row r="210" ht="15.75" customHeight="1">
      <c r="A210" s="1"/>
      <c r="B210" s="2"/>
      <c r="C210" s="2"/>
      <c r="D210" s="2"/>
      <c r="E210" s="2"/>
      <c r="F210" s="2"/>
      <c r="G210" s="2"/>
      <c r="H210" s="3"/>
      <c r="I210" s="3"/>
      <c r="J210" s="3"/>
      <c r="K210" s="3"/>
      <c r="L210" s="3"/>
      <c r="M210" s="3"/>
      <c r="N210" s="3"/>
      <c r="O210" s="3"/>
      <c r="P210" s="3"/>
      <c r="Q210" s="3"/>
      <c r="R210" s="3"/>
      <c r="S210" s="3"/>
      <c r="T210" s="3"/>
      <c r="U210" s="3"/>
      <c r="V210" s="3"/>
      <c r="W210" s="3"/>
      <c r="X210" s="3"/>
      <c r="Y210" s="3"/>
      <c r="Z210" s="3"/>
    </row>
    <row r="211" ht="15.75" customHeight="1">
      <c r="A211" s="1"/>
      <c r="B211" s="2"/>
      <c r="C211" s="2"/>
      <c r="D211" s="2"/>
      <c r="E211" s="2"/>
      <c r="F211" s="2"/>
      <c r="G211" s="2"/>
      <c r="H211" s="3"/>
      <c r="I211" s="3"/>
      <c r="J211" s="3"/>
      <c r="K211" s="3"/>
      <c r="L211" s="3"/>
      <c r="M211" s="3"/>
      <c r="N211" s="3"/>
      <c r="O211" s="3"/>
      <c r="P211" s="3"/>
      <c r="Q211" s="3"/>
      <c r="R211" s="3"/>
      <c r="S211" s="3"/>
      <c r="T211" s="3"/>
      <c r="U211" s="3"/>
      <c r="V211" s="3"/>
      <c r="W211" s="3"/>
      <c r="X211" s="3"/>
      <c r="Y211" s="3"/>
      <c r="Z211" s="3"/>
    </row>
    <row r="212" ht="15.75" customHeight="1">
      <c r="A212" s="1"/>
      <c r="B212" s="2"/>
      <c r="C212" s="2"/>
      <c r="D212" s="2"/>
      <c r="E212" s="2"/>
      <c r="F212" s="2"/>
      <c r="G212" s="2"/>
      <c r="H212" s="3"/>
      <c r="I212" s="3"/>
      <c r="J212" s="3"/>
      <c r="K212" s="3"/>
      <c r="L212" s="3"/>
      <c r="M212" s="3"/>
      <c r="N212" s="3"/>
      <c r="O212" s="3"/>
      <c r="P212" s="3"/>
      <c r="Q212" s="3"/>
      <c r="R212" s="3"/>
      <c r="S212" s="3"/>
      <c r="T212" s="3"/>
      <c r="U212" s="3"/>
      <c r="V212" s="3"/>
      <c r="W212" s="3"/>
      <c r="X212" s="3"/>
      <c r="Y212" s="3"/>
      <c r="Z212" s="3"/>
    </row>
    <row r="213" ht="15.75" customHeight="1">
      <c r="A213" s="1"/>
      <c r="B213" s="2"/>
      <c r="C213" s="2"/>
      <c r="D213" s="2"/>
      <c r="E213" s="2"/>
      <c r="F213" s="2"/>
      <c r="G213" s="2"/>
      <c r="H213" s="3"/>
      <c r="I213" s="3"/>
      <c r="J213" s="3"/>
      <c r="K213" s="3"/>
      <c r="L213" s="3"/>
      <c r="M213" s="3"/>
      <c r="N213" s="3"/>
      <c r="O213" s="3"/>
      <c r="P213" s="3"/>
      <c r="Q213" s="3"/>
      <c r="R213" s="3"/>
      <c r="S213" s="3"/>
      <c r="T213" s="3"/>
      <c r="U213" s="3"/>
      <c r="V213" s="3"/>
      <c r="W213" s="3"/>
      <c r="X213" s="3"/>
      <c r="Y213" s="3"/>
      <c r="Z213" s="3"/>
    </row>
    <row r="214" ht="15.75" customHeight="1">
      <c r="A214" s="1"/>
      <c r="B214" s="2"/>
      <c r="C214" s="2"/>
      <c r="D214" s="2"/>
      <c r="E214" s="2"/>
      <c r="F214" s="2"/>
      <c r="G214" s="2"/>
      <c r="H214" s="3"/>
      <c r="I214" s="3"/>
      <c r="J214" s="3"/>
      <c r="K214" s="3"/>
      <c r="L214" s="3"/>
      <c r="M214" s="3"/>
      <c r="N214" s="3"/>
      <c r="O214" s="3"/>
      <c r="P214" s="3"/>
      <c r="Q214" s="3"/>
      <c r="R214" s="3"/>
      <c r="S214" s="3"/>
      <c r="T214" s="3"/>
      <c r="U214" s="3"/>
      <c r="V214" s="3"/>
      <c r="W214" s="3"/>
      <c r="X214" s="3"/>
      <c r="Y214" s="3"/>
      <c r="Z214" s="3"/>
    </row>
    <row r="215" ht="15.75" customHeight="1">
      <c r="A215" s="1"/>
      <c r="B215" s="2"/>
      <c r="C215" s="2"/>
      <c r="D215" s="2"/>
      <c r="E215" s="2"/>
      <c r="F215" s="2"/>
      <c r="G215" s="2"/>
      <c r="H215" s="3"/>
      <c r="I215" s="3"/>
      <c r="J215" s="3"/>
      <c r="K215" s="3"/>
      <c r="L215" s="3"/>
      <c r="M215" s="3"/>
      <c r="N215" s="3"/>
      <c r="O215" s="3"/>
      <c r="P215" s="3"/>
      <c r="Q215" s="3"/>
      <c r="R215" s="3"/>
      <c r="S215" s="3"/>
      <c r="T215" s="3"/>
      <c r="U215" s="3"/>
      <c r="V215" s="3"/>
      <c r="W215" s="3"/>
      <c r="X215" s="3"/>
      <c r="Y215" s="3"/>
      <c r="Z215" s="3"/>
    </row>
    <row r="216" ht="15.75" customHeight="1">
      <c r="A216" s="1"/>
      <c r="B216" s="2"/>
      <c r="C216" s="2"/>
      <c r="D216" s="2"/>
      <c r="E216" s="2"/>
      <c r="F216" s="2"/>
      <c r="G216" s="2"/>
      <c r="H216" s="3"/>
      <c r="I216" s="3"/>
      <c r="J216" s="3"/>
      <c r="K216" s="3"/>
      <c r="L216" s="3"/>
      <c r="M216" s="3"/>
      <c r="N216" s="3"/>
      <c r="O216" s="3"/>
      <c r="P216" s="3"/>
      <c r="Q216" s="3"/>
      <c r="R216" s="3"/>
      <c r="S216" s="3"/>
      <c r="T216" s="3"/>
      <c r="U216" s="3"/>
      <c r="V216" s="3"/>
      <c r="W216" s="3"/>
      <c r="X216" s="3"/>
      <c r="Y216" s="3"/>
      <c r="Z216" s="3"/>
    </row>
    <row r="217" ht="15.75" customHeight="1">
      <c r="A217" s="1"/>
      <c r="B217" s="2"/>
      <c r="C217" s="2"/>
      <c r="D217" s="2"/>
      <c r="E217" s="2"/>
      <c r="F217" s="2"/>
      <c r="G217" s="2"/>
      <c r="H217" s="3"/>
      <c r="I217" s="3"/>
      <c r="J217" s="3"/>
      <c r="K217" s="3"/>
      <c r="L217" s="3"/>
      <c r="M217" s="3"/>
      <c r="N217" s="3"/>
      <c r="O217" s="3"/>
      <c r="P217" s="3"/>
      <c r="Q217" s="3"/>
      <c r="R217" s="3"/>
      <c r="S217" s="3"/>
      <c r="T217" s="3"/>
      <c r="U217" s="3"/>
      <c r="V217" s="3"/>
      <c r="W217" s="3"/>
      <c r="X217" s="3"/>
      <c r="Y217" s="3"/>
      <c r="Z217" s="3"/>
    </row>
    <row r="218" ht="15.75" customHeight="1">
      <c r="A218" s="1"/>
      <c r="B218" s="2"/>
      <c r="C218" s="2"/>
      <c r="D218" s="2"/>
      <c r="E218" s="2"/>
      <c r="F218" s="2"/>
      <c r="G218" s="2"/>
      <c r="H218" s="3"/>
      <c r="I218" s="3"/>
      <c r="J218" s="3"/>
      <c r="K218" s="3"/>
      <c r="L218" s="3"/>
      <c r="M218" s="3"/>
      <c r="N218" s="3"/>
      <c r="O218" s="3"/>
      <c r="P218" s="3"/>
      <c r="Q218" s="3"/>
      <c r="R218" s="3"/>
      <c r="S218" s="3"/>
      <c r="T218" s="3"/>
      <c r="U218" s="3"/>
      <c r="V218" s="3"/>
      <c r="W218" s="3"/>
      <c r="X218" s="3"/>
      <c r="Y218" s="3"/>
      <c r="Z218" s="3"/>
    </row>
    <row r="219" ht="15.75" customHeight="1">
      <c r="A219" s="1"/>
      <c r="B219" s="2"/>
      <c r="C219" s="2"/>
      <c r="D219" s="2"/>
      <c r="E219" s="2"/>
      <c r="F219" s="2"/>
      <c r="G219" s="2"/>
      <c r="H219" s="3"/>
      <c r="I219" s="3"/>
      <c r="J219" s="3"/>
      <c r="K219" s="3"/>
      <c r="L219" s="3"/>
      <c r="M219" s="3"/>
      <c r="N219" s="3"/>
      <c r="O219" s="3"/>
      <c r="P219" s="3"/>
      <c r="Q219" s="3"/>
      <c r="R219" s="3"/>
      <c r="S219" s="3"/>
      <c r="T219" s="3"/>
      <c r="U219" s="3"/>
      <c r="V219" s="3"/>
      <c r="W219" s="3"/>
      <c r="X219" s="3"/>
      <c r="Y219" s="3"/>
      <c r="Z219" s="3"/>
    </row>
    <row r="220" ht="15.75" customHeight="1">
      <c r="A220" s="1"/>
      <c r="B220" s="2"/>
      <c r="C220" s="2"/>
      <c r="D220" s="2"/>
      <c r="E220" s="2"/>
      <c r="F220" s="2"/>
      <c r="G220" s="2"/>
      <c r="H220" s="3"/>
      <c r="I220" s="3"/>
      <c r="J220" s="3"/>
      <c r="K220" s="3"/>
      <c r="L220" s="3"/>
      <c r="M220" s="3"/>
      <c r="N220" s="3"/>
      <c r="O220" s="3"/>
      <c r="P220" s="3"/>
      <c r="Q220" s="3"/>
      <c r="R220" s="3"/>
      <c r="S220" s="3"/>
      <c r="T220" s="3"/>
      <c r="U220" s="3"/>
      <c r="V220" s="3"/>
      <c r="W220" s="3"/>
      <c r="X220" s="3"/>
      <c r="Y220" s="3"/>
      <c r="Z220" s="3"/>
    </row>
    <row r="221" ht="15.75" customHeight="1">
      <c r="A221" s="1"/>
      <c r="B221" s="2"/>
      <c r="C221" s="2"/>
      <c r="D221" s="2"/>
      <c r="E221" s="2"/>
      <c r="F221" s="2"/>
      <c r="G221" s="2"/>
      <c r="H221" s="3"/>
      <c r="I221" s="3"/>
      <c r="J221" s="3"/>
      <c r="K221" s="3"/>
      <c r="L221" s="3"/>
      <c r="M221" s="3"/>
      <c r="N221" s="3"/>
      <c r="O221" s="3"/>
      <c r="P221" s="3"/>
      <c r="Q221" s="3"/>
      <c r="R221" s="3"/>
      <c r="S221" s="3"/>
      <c r="T221" s="3"/>
      <c r="U221" s="3"/>
      <c r="V221" s="3"/>
      <c r="W221" s="3"/>
      <c r="X221" s="3"/>
      <c r="Y221" s="3"/>
      <c r="Z221" s="3"/>
    </row>
    <row r="222" ht="15.75" customHeight="1">
      <c r="A222" s="1"/>
      <c r="B222" s="2"/>
      <c r="C222" s="2"/>
      <c r="D222" s="2"/>
      <c r="E222" s="2"/>
      <c r="F222" s="2"/>
      <c r="G222" s="2"/>
      <c r="H222" s="3"/>
      <c r="I222" s="3"/>
      <c r="J222" s="3"/>
      <c r="K222" s="3"/>
      <c r="L222" s="3"/>
      <c r="M222" s="3"/>
      <c r="N222" s="3"/>
      <c r="O222" s="3"/>
      <c r="P222" s="3"/>
      <c r="Q222" s="3"/>
      <c r="R222" s="3"/>
      <c r="S222" s="3"/>
      <c r="T222" s="3"/>
      <c r="U222" s="3"/>
      <c r="V222" s="3"/>
      <c r="W222" s="3"/>
      <c r="X222" s="3"/>
      <c r="Y222" s="3"/>
      <c r="Z222" s="3"/>
    </row>
    <row r="223" ht="15.75" customHeight="1">
      <c r="A223" s="1"/>
      <c r="B223" s="2"/>
      <c r="C223" s="2"/>
      <c r="D223" s="2"/>
      <c r="E223" s="2"/>
      <c r="F223" s="2"/>
      <c r="G223" s="2"/>
      <c r="H223" s="3"/>
      <c r="I223" s="3"/>
      <c r="J223" s="3"/>
      <c r="K223" s="3"/>
      <c r="L223" s="3"/>
      <c r="M223" s="3"/>
      <c r="N223" s="3"/>
      <c r="O223" s="3"/>
      <c r="P223" s="3"/>
      <c r="Q223" s="3"/>
      <c r="R223" s="3"/>
      <c r="S223" s="3"/>
      <c r="T223" s="3"/>
      <c r="U223" s="3"/>
      <c r="V223" s="3"/>
      <c r="W223" s="3"/>
      <c r="X223" s="3"/>
      <c r="Y223" s="3"/>
      <c r="Z223" s="3"/>
    </row>
    <row r="224" ht="15.75" customHeight="1">
      <c r="A224" s="1"/>
      <c r="B224" s="2"/>
      <c r="C224" s="2"/>
      <c r="D224" s="2"/>
      <c r="E224" s="2"/>
      <c r="F224" s="2"/>
      <c r="G224" s="2"/>
      <c r="H224" s="3"/>
      <c r="I224" s="3"/>
      <c r="J224" s="3"/>
      <c r="K224" s="3"/>
      <c r="L224" s="3"/>
      <c r="M224" s="3"/>
      <c r="N224" s="3"/>
      <c r="O224" s="3"/>
      <c r="P224" s="3"/>
      <c r="Q224" s="3"/>
      <c r="R224" s="3"/>
      <c r="S224" s="3"/>
      <c r="T224" s="3"/>
      <c r="U224" s="3"/>
      <c r="V224" s="3"/>
      <c r="W224" s="3"/>
      <c r="X224" s="3"/>
      <c r="Y224" s="3"/>
      <c r="Z224" s="3"/>
    </row>
    <row r="225" ht="15.75" customHeight="1">
      <c r="A225" s="1"/>
      <c r="B225" s="2"/>
      <c r="C225" s="2"/>
      <c r="D225" s="2"/>
      <c r="E225" s="2"/>
      <c r="F225" s="2"/>
      <c r="G225" s="2"/>
      <c r="H225" s="3"/>
      <c r="I225" s="3"/>
      <c r="J225" s="3"/>
      <c r="K225" s="3"/>
      <c r="L225" s="3"/>
      <c r="M225" s="3"/>
      <c r="N225" s="3"/>
      <c r="O225" s="3"/>
      <c r="P225" s="3"/>
      <c r="Q225" s="3"/>
      <c r="R225" s="3"/>
      <c r="S225" s="3"/>
      <c r="T225" s="3"/>
      <c r="U225" s="3"/>
      <c r="V225" s="3"/>
      <c r="W225" s="3"/>
      <c r="X225" s="3"/>
      <c r="Y225" s="3"/>
      <c r="Z225" s="3"/>
    </row>
    <row r="226" ht="15.75" customHeight="1">
      <c r="A226" s="1"/>
      <c r="B226" s="2"/>
      <c r="C226" s="2"/>
      <c r="D226" s="2"/>
      <c r="E226" s="2"/>
      <c r="F226" s="2"/>
      <c r="G226" s="2"/>
      <c r="H226" s="3"/>
      <c r="I226" s="3"/>
      <c r="J226" s="3"/>
      <c r="K226" s="3"/>
      <c r="L226" s="3"/>
      <c r="M226" s="3"/>
      <c r="N226" s="3"/>
      <c r="O226" s="3"/>
      <c r="P226" s="3"/>
      <c r="Q226" s="3"/>
      <c r="R226" s="3"/>
      <c r="S226" s="3"/>
      <c r="T226" s="3"/>
      <c r="U226" s="3"/>
      <c r="V226" s="3"/>
      <c r="W226" s="3"/>
      <c r="X226" s="3"/>
      <c r="Y226" s="3"/>
      <c r="Z226" s="3"/>
    </row>
    <row r="227" ht="15.75" customHeight="1">
      <c r="A227" s="1"/>
      <c r="B227" s="2"/>
      <c r="C227" s="2"/>
      <c r="D227" s="2"/>
      <c r="E227" s="2"/>
      <c r="F227" s="2"/>
      <c r="G227" s="2"/>
      <c r="H227" s="3"/>
      <c r="I227" s="3"/>
      <c r="J227" s="3"/>
      <c r="K227" s="3"/>
      <c r="L227" s="3"/>
      <c r="M227" s="3"/>
      <c r="N227" s="3"/>
      <c r="O227" s="3"/>
      <c r="P227" s="3"/>
      <c r="Q227" s="3"/>
      <c r="R227" s="3"/>
      <c r="S227" s="3"/>
      <c r="T227" s="3"/>
      <c r="U227" s="3"/>
      <c r="V227" s="3"/>
      <c r="W227" s="3"/>
      <c r="X227" s="3"/>
      <c r="Y227" s="3"/>
      <c r="Z227" s="3"/>
    </row>
    <row r="228" ht="15.75" customHeight="1">
      <c r="A228" s="1"/>
      <c r="B228" s="2"/>
      <c r="C228" s="2"/>
      <c r="D228" s="2"/>
      <c r="E228" s="2"/>
      <c r="F228" s="2"/>
      <c r="G228" s="2"/>
      <c r="H228" s="3"/>
      <c r="I228" s="3"/>
      <c r="J228" s="3"/>
      <c r="K228" s="3"/>
      <c r="L228" s="3"/>
      <c r="M228" s="3"/>
      <c r="N228" s="3"/>
      <c r="O228" s="3"/>
      <c r="P228" s="3"/>
      <c r="Q228" s="3"/>
      <c r="R228" s="3"/>
      <c r="S228" s="3"/>
      <c r="T228" s="3"/>
      <c r="U228" s="3"/>
      <c r="V228" s="3"/>
      <c r="W228" s="3"/>
      <c r="X228" s="3"/>
      <c r="Y228" s="3"/>
      <c r="Z228" s="3"/>
    </row>
    <row r="229" ht="15.75" customHeight="1">
      <c r="A229" s="1"/>
      <c r="B229" s="2"/>
      <c r="C229" s="2"/>
      <c r="D229" s="2"/>
      <c r="E229" s="2"/>
      <c r="F229" s="2"/>
      <c r="G229" s="2"/>
      <c r="H229" s="3"/>
      <c r="I229" s="3"/>
      <c r="J229" s="3"/>
      <c r="K229" s="3"/>
      <c r="L229" s="3"/>
      <c r="M229" s="3"/>
      <c r="N229" s="3"/>
      <c r="O229" s="3"/>
      <c r="P229" s="3"/>
      <c r="Q229" s="3"/>
      <c r="R229" s="3"/>
      <c r="S229" s="3"/>
      <c r="T229" s="3"/>
      <c r="U229" s="3"/>
      <c r="V229" s="3"/>
      <c r="W229" s="3"/>
      <c r="X229" s="3"/>
      <c r="Y229" s="3"/>
      <c r="Z229" s="3"/>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C29:D29"/>
    <mergeCell ref="C31:D31"/>
    <mergeCell ref="D68:G68"/>
    <mergeCell ref="D69:G69"/>
    <mergeCell ref="D70:G70"/>
    <mergeCell ref="D71:G71"/>
    <mergeCell ref="D72:G72"/>
    <mergeCell ref="D73:G73"/>
    <mergeCell ref="B2:C2"/>
    <mergeCell ref="B22:D22"/>
    <mergeCell ref="B23:D23"/>
    <mergeCell ref="C25:D25"/>
    <mergeCell ref="C26:D26"/>
    <mergeCell ref="C27:D27"/>
    <mergeCell ref="C28:D28"/>
  </mergeCells>
  <printOptions/>
  <pageMargins bottom="0.75" footer="0.0" header="0.0" left="0.7" right="0.7" top="0.75"/>
  <pageSetup paperSize="9"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pane ySplit="3.0" topLeftCell="A4" activePane="bottomLeft" state="frozen"/>
      <selection activeCell="B5" sqref="B5" pane="bottomLeft"/>
    </sheetView>
  </sheetViews>
  <sheetFormatPr customHeight="1" defaultColWidth="12.63" defaultRowHeight="15.0"/>
  <cols>
    <col min="1" max="1" customWidth="true" width="2.88"/>
    <col min="2" max="2" customWidth="true" width="7.38"/>
    <col min="3" max="3" customWidth="true" width="67.88"/>
    <col min="4" max="5" customWidth="true" width="19.5"/>
    <col min="6" max="6" customWidth="true" width="18.0"/>
    <col min="7" max="7" customWidth="true" width="25.38"/>
  </cols>
  <sheetData>
    <row r="1" ht="15.75" customHeight="1">
      <c r="A1" s="46"/>
      <c r="B1" s="47"/>
      <c r="C1" s="47"/>
      <c r="D1" s="48"/>
      <c r="E1" s="48"/>
      <c r="F1" s="48"/>
      <c r="G1" s="47"/>
      <c r="H1" s="49"/>
      <c r="I1" s="49"/>
      <c r="J1" s="49"/>
      <c r="K1" s="49"/>
      <c r="L1" s="49"/>
      <c r="M1" s="49"/>
      <c r="N1" s="49"/>
      <c r="O1" s="49"/>
      <c r="P1" s="49"/>
      <c r="Q1" s="49"/>
      <c r="R1" s="49"/>
      <c r="S1" s="49"/>
      <c r="T1" s="49"/>
      <c r="U1" s="49"/>
      <c r="V1" s="49"/>
      <c r="W1" s="49"/>
      <c r="X1" s="49"/>
      <c r="Y1" s="49"/>
      <c r="Z1" s="49"/>
    </row>
    <row r="2">
      <c r="A2" s="50"/>
      <c r="B2" s="51" t="s">
        <v>30</v>
      </c>
      <c r="C2" s="52"/>
      <c r="D2" s="52"/>
      <c r="E2" s="52"/>
      <c r="F2" s="53"/>
      <c r="G2" s="47"/>
      <c r="H2" s="49"/>
      <c r="I2" s="49"/>
      <c r="J2" s="49"/>
      <c r="K2" s="49"/>
      <c r="L2" s="49"/>
      <c r="M2" s="49"/>
      <c r="N2" s="49"/>
      <c r="O2" s="49"/>
      <c r="P2" s="49"/>
      <c r="Q2" s="49"/>
      <c r="R2" s="49"/>
      <c r="S2" s="49"/>
      <c r="T2" s="49"/>
      <c r="U2" s="49"/>
      <c r="V2" s="49"/>
      <c r="W2" s="49"/>
      <c r="X2" s="49"/>
      <c r="Y2" s="49"/>
      <c r="Z2" s="49"/>
    </row>
    <row r="3">
      <c r="A3" s="50"/>
      <c r="B3" s="54" t="s">
        <v>31</v>
      </c>
      <c r="C3" s="55" t="s">
        <v>32</v>
      </c>
      <c r="D3" s="56" t="s">
        <v>33</v>
      </c>
      <c r="E3" s="56" t="s">
        <v>34</v>
      </c>
      <c r="F3" s="57" t="s">
        <v>35</v>
      </c>
      <c r="G3" s="47"/>
      <c r="H3" s="47"/>
      <c r="I3" s="47"/>
      <c r="J3" s="47"/>
      <c r="K3" s="47"/>
      <c r="L3" s="47"/>
      <c r="M3" s="47"/>
      <c r="N3" s="47"/>
      <c r="O3" s="47"/>
      <c r="P3" s="47"/>
      <c r="Q3" s="47"/>
      <c r="R3" s="47"/>
      <c r="S3" s="47"/>
      <c r="T3" s="47"/>
      <c r="U3" s="47"/>
      <c r="V3" s="47"/>
      <c r="W3" s="47"/>
      <c r="X3" s="47"/>
      <c r="Y3" s="49"/>
      <c r="Z3" s="49"/>
    </row>
    <row r="4" ht="15.75" customHeight="1">
      <c r="A4" s="47"/>
      <c r="B4" s="58"/>
      <c r="C4" s="59" t="s">
        <v>36</v>
      </c>
      <c r="D4" s="60">
        <f>IFERROR(COUNTIF('Order Level'!I:I,"Delivered"),0)</f>
        <v>0</v>
      </c>
      <c r="E4" s="60">
        <f>IFERROR(COUNTIF('Order Level'!I:I,"CANCELLED")+COUNTIF('Order Level'!I:I,"REJECTED")+COUNTIF('Order Level'!I:I,"TIMEDOUT"),0)</f>
        <v>0</v>
      </c>
      <c r="F4" s="61">
        <f>SUM(D4:E4)</f>
        <v>0</v>
      </c>
      <c r="G4" s="62"/>
      <c r="H4" s="49"/>
      <c r="I4" s="49"/>
      <c r="J4" s="49"/>
      <c r="K4" s="49"/>
      <c r="L4" s="49"/>
      <c r="M4" s="49"/>
      <c r="N4" s="49"/>
      <c r="O4" s="49"/>
      <c r="P4" s="49"/>
      <c r="Q4" s="49"/>
      <c r="R4" s="49"/>
      <c r="S4" s="49"/>
      <c r="T4" s="49"/>
      <c r="U4" s="49"/>
      <c r="V4" s="49"/>
      <c r="W4" s="49"/>
      <c r="X4" s="49"/>
      <c r="Y4" s="49"/>
      <c r="Z4" s="49"/>
    </row>
    <row r="5" ht="15.75" customHeight="1">
      <c r="A5" s="63"/>
      <c r="B5" s="64"/>
      <c r="C5" s="65"/>
      <c r="D5" s="66"/>
      <c r="E5" s="66"/>
      <c r="F5" s="67"/>
      <c r="G5" s="62"/>
      <c r="H5" s="49"/>
      <c r="I5" s="49"/>
      <c r="J5" s="49"/>
      <c r="K5" s="49"/>
      <c r="L5" s="49"/>
      <c r="M5" s="49"/>
      <c r="N5" s="49"/>
      <c r="O5" s="49"/>
      <c r="P5" s="49"/>
      <c r="Q5" s="49"/>
      <c r="R5" s="49"/>
      <c r="S5" s="49"/>
      <c r="T5" s="49"/>
      <c r="U5" s="49"/>
      <c r="V5" s="49"/>
      <c r="W5" s="49"/>
      <c r="X5" s="49"/>
      <c r="Y5" s="49"/>
      <c r="Z5" s="49"/>
    </row>
    <row r="6" ht="35.25" customHeight="1">
      <c r="A6" s="63"/>
      <c r="B6" s="68" t="s">
        <v>37</v>
      </c>
      <c r="C6" s="69" t="s">
        <v>38</v>
      </c>
      <c r="D6" s="70">
        <f>D7+D8+D9-D10-D11+D14+D12-D13</f>
        <v>0</v>
      </c>
      <c r="E6" s="70">
        <f>E7+E8+E9-E10-E11+E12+E14-E13</f>
        <v>0</v>
      </c>
      <c r="F6" s="71">
        <f>F7+F8+F9-F10-F11+F14+F12-F13</f>
        <v>0</v>
      </c>
      <c r="G6" s="62"/>
      <c r="H6" s="49"/>
      <c r="I6" s="49"/>
      <c r="J6" s="49"/>
      <c r="K6" s="49"/>
      <c r="L6" s="49"/>
      <c r="M6" s="49"/>
      <c r="N6" s="49"/>
      <c r="O6" s="49"/>
      <c r="P6" s="49"/>
      <c r="Q6" s="49"/>
      <c r="R6" s="49"/>
      <c r="S6" s="49"/>
      <c r="T6" s="49"/>
      <c r="U6" s="49"/>
      <c r="V6" s="49"/>
      <c r="W6" s="49"/>
      <c r="X6" s="49"/>
      <c r="Y6" s="49"/>
      <c r="Z6" s="49"/>
    </row>
    <row r="7" ht="15.75" customHeight="1">
      <c r="A7" s="63"/>
      <c r="B7" s="72" t="s">
        <v>39</v>
      </c>
      <c r="C7" s="73" t="str">
        <f>'Order Level'!O7</f>
        <v>Subtotal (items total)</v>
      </c>
      <c r="D7" s="74">
        <f>SUMIFS('Order Level'!$O:$O,'Order Level'!$I:$I,"DELIVERED")</f>
        <v>0</v>
      </c>
      <c r="E7" s="74">
        <f>IFERROR(SUMIFS('Order Level'!$O:$O,'Order Level'!$I:$I,"CANCELLED")+SUMIFS('Order Level'!$O:$O,'Order Level'!$I:$I,"REJECTED")+SUMIFS('Order Level'!$O:$O,'Order Level'!$I:$I,"TIMEDOUT"),0)</f>
        <v>0</v>
      </c>
      <c r="F7" s="75">
        <f t="shared" ref="F7:F14" si="1">SUM(D7:E7)</f>
        <v>0</v>
      </c>
      <c r="G7" s="62"/>
      <c r="H7" s="49"/>
      <c r="I7" s="49"/>
      <c r="J7" s="49"/>
      <c r="K7" s="49"/>
      <c r="L7" s="49"/>
      <c r="M7" s="49"/>
      <c r="N7" s="49"/>
      <c r="O7" s="49"/>
      <c r="P7" s="49"/>
      <c r="Q7" s="49"/>
      <c r="R7" s="49"/>
      <c r="S7" s="49"/>
      <c r="T7" s="49"/>
      <c r="U7" s="49"/>
      <c r="V7" s="49"/>
      <c r="W7" s="49"/>
      <c r="X7" s="49"/>
      <c r="Y7" s="49"/>
      <c r="Z7" s="49"/>
    </row>
    <row r="8" ht="15.75" customHeight="1">
      <c r="A8" s="63"/>
      <c r="B8" s="72" t="s">
        <v>40</v>
      </c>
      <c r="C8" s="76" t="str">
        <f>'Order Level'!P7</f>
        <v>Packaging charge</v>
      </c>
      <c r="D8" s="74">
        <f>IFERROR(SUMIFS('Order Level'!$P:$P,'Order Level'!$I:$I,"DELIVERED"),0)</f>
        <v>0</v>
      </c>
      <c r="E8" s="74">
        <f>IFERROR(SUMIFS('Order Level'!$P:$P,'Order Level'!$I:$I,"CANCELLED")+SUMIFS('Order Level'!$P:$P,'Order Level'!$I:$I,"REJECTED")+SUMIFS('Order Level'!$P:$P,'Order Level'!$I:$I,"TIMEDOUT"),0)</f>
        <v>0</v>
      </c>
      <c r="F8" s="75">
        <f t="shared" si="1"/>
        <v>0</v>
      </c>
      <c r="G8" s="62"/>
      <c r="H8" s="49"/>
      <c r="I8" s="49"/>
      <c r="J8" s="49"/>
      <c r="K8" s="49"/>
      <c r="L8" s="49"/>
      <c r="M8" s="49"/>
      <c r="N8" s="49"/>
      <c r="O8" s="49"/>
      <c r="P8" s="49"/>
      <c r="Q8" s="49"/>
      <c r="R8" s="49"/>
      <c r="S8" s="49"/>
      <c r="T8" s="49"/>
      <c r="U8" s="49"/>
      <c r="V8" s="49"/>
      <c r="W8" s="49"/>
      <c r="X8" s="49"/>
      <c r="Y8" s="49"/>
      <c r="Z8" s="49"/>
    </row>
    <row r="9" ht="15.75" customHeight="1">
      <c r="A9" s="63"/>
      <c r="B9" s="72" t="s">
        <v>41</v>
      </c>
      <c r="C9" s="76" t="str">
        <f>'Order Level'!Q7</f>
        <v>Delivery charge for restaurants on self logistics</v>
      </c>
      <c r="D9" s="74">
        <f>IFERROR(SUMIFS('Order Level'!$Q:$Q,'Order Level'!$I:$I,"DELIVERED"),0)</f>
        <v>0</v>
      </c>
      <c r="E9" s="74">
        <f>IFERROR(SUMIFS('Order Level'!$Q:$Q,'Order Level'!$I:$I,"CANCELLED")+SUMIFS('Order Level'!$Q:$Q,'Order Level'!$I:$I,"REJECTED")+SUMIFS('Order Level'!$Q:$Q,'Order Level'!$I:$I,"TIMEDOUT"),0)</f>
        <v>0</v>
      </c>
      <c r="F9" s="75">
        <f t="shared" si="1"/>
        <v>0</v>
      </c>
      <c r="G9" s="62"/>
      <c r="H9" s="49"/>
      <c r="I9" s="49"/>
      <c r="J9" s="49"/>
      <c r="K9" s="49"/>
      <c r="L9" s="49"/>
      <c r="M9" s="49"/>
      <c r="N9" s="49"/>
      <c r="O9" s="49"/>
      <c r="P9" s="49"/>
      <c r="Q9" s="49"/>
      <c r="R9" s="49"/>
      <c r="S9" s="49"/>
      <c r="T9" s="49"/>
      <c r="U9" s="49"/>
      <c r="V9" s="49"/>
      <c r="W9" s="49"/>
      <c r="X9" s="49"/>
      <c r="Y9" s="49"/>
      <c r="Z9" s="49"/>
    </row>
    <row r="10" ht="15.75" customHeight="1">
      <c r="A10" s="63"/>
      <c r="B10" s="72" t="s">
        <v>42</v>
      </c>
      <c r="C10" s="76" t="str">
        <f>'Order Level'!R7</f>
        <v>Restaurant discount (Promo)</v>
      </c>
      <c r="D10" s="74">
        <f>IFERROR(SUMIFS('Order Level'!$R:$R,'Order Level'!$I:$I,"DELIVERED"),0)</f>
        <v>0</v>
      </c>
      <c r="E10" s="74">
        <f>IFERROR(SUMIFS('Order Level'!$R:$R,'Order Level'!$I:$I,"CANCELLED")+SUMIFS('Order Level'!$R:$R,'Order Level'!$I:$I,"REJECTED")+SUMIFS('Order Level'!$R:$R,'Order Level'!$I:$I,"TIMEDOUT"),0)</f>
        <v>0</v>
      </c>
      <c r="F10" s="75">
        <f t="shared" si="1"/>
        <v>0</v>
      </c>
      <c r="G10" s="62"/>
      <c r="H10" s="49"/>
      <c r="I10" s="49"/>
      <c r="J10" s="49"/>
      <c r="K10" s="49"/>
      <c r="L10" s="49"/>
      <c r="M10" s="49"/>
      <c r="N10" s="49"/>
      <c r="O10" s="49"/>
      <c r="P10" s="49"/>
      <c r="Q10" s="49"/>
      <c r="R10" s="49"/>
      <c r="S10" s="49"/>
      <c r="T10" s="49"/>
      <c r="U10" s="49"/>
      <c r="V10" s="49"/>
      <c r="W10" s="49"/>
      <c r="X10" s="49"/>
      <c r="Y10" s="49"/>
      <c r="Z10" s="49"/>
    </row>
    <row r="11" ht="15.75" customHeight="1">
      <c r="A11" s="63"/>
      <c r="B11" s="72" t="s">
        <v>43</v>
      </c>
      <c r="C11" s="76" t="str">
        <f>'Order Level'!S7</f>
        <v>Restaurant discount (BOGO, Freebies, Gold, Brand pack &amp; others)</v>
      </c>
      <c r="D11" s="74">
        <f>IFERROR(SUMIFS('Order Level'!$S:$S,'Order Level'!$I:$I,"DELIVERED"),0)</f>
        <v>0</v>
      </c>
      <c r="E11" s="74">
        <f>IFERROR(SUMIFS('Order Level'!$S:$S,'Order Level'!$I:$I,"CANCELLED")+SUMIFS('Order Level'!$S:$S,'Order Level'!$I:$I,"REJECTED")+SUMIFS('Order Level'!$S:$S,'Order Level'!$I:$I,"TIMEDOUT"),0)</f>
        <v>0</v>
      </c>
      <c r="F11" s="75">
        <f t="shared" si="1"/>
        <v>0</v>
      </c>
      <c r="G11" s="62" t="s">
        <v>44</v>
      </c>
      <c r="H11" s="49"/>
      <c r="I11" s="49"/>
      <c r="J11" s="49"/>
      <c r="K11" s="49"/>
      <c r="L11" s="49"/>
      <c r="M11" s="49"/>
      <c r="N11" s="49"/>
      <c r="O11" s="49"/>
      <c r="P11" s="49"/>
      <c r="Q11" s="49"/>
      <c r="R11" s="49"/>
      <c r="S11" s="49"/>
      <c r="T11" s="49"/>
      <c r="U11" s="49"/>
      <c r="V11" s="49"/>
      <c r="W11" s="49"/>
      <c r="X11" s="49"/>
      <c r="Y11" s="49"/>
      <c r="Z11" s="49"/>
    </row>
    <row r="12" ht="15.75" customHeight="1">
      <c r="A12" s="63"/>
      <c r="B12" s="72" t="s">
        <v>45</v>
      </c>
      <c r="C12" s="76" t="str">
        <f>'Order Level'!T7</f>
        <v>Brand pack subscription fee </v>
      </c>
      <c r="D12" s="77">
        <f>IFERROR(SUMIFS('Order Level'!$T:$T,'Order Level'!$I:$I,"DELIVERED"),0)</f>
        <v>0</v>
      </c>
      <c r="E12" s="74">
        <f>IFERROR(SUMIFS('Order Level'!$T:$T,'Order Level'!$I:$I,"CANCELLED")+SUMIFS('Order Level'!$T:$T,'Order Level'!$I:$I,"REJECTED")+SUMIFS('Order Level'!$T:$T,'Order Level'!$I:$I,"TIMEDOUT"),0)</f>
        <v>0</v>
      </c>
      <c r="F12" s="78">
        <f t="shared" si="1"/>
        <v>0</v>
      </c>
      <c r="G12" s="62"/>
      <c r="H12" s="49"/>
      <c r="I12" s="49"/>
      <c r="J12" s="49"/>
      <c r="K12" s="49"/>
      <c r="L12" s="49"/>
      <c r="M12" s="49"/>
      <c r="N12" s="49"/>
      <c r="O12" s="49"/>
      <c r="P12" s="49"/>
      <c r="Q12" s="49"/>
      <c r="R12" s="49"/>
      <c r="S12" s="49"/>
      <c r="T12" s="49"/>
      <c r="U12" s="49"/>
      <c r="V12" s="49"/>
      <c r="W12" s="49"/>
      <c r="X12" s="49"/>
      <c r="Y12" s="49"/>
      <c r="Z12" s="49"/>
    </row>
    <row r="13" ht="15.75" customHeight="1">
      <c r="A13" s="63"/>
      <c r="B13" s="72" t="s">
        <v>46</v>
      </c>
      <c r="C13" s="76" t="str">
        <f>'Order Level'!U7</f>
        <v>Delivery charge discount/ Relisting discount </v>
      </c>
      <c r="D13" s="74">
        <f>IFERROR(SUMIFS('Order Level'!$U:$U,'Order Level'!$I:$I,"DELIVERED"),0)</f>
        <v>0</v>
      </c>
      <c r="E13" s="74">
        <f>IFERROR(SUMIFS('Order Level'!$U:$U,'Order Level'!$I:$I,"CANCELLED")+SUMIFS('Order Level'!$U:$U,'Order Level'!$I:$I,"REJECTED")+SUMIFS('Order Level'!$U:$U,'Order Level'!$I:$I,"TIMEDOUT"),0)</f>
        <v>0</v>
      </c>
      <c r="F13" s="75">
        <f t="shared" si="1"/>
        <v>0</v>
      </c>
      <c r="G13" s="62"/>
      <c r="H13" s="49"/>
      <c r="I13" s="49"/>
      <c r="J13" s="49"/>
      <c r="K13" s="49"/>
      <c r="L13" s="49"/>
      <c r="M13" s="49"/>
      <c r="N13" s="49"/>
      <c r="O13" s="49"/>
      <c r="P13" s="49"/>
      <c r="Q13" s="49"/>
      <c r="R13" s="49"/>
      <c r="S13" s="49"/>
      <c r="T13" s="49"/>
      <c r="U13" s="49"/>
      <c r="V13" s="49"/>
      <c r="W13" s="49"/>
      <c r="X13" s="49"/>
      <c r="Y13" s="49"/>
      <c r="Z13" s="49"/>
    </row>
    <row r="14" ht="15.75" customHeight="1">
      <c r="A14" s="63"/>
      <c r="B14" s="72" t="s">
        <v>47</v>
      </c>
      <c r="C14" s="73" t="str">
        <f>'Order Level'!V7</f>
        <v>Total GST collected from customers</v>
      </c>
      <c r="D14" s="74">
        <f>IFERROR(SUMIFS('Order Level'!$V:$V,'Order Level'!$I:$I,"DELIVERED"),0)</f>
        <v>0</v>
      </c>
      <c r="E14" s="74">
        <f>IFERROR(SUMIFS('Order Level'!$V:$V,'Order Level'!$I:$I,"CANCELLED")+SUMIFS('Order Level'!$V:$V,'Order Level'!$I:$I,"REJECTED")+SUMIFS('Order Level'!$V:$V,'Order Level'!$I:$I,"TIMEDOUT"),0)</f>
        <v>0</v>
      </c>
      <c r="F14" s="75">
        <f t="shared" si="1"/>
        <v>0</v>
      </c>
      <c r="G14" s="62"/>
      <c r="H14" s="49"/>
      <c r="I14" s="49"/>
      <c r="J14" s="49"/>
      <c r="K14" s="49"/>
      <c r="L14" s="49"/>
      <c r="M14" s="49"/>
      <c r="N14" s="49"/>
      <c r="O14" s="49"/>
      <c r="P14" s="49"/>
      <c r="Q14" s="49"/>
      <c r="R14" s="49"/>
      <c r="S14" s="49"/>
      <c r="T14" s="49"/>
      <c r="U14" s="49"/>
      <c r="V14" s="49"/>
      <c r="W14" s="49"/>
      <c r="X14" s="49"/>
      <c r="Y14" s="49"/>
      <c r="Z14" s="49"/>
    </row>
    <row r="15" ht="15.75" customHeight="1">
      <c r="A15" s="47"/>
      <c r="B15" s="58"/>
      <c r="C15" s="79"/>
      <c r="D15" s="80"/>
      <c r="E15" s="80"/>
      <c r="F15" s="81"/>
      <c r="G15" s="62"/>
      <c r="H15" s="49"/>
      <c r="I15" s="49"/>
      <c r="J15" s="49"/>
      <c r="K15" s="49"/>
      <c r="L15" s="49"/>
      <c r="M15" s="49"/>
      <c r="N15" s="49"/>
      <c r="O15" s="49"/>
      <c r="P15" s="49"/>
      <c r="Q15" s="49"/>
      <c r="R15" s="49"/>
      <c r="S15" s="49"/>
      <c r="T15" s="49"/>
      <c r="U15" s="49"/>
      <c r="V15" s="49"/>
      <c r="W15" s="49"/>
      <c r="X15" s="49"/>
      <c r="Y15" s="49"/>
      <c r="Z15" s="49"/>
    </row>
    <row r="16" ht="35.25" customHeight="1">
      <c r="A16" s="47"/>
      <c r="B16" s="82" t="s">
        <v>48</v>
      </c>
      <c r="C16" s="69" t="s">
        <v>49</v>
      </c>
      <c r="D16" s="70">
        <f t="shared" ref="D16:F16" si="2">D17+D18+D19</f>
        <v>0</v>
      </c>
      <c r="E16" s="70">
        <f t="shared" si="2"/>
        <v>0</v>
      </c>
      <c r="F16" s="83">
        <f t="shared" si="2"/>
        <v>0</v>
      </c>
      <c r="G16" s="62"/>
      <c r="H16" s="49"/>
      <c r="I16" s="49"/>
      <c r="J16" s="49"/>
      <c r="K16" s="49"/>
      <c r="L16" s="49"/>
      <c r="M16" s="49"/>
      <c r="N16" s="49"/>
      <c r="O16" s="49"/>
      <c r="P16" s="49"/>
      <c r="Q16" s="49"/>
      <c r="R16" s="49"/>
      <c r="S16" s="49"/>
      <c r="T16" s="49"/>
      <c r="U16" s="49"/>
      <c r="V16" s="49"/>
      <c r="W16" s="49"/>
      <c r="X16" s="49"/>
      <c r="Y16" s="49"/>
      <c r="Z16" s="49"/>
    </row>
    <row r="17">
      <c r="A17" s="47"/>
      <c r="B17" s="84" t="s">
        <v>50</v>
      </c>
      <c r="C17" s="73" t="s">
        <v>51</v>
      </c>
      <c r="D17" s="74">
        <f>IFERROR(SUMIFS('Order Level'!$X:$X,'Order Level'!$I:$I,"DELIVERED"),0)</f>
        <v>0</v>
      </c>
      <c r="E17" s="74">
        <f>IFERROR(SUMIFS('Order Level'!$X:$X,'Order Level'!$I:$I,"CANCELLED")+SUMIFS('Order Level'!$X:$X,'Order Level'!$I:$I,"REJECTED")+SUMIFS('Order Level'!$X:$X,'Order Level'!$I:$I,"TIMEDOUT"),0)</f>
        <v>0</v>
      </c>
      <c r="F17" s="75">
        <f t="shared" ref="F17:F19" si="3">sum(D17:E17)</f>
        <v>0</v>
      </c>
      <c r="G17" s="62"/>
      <c r="H17" s="49"/>
      <c r="I17" s="49"/>
      <c r="J17" s="49"/>
      <c r="K17" s="49"/>
      <c r="L17" s="49"/>
      <c r="M17" s="49"/>
      <c r="N17" s="49"/>
      <c r="O17" s="49"/>
      <c r="P17" s="49"/>
      <c r="Q17" s="49"/>
      <c r="R17" s="49"/>
      <c r="S17" s="49"/>
      <c r="T17" s="49"/>
      <c r="U17" s="49"/>
      <c r="V17" s="49"/>
      <c r="W17" s="49"/>
      <c r="X17" s="49"/>
      <c r="Y17" s="49"/>
      <c r="Z17" s="49"/>
    </row>
    <row r="18">
      <c r="A18" s="47"/>
      <c r="B18" s="84" t="s">
        <v>52</v>
      </c>
      <c r="C18" s="73" t="s">
        <v>53</v>
      </c>
      <c r="D18" s="74">
        <f>IFERROR(SUMIFS('Order Level'!$Y:$Y,'Order Level'!$I:$I,"DELIVERED"),0)</f>
        <v>0</v>
      </c>
      <c r="E18" s="74">
        <f>IFERROR(SUMIFS('Order Level'!$Y:$Y,'Order Level'!$I:$I,"CANCELLED")+SUMIFS('Order Level'!$Y:$Y,'Order Level'!$I:$I,"REJECTED")+SUMIFS('Order Level'!$Y:$Y,'Order Level'!$I:$I,"TIMEDOUT"),0)</f>
        <v>0</v>
      </c>
      <c r="F18" s="75">
        <f t="shared" si="3"/>
        <v>0</v>
      </c>
      <c r="G18" s="62"/>
      <c r="H18" s="49"/>
      <c r="I18" s="49"/>
      <c r="J18" s="49"/>
      <c r="K18" s="49"/>
      <c r="L18" s="49"/>
      <c r="M18" s="49"/>
      <c r="N18" s="49"/>
      <c r="O18" s="49"/>
      <c r="P18" s="49"/>
      <c r="Q18" s="49"/>
      <c r="R18" s="49"/>
      <c r="S18" s="49"/>
      <c r="T18" s="49"/>
      <c r="U18" s="49"/>
      <c r="V18" s="49"/>
      <c r="W18" s="49"/>
      <c r="X18" s="49"/>
      <c r="Y18" s="49"/>
      <c r="Z18" s="49"/>
    </row>
    <row r="19">
      <c r="A19" s="47"/>
      <c r="B19" s="84" t="s">
        <v>54</v>
      </c>
      <c r="C19" s="73" t="s">
        <v>55</v>
      </c>
      <c r="D19" s="74">
        <f>IFERROR(SUMIFS('Order Level'!$Z:$Z,'Order Level'!$I:$I,"DELIVERED"),0)</f>
        <v>0</v>
      </c>
      <c r="E19" s="74">
        <f>IFERROR(SUMIFS('Order Level'!$Z:$Z,'Order Level'!$I:$I,"CANCELLED")+SUMIFS('Order Level'!$Z:$Z,'Order Level'!$I:$I,"REJECTED")+SUMIFS('Order Level'!$Z:$Z,'Order Level'!$I:$I,"TIMEDOUT"),0)</f>
        <v>0</v>
      </c>
      <c r="F19" s="75">
        <f t="shared" si="3"/>
        <v>0</v>
      </c>
      <c r="G19" s="62"/>
      <c r="H19" s="49"/>
      <c r="I19" s="49"/>
      <c r="J19" s="49"/>
      <c r="K19" s="49"/>
      <c r="L19" s="49"/>
      <c r="M19" s="49"/>
      <c r="N19" s="49"/>
      <c r="O19" s="49"/>
      <c r="P19" s="49"/>
      <c r="Q19" s="49"/>
      <c r="R19" s="49"/>
      <c r="S19" s="49"/>
      <c r="T19" s="49"/>
      <c r="U19" s="49"/>
      <c r="V19" s="49"/>
      <c r="W19" s="49"/>
      <c r="X19" s="49"/>
      <c r="Y19" s="49"/>
      <c r="Z19" s="49"/>
    </row>
    <row r="20" ht="18.75" customHeight="1">
      <c r="A20" s="47"/>
      <c r="B20" s="58"/>
      <c r="C20" s="79"/>
      <c r="D20" s="80"/>
      <c r="E20" s="80"/>
      <c r="F20" s="81"/>
      <c r="G20" s="62"/>
      <c r="H20" s="49"/>
      <c r="I20" s="49"/>
      <c r="J20" s="49"/>
      <c r="K20" s="49"/>
      <c r="L20" s="49"/>
      <c r="M20" s="49"/>
      <c r="N20" s="49"/>
      <c r="O20" s="49"/>
      <c r="P20" s="49"/>
      <c r="Q20" s="49"/>
      <c r="R20" s="49"/>
      <c r="S20" s="49"/>
      <c r="T20" s="49"/>
      <c r="U20" s="49"/>
      <c r="V20" s="49"/>
      <c r="W20" s="49"/>
      <c r="X20" s="49"/>
      <c r="Y20" s="49"/>
      <c r="Z20" s="49"/>
    </row>
    <row r="21" ht="34.5" customHeight="1">
      <c r="A21" s="47"/>
      <c r="B21" s="68" t="s">
        <v>56</v>
      </c>
      <c r="C21" s="69" t="s">
        <v>57</v>
      </c>
      <c r="D21" s="70">
        <f t="shared" ref="D21:F21" si="4">D22+D23-D24-D25+D26</f>
        <v>0</v>
      </c>
      <c r="E21" s="70">
        <f t="shared" si="4"/>
        <v>0</v>
      </c>
      <c r="F21" s="85">
        <f t="shared" si="4"/>
        <v>0</v>
      </c>
      <c r="G21" s="62"/>
      <c r="H21" s="49"/>
      <c r="I21" s="49"/>
      <c r="J21" s="49"/>
      <c r="K21" s="49"/>
      <c r="L21" s="49"/>
      <c r="M21" s="49"/>
      <c r="N21" s="49"/>
      <c r="O21" s="49"/>
      <c r="P21" s="49"/>
      <c r="Q21" s="49"/>
      <c r="R21" s="49"/>
      <c r="S21" s="49"/>
      <c r="T21" s="49"/>
      <c r="U21" s="49"/>
      <c r="V21" s="49"/>
      <c r="W21" s="49"/>
      <c r="X21" s="49"/>
      <c r="Y21" s="49"/>
      <c r="Z21" s="49"/>
    </row>
    <row r="22" ht="18.75" customHeight="1">
      <c r="A22" s="47"/>
      <c r="B22" s="72" t="s">
        <v>58</v>
      </c>
      <c r="C22" s="76" t="str">
        <f>LEFT('Order Level'!AC7,FIND("[",'Order Level'!AC7)-2)</f>
        <v>Base service fee</v>
      </c>
      <c r="D22" s="74">
        <f>IFERROR(SUMIFS('Order Level'!$AC:$AC,'Order Level'!$I:$I,"DELIVERED"),0)</f>
        <v>0</v>
      </c>
      <c r="E22" s="74">
        <f>IFERROR(SUMIFS('Order Level'!$AC:$AC,'Order Level'!$I:$I,"CANCELLED")+SUMIFS('Order Level'!$AC:$AC,'Order Level'!$I:$I,"REJECTED")+SUMIFS('Order Level'!$AC:$AC,'Order Level'!$I:$I,"TIMEDOUT"),0)</f>
        <v>0</v>
      </c>
      <c r="F22" s="75">
        <f t="shared" ref="F22:F26" si="5">SUM(D22:E22)</f>
        <v>0</v>
      </c>
      <c r="G22" s="62"/>
      <c r="H22" s="49"/>
      <c r="I22" s="49"/>
      <c r="J22" s="49"/>
      <c r="K22" s="49"/>
      <c r="L22" s="49"/>
      <c r="M22" s="49"/>
      <c r="N22" s="49"/>
      <c r="O22" s="49"/>
      <c r="P22" s="49"/>
      <c r="Q22" s="49"/>
      <c r="R22" s="49"/>
      <c r="S22" s="49"/>
      <c r="T22" s="49"/>
      <c r="U22" s="49"/>
      <c r="V22" s="49"/>
      <c r="W22" s="49"/>
      <c r="X22" s="49"/>
      <c r="Y22" s="49"/>
      <c r="Z22" s="49"/>
    </row>
    <row r="23" ht="18.75" customHeight="1">
      <c r="A23" s="47"/>
      <c r="B23" s="72" t="s">
        <v>59</v>
      </c>
      <c r="C23" s="76" t="str">
        <f>'Order Level'!AE7</f>
        <v>Long distance enablement fee</v>
      </c>
      <c r="D23" s="74">
        <f>IFERROR(SUMIFS('Order Level'!$AE:$AE,'Order Level'!$I:$I,"DELIVERED"),0)</f>
        <v>0</v>
      </c>
      <c r="E23" s="74">
        <f>IFERROR(SUMIFS('Order Level'!$AE:$AE,'Order Level'!$I:$I,"CANCELLED")+SUMIFS('Order Level'!$AE:$AE,'Order Level'!$I:$I,"REJECTED")+SUMIFS('Order Level'!$AE:$AE,'Order Level'!$I:$I,"TIMEDOUT"),0)</f>
        <v>0</v>
      </c>
      <c r="F23" s="75">
        <f t="shared" si="5"/>
        <v>0</v>
      </c>
      <c r="G23" s="62"/>
      <c r="H23" s="49"/>
      <c r="I23" s="49"/>
      <c r="J23" s="49"/>
      <c r="K23" s="49"/>
      <c r="L23" s="49"/>
      <c r="M23" s="49"/>
      <c r="N23" s="49"/>
      <c r="O23" s="49"/>
      <c r="P23" s="49"/>
      <c r="Q23" s="49"/>
      <c r="R23" s="49"/>
      <c r="S23" s="49"/>
      <c r="T23" s="49"/>
      <c r="U23" s="49"/>
      <c r="V23" s="49"/>
      <c r="W23" s="49"/>
      <c r="X23" s="49"/>
      <c r="Y23" s="49"/>
      <c r="Z23" s="49"/>
    </row>
    <row r="24" ht="18.75" customHeight="1">
      <c r="A24" s="47"/>
      <c r="B24" s="72" t="s">
        <v>60</v>
      </c>
      <c r="C24" s="76" t="str">
        <f>'Order Level'!AF7</f>
        <v>Discount on long distance enablement fee</v>
      </c>
      <c r="D24" s="74">
        <f>IFERROR(SUMIFS('Order Level'!$AF:$AF,'Order Level'!$I:$I,"DELIVERED"),0)</f>
        <v>0</v>
      </c>
      <c r="E24" s="74">
        <f>IFERROR(SUMIFS('Order Level'!$AF:$AF,'Order Level'!$I:$I,"CANCELLED")+SUMIFS('Order Level'!$AF:$AF,'Order Level'!$I:$I,"REJECTED")+SUMIFS('Order Level'!$AF:$AF,'Order Level'!$I:$I,"TIMEDOUT"),0)</f>
        <v>0</v>
      </c>
      <c r="F24" s="75">
        <f t="shared" si="5"/>
        <v>0</v>
      </c>
      <c r="G24" s="62"/>
      <c r="H24" s="49"/>
      <c r="I24" s="49"/>
      <c r="J24" s="49"/>
      <c r="K24" s="49"/>
      <c r="L24" s="49"/>
      <c r="M24" s="49"/>
      <c r="N24" s="49"/>
      <c r="O24" s="49"/>
      <c r="P24" s="49"/>
      <c r="Q24" s="49"/>
      <c r="R24" s="49"/>
      <c r="S24" s="49"/>
      <c r="T24" s="49"/>
      <c r="U24" s="49"/>
      <c r="V24" s="49"/>
      <c r="W24" s="49"/>
      <c r="X24" s="49"/>
      <c r="Y24" s="49"/>
      <c r="Z24" s="49"/>
    </row>
    <row r="25" ht="44.25" customHeight="1">
      <c r="A25" s="63"/>
      <c r="B25" s="72" t="s">
        <v>61</v>
      </c>
      <c r="C25" s="73" t="s">
        <v>62</v>
      </c>
      <c r="D25" s="74">
        <f>IFERROR(SUMIFS('Order Level'!$AG:$AG,'Order Level'!$I:$I,"DELIVERED"),0)</f>
        <v>0</v>
      </c>
      <c r="E25" s="74">
        <f>IFERROR(SUMIFS('Order Level'!$AG:$AG,'Order Level'!$I:$I,"CANCELLED")+SUMIFS('Order Level'!$AG:$AG,'Order Level'!$I:$I,"REJECTED")+SUMIFS('Order Level'!$AG:$AG,'Order Level'!$I:$I,"TIMEDOUT"),0)</f>
        <v>0</v>
      </c>
      <c r="F25" s="75">
        <f t="shared" si="5"/>
        <v>0</v>
      </c>
      <c r="G25" s="62"/>
      <c r="H25" s="49"/>
      <c r="I25" s="49"/>
      <c r="J25" s="49"/>
      <c r="K25" s="49"/>
      <c r="L25" s="49"/>
      <c r="M25" s="49"/>
      <c r="N25" s="49"/>
      <c r="O25" s="49"/>
      <c r="P25" s="49"/>
      <c r="Q25" s="49"/>
      <c r="R25" s="49"/>
      <c r="S25" s="49"/>
      <c r="T25" s="49"/>
      <c r="U25" s="49"/>
      <c r="V25" s="49"/>
      <c r="W25" s="49"/>
      <c r="X25" s="49"/>
      <c r="Y25" s="49"/>
      <c r="Z25" s="49"/>
    </row>
    <row r="26" ht="18.75" customHeight="1">
      <c r="A26" s="63"/>
      <c r="B26" s="72" t="s">
        <v>63</v>
      </c>
      <c r="C26" s="76" t="str">
        <f>'Order Level'!AH7</f>
        <v>Payment mechanism fee</v>
      </c>
      <c r="D26" s="74">
        <f>IFERROR(SUMIFS('Order Level'!$AH:$AH,'Order Level'!$I:$I,"DELIVERED"),0)</f>
        <v>0</v>
      </c>
      <c r="E26" s="74">
        <f>IFERROR(SUMIFS('Order Level'!$AH:$AH,'Order Level'!$I:$I,"CANCELLED")+SUMIFS('Order Level'!$AH:$AH,'Order Level'!$I:$I,"REJECTED")+SUMIFS('Order Level'!$AH:$AH,'Order Level'!$I:$I,"TIMEDOUT"),0)</f>
        <v>0</v>
      </c>
      <c r="F26" s="75">
        <f t="shared" si="5"/>
        <v>0</v>
      </c>
      <c r="G26" s="62"/>
      <c r="H26" s="49"/>
      <c r="I26" s="49"/>
      <c r="J26" s="49"/>
      <c r="K26" s="49"/>
      <c r="L26" s="49"/>
      <c r="M26" s="49"/>
      <c r="N26" s="49"/>
      <c r="O26" s="49"/>
      <c r="P26" s="49"/>
      <c r="Q26" s="49"/>
      <c r="R26" s="49"/>
      <c r="S26" s="49"/>
      <c r="T26" s="49"/>
      <c r="U26" s="49"/>
      <c r="V26" s="49"/>
      <c r="W26" s="49"/>
      <c r="X26" s="49"/>
      <c r="Y26" s="49"/>
      <c r="Z26" s="49"/>
    </row>
    <row r="27" ht="18.75" customHeight="1">
      <c r="A27" s="63"/>
      <c r="B27" s="64"/>
      <c r="C27" s="65"/>
      <c r="D27" s="66"/>
      <c r="E27" s="66"/>
      <c r="F27" s="67"/>
      <c r="G27" s="62"/>
      <c r="H27" s="49"/>
      <c r="I27" s="49"/>
      <c r="J27" s="49"/>
      <c r="K27" s="49"/>
      <c r="L27" s="49"/>
      <c r="M27" s="49"/>
      <c r="N27" s="49"/>
      <c r="O27" s="49"/>
      <c r="P27" s="49"/>
      <c r="Q27" s="49"/>
      <c r="R27" s="49"/>
      <c r="S27" s="49"/>
      <c r="T27" s="49"/>
      <c r="U27" s="49"/>
      <c r="V27" s="49"/>
      <c r="W27" s="49"/>
      <c r="X27" s="49"/>
      <c r="Y27" s="49"/>
      <c r="Z27" s="49"/>
    </row>
    <row r="28" ht="18.75" customHeight="1">
      <c r="A28" s="63"/>
      <c r="B28" s="82" t="s">
        <v>64</v>
      </c>
      <c r="C28" s="86" t="s">
        <v>65</v>
      </c>
      <c r="D28" s="70">
        <f t="shared" ref="D28:F28" si="6">SUM(D29:D32)</f>
        <v>0</v>
      </c>
      <c r="E28" s="70">
        <f t="shared" si="6"/>
        <v>0</v>
      </c>
      <c r="F28" s="85">
        <f t="shared" si="6"/>
        <v>0</v>
      </c>
      <c r="G28" s="62"/>
      <c r="H28" s="49"/>
      <c r="I28" s="49"/>
      <c r="J28" s="49"/>
      <c r="K28" s="49"/>
      <c r="L28" s="49"/>
      <c r="M28" s="49"/>
      <c r="N28" s="49"/>
      <c r="O28" s="49"/>
      <c r="P28" s="49"/>
      <c r="Q28" s="49"/>
      <c r="R28" s="49"/>
      <c r="S28" s="49"/>
      <c r="T28" s="49"/>
      <c r="U28" s="49"/>
      <c r="V28" s="49"/>
      <c r="W28" s="49"/>
      <c r="X28" s="49"/>
      <c r="Y28" s="49"/>
      <c r="Z28" s="49"/>
    </row>
    <row r="29" ht="15.75" customHeight="1">
      <c r="A29" s="63"/>
      <c r="B29" s="72" t="s">
        <v>66</v>
      </c>
      <c r="C29" s="76" t="str">
        <f>LEFT('Order Level'!AJ7,FIND("(",'Order Level'!AJ7)-2)</f>
        <v>Taxes on service fee &amp; payment mechanism fee
</v>
      </c>
      <c r="D29" s="74">
        <f>IFERROR(SUMIFS('Order Level'!$AJ:$AJ,'Order Level'!$I:$I,"DELIVERED"),0)</f>
        <v>0</v>
      </c>
      <c r="E29" s="74">
        <f>SUMIFS('Order Level'!$AJ:$AJ,'Order Level'!$I:$I,"CANCELLED")+SUMIFS('Order Level'!$AJ:$AJ,'Order Level'!$I:$I,"REJECTED")+SUMIFS('Order Level'!$AJ:$AJ,'Order Level'!$I:$I,"TIMEDOUT")</f>
        <v>0</v>
      </c>
      <c r="F29" s="75">
        <f t="shared" ref="F29:F32" si="7">SUM(D29:E29)</f>
        <v>0</v>
      </c>
      <c r="G29" s="62"/>
      <c r="H29" s="49"/>
      <c r="I29" s="49"/>
      <c r="J29" s="49"/>
      <c r="K29" s="49"/>
      <c r="L29" s="49"/>
      <c r="M29" s="49"/>
      <c r="N29" s="49"/>
      <c r="O29" s="49"/>
      <c r="P29" s="49"/>
      <c r="Q29" s="49"/>
      <c r="R29" s="49"/>
      <c r="S29" s="49"/>
      <c r="T29" s="49"/>
      <c r="U29" s="49"/>
      <c r="V29" s="49"/>
      <c r="W29" s="49"/>
      <c r="X29" s="49"/>
      <c r="Y29" s="49"/>
      <c r="Z29" s="49"/>
    </row>
    <row r="30" ht="15.75" customHeight="1">
      <c r="A30" s="63"/>
      <c r="B30" s="72" t="s">
        <v>67</v>
      </c>
      <c r="C30" s="76" t="str">
        <f>'Order Level'!AM7&amp;" + "&amp;'Order Level'!AN7</f>
        <v>Tax collected at source + TCS IGST amount</v>
      </c>
      <c r="D30" s="74">
        <f>IFERROR(SUMIFS('Order Level'!$AM:$AM,'Order Level'!$I:$I,"DELIVERED")+SUMIFS('Order Level'!$AN:$AN,'Order Level'!$I:$I,"DELIVERED"),0)</f>
        <v>0</v>
      </c>
      <c r="E30" s="74">
        <f>SUMIFS('Order Level'!$AM:$AM,'Order Level'!$I:$I,"CANCELLED")+SUMIFS('Order Level'!$AN:$AN,'Order Level'!$I:$I,"CANCELLED")+SUMIFS('Order Level'!$AM:$AM,'Order Level'!$I:$I,"REJECTED")+SUMIFS('Order Level'!$AN:$AN,'Order Level'!$I:$I,"REJECTED")+SUMIFS('Order Level'!$AM:$AM,'Order Level'!$I:$I,"TIMEDOUT")+SUMIFS('Order Level'!$AN:$AN,'Order Level'!$I:$I,"TIMEDOUT")</f>
        <v>0</v>
      </c>
      <c r="F30" s="75">
        <f t="shared" si="7"/>
        <v>0</v>
      </c>
      <c r="G30" s="62"/>
      <c r="H30" s="49"/>
      <c r="I30" s="49"/>
      <c r="J30" s="49"/>
      <c r="K30" s="49"/>
      <c r="L30" s="49"/>
      <c r="M30" s="49"/>
      <c r="N30" s="49"/>
      <c r="O30" s="49"/>
      <c r="P30" s="49"/>
      <c r="Q30" s="49"/>
      <c r="R30" s="49"/>
      <c r="S30" s="49"/>
      <c r="T30" s="49"/>
      <c r="U30" s="49"/>
      <c r="V30" s="49"/>
      <c r="W30" s="49"/>
      <c r="X30" s="49"/>
      <c r="Y30" s="49"/>
      <c r="Z30" s="49"/>
    </row>
    <row r="31" ht="15.0" customHeight="1">
      <c r="A31" s="63"/>
      <c r="B31" s="72" t="s">
        <v>68</v>
      </c>
      <c r="C31" s="76" t="str">
        <f>'Order Level'!AO7</f>
        <v>TDS 194O amount</v>
      </c>
      <c r="D31" s="74">
        <f>IFERROR(SUMIFS('Order Level'!$AO:$AO,'Order Level'!$I:$I,"DELIVERED"),0)</f>
        <v>0</v>
      </c>
      <c r="E31" s="74">
        <f>IFERROR(SUMIFS('Order Level'!$AO:$AO,'Order Level'!$I:$I,"CANCELLED")+SUMIFS('Order Level'!$AO:$AO,'Order Level'!$I:$I,"REJECTED")+SUMIFS('Order Level'!$AO:$AO,'Order Level'!$I:$I,"TIMEDOUT"),0)</f>
        <v>0</v>
      </c>
      <c r="F31" s="75">
        <f t="shared" si="7"/>
        <v>0</v>
      </c>
      <c r="G31" s="62"/>
      <c r="H31" s="49"/>
      <c r="I31" s="49"/>
      <c r="J31" s="49"/>
      <c r="K31" s="49"/>
      <c r="L31" s="49"/>
      <c r="M31" s="49"/>
      <c r="N31" s="49"/>
      <c r="O31" s="49"/>
      <c r="P31" s="49"/>
      <c r="Q31" s="49"/>
      <c r="R31" s="49"/>
      <c r="S31" s="49"/>
      <c r="T31" s="49"/>
      <c r="U31" s="49"/>
      <c r="V31" s="49"/>
      <c r="W31" s="49"/>
      <c r="X31" s="49"/>
      <c r="Y31" s="49"/>
      <c r="Z31" s="49"/>
    </row>
    <row r="32" ht="15.75" customHeight="1">
      <c r="A32" s="63"/>
      <c r="B32" s="72" t="s">
        <v>69</v>
      </c>
      <c r="C32" s="73" t="str">
        <f>'Order Level'!AP7</f>
        <v>GST paid by Zomato on behalf of restaurant - under section 9(5)</v>
      </c>
      <c r="D32" s="74">
        <f>IFERROR(SUMIFS('Order Level'!$AP:$AP,'Order Level'!$I:$I,"DELIVERED"),0)</f>
        <v>0</v>
      </c>
      <c r="E32" s="74">
        <f>SUMIFS('Order Level'!$AP:$AP,'Order Level'!$I:$I,"CANCELLED")+SUMIFS('Order Level'!$AP:$AP,'Order Level'!$I:$I,"REJECTED")+SUMIFS('Order Level'!$AP:$AP,'Order Level'!$I:$I,"TIMEDOUT")</f>
        <v>0</v>
      </c>
      <c r="F32" s="75">
        <f t="shared" si="7"/>
        <v>0</v>
      </c>
      <c r="G32" s="62"/>
      <c r="H32" s="49"/>
      <c r="I32" s="49"/>
      <c r="J32" s="49"/>
      <c r="K32" s="49"/>
      <c r="L32" s="49"/>
      <c r="M32" s="49"/>
      <c r="N32" s="49"/>
      <c r="O32" s="49"/>
      <c r="P32" s="49"/>
      <c r="Q32" s="49"/>
      <c r="R32" s="49"/>
      <c r="S32" s="49"/>
      <c r="T32" s="49"/>
      <c r="U32" s="49"/>
      <c r="V32" s="49"/>
      <c r="W32" s="49"/>
      <c r="X32" s="49"/>
      <c r="Y32" s="49"/>
      <c r="Z32" s="49"/>
    </row>
    <row r="33" ht="15.75" customHeight="1">
      <c r="A33" s="63"/>
      <c r="B33" s="64"/>
      <c r="C33" s="65"/>
      <c r="D33" s="66"/>
      <c r="E33" s="66"/>
      <c r="F33" s="67"/>
      <c r="G33" s="62"/>
      <c r="H33" s="49"/>
      <c r="I33" s="49"/>
      <c r="J33" s="49"/>
      <c r="K33" s="49"/>
      <c r="L33" s="49"/>
      <c r="M33" s="49"/>
      <c r="N33" s="49"/>
      <c r="O33" s="49"/>
      <c r="P33" s="49"/>
      <c r="Q33" s="49"/>
      <c r="R33" s="49"/>
      <c r="S33" s="49"/>
      <c r="T33" s="49"/>
      <c r="U33" s="49"/>
      <c r="V33" s="49"/>
      <c r="W33" s="49"/>
      <c r="X33" s="49"/>
      <c r="Y33" s="49"/>
      <c r="Z33" s="49"/>
    </row>
    <row r="34" ht="19.5" customHeight="1">
      <c r="A34" s="63"/>
      <c r="B34" s="82" t="s">
        <v>70</v>
      </c>
      <c r="C34" s="86" t="s">
        <v>71</v>
      </c>
      <c r="D34" s="70">
        <f t="shared" ref="D34:F34" si="8">D35+SUM(D44:D45)</f>
        <v>0</v>
      </c>
      <c r="E34" s="70">
        <f t="shared" si="8"/>
        <v>0</v>
      </c>
      <c r="F34" s="85">
        <f t="shared" si="8"/>
        <v>0</v>
      </c>
      <c r="G34" s="62"/>
      <c r="H34" s="49"/>
      <c r="I34" s="49"/>
      <c r="J34" s="49"/>
      <c r="K34" s="49"/>
      <c r="L34" s="49"/>
      <c r="M34" s="49"/>
      <c r="N34" s="49"/>
      <c r="O34" s="49"/>
      <c r="P34" s="49"/>
      <c r="Q34" s="49"/>
      <c r="R34" s="49"/>
      <c r="S34" s="49"/>
      <c r="T34" s="49"/>
      <c r="U34" s="49"/>
      <c r="V34" s="49"/>
      <c r="W34" s="49"/>
      <c r="X34" s="49"/>
      <c r="Y34" s="49"/>
      <c r="Z34" s="49"/>
    </row>
    <row r="35" ht="15.75" customHeight="1">
      <c r="A35" s="63"/>
      <c r="B35" s="72" t="s">
        <v>72</v>
      </c>
      <c r="C35" s="76" t="s">
        <v>73</v>
      </c>
      <c r="D35" s="74">
        <f t="shared" ref="D35:E35" si="9">SUM(D36:D43)</f>
        <v>0</v>
      </c>
      <c r="E35" s="74">
        <f t="shared" si="9"/>
        <v>0</v>
      </c>
      <c r="F35" s="75">
        <f t="shared" ref="F35:F45" si="10">SUM(D35:E35)</f>
        <v>0</v>
      </c>
      <c r="G35" s="62"/>
      <c r="H35" s="49"/>
      <c r="I35" s="49"/>
      <c r="J35" s="49"/>
      <c r="K35" s="49"/>
      <c r="L35" s="49"/>
      <c r="M35" s="49"/>
      <c r="N35" s="49"/>
      <c r="O35" s="49"/>
      <c r="P35" s="49"/>
      <c r="Q35" s="49"/>
      <c r="R35" s="49"/>
      <c r="S35" s="49"/>
      <c r="T35" s="49"/>
      <c r="U35" s="49"/>
      <c r="V35" s="49"/>
      <c r="W35" s="49"/>
      <c r="X35" s="49"/>
      <c r="Y35" s="49"/>
      <c r="Z35" s="49"/>
    </row>
    <row r="36" ht="15.75" customHeight="1">
      <c r="A36" s="63"/>
      <c r="B36" s="64"/>
      <c r="C36" s="87" t="str">
        <f>'Order Level'!AS7</f>
        <v>Customer compensation/ recoupment</v>
      </c>
      <c r="D36" s="74">
        <f>IFERROR(SUMIFS('Order Level'!$AS:$AS,'Order Level'!$I:$I,"DELIVERED"),0)</f>
        <v>0</v>
      </c>
      <c r="E36" s="74">
        <f>IFERROR(SUMIFS('Order Level'!$AS:$AS,'Order Level'!$I:$I,"CANCELLED"),0)</f>
        <v>0</v>
      </c>
      <c r="F36" s="75">
        <f t="shared" si="10"/>
        <v>0</v>
      </c>
      <c r="G36" s="62"/>
      <c r="H36" s="49"/>
      <c r="I36" s="49"/>
      <c r="J36" s="49"/>
      <c r="K36" s="49"/>
      <c r="L36" s="49"/>
      <c r="M36" s="49"/>
      <c r="N36" s="49"/>
      <c r="O36" s="49"/>
      <c r="P36" s="49"/>
      <c r="Q36" s="49"/>
      <c r="R36" s="49"/>
      <c r="S36" s="49"/>
      <c r="T36" s="49"/>
      <c r="U36" s="49"/>
      <c r="V36" s="49"/>
      <c r="W36" s="49"/>
      <c r="X36" s="49"/>
      <c r="Y36" s="49"/>
      <c r="Z36" s="49"/>
    </row>
    <row r="37" ht="15.75" customHeight="1">
      <c r="A37" s="63"/>
      <c r="B37" s="58"/>
      <c r="C37" s="87" t="s">
        <v>74</v>
      </c>
      <c r="D37" s="74">
        <v>0.0</v>
      </c>
      <c r="E37" s="74">
        <f>IFERROR(SUMIFS('Order Level'!$AS:$AS,'Order Level'!$I:$I,"REJECTED")+SUMIFS('Order Level'!$AS:$AS,'Order Level'!$I:$I,"TIMEDOUT"),0)</f>
        <v>0</v>
      </c>
      <c r="F37" s="75">
        <f t="shared" si="10"/>
        <v>0</v>
      </c>
      <c r="G37" s="62"/>
      <c r="H37" s="49"/>
      <c r="I37" s="49"/>
      <c r="J37" s="49"/>
      <c r="K37" s="49"/>
      <c r="L37" s="49"/>
      <c r="M37" s="49"/>
      <c r="N37" s="49"/>
      <c r="O37" s="49"/>
      <c r="P37" s="49"/>
      <c r="Q37" s="49"/>
      <c r="R37" s="49"/>
      <c r="S37" s="49"/>
      <c r="T37" s="49"/>
      <c r="U37" s="49"/>
      <c r="V37" s="49"/>
      <c r="W37" s="49"/>
      <c r="X37" s="49"/>
      <c r="Y37" s="49"/>
      <c r="Z37" s="49"/>
    </row>
    <row r="38" ht="15.75" customHeight="1">
      <c r="A38" s="63"/>
      <c r="B38" s="64"/>
      <c r="C38" s="87" t="str">
        <f>'Order Level'!AT7</f>
        <v>Delivery charges recovery</v>
      </c>
      <c r="D38" s="74">
        <f>IFERROR(SUMIFS('Order Level'!$AT:$AT,'Order Level'!$I:$I,"DELIVERED"),0)</f>
        <v>0</v>
      </c>
      <c r="E38" s="74">
        <f>IFERROR(SUMIFS('Order Level'!$AT:$AT,'Order Level'!$I:$I,"CANCELLED")+SUMIFS('Order Level'!$AT:$AT,'Order Level'!$I:$I,"REJECTED")+SUMIFS('Order Level'!$AT:$AT,'Order Level'!$I:$I,"TIMEDOUT"),0)</f>
        <v>0</v>
      </c>
      <c r="F38" s="75">
        <f t="shared" si="10"/>
        <v>0</v>
      </c>
      <c r="G38" s="62"/>
      <c r="H38" s="49"/>
      <c r="I38" s="49"/>
      <c r="J38" s="49"/>
      <c r="K38" s="49"/>
      <c r="L38" s="49"/>
      <c r="M38" s="49"/>
      <c r="N38" s="49"/>
      <c r="O38" s="49"/>
      <c r="P38" s="49"/>
      <c r="Q38" s="49"/>
      <c r="R38" s="49"/>
      <c r="S38" s="49"/>
      <c r="T38" s="49"/>
      <c r="U38" s="49"/>
      <c r="V38" s="49"/>
      <c r="W38" s="49"/>
      <c r="X38" s="49"/>
      <c r="Y38" s="49"/>
      <c r="Z38" s="49"/>
    </row>
    <row r="39" ht="15.75" customHeight="1">
      <c r="A39" s="47"/>
      <c r="B39" s="58"/>
      <c r="C39" s="87" t="str">
        <f>'Order Level'!AV7</f>
        <v>Credit note/ (Debit note) adjustment</v>
      </c>
      <c r="D39" s="74">
        <f>IFERROR(SUMIFS('Order Level'!$AV:$AV,'Order Level'!$I:$I,"DELIVERED"),0)</f>
        <v>0</v>
      </c>
      <c r="E39" s="74">
        <f>IFERROR(SUMIFS('Order Level'!$AV:$AV,'Order Level'!$I:$I,"CANCELLED")+SUMIFS('Order Level'!$AV:$AV,'Order Level'!$I:$I,"REJECTED")+SUMIFS('Order Level'!$AV:$AV,'Order Level'!$I:$I,"TIMEDOUT"),0)</f>
        <v>0</v>
      </c>
      <c r="F39" s="75">
        <f t="shared" si="10"/>
        <v>0</v>
      </c>
      <c r="G39" s="62"/>
      <c r="H39" s="49"/>
      <c r="I39" s="49"/>
      <c r="J39" s="49"/>
      <c r="K39" s="49"/>
      <c r="L39" s="49"/>
      <c r="M39" s="49"/>
      <c r="N39" s="49"/>
      <c r="O39" s="49"/>
      <c r="P39" s="49"/>
      <c r="Q39" s="49"/>
      <c r="R39" s="49"/>
      <c r="S39" s="49"/>
      <c r="T39" s="49"/>
      <c r="U39" s="49"/>
      <c r="V39" s="49"/>
      <c r="W39" s="49"/>
      <c r="X39" s="49"/>
      <c r="Y39" s="49"/>
      <c r="Z39" s="49"/>
    </row>
    <row r="40" ht="15.75" customHeight="1">
      <c r="A40" s="47"/>
      <c r="B40" s="58"/>
      <c r="C40" s="87" t="str">
        <f>'Order Level'!AW7</f>
        <v>Promo recovery adjustment</v>
      </c>
      <c r="D40" s="74">
        <f>IFERROR(SUMIFS('Order Level'!$AW:$AW,'Order Level'!$I:$I,"DELIVERED"),0)</f>
        <v>0</v>
      </c>
      <c r="E40" s="74">
        <f>IFERROR(SUMIFS('Order Level'!$AW:$AW,'Order Level'!$I:$I,"CANCELLED")+SUMIFS('Order Level'!$AW:$AW,'Order Level'!$I:$I,"REJECTED")+SUMIFS('Order Level'!$AW:$AW,'Order Level'!$I:$I,"TIMEDOUT"),0)</f>
        <v>0</v>
      </c>
      <c r="F40" s="75">
        <f t="shared" si="10"/>
        <v>0</v>
      </c>
      <c r="G40" s="62"/>
      <c r="H40" s="49"/>
      <c r="I40" s="49"/>
      <c r="J40" s="49"/>
      <c r="K40" s="49"/>
      <c r="L40" s="49"/>
      <c r="M40" s="49"/>
      <c r="N40" s="49"/>
      <c r="O40" s="49"/>
      <c r="P40" s="49"/>
      <c r="Q40" s="49"/>
      <c r="R40" s="49"/>
      <c r="S40" s="49"/>
      <c r="T40" s="49"/>
      <c r="U40" s="49"/>
      <c r="V40" s="49"/>
      <c r="W40" s="49"/>
      <c r="X40" s="49"/>
      <c r="Y40" s="49"/>
      <c r="Z40" s="49"/>
    </row>
    <row r="41" ht="15.75" customHeight="1">
      <c r="A41" s="47"/>
      <c r="B41" s="58"/>
      <c r="C41" s="87" t="str">
        <f>'Order Level'!AX7</f>
        <v>Extra inventory ads (order level deduction)
</v>
      </c>
      <c r="D41" s="74">
        <f>IFERROR(SUMIFS('Order Level'!$AX:$AX,'Order Level'!$I:$I,"DELIVERED"),0)</f>
        <v>0</v>
      </c>
      <c r="E41" s="74">
        <f>IFERROR(SUMIFS('Order Level'!$AX:$AX,'Order Level'!$I:$I,"CANCELLED")+SUMIFS('Order Level'!$AX:$AX,'Order Level'!$I:$I,"REJECTED")+SUMIFS('Order Level'!$AX:$AX,'Order Level'!$I:$I,"TIMEDOUT"),0)</f>
        <v>0</v>
      </c>
      <c r="F41" s="75">
        <f t="shared" si="10"/>
        <v>0</v>
      </c>
      <c r="G41" s="62"/>
      <c r="H41" s="49"/>
      <c r="I41" s="49"/>
      <c r="J41" s="49"/>
      <c r="K41" s="49"/>
      <c r="L41" s="49"/>
      <c r="M41" s="49"/>
      <c r="N41" s="49"/>
      <c r="O41" s="49"/>
      <c r="P41" s="49"/>
      <c r="Q41" s="49"/>
      <c r="R41" s="49"/>
      <c r="S41" s="49"/>
      <c r="T41" s="49"/>
      <c r="U41" s="49"/>
      <c r="V41" s="49"/>
      <c r="W41" s="49"/>
      <c r="X41" s="49"/>
      <c r="Y41" s="49"/>
      <c r="Z41" s="49"/>
    </row>
    <row r="42" ht="15.75" customHeight="1">
      <c r="A42" s="63"/>
      <c r="B42" s="64"/>
      <c r="C42" s="88" t="str">
        <f>'Order Level'!AY7</f>
        <v>Brand loyalty points redemption
</v>
      </c>
      <c r="D42" s="74">
        <f>IFERROR(SUMIFS('Order Level'!$AY:$AY,'Order Level'!$I:$I,"DELIVERED"),0)</f>
        <v>0</v>
      </c>
      <c r="E42" s="74">
        <f>IFERROR(SUMIFS('Order Level'!$AY:$AY,'Order Level'!$I:$I,"CANCELLED")+SUMIFS('Order Level'!$AY:$AY,'Order Level'!$I:$I,"REJECTED")+SUMIFS('Order Level'!$AY:$AY,'Order Level'!$I:$I,"TIMEDOUT"),0)</f>
        <v>0</v>
      </c>
      <c r="F42" s="75">
        <f t="shared" si="10"/>
        <v>0</v>
      </c>
      <c r="G42" s="62"/>
      <c r="H42" s="49"/>
      <c r="I42" s="49"/>
      <c r="J42" s="49"/>
      <c r="K42" s="49"/>
      <c r="L42" s="49"/>
      <c r="M42" s="49"/>
      <c r="N42" s="49"/>
      <c r="O42" s="49"/>
      <c r="P42" s="49"/>
      <c r="Q42" s="49"/>
      <c r="R42" s="49"/>
      <c r="S42" s="49"/>
      <c r="T42" s="49"/>
      <c r="U42" s="49"/>
      <c r="V42" s="49"/>
      <c r="W42" s="49"/>
      <c r="X42" s="49"/>
      <c r="Y42" s="49"/>
      <c r="Z42" s="49"/>
    </row>
    <row r="43" ht="15.75" customHeight="1">
      <c r="A43" s="63"/>
      <c r="B43" s="64"/>
      <c r="C43" s="89" t="str">
        <f>'Order Level'!AZ7</f>
        <v>Express order fee</v>
      </c>
      <c r="D43" s="74">
        <f>IFERROR(SUMIFS('Order Level'!$AZ:$AZ,'Order Level'!$I:$I,"DELIVERED"),0)</f>
        <v>0</v>
      </c>
      <c r="E43" s="74">
        <f>IFERROR(SUMIFS('Order Level'!$AZ:$AZ,'Order Level'!$I:$I,"CANCELLED")+SUMIFS('Order Level'!$AZ:$AZ,'Order Level'!$I:$I,"REJECTED")+SUMIFS('Order Level'!$AZ:$AZ,'Order Level'!$I:$I,"TIMEDOUT"),0)</f>
        <v>0</v>
      </c>
      <c r="F43" s="75">
        <f t="shared" si="10"/>
        <v>0</v>
      </c>
      <c r="G43" s="62"/>
      <c r="H43" s="49"/>
      <c r="I43" s="49"/>
      <c r="J43" s="49"/>
      <c r="K43" s="49"/>
      <c r="L43" s="49"/>
      <c r="M43" s="49"/>
      <c r="N43" s="49"/>
      <c r="O43" s="49"/>
      <c r="P43" s="49"/>
      <c r="Q43" s="49"/>
      <c r="R43" s="49"/>
      <c r="S43" s="49"/>
      <c r="T43" s="49"/>
      <c r="U43" s="49"/>
      <c r="V43" s="49"/>
      <c r="W43" s="49"/>
      <c r="X43" s="49"/>
      <c r="Y43" s="49"/>
      <c r="Z43" s="49"/>
    </row>
    <row r="44" ht="15.75" customHeight="1">
      <c r="A44" s="63"/>
      <c r="B44" s="72" t="s">
        <v>75</v>
      </c>
      <c r="C44" s="76" t="str">
        <f>'Order Level'!AU7</f>
        <v>Amount received in cash (on self delivery orders)</v>
      </c>
      <c r="D44" s="74">
        <f>IFERROR(SUMIFS('Order Level'!$AU:$AU,'Order Level'!$I:$I,"DELIVERED"),0)</f>
        <v>0</v>
      </c>
      <c r="E44" s="74">
        <f>IFERROR(SUMIFS('Order Level'!$AU:$AU,'Order Level'!$I:$I,"CANCELLED")+SUMIFS('Order Level'!$AU:$AU,'Order Level'!$I:$I,"REJECTED")+SUMIFS('Order Level'!$AU:$AU,'Order Level'!$I:$I,"TIMEDOUT"),0)</f>
        <v>0</v>
      </c>
      <c r="F44" s="75">
        <f t="shared" si="10"/>
        <v>0</v>
      </c>
      <c r="G44" s="62"/>
      <c r="H44" s="49"/>
      <c r="I44" s="49"/>
      <c r="J44" s="49"/>
      <c r="K44" s="49"/>
      <c r="L44" s="49"/>
      <c r="M44" s="49"/>
      <c r="N44" s="49"/>
      <c r="O44" s="49"/>
      <c r="P44" s="49"/>
      <c r="Q44" s="49"/>
      <c r="R44" s="49"/>
      <c r="S44" s="49"/>
      <c r="T44" s="49"/>
      <c r="U44" s="49"/>
      <c r="V44" s="49"/>
      <c r="W44" s="49"/>
      <c r="X44" s="49"/>
      <c r="Y44" s="49"/>
      <c r="Z44" s="49"/>
    </row>
    <row r="45" ht="33.75" customHeight="1">
      <c r="A45" s="63"/>
      <c r="B45" s="72" t="s">
        <v>76</v>
      </c>
      <c r="C45" s="76" t="s">
        <v>77</v>
      </c>
      <c r="D45" s="74">
        <f>IFERROR(SUMIFS('Addition Deductions Details'!G:G,'Addition Deductions Details'!B:B,"Total adjustments from previous weeks"),0)</f>
        <v>0</v>
      </c>
      <c r="E45" s="74" t="s">
        <v>78</v>
      </c>
      <c r="F45" s="75">
        <f t="shared" si="10"/>
        <v>0</v>
      </c>
      <c r="G45" s="62"/>
      <c r="H45" s="49"/>
      <c r="I45" s="49"/>
      <c r="J45" s="49"/>
      <c r="K45" s="49"/>
      <c r="L45" s="49"/>
      <c r="M45" s="49"/>
      <c r="N45" s="49"/>
      <c r="O45" s="49"/>
      <c r="P45" s="49"/>
      <c r="Q45" s="49"/>
      <c r="R45" s="49"/>
      <c r="S45" s="49"/>
      <c r="T45" s="49"/>
      <c r="U45" s="49"/>
      <c r="V45" s="49"/>
      <c r="W45" s="49"/>
      <c r="X45" s="49"/>
      <c r="Y45" s="49"/>
      <c r="Z45" s="49"/>
    </row>
    <row r="46" ht="15.75" customHeight="1">
      <c r="A46" s="63"/>
      <c r="B46" s="64"/>
      <c r="C46" s="65"/>
      <c r="D46" s="80"/>
      <c r="E46" s="80"/>
      <c r="F46" s="81"/>
      <c r="G46" s="62"/>
      <c r="H46" s="49"/>
      <c r="I46" s="49"/>
      <c r="J46" s="49"/>
      <c r="K46" s="49"/>
      <c r="L46" s="49"/>
      <c r="M46" s="49"/>
      <c r="N46" s="49"/>
      <c r="O46" s="49"/>
      <c r="P46" s="49"/>
      <c r="Q46" s="49"/>
      <c r="R46" s="49"/>
      <c r="S46" s="49"/>
      <c r="T46" s="49"/>
      <c r="U46" s="49"/>
      <c r="V46" s="49"/>
      <c r="W46" s="49"/>
      <c r="X46" s="49"/>
      <c r="Y46" s="49"/>
      <c r="Z46" s="49"/>
    </row>
    <row r="47" ht="15.75" customHeight="1">
      <c r="A47" s="63"/>
      <c r="B47" s="82" t="s">
        <v>79</v>
      </c>
      <c r="C47" s="86" t="s">
        <v>80</v>
      </c>
      <c r="D47" s="70">
        <f>SUM(D48:D50)</f>
        <v>0</v>
      </c>
      <c r="E47" s="90" t="s">
        <v>78</v>
      </c>
      <c r="F47" s="85">
        <f>SUM(F48:F49)</f>
        <v>0</v>
      </c>
      <c r="G47" s="62"/>
      <c r="H47" s="49"/>
      <c r="I47" s="49"/>
      <c r="J47" s="49"/>
      <c r="K47" s="49"/>
      <c r="L47" s="49"/>
      <c r="M47" s="49"/>
      <c r="N47" s="49"/>
      <c r="O47" s="49"/>
      <c r="P47" s="49"/>
      <c r="Q47" s="49"/>
      <c r="R47" s="49"/>
      <c r="S47" s="49"/>
      <c r="T47" s="49"/>
      <c r="U47" s="49"/>
      <c r="V47" s="49"/>
      <c r="W47" s="49"/>
      <c r="X47" s="49"/>
      <c r="Y47" s="49"/>
      <c r="Z47" s="49"/>
    </row>
    <row r="48" ht="32.25" customHeight="1">
      <c r="A48" s="63"/>
      <c r="B48" s="72" t="s">
        <v>81</v>
      </c>
      <c r="C48" s="73" t="s">
        <v>82</v>
      </c>
      <c r="D48" s="74">
        <f t="array" ref="D48">IFERROR(
  SUMPRODUCT(
    (--(INDEX('Addition Deductions Details'!B:B, MATCH("Deduction Type", 'Addition Deductions Details'!B:B, 0)):
        INDEX('Addition Deductions Details'!B:B, MATCH("Total Ads &amp; miscellaneous services", 'Addition Deductions Details'!B:B, 0))
        ="ADS")),
    INDEX('Addition Deductions Details'!G:G, MATCH("Deduction Type", 'Addition Deductions Details'!B:B, 0)):
    INDEX('Addition Deductions Details'!G:G, MATCH("Total Ads &amp; miscellaneous services", 'Addition Deductions Details'!B:B, 0))
  )
  -
  SUMPRODUCT(
    (--(INDEX('Addition Deductions Details'!B:B, MATCH("Addition Type", 'Addition Deductions Details'!B:B, 0)):
        INDEX('Addition Deductions Details'!B:B, MATCH("Total Additions", 'Addition Deductions Details'!B:B, 0))
        ="ADS")),
    INDEX('Addition Deductions Details'!G:G, MATCH("Addition Type", 'Addition Deductions Details'!B:B, 0)):
    INDEX('Addition Deductions Details'!G:G, MATCH("Total Additions", 'Addition Deductions Details'!B:B, 0))
  ),
0)
</f>
        <v>0</v>
      </c>
      <c r="E48" s="74" t="s">
        <v>78</v>
      </c>
      <c r="F48" s="75">
        <f t="shared" ref="F48:F50" si="11">SUM(D48:E48)</f>
        <v>0</v>
      </c>
      <c r="G48" s="62"/>
      <c r="H48" s="49"/>
      <c r="I48" s="49"/>
      <c r="J48" s="49"/>
      <c r="K48" s="49"/>
      <c r="L48" s="49"/>
      <c r="M48" s="49"/>
      <c r="N48" s="49"/>
      <c r="O48" s="49"/>
      <c r="P48" s="49"/>
      <c r="Q48" s="49"/>
      <c r="R48" s="49"/>
      <c r="S48" s="49"/>
      <c r="T48" s="49"/>
      <c r="U48" s="49"/>
      <c r="V48" s="49"/>
      <c r="W48" s="49"/>
      <c r="X48" s="49"/>
      <c r="Y48" s="49"/>
      <c r="Z48" s="49"/>
    </row>
    <row r="49" ht="16.5" customHeight="1">
      <c r="A49" s="63"/>
      <c r="B49" s="72" t="s">
        <v>83</v>
      </c>
      <c r="C49" s="91" t="s">
        <v>84</v>
      </c>
      <c r="D49" s="74">
        <f t="array" ref="D49">IFERROR(
  SUMPRODUCT(
    (--(INDEX('Addition Deductions Details'!B:B, MATCH("Deduction Type", 'Addition Deductions Details'!B:B, 0)):
        INDEX('Addition Deductions Details'!B:B, MATCH("Total Ads &amp; miscellaneous services", 'Addition Deductions Details'!B:B, 0))
        ="Dining ADS")),
    INDEX('Addition Deductions Details'!G:G, MATCH("Deduction Type", 'Addition Deductions Details'!B:B, 0)):
    INDEX('Addition Deductions Details'!G:G, MATCH("Total Ads &amp; miscellaneous services", 'Addition Deductions Details'!B:B, 0))
  )
  -
  SUMPRODUCT(
    (--(INDEX('Addition Deductions Details'!B:B, MATCH("Addition Type", 'Addition Deductions Details'!B:B, 0)):
        INDEX('Addition Deductions Details'!B:B, MATCH("Total Additions", 'Addition Deductions Details'!B:B, 0))
        ="Dining ADS")),
    INDEX('Addition Deductions Details'!G:G, MATCH("Addition Type", 'Addition Deductions Details'!B:B, 0)):
    INDEX('Addition Deductions Details'!G:G, MATCH("Total Additions", 'Addition Deductions Details'!B:B, 0))
  ),
0)
</f>
        <v>0</v>
      </c>
      <c r="E49" s="74" t="s">
        <v>78</v>
      </c>
      <c r="F49" s="75">
        <f t="shared" si="11"/>
        <v>0</v>
      </c>
      <c r="G49" s="62"/>
      <c r="H49" s="49"/>
      <c r="I49" s="49"/>
      <c r="J49" s="49"/>
      <c r="K49" s="49"/>
      <c r="L49" s="49"/>
      <c r="M49" s="49"/>
      <c r="N49" s="49"/>
      <c r="O49" s="49"/>
      <c r="P49" s="49"/>
      <c r="Q49" s="49"/>
      <c r="R49" s="49"/>
      <c r="S49" s="49"/>
      <c r="T49" s="49"/>
      <c r="U49" s="49"/>
      <c r="V49" s="49"/>
      <c r="W49" s="49"/>
      <c r="X49" s="49"/>
      <c r="Y49" s="49"/>
      <c r="Z49" s="49"/>
    </row>
    <row r="50" ht="15.75" customHeight="1">
      <c r="A50" s="63"/>
      <c r="B50" s="72" t="s">
        <v>85</v>
      </c>
      <c r="C50" s="91" t="s">
        <v>86</v>
      </c>
      <c r="D50" s="74">
        <f t="array" ref="D50"><![CDATA[IFERROR(
  SUMPRODUCT(
    (--(INDEX('Addition Deductions Details'!B:B, MATCH("Deduction Type", 'Addition Deductions Details'!B:B, 0)+1):
        INDEX('Addition Deductions Details'!B:B, MATCH("Total Ads & miscellaneous services", 'Addition Deductions Details'!B:B, 0)-1)
        <> "ADS")),
    (--(INDEX('Addition Deductions Details'!B:B, MATCH("Deduction Type", 'Addition Deductions Details'!B:B, 0)+1):
        INDEX('Addition Deductions Details'!B:B, MATCH("Total Ads & miscellaneous services", 'Addition Deductions Details'!B:B, 0)-1)
        <> "Dining ADS")),
    INDEX('Addition Deductions Details'!G:G, MATCH("Deduction Type", 'Addition Deductions Details'!B:B, 0)+1):
    INDEX('Addition Deductions Details'!G:G, MATCH("Total Ads & miscellaneous services", 'Addition Deductions Details'!B:B, 0)-1)
  )
  -
  SUMPRODUCT(
    (--(INDEX('Addition Deductions Details'!B:B, MATCH("Addition Type", 'Addition Deductions Details'!B:B, 0)+1):
        INDEX('Addition Deductions Details'!B:B, MATCH("Total Additions", 'Addition Deductions Details'!B:B, 0)-1)
        <> "ADS")),
    (--(INDEX('Addition Deductions Details'!B:B, MATCH("Addition Type", 'Addition Deductions Details'!B:B, 0)+1):
        INDEX('Addition Deductions Details'!B:B, MATCH("Total Additions", 'Addition Deductions Details'!B:B, 0)-1)
        <> "Dining ADS")),
    INDEX('Addition Deductions Details'!G:G, MATCH("Addition Type", 'Addition Deductions Details'!B:B, 0)+1):
    INDEX('Addition Deductions Details'!G:G, MATCH("Total Additions", 'Addition Deductions Details'!B:B, 0)-1)
  ),
0)
]]></f>
        <v>0</v>
      </c>
      <c r="E50" s="74" t="s">
        <v>78</v>
      </c>
      <c r="F50" s="75">
        <f t="shared" si="11"/>
        <v>0</v>
      </c>
      <c r="G50" s="62"/>
      <c r="H50" s="49"/>
      <c r="I50" s="49"/>
      <c r="J50" s="49"/>
      <c r="K50" s="49"/>
      <c r="L50" s="49"/>
      <c r="M50" s="49"/>
      <c r="N50" s="49"/>
      <c r="O50" s="49"/>
      <c r="P50" s="49"/>
      <c r="Q50" s="49"/>
      <c r="R50" s="49"/>
      <c r="S50" s="49"/>
      <c r="T50" s="49"/>
      <c r="U50" s="49"/>
      <c r="V50" s="49"/>
      <c r="W50" s="49"/>
      <c r="X50" s="49"/>
      <c r="Y50" s="49"/>
      <c r="Z50" s="49"/>
    </row>
    <row r="51" ht="15.75" customHeight="1">
      <c r="A51" s="63"/>
      <c r="B51" s="64"/>
      <c r="C51" s="79"/>
      <c r="D51" s="92"/>
      <c r="E51" s="93"/>
      <c r="F51" s="94"/>
      <c r="G51" s="62"/>
      <c r="H51" s="49"/>
      <c r="I51" s="49"/>
      <c r="J51" s="49"/>
      <c r="K51" s="49"/>
      <c r="L51" s="49"/>
      <c r="M51" s="49"/>
      <c r="N51" s="49"/>
      <c r="O51" s="49"/>
      <c r="P51" s="49"/>
      <c r="Q51" s="49"/>
      <c r="R51" s="49"/>
      <c r="S51" s="49"/>
      <c r="T51" s="49"/>
      <c r="U51" s="49"/>
      <c r="V51" s="49"/>
      <c r="W51" s="49"/>
      <c r="X51" s="49"/>
      <c r="Y51" s="49"/>
      <c r="Z51" s="49"/>
    </row>
    <row r="52" ht="15.75" customHeight="1">
      <c r="A52" s="63"/>
      <c r="B52" s="82" t="s">
        <v>87</v>
      </c>
      <c r="C52" s="69" t="s">
        <v>88</v>
      </c>
      <c r="D52" s="70">
        <f>IFERROR(SUMIFS('Addition Deductions Details'!G:G,'Addition Deductions Details'!B:B,"Total Hyperpure"),0)</f>
        <v>0</v>
      </c>
      <c r="E52" s="90" t="s">
        <v>78</v>
      </c>
      <c r="F52" s="85">
        <f>SUM(D52:E52)</f>
        <v>0</v>
      </c>
      <c r="G52" s="62"/>
      <c r="H52" s="49"/>
      <c r="I52" s="49"/>
      <c r="J52" s="49"/>
      <c r="K52" s="49"/>
      <c r="L52" s="49"/>
      <c r="M52" s="49"/>
      <c r="N52" s="49"/>
      <c r="O52" s="49"/>
      <c r="P52" s="49"/>
      <c r="Q52" s="49"/>
      <c r="R52" s="49"/>
      <c r="S52" s="49"/>
      <c r="T52" s="49"/>
      <c r="U52" s="49"/>
      <c r="V52" s="49"/>
      <c r="W52" s="49"/>
      <c r="X52" s="49"/>
      <c r="Y52" s="49"/>
      <c r="Z52" s="49"/>
    </row>
    <row r="53" ht="15.75" customHeight="1">
      <c r="A53" s="63"/>
      <c r="B53" s="72" t="s">
        <v>89</v>
      </c>
      <c r="C53" s="91" t="s">
        <v>90</v>
      </c>
      <c r="D53" s="74">
        <f>IFERROR(SUMIFS('Addition Deductions Details'!G:G,'Addition Deductions Details'!B:B,"Total Hyperpure"),0)</f>
        <v>0</v>
      </c>
      <c r="E53" s="95" t="s">
        <v>78</v>
      </c>
      <c r="F53" s="75">
        <f>sum(D53:E53)</f>
        <v>0</v>
      </c>
      <c r="G53" s="62"/>
      <c r="H53" s="49"/>
      <c r="I53" s="49"/>
      <c r="J53" s="49"/>
      <c r="K53" s="49"/>
      <c r="L53" s="49"/>
      <c r="M53" s="49"/>
      <c r="N53" s="49"/>
      <c r="O53" s="49"/>
      <c r="P53" s="49"/>
      <c r="Q53" s="49"/>
      <c r="R53" s="49"/>
      <c r="S53" s="49"/>
      <c r="T53" s="49"/>
      <c r="U53" s="49"/>
      <c r="V53" s="49"/>
      <c r="W53" s="49"/>
      <c r="X53" s="49"/>
      <c r="Y53" s="49"/>
      <c r="Z53" s="49"/>
    </row>
    <row r="54" ht="22.5" customHeight="1">
      <c r="A54" s="63"/>
      <c r="B54" s="58"/>
      <c r="C54" s="79"/>
      <c r="D54" s="80"/>
      <c r="E54" s="96"/>
      <c r="F54" s="81"/>
      <c r="G54" s="62"/>
      <c r="H54" s="49"/>
      <c r="I54" s="49"/>
      <c r="J54" s="49"/>
      <c r="K54" s="49"/>
      <c r="L54" s="49"/>
      <c r="M54" s="49"/>
      <c r="N54" s="49"/>
      <c r="O54" s="49"/>
      <c r="P54" s="49"/>
      <c r="Q54" s="49"/>
      <c r="R54" s="49"/>
      <c r="S54" s="49"/>
      <c r="T54" s="49"/>
      <c r="U54" s="49"/>
      <c r="V54" s="49"/>
      <c r="W54" s="49"/>
      <c r="X54" s="49"/>
      <c r="Y54" s="49"/>
      <c r="Z54" s="49"/>
    </row>
    <row r="55" ht="15.75" customHeight="1">
      <c r="A55" s="63"/>
      <c r="B55" s="68" t="s">
        <v>91</v>
      </c>
      <c r="C55" s="69" t="s">
        <v>92</v>
      </c>
      <c r="D55" s="97">
        <f>IFERROR(SUMIFS('Addition Deductions Details'!G:G,'Addition Deductions Details'!B:B,C55),0)</f>
        <v>0</v>
      </c>
      <c r="E55" s="98" t="s">
        <v>78</v>
      </c>
      <c r="F55" s="85">
        <f>SUM(D55:E55)</f>
        <v>0</v>
      </c>
      <c r="G55" s="62"/>
      <c r="H55" s="49"/>
      <c r="I55" s="49"/>
      <c r="J55" s="49"/>
      <c r="K55" s="49"/>
      <c r="L55" s="49"/>
      <c r="M55" s="49"/>
      <c r="N55" s="49"/>
      <c r="O55" s="49"/>
      <c r="P55" s="49"/>
      <c r="Q55" s="49"/>
      <c r="R55" s="49"/>
      <c r="S55" s="49"/>
      <c r="T55" s="49"/>
      <c r="U55" s="49"/>
      <c r="V55" s="49"/>
      <c r="W55" s="49"/>
      <c r="X55" s="49"/>
      <c r="Y55" s="49"/>
      <c r="Z55" s="49"/>
    </row>
    <row r="56" ht="15.75" customHeight="1">
      <c r="A56" s="63"/>
      <c r="B56" s="72" t="s">
        <v>93</v>
      </c>
      <c r="C56" s="99" t="s">
        <v>94</v>
      </c>
      <c r="D56" s="74">
        <f>IFERROR(SUMIFS('Addition Deductions Details'!G:G,'Addition Deductions Details'!B:B,C56),0)</f>
        <v>0</v>
      </c>
      <c r="E56" s="95" t="s">
        <v>78</v>
      </c>
      <c r="F56" s="75"/>
      <c r="G56" s="62"/>
      <c r="H56" s="49"/>
      <c r="I56" s="49"/>
      <c r="J56" s="49"/>
      <c r="K56" s="49"/>
      <c r="L56" s="49"/>
      <c r="M56" s="49"/>
      <c r="N56" s="49"/>
      <c r="O56" s="49"/>
      <c r="P56" s="49"/>
      <c r="Q56" s="49"/>
      <c r="R56" s="49"/>
      <c r="S56" s="49"/>
      <c r="T56" s="49"/>
      <c r="U56" s="49"/>
      <c r="V56" s="49"/>
      <c r="W56" s="49"/>
      <c r="X56" s="49"/>
      <c r="Y56" s="49"/>
      <c r="Z56" s="49"/>
    </row>
    <row r="57" ht="15.75" customHeight="1">
      <c r="A57" s="63"/>
      <c r="B57" s="64"/>
      <c r="C57" s="100"/>
      <c r="D57" s="80"/>
      <c r="E57" s="96"/>
      <c r="F57" s="81"/>
      <c r="G57" s="62"/>
      <c r="H57" s="49"/>
      <c r="I57" s="49"/>
      <c r="J57" s="49"/>
      <c r="K57" s="49"/>
      <c r="L57" s="49"/>
      <c r="M57" s="49"/>
      <c r="N57" s="49"/>
      <c r="O57" s="49"/>
      <c r="P57" s="49"/>
      <c r="Q57" s="49"/>
      <c r="R57" s="49"/>
      <c r="S57" s="49"/>
      <c r="T57" s="49"/>
      <c r="U57" s="49"/>
      <c r="V57" s="49"/>
      <c r="W57" s="49"/>
      <c r="X57" s="49"/>
      <c r="Y57" s="49"/>
      <c r="Z57" s="49"/>
    </row>
    <row r="58" ht="15.75" customHeight="1">
      <c r="A58" s="63"/>
      <c r="B58" s="82" t="s">
        <v>95</v>
      </c>
      <c r="C58" s="101" t="s">
        <v>96</v>
      </c>
      <c r="D58" s="70">
        <f t="shared" ref="D58:F58" si="12">SUM(D59:D62)</f>
        <v>0</v>
      </c>
      <c r="E58" s="70">
        <f t="shared" si="12"/>
        <v>0</v>
      </c>
      <c r="F58" s="71">
        <f t="shared" si="12"/>
        <v>0</v>
      </c>
      <c r="G58" s="62"/>
      <c r="H58" s="49"/>
      <c r="I58" s="49"/>
      <c r="J58" s="49"/>
      <c r="K58" s="49"/>
      <c r="L58" s="49"/>
      <c r="M58" s="49"/>
      <c r="N58" s="49"/>
      <c r="O58" s="49"/>
      <c r="P58" s="49"/>
      <c r="Q58" s="49"/>
      <c r="R58" s="49"/>
      <c r="S58" s="49"/>
      <c r="T58" s="49"/>
      <c r="U58" s="49"/>
      <c r="V58" s="49"/>
      <c r="W58" s="49"/>
      <c r="X58" s="49"/>
      <c r="Y58" s="49"/>
      <c r="Z58" s="49"/>
    </row>
    <row r="59" ht="15.75" customHeight="1">
      <c r="A59" s="63"/>
      <c r="B59" s="72" t="s">
        <v>97</v>
      </c>
      <c r="C59" s="102" t="s">
        <v>98</v>
      </c>
      <c r="D59" s="74" t="s">
        <v>78</v>
      </c>
      <c r="E59" s="74">
        <f>IFERROR(SUMIFS('Order Level'!$BC:$BC,'Order Level'!$I:$I,"CANCELLED")+SUMIFS('Order Level'!$BC:$BC,'Order Level'!$I:$I,"REJECTED")+SUMIFS('Order Level'!$BC:$BC,'Order Level'!$I:$I,"TIMEDOUT"),0)</f>
        <v>0</v>
      </c>
      <c r="F59" s="75">
        <f t="shared" ref="F59:F62" si="13">SUM(D59:E59)</f>
        <v>0</v>
      </c>
      <c r="G59" s="62"/>
      <c r="H59" s="49"/>
      <c r="I59" s="49"/>
      <c r="J59" s="49"/>
      <c r="K59" s="49"/>
      <c r="L59" s="49"/>
      <c r="M59" s="49"/>
      <c r="N59" s="49"/>
      <c r="O59" s="49"/>
      <c r="P59" s="49"/>
      <c r="Q59" s="49"/>
      <c r="R59" s="49"/>
      <c r="S59" s="49"/>
      <c r="T59" s="49"/>
      <c r="U59" s="49"/>
      <c r="V59" s="49"/>
      <c r="W59" s="49"/>
      <c r="X59" s="49"/>
      <c r="Y59" s="49"/>
      <c r="Z59" s="49"/>
    </row>
    <row r="60" ht="15.75" customHeight="1">
      <c r="A60" s="63"/>
      <c r="B60" s="72" t="s">
        <v>99</v>
      </c>
      <c r="C60" s="103" t="s">
        <v>100</v>
      </c>
      <c r="D60" s="74">
        <f>IFERROR(SUMIFS('Order Level'!$BC:$BC,'Order Level'!$I:$I,"DELIVERED"),0)</f>
        <v>0</v>
      </c>
      <c r="E60" s="74" t="s">
        <v>78</v>
      </c>
      <c r="F60" s="75">
        <f t="shared" si="13"/>
        <v>0</v>
      </c>
      <c r="G60" s="62"/>
      <c r="H60" s="49"/>
      <c r="I60" s="49"/>
      <c r="J60" s="49"/>
      <c r="K60" s="49"/>
      <c r="L60" s="49"/>
      <c r="M60" s="49"/>
      <c r="N60" s="49"/>
      <c r="O60" s="49"/>
      <c r="P60" s="49"/>
      <c r="Q60" s="49"/>
      <c r="R60" s="49"/>
      <c r="S60" s="49"/>
      <c r="T60" s="49"/>
      <c r="U60" s="49"/>
      <c r="V60" s="49"/>
      <c r="W60" s="49"/>
      <c r="X60" s="49"/>
      <c r="Y60" s="49"/>
      <c r="Z60" s="49"/>
    </row>
    <row r="61" ht="30.75" customHeight="1">
      <c r="A61" s="63"/>
      <c r="B61" s="72" t="s">
        <v>101</v>
      </c>
      <c r="C61" s="104" t="s">
        <v>102</v>
      </c>
      <c r="D61" s="74">
        <f>IFERROR(SUMIFS('Addition Deductions Details'!G:G,'Addition Deductions Details'!B:B,"TDS 194 H and other Res id level Additions"),0)</f>
        <v>0</v>
      </c>
      <c r="E61" s="74" t="s">
        <v>78</v>
      </c>
      <c r="F61" s="75">
        <f t="shared" si="13"/>
        <v>0</v>
      </c>
      <c r="G61" s="62"/>
      <c r="H61" s="49"/>
      <c r="I61" s="49"/>
      <c r="J61" s="49"/>
      <c r="K61" s="49"/>
      <c r="L61" s="49"/>
      <c r="M61" s="49"/>
      <c r="N61" s="49"/>
      <c r="O61" s="49"/>
      <c r="P61" s="49"/>
      <c r="Q61" s="49"/>
      <c r="R61" s="49"/>
      <c r="S61" s="49"/>
      <c r="T61" s="49"/>
      <c r="U61" s="49"/>
      <c r="V61" s="49"/>
      <c r="W61" s="49"/>
      <c r="X61" s="49"/>
      <c r="Y61" s="49"/>
      <c r="Z61" s="49"/>
    </row>
    <row r="62" ht="15.75" customHeight="1">
      <c r="A62" s="63"/>
      <c r="B62" s="72" t="s">
        <v>103</v>
      </c>
      <c r="C62" s="104" t="s">
        <v>104</v>
      </c>
      <c r="D62" s="74">
        <f>IFERROR(SUMIFS('Addition Deductions Details'!G:G,'Addition Deductions Details'!B:B,"Restaurant-level service fees rebate"),0)</f>
        <v>0</v>
      </c>
      <c r="E62" s="74" t="s">
        <v>78</v>
      </c>
      <c r="F62" s="75">
        <f t="shared" si="13"/>
        <v>0</v>
      </c>
      <c r="G62" s="62"/>
      <c r="H62" s="49"/>
      <c r="I62" s="49"/>
      <c r="J62" s="49"/>
      <c r="K62" s="49"/>
      <c r="L62" s="49"/>
      <c r="M62" s="49"/>
      <c r="N62" s="49"/>
      <c r="O62" s="49"/>
      <c r="P62" s="49"/>
      <c r="Q62" s="49"/>
      <c r="R62" s="49"/>
      <c r="S62" s="49"/>
      <c r="T62" s="49"/>
      <c r="U62" s="49"/>
      <c r="V62" s="49"/>
      <c r="W62" s="49"/>
      <c r="X62" s="49"/>
      <c r="Y62" s="49"/>
      <c r="Z62" s="49"/>
    </row>
    <row r="63" ht="15.75" customHeight="1">
      <c r="A63" s="63"/>
      <c r="B63" s="64"/>
      <c r="C63" s="79"/>
      <c r="D63" s="80"/>
      <c r="E63" s="80"/>
      <c r="F63" s="81"/>
      <c r="G63" s="62"/>
      <c r="H63" s="49"/>
      <c r="I63" s="49"/>
      <c r="J63" s="49"/>
      <c r="K63" s="49"/>
      <c r="L63" s="49"/>
      <c r="M63" s="49"/>
      <c r="N63" s="49"/>
      <c r="O63" s="49"/>
      <c r="P63" s="49"/>
      <c r="Q63" s="49"/>
      <c r="R63" s="49"/>
      <c r="S63" s="49"/>
      <c r="T63" s="49"/>
      <c r="U63" s="49"/>
      <c r="V63" s="49"/>
      <c r="W63" s="49"/>
      <c r="X63" s="49"/>
      <c r="Y63" s="49"/>
      <c r="Z63" s="49"/>
    </row>
    <row r="64" ht="15.75" customHeight="1">
      <c r="A64" s="47"/>
      <c r="B64" s="68" t="s">
        <v>105</v>
      </c>
      <c r="C64" s="69" t="s">
        <v>106</v>
      </c>
      <c r="D64" s="70">
        <f>D6-D21-D28-D34-D47-D52-D55+D58</f>
        <v>0</v>
      </c>
      <c r="E64" s="70">
        <f>-E21-E28-E34+E58</f>
        <v>0</v>
      </c>
      <c r="F64" s="105">
        <f>D64+E64</f>
        <v>0</v>
      </c>
      <c r="G64" s="62"/>
      <c r="H64" s="49"/>
      <c r="I64" s="49"/>
      <c r="J64" s="49"/>
      <c r="K64" s="49"/>
      <c r="L64" s="49"/>
      <c r="M64" s="49"/>
      <c r="N64" s="49"/>
      <c r="O64" s="49"/>
      <c r="P64" s="49"/>
      <c r="Q64" s="49"/>
      <c r="R64" s="49"/>
      <c r="S64" s="49"/>
      <c r="T64" s="49"/>
      <c r="U64" s="49"/>
      <c r="V64" s="49"/>
      <c r="W64" s="49"/>
      <c r="X64" s="49"/>
      <c r="Y64" s="49"/>
      <c r="Z64" s="49"/>
    </row>
    <row r="65" ht="15.75" customHeight="1">
      <c r="A65" s="47"/>
      <c r="B65" s="58"/>
      <c r="C65" s="79"/>
      <c r="D65" s="106"/>
      <c r="E65" s="106"/>
      <c r="F65" s="107"/>
      <c r="G65" s="62"/>
      <c r="H65" s="49"/>
      <c r="I65" s="49"/>
      <c r="J65" s="49"/>
      <c r="K65" s="49"/>
      <c r="L65" s="49"/>
      <c r="M65" s="49"/>
      <c r="N65" s="49"/>
      <c r="O65" s="49"/>
      <c r="P65" s="49"/>
      <c r="Q65" s="49"/>
      <c r="R65" s="49"/>
      <c r="S65" s="49"/>
      <c r="T65" s="49"/>
      <c r="U65" s="49"/>
      <c r="V65" s="49"/>
      <c r="W65" s="49"/>
      <c r="X65" s="49"/>
      <c r="Y65" s="49"/>
      <c r="Z65" s="49"/>
    </row>
    <row r="66" ht="15.75" customHeight="1">
      <c r="A66" s="63"/>
      <c r="B66" s="82" t="s">
        <v>107</v>
      </c>
      <c r="C66" s="108"/>
      <c r="D66" s="109"/>
      <c r="E66" s="109"/>
      <c r="F66" s="110"/>
      <c r="G66" s="62"/>
      <c r="H66" s="49"/>
      <c r="I66" s="49"/>
      <c r="J66" s="49"/>
      <c r="K66" s="49"/>
      <c r="L66" s="49"/>
      <c r="M66" s="49"/>
      <c r="N66" s="49"/>
      <c r="O66" s="49"/>
      <c r="P66" s="49"/>
      <c r="Q66" s="49"/>
      <c r="R66" s="49"/>
      <c r="S66" s="49"/>
      <c r="T66" s="49"/>
      <c r="U66" s="49"/>
      <c r="V66" s="49"/>
      <c r="W66" s="49"/>
      <c r="X66" s="49"/>
      <c r="Y66" s="49"/>
      <c r="Z66" s="49"/>
    </row>
    <row r="67" ht="15.75" customHeight="1">
      <c r="A67" s="63"/>
      <c r="B67" s="64"/>
      <c r="C67" s="111" t="s">
        <v>108</v>
      </c>
      <c r="D67" s="112">
        <f>IFERROR(SUMIFS('Order Level'!$BD:$BD,'Order Level'!I:I,"DELIVERED",'Order Level'!$BE:$BE,"Settled")+SUMIFS('Order Level'!$BD:$BD,'Order Level'!I:I,"DELIVERED",'Order Level'!$BE:$BE,"Partial")-SUMIFS('Order Level'!$BH:$BH,'Order Level'!I:I,"DELIVERED",'Order Level'!$BE:$BE,"Partial")+SUMIFS('Order Level'!$BD:$BD,'Order Level'!I:I,"DELIVERED",'Order Level'!$BE:$BE,"Pending")-SUMIFS('Order Level'!$BD:$BD,'Order Level'!I:I,"DELIVERED",'Order Level'!$BE:$BE,"Pending")+SUMIFS('Addition Deductions Details'!H:H,'Addition Deductions Details'!B:B,"Total Additions")-SUMIFS('Addition Deductions Details'!H:H,'Addition Deductions Details'!B:B,"Total Ads &amp; miscellaneous services")-SUMIFS('Addition Deductions Details'!H:H,'Addition Deductions Details'!B:B,"Total Hyperpure")-SUMIFS('Addition Deductions Details'!H:H,'Addition Deductions Details'!B:B,"Total deductions"),0)</f>
        <v>0</v>
      </c>
      <c r="E67" s="112">
        <f>IFERROR(SUMIFS('Order Level'!$BD:$BD,'Order Level'!I:I,"CANCELLED",'Order Level'!$BE:$BE,"Settled")+SUMIFS('Order Level'!$BD:$BD,'Order Level'!I:I,"CANCELLED",'Order Level'!$BE:$BE,"Partial")-SUMIFS('Order Level'!$BH:$BH,'Order Level'!I:I,"CANCELLED",'Order Level'!$BE:$BE,"Partial")+SUMIFS('Order Level'!$BD:$BD,'Order Level'!I:I,"CANCELLED",'Order Level'!$BE:$BE,"Pending")-SUMIFS('Order Level'!$BH:$BH,'Order Level'!I:I,"CANCELLED",'Order Level'!$BE:$BE,"Pending")+SUMIFS('Order Level'!$BD:$BD,'Order Level'!I:I,"REJECTED",'Order Level'!$BE:$BE,"Pending")-SUMIFS('Order Level'!$BH:$BH,'Order Level'!I:I,"REJECTED",'Order Level'!$BE:$BE,"Pending")+SUMIFS('Order Level'!$BD:$BD,'Order Level'!I:I,"REJECTED",'Order Level'!$BE:$BE,"Settled")+SUMIFS('Order Level'!$BD:$BD,'Order Level'!I:I,"REJECTED",'Order Level'!$BE:$BE,"Partial")-SUMIFS('Order Level'!$BH:$BH,'Order Level'!I:I,"REJECTED",'Order Level'!$BE:$BE,"Partial")+SUMIFS('Order Level'!$BD:$BD,'Order Level'!I:I,"TIMEDOUT",'Order Level'!$BE:$BE,"Settled")+SUMIFS('Order Level'!$BD:$BD,'Order Level'!I:I,"TIMEDOUT",'Order Level'!$BE:$BE,"Pending")-SUMIFS('Order Level'!$BH:$BH,'Order Level'!I:I,"TIMEDOUT",'Order Level'!$BE:$BE,"Pending")+SUMIFS('Order Level'!$BD:$BD,'Order Level'!I:I,"TIMEDOUT",'Order Level'!$BE:$BE,"Partial")-SUMIFS('Order Level'!$BH:$BH,'Order Level'!I:I,"TIMEDOUT",'Order Level'!$BE:$BE,"Partial"),0)</f>
        <v>0</v>
      </c>
      <c r="F67" s="113">
        <f t="shared" ref="F67:F68" si="14">SUM(D67:E67)</f>
        <v>0</v>
      </c>
      <c r="G67" s="62"/>
      <c r="H67" s="49"/>
      <c r="I67" s="49"/>
      <c r="J67" s="49"/>
      <c r="K67" s="49"/>
      <c r="L67" s="49"/>
      <c r="M67" s="49"/>
      <c r="N67" s="49"/>
      <c r="O67" s="49"/>
      <c r="P67" s="49"/>
      <c r="Q67" s="49"/>
      <c r="R67" s="49"/>
      <c r="S67" s="49"/>
      <c r="T67" s="49"/>
      <c r="U67" s="49"/>
      <c r="V67" s="49"/>
      <c r="W67" s="49"/>
      <c r="X67" s="49"/>
      <c r="Y67" s="49"/>
      <c r="Z67" s="49"/>
    </row>
    <row r="68" ht="15.75" customHeight="1">
      <c r="A68" s="63"/>
      <c r="B68" s="114"/>
      <c r="C68" s="115" t="s">
        <v>109</v>
      </c>
      <c r="D68" s="116">
        <f>IFERROR(SUMIFS('Order Level'!$BH:$BH,'Order Level'!I:I,"DELIVERED",'Order Level'!$BE:$BE,"Pending")+SUMIFS('Order Level'!$BH:$BH,'Order Level'!I:I,"DELIVERED",'Order Level'!$BE:$BE,"Partial")+SUMIFS('Addition Deductions Details'!I:I,'Addition Deductions Details'!B:B,"Total Additions")-SUMIFS('Addition Deductions Details'!I:I,'Addition Deductions Details'!B:B,"Total Ads &amp; miscellaneous services")-SUMIFS('Addition Deductions Details'!I:I,'Addition Deductions Details'!B:B,"Total Hyperpure")-SUMIFS('Addition Deductions Details'!I:I,'Addition Deductions Details'!B:B,"Total adjustments from previous weeks")-SUMIFS('Addition Deductions Details'!I:I,'Addition Deductions Details'!B:B,"Total adjustments from previous weeks")-SUMIFS('Addition Deductions Details'!I:I,'Addition Deductions Details'!B:B,"Total deductions"),0)</f>
        <v>0</v>
      </c>
      <c r="E68" s="116">
        <f>IFERROR(SUMIFS('Order Level'!$BH:$BH,'Order Level'!I:I,"CANCELLED",'Order Level'!$BE:$BE,"Pending")+SUMIFS('Order Level'!$BH:$BH,'Order Level'!I:I,"CANCELLED",'Order Level'!$BE:$BE,"Partial")+SUMIFS('Order Level'!$BH:$BH,'Order Level'!I:I,"REJECTED",'Order Level'!$BE:$BE,"Pending")+SUMIFS('Order Level'!$BH:$BH,'Order Level'!I:I,"REJECTED",'Order Level'!$BE:$BE,"Partial")+SUMIFS('Order Level'!$BH:$BH,'Order Level'!I:I,"TIMEDOUT",'Order Level'!$BE:$BE,"Pending")+SUMIFS('Order Level'!$BH:$BH,'Order Level'!I:I,"TIMEDOUT",'Order Level'!$BE:$BE,"Partial"),0)</f>
        <v>0</v>
      </c>
      <c r="F68" s="117">
        <f t="shared" si="14"/>
        <v>0</v>
      </c>
      <c r="G68" s="62"/>
      <c r="H68" s="49"/>
      <c r="I68" s="49"/>
      <c r="J68" s="49"/>
      <c r="K68" s="49"/>
      <c r="L68" s="49"/>
      <c r="M68" s="49"/>
      <c r="N68" s="49"/>
      <c r="O68" s="49"/>
      <c r="P68" s="49"/>
      <c r="Q68" s="49"/>
      <c r="R68" s="49"/>
      <c r="S68" s="49"/>
      <c r="T68" s="49"/>
      <c r="U68" s="49"/>
      <c r="V68" s="49"/>
      <c r="W68" s="49"/>
      <c r="X68" s="49"/>
      <c r="Y68" s="49"/>
      <c r="Z68" s="49"/>
    </row>
    <row r="69" ht="15.75" customHeight="1">
      <c r="A69" s="63"/>
      <c r="B69" s="63"/>
      <c r="C69" s="47"/>
      <c r="D69" s="118"/>
      <c r="E69" s="118"/>
      <c r="F69" s="118"/>
      <c r="G69" s="62"/>
      <c r="H69" s="49"/>
      <c r="I69" s="49"/>
      <c r="J69" s="49"/>
      <c r="K69" s="49"/>
      <c r="L69" s="49"/>
      <c r="M69" s="49"/>
      <c r="N69" s="49"/>
      <c r="O69" s="49"/>
      <c r="P69" s="49"/>
      <c r="Q69" s="49"/>
      <c r="R69" s="49"/>
      <c r="S69" s="49"/>
      <c r="T69" s="49"/>
      <c r="U69" s="49"/>
      <c r="V69" s="49"/>
      <c r="W69" s="49"/>
      <c r="X69" s="49"/>
      <c r="Y69" s="49"/>
      <c r="Z69" s="49"/>
    </row>
    <row r="70" ht="15.75" customHeight="1">
      <c r="A70" s="63"/>
      <c r="B70" s="63"/>
      <c r="C70" s="47"/>
      <c r="D70" s="119"/>
      <c r="E70" s="118"/>
      <c r="F70" s="118"/>
      <c r="G70" s="62"/>
      <c r="H70" s="49"/>
      <c r="I70" s="49"/>
      <c r="J70" s="49"/>
      <c r="K70" s="49"/>
      <c r="L70" s="49"/>
      <c r="M70" s="49"/>
      <c r="N70" s="49"/>
      <c r="O70" s="49"/>
      <c r="P70" s="49"/>
      <c r="Q70" s="49"/>
      <c r="R70" s="49"/>
      <c r="S70" s="49"/>
      <c r="T70" s="49"/>
      <c r="U70" s="49"/>
      <c r="V70" s="49"/>
      <c r="W70" s="49"/>
      <c r="X70" s="49"/>
      <c r="Y70" s="49"/>
      <c r="Z70" s="49"/>
    </row>
    <row r="71" ht="15.75" customHeight="1">
      <c r="A71" s="63"/>
      <c r="B71" s="63"/>
      <c r="C71" s="47"/>
      <c r="D71" s="118"/>
      <c r="E71" s="118"/>
      <c r="F71" s="118"/>
      <c r="G71" s="62"/>
      <c r="H71" s="49"/>
      <c r="I71" s="49"/>
      <c r="J71" s="49"/>
      <c r="K71" s="49"/>
      <c r="L71" s="49"/>
      <c r="M71" s="49"/>
      <c r="N71" s="49"/>
      <c r="O71" s="49"/>
      <c r="P71" s="49"/>
      <c r="Q71" s="49"/>
      <c r="R71" s="49"/>
      <c r="S71" s="49"/>
      <c r="T71" s="49"/>
      <c r="U71" s="49"/>
      <c r="V71" s="49"/>
      <c r="W71" s="49"/>
      <c r="X71" s="49"/>
      <c r="Y71" s="49"/>
      <c r="Z71" s="49"/>
    </row>
    <row r="72" ht="15.75" customHeight="1">
      <c r="A72" s="63"/>
      <c r="B72" s="63"/>
      <c r="C72" s="47"/>
      <c r="D72" s="118"/>
      <c r="E72" s="118"/>
      <c r="F72" s="118"/>
      <c r="G72" s="62"/>
      <c r="H72" s="49"/>
      <c r="I72" s="49"/>
      <c r="J72" s="49"/>
      <c r="K72" s="49"/>
      <c r="L72" s="49"/>
      <c r="M72" s="49"/>
      <c r="N72" s="49"/>
      <c r="O72" s="49"/>
      <c r="P72" s="49"/>
      <c r="Q72" s="49"/>
      <c r="R72" s="49"/>
      <c r="S72" s="49"/>
      <c r="T72" s="49"/>
      <c r="U72" s="49"/>
      <c r="V72" s="49"/>
      <c r="W72" s="49"/>
      <c r="X72" s="49"/>
      <c r="Y72" s="49"/>
      <c r="Z72" s="49"/>
    </row>
    <row r="73" ht="15.75" customHeight="1">
      <c r="A73" s="63"/>
      <c r="B73" s="63"/>
      <c r="C73" s="47"/>
      <c r="D73" s="118"/>
      <c r="E73" s="118"/>
      <c r="F73" s="118"/>
      <c r="G73" s="62"/>
      <c r="H73" s="49"/>
      <c r="I73" s="49"/>
      <c r="J73" s="49"/>
      <c r="K73" s="49"/>
      <c r="L73" s="49"/>
      <c r="M73" s="49"/>
      <c r="N73" s="49"/>
      <c r="O73" s="49"/>
      <c r="P73" s="49"/>
      <c r="Q73" s="49"/>
      <c r="R73" s="49"/>
      <c r="S73" s="49"/>
      <c r="T73" s="49"/>
      <c r="U73" s="49"/>
      <c r="V73" s="49"/>
      <c r="W73" s="49"/>
      <c r="X73" s="49"/>
      <c r="Y73" s="49"/>
      <c r="Z73" s="49"/>
    </row>
    <row r="74" ht="15.75" customHeight="1">
      <c r="A74" s="63"/>
      <c r="B74" s="63"/>
      <c r="C74" s="47"/>
      <c r="D74" s="118"/>
      <c r="E74" s="118"/>
      <c r="F74" s="118"/>
      <c r="G74" s="62"/>
      <c r="H74" s="49"/>
      <c r="I74" s="49"/>
      <c r="J74" s="49"/>
      <c r="K74" s="49"/>
      <c r="L74" s="49"/>
      <c r="M74" s="49"/>
      <c r="N74" s="49"/>
      <c r="O74" s="49"/>
      <c r="P74" s="49"/>
      <c r="Q74" s="49"/>
      <c r="R74" s="49"/>
      <c r="S74" s="49"/>
      <c r="T74" s="49"/>
      <c r="U74" s="49"/>
      <c r="V74" s="49"/>
      <c r="W74" s="49"/>
      <c r="X74" s="49"/>
      <c r="Y74" s="49"/>
      <c r="Z74" s="49"/>
    </row>
    <row r="75" ht="15.75" customHeight="1">
      <c r="A75" s="63"/>
      <c r="B75" s="63"/>
      <c r="C75" s="47"/>
      <c r="D75" s="118"/>
      <c r="E75" s="118"/>
      <c r="F75" s="118"/>
      <c r="G75" s="62"/>
      <c r="H75" s="49"/>
      <c r="I75" s="49"/>
      <c r="J75" s="49"/>
      <c r="K75" s="49"/>
      <c r="L75" s="49"/>
      <c r="M75" s="49"/>
      <c r="N75" s="49"/>
      <c r="O75" s="49"/>
      <c r="P75" s="49"/>
      <c r="Q75" s="49"/>
      <c r="R75" s="49"/>
      <c r="S75" s="49"/>
      <c r="T75" s="49"/>
      <c r="U75" s="49"/>
      <c r="V75" s="49"/>
      <c r="W75" s="49"/>
      <c r="X75" s="49"/>
      <c r="Y75" s="49"/>
      <c r="Z75" s="49"/>
    </row>
    <row r="76" ht="15.75" customHeight="1">
      <c r="A76" s="63"/>
      <c r="B76" s="63"/>
      <c r="C76" s="47"/>
      <c r="D76" s="118"/>
      <c r="E76" s="118"/>
      <c r="F76" s="118"/>
      <c r="G76" s="62"/>
      <c r="H76" s="49"/>
      <c r="I76" s="49"/>
      <c r="J76" s="49"/>
      <c r="K76" s="49"/>
      <c r="L76" s="49"/>
      <c r="M76" s="49"/>
      <c r="N76" s="49"/>
      <c r="O76" s="49"/>
      <c r="P76" s="49"/>
      <c r="Q76" s="49"/>
      <c r="R76" s="49"/>
      <c r="S76" s="49"/>
      <c r="T76" s="49"/>
      <c r="U76" s="49"/>
      <c r="V76" s="49"/>
      <c r="W76" s="49"/>
      <c r="X76" s="49"/>
      <c r="Y76" s="49"/>
      <c r="Z76" s="49"/>
    </row>
    <row r="77" ht="15.75" customHeight="1">
      <c r="A77" s="63"/>
      <c r="B77" s="63"/>
      <c r="C77" s="47"/>
      <c r="D77" s="118"/>
      <c r="E77" s="118"/>
      <c r="F77" s="118"/>
      <c r="G77" s="62"/>
      <c r="H77" s="49"/>
      <c r="I77" s="49"/>
      <c r="J77" s="49"/>
      <c r="K77" s="49"/>
      <c r="L77" s="49"/>
      <c r="M77" s="49"/>
      <c r="N77" s="49"/>
      <c r="O77" s="49"/>
      <c r="P77" s="49"/>
      <c r="Q77" s="49"/>
      <c r="R77" s="49"/>
      <c r="S77" s="49"/>
      <c r="T77" s="49"/>
      <c r="U77" s="49"/>
      <c r="V77" s="49"/>
      <c r="W77" s="49"/>
      <c r="X77" s="49"/>
      <c r="Y77" s="49"/>
      <c r="Z77" s="49"/>
    </row>
    <row r="78" ht="15.75" customHeight="1">
      <c r="A78" s="120"/>
      <c r="B78" s="120"/>
      <c r="C78" s="49"/>
      <c r="D78" s="119"/>
      <c r="E78" s="119"/>
      <c r="F78" s="119"/>
      <c r="G78" s="121"/>
      <c r="H78" s="49"/>
      <c r="I78" s="49"/>
      <c r="J78" s="49"/>
      <c r="K78" s="49"/>
      <c r="L78" s="49"/>
      <c r="M78" s="49"/>
      <c r="N78" s="49"/>
      <c r="O78" s="49"/>
      <c r="P78" s="49"/>
      <c r="Q78" s="49"/>
      <c r="R78" s="49"/>
      <c r="S78" s="49"/>
      <c r="T78" s="49"/>
      <c r="U78" s="49"/>
      <c r="V78" s="49"/>
      <c r="W78" s="49"/>
      <c r="X78" s="49"/>
      <c r="Y78" s="49"/>
      <c r="Z78" s="49"/>
    </row>
    <row r="79" ht="15.75" customHeight="1">
      <c r="A79" s="120"/>
      <c r="B79" s="120"/>
      <c r="C79" s="49"/>
      <c r="D79" s="119"/>
      <c r="E79" s="119"/>
      <c r="F79" s="119"/>
      <c r="G79" s="121"/>
      <c r="H79" s="49"/>
      <c r="I79" s="49"/>
      <c r="J79" s="49"/>
      <c r="K79" s="49"/>
      <c r="L79" s="49"/>
      <c r="M79" s="49"/>
      <c r="N79" s="49"/>
      <c r="O79" s="49"/>
      <c r="P79" s="49"/>
      <c r="Q79" s="49"/>
      <c r="R79" s="49"/>
      <c r="S79" s="49"/>
      <c r="T79" s="49"/>
      <c r="U79" s="49"/>
      <c r="V79" s="49"/>
      <c r="W79" s="49"/>
      <c r="X79" s="49"/>
      <c r="Y79" s="49"/>
      <c r="Z79" s="49"/>
    </row>
    <row r="80" ht="15.75" customHeight="1">
      <c r="A80" s="120"/>
      <c r="B80" s="120"/>
      <c r="C80" s="49"/>
      <c r="D80" s="119"/>
      <c r="E80" s="119"/>
      <c r="F80" s="119"/>
      <c r="G80" s="121"/>
      <c r="H80" s="49"/>
      <c r="I80" s="49"/>
      <c r="J80" s="49"/>
      <c r="K80" s="49"/>
      <c r="L80" s="49"/>
      <c r="M80" s="49"/>
      <c r="N80" s="49"/>
      <c r="O80" s="49"/>
      <c r="P80" s="49"/>
      <c r="Q80" s="49"/>
      <c r="R80" s="49"/>
      <c r="S80" s="49"/>
      <c r="T80" s="49"/>
      <c r="U80" s="49"/>
      <c r="V80" s="49"/>
      <c r="W80" s="49"/>
      <c r="X80" s="49"/>
      <c r="Y80" s="49"/>
      <c r="Z80" s="49"/>
    </row>
    <row r="81" ht="15.75" customHeight="1">
      <c r="A81" s="49"/>
      <c r="B81" s="49"/>
      <c r="C81" s="49"/>
      <c r="D81" s="49"/>
      <c r="E81" s="49"/>
      <c r="F81" s="49"/>
      <c r="G81" s="121"/>
      <c r="H81" s="49"/>
      <c r="I81" s="49"/>
      <c r="J81" s="49"/>
      <c r="K81" s="49"/>
      <c r="L81" s="49"/>
      <c r="M81" s="49"/>
      <c r="N81" s="49"/>
      <c r="O81" s="49"/>
      <c r="P81" s="49"/>
      <c r="Q81" s="49"/>
      <c r="R81" s="49"/>
      <c r="S81" s="49"/>
      <c r="T81" s="49"/>
      <c r="U81" s="49"/>
      <c r="V81" s="49"/>
      <c r="W81" s="49"/>
      <c r="X81" s="49"/>
      <c r="Y81" s="49"/>
      <c r="Z81" s="49"/>
    </row>
    <row r="82" ht="15.75" customHeight="1">
      <c r="A82" s="47"/>
      <c r="B82" s="47"/>
      <c r="C82" s="47"/>
      <c r="D82" s="48"/>
      <c r="E82" s="48"/>
      <c r="F82" s="48"/>
      <c r="G82" s="62"/>
      <c r="H82" s="49"/>
      <c r="I82" s="49"/>
      <c r="J82" s="49"/>
      <c r="K82" s="49"/>
      <c r="L82" s="49"/>
      <c r="M82" s="49"/>
      <c r="N82" s="49"/>
      <c r="O82" s="49"/>
      <c r="P82" s="49"/>
      <c r="Q82" s="49"/>
      <c r="R82" s="49"/>
      <c r="S82" s="49"/>
      <c r="T82" s="49"/>
      <c r="U82" s="49"/>
      <c r="V82" s="49"/>
      <c r="W82" s="49"/>
      <c r="X82" s="49"/>
      <c r="Y82" s="49"/>
      <c r="Z82" s="49"/>
    </row>
    <row r="83" ht="15.75" customHeight="1">
      <c r="A83" s="49"/>
      <c r="B83" s="49"/>
      <c r="C83" s="49"/>
      <c r="D83" s="49"/>
      <c r="E83" s="49"/>
      <c r="F83" s="49"/>
      <c r="G83" s="121"/>
      <c r="H83" s="49"/>
      <c r="I83" s="49"/>
      <c r="J83" s="49"/>
      <c r="K83" s="49"/>
      <c r="L83" s="49"/>
      <c r="M83" s="49"/>
      <c r="N83" s="49"/>
      <c r="O83" s="49"/>
      <c r="P83" s="49"/>
      <c r="Q83" s="49"/>
      <c r="R83" s="49"/>
      <c r="S83" s="49"/>
      <c r="T83" s="49"/>
      <c r="U83" s="49"/>
      <c r="V83" s="49"/>
      <c r="W83" s="49"/>
      <c r="X83" s="49"/>
      <c r="Y83" s="49"/>
      <c r="Z83" s="49"/>
    </row>
    <row r="84" ht="15.75" customHeight="1">
      <c r="A84" s="49"/>
      <c r="B84" s="49"/>
      <c r="C84" s="49"/>
      <c r="D84" s="49"/>
      <c r="E84" s="49"/>
      <c r="F84" s="49"/>
      <c r="G84" s="121"/>
      <c r="H84" s="49"/>
      <c r="I84" s="49"/>
      <c r="J84" s="49"/>
      <c r="K84" s="49"/>
      <c r="L84" s="49"/>
      <c r="M84" s="49"/>
      <c r="N84" s="49"/>
      <c r="O84" s="49"/>
      <c r="P84" s="49"/>
      <c r="Q84" s="49"/>
      <c r="R84" s="49"/>
      <c r="S84" s="49"/>
      <c r="T84" s="49"/>
      <c r="U84" s="49"/>
      <c r="V84" s="49"/>
      <c r="W84" s="49"/>
      <c r="X84" s="49"/>
      <c r="Y84" s="49"/>
      <c r="Z84" s="49"/>
    </row>
    <row r="85" ht="15.75" customHeight="1">
      <c r="A85" s="49"/>
      <c r="B85" s="49"/>
      <c r="C85" s="49"/>
      <c r="D85" s="122"/>
      <c r="E85" s="122"/>
      <c r="F85" s="122"/>
      <c r="G85" s="121"/>
      <c r="H85" s="49"/>
      <c r="I85" s="49"/>
      <c r="J85" s="49"/>
      <c r="K85" s="49"/>
      <c r="L85" s="49"/>
      <c r="M85" s="49"/>
      <c r="N85" s="49"/>
      <c r="O85" s="49"/>
      <c r="P85" s="49"/>
      <c r="Q85" s="49"/>
      <c r="R85" s="49"/>
      <c r="S85" s="49"/>
      <c r="T85" s="49"/>
      <c r="U85" s="49"/>
      <c r="V85" s="49"/>
      <c r="W85" s="49"/>
      <c r="X85" s="49"/>
      <c r="Y85" s="49"/>
      <c r="Z85" s="49"/>
    </row>
    <row r="86" ht="15.75" customHeight="1">
      <c r="A86" s="49"/>
      <c r="B86" s="49"/>
      <c r="C86" s="49"/>
      <c r="D86" s="49"/>
      <c r="E86" s="49"/>
      <c r="F86" s="49"/>
      <c r="G86" s="121"/>
      <c r="H86" s="49"/>
      <c r="I86" s="49"/>
      <c r="J86" s="49"/>
      <c r="K86" s="49"/>
      <c r="L86" s="49"/>
      <c r="M86" s="49"/>
      <c r="N86" s="49"/>
      <c r="O86" s="49"/>
      <c r="P86" s="49"/>
      <c r="Q86" s="49"/>
      <c r="R86" s="49"/>
      <c r="S86" s="49"/>
      <c r="T86" s="49"/>
      <c r="U86" s="49"/>
      <c r="V86" s="49"/>
      <c r="W86" s="49"/>
      <c r="X86" s="49"/>
      <c r="Y86" s="49"/>
      <c r="Z86" s="49"/>
    </row>
    <row r="87" ht="15.75" customHeight="1">
      <c r="A87" s="49"/>
      <c r="B87" s="49"/>
      <c r="C87" s="49"/>
      <c r="D87" s="49"/>
      <c r="E87" s="49"/>
      <c r="F87" s="49"/>
      <c r="G87" s="121"/>
      <c r="H87" s="49"/>
      <c r="I87" s="49"/>
      <c r="J87" s="49"/>
      <c r="K87" s="49"/>
      <c r="L87" s="49"/>
      <c r="M87" s="49"/>
      <c r="N87" s="49"/>
      <c r="O87" s="49"/>
      <c r="P87" s="49"/>
      <c r="Q87" s="49"/>
      <c r="R87" s="49"/>
      <c r="S87" s="49"/>
      <c r="T87" s="49"/>
      <c r="U87" s="49"/>
      <c r="V87" s="49"/>
      <c r="W87" s="49"/>
      <c r="X87" s="49"/>
      <c r="Y87" s="49"/>
      <c r="Z87" s="49"/>
    </row>
    <row r="88" ht="15.75" customHeight="1">
      <c r="A88" s="49"/>
      <c r="B88" s="49"/>
      <c r="C88" s="49"/>
      <c r="D88" s="49"/>
      <c r="E88" s="49"/>
      <c r="F88" s="49"/>
      <c r="G88" s="121"/>
      <c r="H88" s="49"/>
      <c r="I88" s="49"/>
      <c r="J88" s="49"/>
      <c r="K88" s="49"/>
      <c r="L88" s="49"/>
      <c r="M88" s="49"/>
      <c r="N88" s="49"/>
      <c r="O88" s="49"/>
      <c r="P88" s="49"/>
      <c r="Q88" s="49"/>
      <c r="R88" s="49"/>
      <c r="S88" s="49"/>
      <c r="T88" s="49"/>
      <c r="U88" s="49"/>
      <c r="V88" s="49"/>
      <c r="W88" s="49"/>
      <c r="X88" s="49"/>
      <c r="Y88" s="49"/>
      <c r="Z88" s="49"/>
    </row>
    <row r="89" ht="15.75" customHeight="1">
      <c r="A89" s="49"/>
      <c r="B89" s="49"/>
      <c r="C89" s="49"/>
      <c r="D89" s="49"/>
      <c r="E89" s="49"/>
      <c r="F89" s="49"/>
      <c r="G89" s="121"/>
      <c r="H89" s="49"/>
      <c r="I89" s="49"/>
      <c r="J89" s="49"/>
      <c r="K89" s="49"/>
      <c r="L89" s="49"/>
      <c r="M89" s="49"/>
      <c r="N89" s="49"/>
      <c r="O89" s="49"/>
      <c r="P89" s="49"/>
      <c r="Q89" s="49"/>
      <c r="R89" s="49"/>
      <c r="S89" s="49"/>
      <c r="T89" s="49"/>
      <c r="U89" s="49"/>
      <c r="V89" s="49"/>
      <c r="W89" s="49"/>
      <c r="X89" s="49"/>
      <c r="Y89" s="49"/>
      <c r="Z89" s="49"/>
    </row>
    <row r="90" ht="15.75" customHeight="1">
      <c r="A90" s="49"/>
      <c r="B90" s="49"/>
      <c r="C90" s="49"/>
      <c r="D90" s="49"/>
      <c r="E90" s="49"/>
      <c r="F90" s="49"/>
      <c r="G90" s="121"/>
      <c r="H90" s="49"/>
      <c r="I90" s="49"/>
      <c r="J90" s="49"/>
      <c r="K90" s="49"/>
      <c r="L90" s="49"/>
      <c r="M90" s="49"/>
      <c r="N90" s="49"/>
      <c r="O90" s="49"/>
      <c r="P90" s="49"/>
      <c r="Q90" s="49"/>
      <c r="R90" s="49"/>
      <c r="S90" s="49"/>
      <c r="T90" s="49"/>
      <c r="U90" s="49"/>
      <c r="V90" s="49"/>
      <c r="W90" s="49"/>
      <c r="X90" s="49"/>
      <c r="Y90" s="49"/>
      <c r="Z90" s="49"/>
    </row>
    <row r="91" ht="15.75" customHeight="1">
      <c r="A91" s="49"/>
      <c r="B91" s="49"/>
      <c r="C91" s="49"/>
      <c r="D91" s="49"/>
      <c r="E91" s="49"/>
      <c r="F91" s="49"/>
      <c r="G91" s="121"/>
      <c r="H91" s="49"/>
      <c r="I91" s="49"/>
      <c r="J91" s="49"/>
      <c r="K91" s="49"/>
      <c r="L91" s="49"/>
      <c r="M91" s="49"/>
      <c r="N91" s="49"/>
      <c r="O91" s="49"/>
      <c r="P91" s="49"/>
      <c r="Q91" s="49"/>
      <c r="R91" s="49"/>
      <c r="S91" s="49"/>
      <c r="T91" s="49"/>
      <c r="U91" s="49"/>
      <c r="V91" s="49"/>
      <c r="W91" s="49"/>
      <c r="X91" s="49"/>
      <c r="Y91" s="49"/>
      <c r="Z91" s="49"/>
    </row>
    <row r="92" ht="15.75" customHeight="1">
      <c r="A92" s="49"/>
      <c r="B92" s="49"/>
      <c r="C92" s="49"/>
      <c r="D92" s="49"/>
      <c r="E92" s="49"/>
      <c r="F92" s="49"/>
      <c r="G92" s="121"/>
      <c r="H92" s="49"/>
      <c r="I92" s="49"/>
      <c r="J92" s="49"/>
      <c r="K92" s="49"/>
      <c r="L92" s="49"/>
      <c r="M92" s="49"/>
      <c r="N92" s="49"/>
      <c r="O92" s="49"/>
      <c r="P92" s="49"/>
      <c r="Q92" s="49"/>
      <c r="R92" s="49"/>
      <c r="S92" s="49"/>
      <c r="T92" s="49"/>
      <c r="U92" s="49"/>
      <c r="V92" s="49"/>
      <c r="W92" s="49"/>
      <c r="X92" s="49"/>
      <c r="Y92" s="49"/>
      <c r="Z92" s="49"/>
    </row>
    <row r="93" ht="15.75" customHeight="1">
      <c r="A93" s="49"/>
      <c r="B93" s="49"/>
      <c r="C93" s="49"/>
      <c r="D93" s="49"/>
      <c r="E93" s="49"/>
      <c r="F93" s="49"/>
      <c r="G93" s="121"/>
      <c r="H93" s="49"/>
      <c r="I93" s="49"/>
      <c r="J93" s="49"/>
      <c r="K93" s="49"/>
      <c r="L93" s="49"/>
      <c r="M93" s="49"/>
      <c r="N93" s="49"/>
      <c r="O93" s="49"/>
      <c r="P93" s="49"/>
      <c r="Q93" s="49"/>
      <c r="R93" s="49"/>
      <c r="S93" s="49"/>
      <c r="T93" s="49"/>
      <c r="U93" s="49"/>
      <c r="V93" s="49"/>
      <c r="W93" s="49"/>
      <c r="X93" s="49"/>
      <c r="Y93" s="49"/>
      <c r="Z93" s="49"/>
    </row>
    <row r="94" ht="15.75" customHeight="1">
      <c r="A94" s="49"/>
      <c r="B94" s="49"/>
      <c r="C94" s="49"/>
      <c r="D94" s="49"/>
      <c r="E94" s="49"/>
      <c r="F94" s="49"/>
      <c r="G94" s="121"/>
      <c r="H94" s="49"/>
      <c r="I94" s="49"/>
      <c r="J94" s="49"/>
      <c r="K94" s="49"/>
      <c r="L94" s="49"/>
      <c r="M94" s="49"/>
      <c r="N94" s="49"/>
      <c r="O94" s="49"/>
      <c r="P94" s="49"/>
      <c r="Q94" s="49"/>
      <c r="R94" s="49"/>
      <c r="S94" s="49"/>
      <c r="T94" s="49"/>
      <c r="U94" s="49"/>
      <c r="V94" s="49"/>
      <c r="W94" s="49"/>
      <c r="X94" s="49"/>
      <c r="Y94" s="49"/>
      <c r="Z94" s="49"/>
    </row>
    <row r="95" ht="15.75" customHeight="1">
      <c r="A95" s="49"/>
      <c r="B95" s="49"/>
      <c r="C95" s="49"/>
      <c r="D95" s="49"/>
      <c r="E95" s="49"/>
      <c r="F95" s="49"/>
      <c r="G95" s="121"/>
      <c r="H95" s="49"/>
      <c r="I95" s="49"/>
      <c r="J95" s="49"/>
      <c r="K95" s="49"/>
      <c r="L95" s="49"/>
      <c r="M95" s="49"/>
      <c r="N95" s="49"/>
      <c r="O95" s="49"/>
      <c r="P95" s="49"/>
      <c r="Q95" s="49"/>
      <c r="R95" s="49"/>
      <c r="S95" s="49"/>
      <c r="T95" s="49"/>
      <c r="U95" s="49"/>
      <c r="V95" s="49"/>
      <c r="W95" s="49"/>
      <c r="X95" s="49"/>
      <c r="Y95" s="49"/>
      <c r="Z95" s="49"/>
    </row>
    <row r="96" ht="15.75" customHeight="1">
      <c r="A96" s="49"/>
      <c r="B96" s="49"/>
      <c r="C96" s="49"/>
      <c r="D96" s="49"/>
      <c r="E96" s="49"/>
      <c r="F96" s="49"/>
      <c r="G96" s="121"/>
      <c r="H96" s="49"/>
      <c r="I96" s="49"/>
      <c r="J96" s="49"/>
      <c r="K96" s="49"/>
      <c r="L96" s="49"/>
      <c r="M96" s="49"/>
      <c r="N96" s="49"/>
      <c r="O96" s="49"/>
      <c r="P96" s="49"/>
      <c r="Q96" s="49"/>
      <c r="R96" s="49"/>
      <c r="S96" s="49"/>
      <c r="T96" s="49"/>
      <c r="U96" s="49"/>
      <c r="V96" s="49"/>
      <c r="W96" s="49"/>
      <c r="X96" s="49"/>
      <c r="Y96" s="49"/>
      <c r="Z96" s="49"/>
    </row>
    <row r="97" ht="15.75" customHeight="1">
      <c r="A97" s="47"/>
      <c r="B97" s="47"/>
      <c r="C97" s="47"/>
      <c r="D97" s="48"/>
      <c r="E97" s="48"/>
      <c r="F97" s="48"/>
      <c r="G97" s="62"/>
      <c r="H97" s="49"/>
      <c r="I97" s="49"/>
      <c r="J97" s="49"/>
      <c r="K97" s="49"/>
      <c r="L97" s="49"/>
      <c r="M97" s="49"/>
      <c r="N97" s="49"/>
      <c r="O97" s="49"/>
      <c r="P97" s="49"/>
      <c r="Q97" s="49"/>
      <c r="R97" s="49"/>
      <c r="S97" s="49"/>
      <c r="T97" s="49"/>
      <c r="U97" s="49"/>
      <c r="V97" s="49"/>
      <c r="W97" s="49"/>
      <c r="X97" s="49"/>
      <c r="Y97" s="49"/>
      <c r="Z97" s="49"/>
    </row>
    <row r="98" ht="15.75" customHeight="1">
      <c r="A98" s="49"/>
      <c r="B98" s="49"/>
      <c r="C98" s="49"/>
      <c r="D98" s="49"/>
      <c r="E98" s="49"/>
      <c r="F98" s="49"/>
      <c r="G98" s="121"/>
      <c r="H98" s="49"/>
      <c r="I98" s="49"/>
      <c r="J98" s="49"/>
      <c r="K98" s="49"/>
      <c r="L98" s="49"/>
      <c r="M98" s="49"/>
      <c r="N98" s="49"/>
      <c r="O98" s="49"/>
      <c r="P98" s="49"/>
      <c r="Q98" s="49"/>
      <c r="R98" s="49"/>
      <c r="S98" s="49"/>
      <c r="T98" s="49"/>
      <c r="U98" s="49"/>
      <c r="V98" s="49"/>
      <c r="W98" s="49"/>
      <c r="X98" s="49"/>
      <c r="Y98" s="49"/>
      <c r="Z98" s="49"/>
    </row>
    <row r="99" ht="15.75" customHeight="1">
      <c r="A99" s="49"/>
      <c r="B99" s="49"/>
      <c r="C99" s="49"/>
      <c r="D99" s="49"/>
      <c r="E99" s="49"/>
      <c r="F99" s="49"/>
      <c r="G99" s="121"/>
      <c r="H99" s="49"/>
      <c r="I99" s="49"/>
      <c r="J99" s="49"/>
      <c r="K99" s="49"/>
      <c r="L99" s="49"/>
      <c r="M99" s="49"/>
      <c r="N99" s="49"/>
      <c r="O99" s="49"/>
      <c r="P99" s="49"/>
      <c r="Q99" s="49"/>
      <c r="R99" s="49"/>
      <c r="S99" s="49"/>
      <c r="T99" s="49"/>
      <c r="U99" s="49"/>
      <c r="V99" s="49"/>
      <c r="W99" s="49"/>
      <c r="X99" s="49"/>
      <c r="Y99" s="49"/>
      <c r="Z99" s="49"/>
    </row>
    <row r="100" ht="15.75" customHeight="1">
      <c r="A100" s="49"/>
      <c r="B100" s="49"/>
      <c r="C100" s="49"/>
      <c r="D100" s="122"/>
      <c r="E100" s="122"/>
      <c r="F100" s="122"/>
      <c r="G100" s="121"/>
      <c r="H100" s="49"/>
      <c r="I100" s="49"/>
      <c r="J100" s="49"/>
      <c r="K100" s="49"/>
      <c r="L100" s="49"/>
      <c r="M100" s="49"/>
      <c r="N100" s="49"/>
      <c r="O100" s="49"/>
      <c r="P100" s="49"/>
      <c r="Q100" s="49"/>
      <c r="R100" s="49"/>
      <c r="S100" s="49"/>
      <c r="T100" s="49"/>
      <c r="U100" s="49"/>
      <c r="V100" s="49"/>
      <c r="W100" s="49"/>
      <c r="X100" s="49"/>
      <c r="Y100" s="49"/>
      <c r="Z100" s="49"/>
    </row>
    <row r="101" ht="15.75"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ht="15.75"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ht="15.75"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ht="15.75"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ht="15.75"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ht="15.75"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ht="15.75"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ht="15.75" customHeight="1">
      <c r="A108" s="47"/>
      <c r="B108" s="47"/>
      <c r="C108" s="47"/>
      <c r="D108" s="48"/>
      <c r="E108" s="48"/>
      <c r="F108" s="48"/>
      <c r="G108" s="47"/>
      <c r="H108" s="49"/>
      <c r="I108" s="49"/>
      <c r="J108" s="49"/>
      <c r="K108" s="49"/>
      <c r="L108" s="49"/>
      <c r="M108" s="49"/>
      <c r="N108" s="49"/>
      <c r="O108" s="49"/>
      <c r="P108" s="49"/>
      <c r="Q108" s="49"/>
      <c r="R108" s="49"/>
      <c r="S108" s="49"/>
      <c r="T108" s="49"/>
      <c r="U108" s="49"/>
      <c r="V108" s="49"/>
      <c r="W108" s="49"/>
      <c r="X108" s="49"/>
      <c r="Y108" s="49"/>
      <c r="Z108" s="49"/>
    </row>
    <row r="109" ht="15.75" customHeight="1">
      <c r="A109" s="47"/>
      <c r="B109" s="47"/>
      <c r="C109" s="47"/>
      <c r="D109" s="48"/>
      <c r="E109" s="48"/>
      <c r="F109" s="48"/>
      <c r="G109" s="47"/>
      <c r="H109" s="49"/>
      <c r="I109" s="49"/>
      <c r="J109" s="49"/>
      <c r="K109" s="49"/>
      <c r="L109" s="49"/>
      <c r="M109" s="49"/>
      <c r="N109" s="49"/>
      <c r="O109" s="49"/>
      <c r="P109" s="49"/>
      <c r="Q109" s="49"/>
      <c r="R109" s="49"/>
      <c r="S109" s="49"/>
      <c r="T109" s="49"/>
      <c r="U109" s="49"/>
      <c r="V109" s="49"/>
      <c r="W109" s="49"/>
      <c r="X109" s="49"/>
      <c r="Y109" s="49"/>
      <c r="Z109" s="49"/>
    </row>
    <row r="110" ht="15.75" customHeight="1">
      <c r="A110" s="47"/>
      <c r="B110" s="47"/>
      <c r="C110" s="47"/>
      <c r="D110" s="48"/>
      <c r="E110" s="48"/>
      <c r="F110" s="48"/>
      <c r="G110" s="47"/>
      <c r="H110" s="49"/>
      <c r="I110" s="49"/>
      <c r="J110" s="49"/>
      <c r="K110" s="49"/>
      <c r="L110" s="49"/>
      <c r="M110" s="49"/>
      <c r="N110" s="49"/>
      <c r="O110" s="49"/>
      <c r="P110" s="49"/>
      <c r="Q110" s="49"/>
      <c r="R110" s="49"/>
      <c r="S110" s="49"/>
      <c r="T110" s="49"/>
      <c r="U110" s="49"/>
      <c r="V110" s="49"/>
      <c r="W110" s="49"/>
      <c r="X110" s="49"/>
      <c r="Y110" s="49"/>
      <c r="Z110" s="49"/>
    </row>
    <row r="111" ht="15.75" customHeight="1">
      <c r="A111" s="47"/>
      <c r="B111" s="47"/>
      <c r="C111" s="47"/>
      <c r="D111" s="48"/>
      <c r="E111" s="48"/>
      <c r="F111" s="48"/>
      <c r="G111" s="47"/>
      <c r="H111" s="49"/>
      <c r="I111" s="49"/>
      <c r="J111" s="49"/>
      <c r="K111" s="49"/>
      <c r="L111" s="49"/>
      <c r="M111" s="49"/>
      <c r="N111" s="49"/>
      <c r="O111" s="49"/>
      <c r="P111" s="49"/>
      <c r="Q111" s="49"/>
      <c r="R111" s="49"/>
      <c r="S111" s="49"/>
      <c r="T111" s="49"/>
      <c r="U111" s="49"/>
      <c r="V111" s="49"/>
      <c r="W111" s="49"/>
      <c r="X111" s="49"/>
      <c r="Y111" s="49"/>
      <c r="Z111" s="49"/>
    </row>
    <row r="112" ht="15.75" customHeight="1">
      <c r="A112" s="47"/>
      <c r="B112" s="47"/>
      <c r="C112" s="47"/>
      <c r="D112" s="48"/>
      <c r="E112" s="48"/>
      <c r="F112" s="48"/>
      <c r="G112" s="47"/>
      <c r="H112" s="49"/>
      <c r="I112" s="49"/>
      <c r="J112" s="49"/>
      <c r="K112" s="49"/>
      <c r="L112" s="49"/>
      <c r="M112" s="49"/>
      <c r="N112" s="49"/>
      <c r="O112" s="49"/>
      <c r="P112" s="49"/>
      <c r="Q112" s="49"/>
      <c r="R112" s="49"/>
      <c r="S112" s="49"/>
      <c r="T112" s="49"/>
      <c r="U112" s="49"/>
      <c r="V112" s="49"/>
      <c r="W112" s="49"/>
      <c r="X112" s="49"/>
      <c r="Y112" s="49"/>
      <c r="Z112" s="49"/>
    </row>
    <row r="113" ht="15.75" customHeight="1">
      <c r="A113" s="47"/>
      <c r="B113" s="47"/>
      <c r="C113" s="47"/>
      <c r="D113" s="48"/>
      <c r="E113" s="48"/>
      <c r="F113" s="48"/>
      <c r="G113" s="47"/>
      <c r="H113" s="49"/>
      <c r="I113" s="49"/>
      <c r="J113" s="49"/>
      <c r="K113" s="49"/>
      <c r="L113" s="49"/>
      <c r="M113" s="49"/>
      <c r="N113" s="49"/>
      <c r="O113" s="49"/>
      <c r="P113" s="49"/>
      <c r="Q113" s="49"/>
      <c r="R113" s="49"/>
      <c r="S113" s="49"/>
      <c r="T113" s="49"/>
      <c r="U113" s="49"/>
      <c r="V113" s="49"/>
      <c r="W113" s="49"/>
      <c r="X113" s="49"/>
      <c r="Y113" s="49"/>
      <c r="Z113" s="49"/>
    </row>
    <row r="114" ht="15.75" customHeight="1">
      <c r="A114" s="47"/>
      <c r="B114" s="47"/>
      <c r="C114" s="47"/>
      <c r="D114" s="48"/>
      <c r="E114" s="48"/>
      <c r="F114" s="48"/>
      <c r="G114" s="47"/>
      <c r="H114" s="49"/>
      <c r="I114" s="49"/>
      <c r="J114" s="49"/>
      <c r="K114" s="49"/>
      <c r="L114" s="49"/>
      <c r="M114" s="49"/>
      <c r="N114" s="49"/>
      <c r="O114" s="49"/>
      <c r="P114" s="49"/>
      <c r="Q114" s="49"/>
      <c r="R114" s="49"/>
      <c r="S114" s="49"/>
      <c r="T114" s="49"/>
      <c r="U114" s="49"/>
      <c r="V114" s="49"/>
      <c r="W114" s="49"/>
      <c r="X114" s="49"/>
      <c r="Y114" s="49"/>
      <c r="Z114" s="49"/>
    </row>
    <row r="115" ht="15.75" customHeight="1">
      <c r="A115" s="47"/>
      <c r="B115" s="47"/>
      <c r="C115" s="47"/>
      <c r="D115" s="48"/>
      <c r="E115" s="48"/>
      <c r="F115" s="48"/>
      <c r="G115" s="47"/>
      <c r="H115" s="49"/>
      <c r="I115" s="49"/>
      <c r="J115" s="49"/>
      <c r="K115" s="49"/>
      <c r="L115" s="49"/>
      <c r="M115" s="49"/>
      <c r="N115" s="49"/>
      <c r="O115" s="49"/>
      <c r="P115" s="49"/>
      <c r="Q115" s="49"/>
      <c r="R115" s="49"/>
      <c r="S115" s="49"/>
      <c r="T115" s="49"/>
      <c r="U115" s="49"/>
      <c r="V115" s="49"/>
      <c r="W115" s="49"/>
      <c r="X115" s="49"/>
      <c r="Y115" s="49"/>
      <c r="Z115" s="49"/>
    </row>
    <row r="116" ht="15.75" customHeight="1">
      <c r="A116" s="47"/>
      <c r="B116" s="47"/>
      <c r="C116" s="47"/>
      <c r="D116" s="48"/>
      <c r="E116" s="48"/>
      <c r="F116" s="48"/>
      <c r="G116" s="47"/>
      <c r="H116" s="49"/>
      <c r="I116" s="49"/>
      <c r="J116" s="49"/>
      <c r="K116" s="49"/>
      <c r="L116" s="49"/>
      <c r="M116" s="49"/>
      <c r="N116" s="49"/>
      <c r="O116" s="49"/>
      <c r="P116" s="49"/>
      <c r="Q116" s="49"/>
      <c r="R116" s="49"/>
      <c r="S116" s="49"/>
      <c r="T116" s="49"/>
      <c r="U116" s="49"/>
      <c r="V116" s="49"/>
      <c r="W116" s="49"/>
      <c r="X116" s="49"/>
      <c r="Y116" s="49"/>
      <c r="Z116" s="49"/>
    </row>
    <row r="117" ht="15.75" customHeight="1">
      <c r="A117" s="47"/>
      <c r="B117" s="47"/>
      <c r="C117" s="47"/>
      <c r="D117" s="48"/>
      <c r="E117" s="48"/>
      <c r="F117" s="48"/>
      <c r="G117" s="47"/>
      <c r="H117" s="49"/>
      <c r="I117" s="49"/>
      <c r="J117" s="49"/>
      <c r="K117" s="49"/>
      <c r="L117" s="49"/>
      <c r="M117" s="49"/>
      <c r="N117" s="49"/>
      <c r="O117" s="49"/>
      <c r="P117" s="49"/>
      <c r="Q117" s="49"/>
      <c r="R117" s="49"/>
      <c r="S117" s="49"/>
      <c r="T117" s="49"/>
      <c r="U117" s="49"/>
      <c r="V117" s="49"/>
      <c r="W117" s="49"/>
      <c r="X117" s="49"/>
      <c r="Y117" s="49"/>
      <c r="Z117" s="49"/>
    </row>
    <row r="118" ht="15.75" customHeight="1">
      <c r="A118" s="47"/>
      <c r="B118" s="47"/>
      <c r="C118" s="47"/>
      <c r="D118" s="48"/>
      <c r="E118" s="48"/>
      <c r="F118" s="48"/>
      <c r="G118" s="47"/>
      <c r="H118" s="49"/>
      <c r="I118" s="49"/>
      <c r="J118" s="49"/>
      <c r="K118" s="49"/>
      <c r="L118" s="49"/>
      <c r="M118" s="49"/>
      <c r="N118" s="49"/>
      <c r="O118" s="49"/>
      <c r="P118" s="49"/>
      <c r="Q118" s="49"/>
      <c r="R118" s="49"/>
      <c r="S118" s="49"/>
      <c r="T118" s="49"/>
      <c r="U118" s="49"/>
      <c r="V118" s="49"/>
      <c r="W118" s="49"/>
      <c r="X118" s="49"/>
      <c r="Y118" s="49"/>
      <c r="Z118" s="49"/>
    </row>
    <row r="119" ht="15.75" customHeight="1">
      <c r="A119" s="47"/>
      <c r="B119" s="47"/>
      <c r="C119" s="47"/>
      <c r="D119" s="48"/>
      <c r="E119" s="48"/>
      <c r="F119" s="48"/>
      <c r="G119" s="47"/>
      <c r="H119" s="49"/>
      <c r="I119" s="49"/>
      <c r="J119" s="49"/>
      <c r="K119" s="49"/>
      <c r="L119" s="49"/>
      <c r="M119" s="49"/>
      <c r="N119" s="49"/>
      <c r="O119" s="49"/>
      <c r="P119" s="49"/>
      <c r="Q119" s="49"/>
      <c r="R119" s="49"/>
      <c r="S119" s="49"/>
      <c r="T119" s="49"/>
      <c r="U119" s="49"/>
      <c r="V119" s="49"/>
      <c r="W119" s="49"/>
      <c r="X119" s="49"/>
      <c r="Y119" s="49"/>
      <c r="Z119" s="49"/>
    </row>
    <row r="120" ht="15.75" customHeight="1">
      <c r="A120" s="47"/>
      <c r="B120" s="47"/>
      <c r="C120" s="47"/>
      <c r="D120" s="48"/>
      <c r="E120" s="48"/>
      <c r="F120" s="48"/>
      <c r="G120" s="47"/>
      <c r="H120" s="49"/>
      <c r="I120" s="49"/>
      <c r="J120" s="49"/>
      <c r="K120" s="49"/>
      <c r="L120" s="49"/>
      <c r="M120" s="49"/>
      <c r="N120" s="49"/>
      <c r="O120" s="49"/>
      <c r="P120" s="49"/>
      <c r="Q120" s="49"/>
      <c r="R120" s="49"/>
      <c r="S120" s="49"/>
      <c r="T120" s="49"/>
      <c r="U120" s="49"/>
      <c r="V120" s="49"/>
      <c r="W120" s="49"/>
      <c r="X120" s="49"/>
      <c r="Y120" s="49"/>
      <c r="Z120" s="49"/>
    </row>
    <row r="121" ht="15.75" customHeight="1">
      <c r="A121" s="47"/>
      <c r="B121" s="47"/>
      <c r="C121" s="47"/>
      <c r="D121" s="48"/>
      <c r="E121" s="48"/>
      <c r="F121" s="48"/>
      <c r="G121" s="47"/>
      <c r="H121" s="49"/>
      <c r="I121" s="49"/>
      <c r="J121" s="49"/>
      <c r="K121" s="49"/>
      <c r="L121" s="49"/>
      <c r="M121" s="49"/>
      <c r="N121" s="49"/>
      <c r="O121" s="49"/>
      <c r="P121" s="49"/>
      <c r="Q121" s="49"/>
      <c r="R121" s="49"/>
      <c r="S121" s="49"/>
      <c r="T121" s="49"/>
      <c r="U121" s="49"/>
      <c r="V121" s="49"/>
      <c r="W121" s="49"/>
      <c r="X121" s="49"/>
      <c r="Y121" s="49"/>
      <c r="Z121" s="49"/>
    </row>
    <row r="122" ht="15.75" customHeight="1">
      <c r="A122" s="47"/>
      <c r="B122" s="47"/>
      <c r="C122" s="47"/>
      <c r="D122" s="48"/>
      <c r="E122" s="48"/>
      <c r="F122" s="48"/>
      <c r="G122" s="47"/>
      <c r="H122" s="49"/>
      <c r="I122" s="49"/>
      <c r="J122" s="49"/>
      <c r="K122" s="49"/>
      <c r="L122" s="49"/>
      <c r="M122" s="49"/>
      <c r="N122" s="49"/>
      <c r="O122" s="49"/>
      <c r="P122" s="49"/>
      <c r="Q122" s="49"/>
      <c r="R122" s="49"/>
      <c r="S122" s="49"/>
      <c r="T122" s="49"/>
      <c r="U122" s="49"/>
      <c r="V122" s="49"/>
      <c r="W122" s="49"/>
      <c r="X122" s="49"/>
      <c r="Y122" s="49"/>
      <c r="Z122" s="49"/>
    </row>
    <row r="123" ht="15.75" customHeight="1">
      <c r="A123" s="47"/>
      <c r="B123" s="47"/>
      <c r="C123" s="47"/>
      <c r="D123" s="48"/>
      <c r="E123" s="48"/>
      <c r="F123" s="48"/>
      <c r="G123" s="47"/>
      <c r="H123" s="49"/>
      <c r="I123" s="49"/>
      <c r="J123" s="49"/>
      <c r="K123" s="49"/>
      <c r="L123" s="49"/>
      <c r="M123" s="49"/>
      <c r="N123" s="49"/>
      <c r="O123" s="49"/>
      <c r="P123" s="49"/>
      <c r="Q123" s="49"/>
      <c r="R123" s="49"/>
      <c r="S123" s="49"/>
      <c r="T123" s="49"/>
      <c r="U123" s="49"/>
      <c r="V123" s="49"/>
      <c r="W123" s="49"/>
      <c r="X123" s="49"/>
      <c r="Y123" s="49"/>
      <c r="Z123" s="49"/>
    </row>
    <row r="124" ht="15.75" customHeight="1">
      <c r="A124" s="47"/>
      <c r="B124" s="47"/>
      <c r="C124" s="47"/>
      <c r="D124" s="48"/>
      <c r="E124" s="48"/>
      <c r="F124" s="48"/>
      <c r="G124" s="47"/>
      <c r="H124" s="49"/>
      <c r="I124" s="49"/>
      <c r="J124" s="49"/>
      <c r="K124" s="49"/>
      <c r="L124" s="49"/>
      <c r="M124" s="49"/>
      <c r="N124" s="49"/>
      <c r="O124" s="49"/>
      <c r="P124" s="49"/>
      <c r="Q124" s="49"/>
      <c r="R124" s="49"/>
      <c r="S124" s="49"/>
      <c r="T124" s="49"/>
      <c r="U124" s="49"/>
      <c r="V124" s="49"/>
      <c r="W124" s="49"/>
      <c r="X124" s="49"/>
      <c r="Y124" s="49"/>
      <c r="Z124" s="49"/>
    </row>
    <row r="125" ht="15.75" customHeight="1">
      <c r="A125" s="47"/>
      <c r="B125" s="47"/>
      <c r="C125" s="47"/>
      <c r="D125" s="48"/>
      <c r="E125" s="48"/>
      <c r="F125" s="48"/>
      <c r="G125" s="47"/>
      <c r="H125" s="49"/>
      <c r="I125" s="49"/>
      <c r="J125" s="49"/>
      <c r="K125" s="49"/>
      <c r="L125" s="49"/>
      <c r="M125" s="49"/>
      <c r="N125" s="49"/>
      <c r="O125" s="49"/>
      <c r="P125" s="49"/>
      <c r="Q125" s="49"/>
      <c r="R125" s="49"/>
      <c r="S125" s="49"/>
      <c r="T125" s="49"/>
      <c r="U125" s="49"/>
      <c r="V125" s="49"/>
      <c r="W125" s="49"/>
      <c r="X125" s="49"/>
      <c r="Y125" s="49"/>
      <c r="Z125" s="49"/>
    </row>
    <row r="126" ht="15.75" customHeight="1">
      <c r="A126" s="47"/>
      <c r="B126" s="47"/>
      <c r="C126" s="47"/>
      <c r="D126" s="48"/>
      <c r="E126" s="48"/>
      <c r="F126" s="48"/>
      <c r="G126" s="47"/>
      <c r="H126" s="49"/>
      <c r="I126" s="49"/>
      <c r="J126" s="49"/>
      <c r="K126" s="49"/>
      <c r="L126" s="49"/>
      <c r="M126" s="49"/>
      <c r="N126" s="49"/>
      <c r="O126" s="49"/>
      <c r="P126" s="49"/>
      <c r="Q126" s="49"/>
      <c r="R126" s="49"/>
      <c r="S126" s="49"/>
      <c r="T126" s="49"/>
      <c r="U126" s="49"/>
      <c r="V126" s="49"/>
      <c r="W126" s="49"/>
      <c r="X126" s="49"/>
      <c r="Y126" s="49"/>
      <c r="Z126" s="49"/>
    </row>
    <row r="127" ht="15.75" customHeight="1">
      <c r="A127" s="47"/>
      <c r="B127" s="47"/>
      <c r="C127" s="47"/>
      <c r="D127" s="48"/>
      <c r="E127" s="48"/>
      <c r="F127" s="48"/>
      <c r="G127" s="47"/>
      <c r="H127" s="49"/>
      <c r="I127" s="49"/>
      <c r="J127" s="49"/>
      <c r="K127" s="49"/>
      <c r="L127" s="49"/>
      <c r="M127" s="49"/>
      <c r="N127" s="49"/>
      <c r="O127" s="49"/>
      <c r="P127" s="49"/>
      <c r="Q127" s="49"/>
      <c r="R127" s="49"/>
      <c r="S127" s="49"/>
      <c r="T127" s="49"/>
      <c r="U127" s="49"/>
      <c r="V127" s="49"/>
      <c r="W127" s="49"/>
      <c r="X127" s="49"/>
      <c r="Y127" s="49"/>
      <c r="Z127" s="49"/>
    </row>
    <row r="128" ht="15.75" customHeight="1">
      <c r="A128" s="47"/>
      <c r="B128" s="47"/>
      <c r="C128" s="47"/>
      <c r="D128" s="48"/>
      <c r="E128" s="48"/>
      <c r="F128" s="48"/>
      <c r="G128" s="47"/>
      <c r="H128" s="49"/>
      <c r="I128" s="49"/>
      <c r="J128" s="49"/>
      <c r="K128" s="49"/>
      <c r="L128" s="49"/>
      <c r="M128" s="49"/>
      <c r="N128" s="49"/>
      <c r="O128" s="49"/>
      <c r="P128" s="49"/>
      <c r="Q128" s="49"/>
      <c r="R128" s="49"/>
      <c r="S128" s="49"/>
      <c r="T128" s="49"/>
      <c r="U128" s="49"/>
      <c r="V128" s="49"/>
      <c r="W128" s="49"/>
      <c r="X128" s="49"/>
      <c r="Y128" s="49"/>
      <c r="Z128" s="49"/>
    </row>
    <row r="129" ht="15.75" customHeight="1">
      <c r="A129" s="47"/>
      <c r="B129" s="47"/>
      <c r="C129" s="47"/>
      <c r="D129" s="48"/>
      <c r="E129" s="48"/>
      <c r="F129" s="48"/>
      <c r="G129" s="47"/>
      <c r="H129" s="49"/>
      <c r="I129" s="49"/>
      <c r="J129" s="49"/>
      <c r="K129" s="49"/>
      <c r="L129" s="49"/>
      <c r="M129" s="49"/>
      <c r="N129" s="49"/>
      <c r="O129" s="49"/>
      <c r="P129" s="49"/>
      <c r="Q129" s="49"/>
      <c r="R129" s="49"/>
      <c r="S129" s="49"/>
      <c r="T129" s="49"/>
      <c r="U129" s="49"/>
      <c r="V129" s="49"/>
      <c r="W129" s="49"/>
      <c r="X129" s="49"/>
      <c r="Y129" s="49"/>
      <c r="Z129" s="49"/>
    </row>
    <row r="130" ht="15.75" customHeight="1">
      <c r="A130" s="47"/>
      <c r="B130" s="47"/>
      <c r="C130" s="47"/>
      <c r="D130" s="48"/>
      <c r="E130" s="48"/>
      <c r="F130" s="48"/>
      <c r="G130" s="47"/>
      <c r="H130" s="49"/>
      <c r="I130" s="49"/>
      <c r="J130" s="49"/>
      <c r="K130" s="49"/>
      <c r="L130" s="49"/>
      <c r="M130" s="49"/>
      <c r="N130" s="49"/>
      <c r="O130" s="49"/>
      <c r="P130" s="49"/>
      <c r="Q130" s="49"/>
      <c r="R130" s="49"/>
      <c r="S130" s="49"/>
      <c r="T130" s="49"/>
      <c r="U130" s="49"/>
      <c r="V130" s="49"/>
      <c r="W130" s="49"/>
      <c r="X130" s="49"/>
      <c r="Y130" s="49"/>
      <c r="Z130" s="49"/>
    </row>
    <row r="131" ht="15.75" customHeight="1">
      <c r="A131" s="47"/>
      <c r="B131" s="47"/>
      <c r="C131" s="47"/>
      <c r="D131" s="48"/>
      <c r="E131" s="48"/>
      <c r="F131" s="48"/>
      <c r="G131" s="47"/>
      <c r="H131" s="49"/>
      <c r="I131" s="49"/>
      <c r="J131" s="49"/>
      <c r="K131" s="49"/>
      <c r="L131" s="49"/>
      <c r="M131" s="49"/>
      <c r="N131" s="49"/>
      <c r="O131" s="49"/>
      <c r="P131" s="49"/>
      <c r="Q131" s="49"/>
      <c r="R131" s="49"/>
      <c r="S131" s="49"/>
      <c r="T131" s="49"/>
      <c r="U131" s="49"/>
      <c r="V131" s="49"/>
      <c r="W131" s="49"/>
      <c r="X131" s="49"/>
      <c r="Y131" s="49"/>
      <c r="Z131" s="49"/>
    </row>
    <row r="132" ht="15.75" customHeight="1">
      <c r="A132" s="47"/>
      <c r="B132" s="47"/>
      <c r="C132" s="47"/>
      <c r="D132" s="48"/>
      <c r="E132" s="48"/>
      <c r="F132" s="48"/>
      <c r="G132" s="47"/>
      <c r="H132" s="49"/>
      <c r="I132" s="49"/>
      <c r="J132" s="49"/>
      <c r="K132" s="49"/>
      <c r="L132" s="49"/>
      <c r="M132" s="49"/>
      <c r="N132" s="49"/>
      <c r="O132" s="49"/>
      <c r="P132" s="49"/>
      <c r="Q132" s="49"/>
      <c r="R132" s="49"/>
      <c r="S132" s="49"/>
      <c r="T132" s="49"/>
      <c r="U132" s="49"/>
      <c r="V132" s="49"/>
      <c r="W132" s="49"/>
      <c r="X132" s="49"/>
      <c r="Y132" s="49"/>
      <c r="Z132" s="49"/>
    </row>
    <row r="133" ht="15.75" customHeight="1">
      <c r="A133" s="47"/>
      <c r="B133" s="47"/>
      <c r="C133" s="47"/>
      <c r="D133" s="48"/>
      <c r="E133" s="48"/>
      <c r="F133" s="48"/>
      <c r="G133" s="47"/>
      <c r="H133" s="49"/>
      <c r="I133" s="49"/>
      <c r="J133" s="49"/>
      <c r="K133" s="49"/>
      <c r="L133" s="49"/>
      <c r="M133" s="49"/>
      <c r="N133" s="49"/>
      <c r="O133" s="49"/>
      <c r="P133" s="49"/>
      <c r="Q133" s="49"/>
      <c r="R133" s="49"/>
      <c r="S133" s="49"/>
      <c r="T133" s="49"/>
      <c r="U133" s="49"/>
      <c r="V133" s="49"/>
      <c r="W133" s="49"/>
      <c r="X133" s="49"/>
      <c r="Y133" s="49"/>
      <c r="Z133" s="49"/>
    </row>
    <row r="134" ht="15.75" customHeight="1">
      <c r="A134" s="47"/>
      <c r="B134" s="47"/>
      <c r="C134" s="47"/>
      <c r="D134" s="48"/>
      <c r="E134" s="48"/>
      <c r="F134" s="48"/>
      <c r="G134" s="47"/>
      <c r="H134" s="49"/>
      <c r="I134" s="49"/>
      <c r="J134" s="49"/>
      <c r="K134" s="49"/>
      <c r="L134" s="49"/>
      <c r="M134" s="49"/>
      <c r="N134" s="49"/>
      <c r="O134" s="49"/>
      <c r="P134" s="49"/>
      <c r="Q134" s="49"/>
      <c r="R134" s="49"/>
      <c r="S134" s="49"/>
      <c r="T134" s="49"/>
      <c r="U134" s="49"/>
      <c r="V134" s="49"/>
      <c r="W134" s="49"/>
      <c r="X134" s="49"/>
      <c r="Y134" s="49"/>
      <c r="Z134" s="49"/>
    </row>
    <row r="135" ht="15.75" customHeight="1">
      <c r="A135" s="47"/>
      <c r="B135" s="47"/>
      <c r="C135" s="47"/>
      <c r="D135" s="48"/>
      <c r="E135" s="48"/>
      <c r="F135" s="48"/>
      <c r="G135" s="47"/>
      <c r="H135" s="49"/>
      <c r="I135" s="49"/>
      <c r="J135" s="49"/>
      <c r="K135" s="49"/>
      <c r="L135" s="49"/>
      <c r="M135" s="49"/>
      <c r="N135" s="49"/>
      <c r="O135" s="49"/>
      <c r="P135" s="49"/>
      <c r="Q135" s="49"/>
      <c r="R135" s="49"/>
      <c r="S135" s="49"/>
      <c r="T135" s="49"/>
      <c r="U135" s="49"/>
      <c r="V135" s="49"/>
      <c r="W135" s="49"/>
      <c r="X135" s="49"/>
      <c r="Y135" s="49"/>
      <c r="Z135" s="49"/>
    </row>
    <row r="136" ht="15.75" customHeight="1">
      <c r="A136" s="47"/>
      <c r="B136" s="47"/>
      <c r="C136" s="47"/>
      <c r="D136" s="48"/>
      <c r="E136" s="48"/>
      <c r="F136" s="48"/>
      <c r="G136" s="47"/>
      <c r="H136" s="49"/>
      <c r="I136" s="49"/>
      <c r="J136" s="49"/>
      <c r="K136" s="49"/>
      <c r="L136" s="49"/>
      <c r="M136" s="49"/>
      <c r="N136" s="49"/>
      <c r="O136" s="49"/>
      <c r="P136" s="49"/>
      <c r="Q136" s="49"/>
      <c r="R136" s="49"/>
      <c r="S136" s="49"/>
      <c r="T136" s="49"/>
      <c r="U136" s="49"/>
      <c r="V136" s="49"/>
      <c r="W136" s="49"/>
      <c r="X136" s="49"/>
      <c r="Y136" s="49"/>
      <c r="Z136" s="49"/>
    </row>
    <row r="137" ht="15.75" customHeight="1">
      <c r="A137" s="47"/>
      <c r="B137" s="47"/>
      <c r="C137" s="47"/>
      <c r="D137" s="48"/>
      <c r="E137" s="48"/>
      <c r="F137" s="48"/>
      <c r="G137" s="47"/>
      <c r="H137" s="49"/>
      <c r="I137" s="49"/>
      <c r="J137" s="49"/>
      <c r="K137" s="49"/>
      <c r="L137" s="49"/>
      <c r="M137" s="49"/>
      <c r="N137" s="49"/>
      <c r="O137" s="49"/>
      <c r="P137" s="49"/>
      <c r="Q137" s="49"/>
      <c r="R137" s="49"/>
      <c r="S137" s="49"/>
      <c r="T137" s="49"/>
      <c r="U137" s="49"/>
      <c r="V137" s="49"/>
      <c r="W137" s="49"/>
      <c r="X137" s="49"/>
      <c r="Y137" s="49"/>
      <c r="Z137" s="49"/>
    </row>
    <row r="138" ht="15.75" customHeight="1">
      <c r="A138" s="47"/>
      <c r="B138" s="47"/>
      <c r="C138" s="47"/>
      <c r="D138" s="48"/>
      <c r="E138" s="48"/>
      <c r="F138" s="48"/>
      <c r="G138" s="47"/>
      <c r="H138" s="49"/>
      <c r="I138" s="49"/>
      <c r="J138" s="49"/>
      <c r="K138" s="49"/>
      <c r="L138" s="49"/>
      <c r="M138" s="49"/>
      <c r="N138" s="49"/>
      <c r="O138" s="49"/>
      <c r="P138" s="49"/>
      <c r="Q138" s="49"/>
      <c r="R138" s="49"/>
      <c r="S138" s="49"/>
      <c r="T138" s="49"/>
      <c r="U138" s="49"/>
      <c r="V138" s="49"/>
      <c r="W138" s="49"/>
      <c r="X138" s="49"/>
      <c r="Y138" s="49"/>
      <c r="Z138" s="49"/>
    </row>
    <row r="139" ht="15.75" customHeight="1">
      <c r="A139" s="47"/>
      <c r="B139" s="47"/>
      <c r="C139" s="47"/>
      <c r="D139" s="48"/>
      <c r="E139" s="48"/>
      <c r="F139" s="48"/>
      <c r="G139" s="47"/>
      <c r="H139" s="49"/>
      <c r="I139" s="49"/>
      <c r="J139" s="49"/>
      <c r="K139" s="49"/>
      <c r="L139" s="49"/>
      <c r="M139" s="49"/>
      <c r="N139" s="49"/>
      <c r="O139" s="49"/>
      <c r="P139" s="49"/>
      <c r="Q139" s="49"/>
      <c r="R139" s="49"/>
      <c r="S139" s="49"/>
      <c r="T139" s="49"/>
      <c r="U139" s="49"/>
      <c r="V139" s="49"/>
      <c r="W139" s="49"/>
      <c r="X139" s="49"/>
      <c r="Y139" s="49"/>
      <c r="Z139" s="49"/>
    </row>
    <row r="140" ht="15.75" customHeight="1">
      <c r="A140" s="47"/>
      <c r="B140" s="47"/>
      <c r="C140" s="47"/>
      <c r="D140" s="48"/>
      <c r="E140" s="48"/>
      <c r="F140" s="48"/>
      <c r="G140" s="47"/>
      <c r="H140" s="49"/>
      <c r="I140" s="49"/>
      <c r="J140" s="49"/>
      <c r="K140" s="49"/>
      <c r="L140" s="49"/>
      <c r="M140" s="49"/>
      <c r="N140" s="49"/>
      <c r="O140" s="49"/>
      <c r="P140" s="49"/>
      <c r="Q140" s="49"/>
      <c r="R140" s="49"/>
      <c r="S140" s="49"/>
      <c r="T140" s="49"/>
      <c r="U140" s="49"/>
      <c r="V140" s="49"/>
      <c r="W140" s="49"/>
      <c r="X140" s="49"/>
      <c r="Y140" s="49"/>
      <c r="Z140" s="49"/>
    </row>
    <row r="141" ht="15.75" customHeight="1">
      <c r="A141" s="47"/>
      <c r="B141" s="47"/>
      <c r="C141" s="47"/>
      <c r="D141" s="48"/>
      <c r="E141" s="48"/>
      <c r="F141" s="48"/>
      <c r="G141" s="47"/>
      <c r="H141" s="49"/>
      <c r="I141" s="49"/>
      <c r="J141" s="49"/>
      <c r="K141" s="49"/>
      <c r="L141" s="49"/>
      <c r="M141" s="49"/>
      <c r="N141" s="49"/>
      <c r="O141" s="49"/>
      <c r="P141" s="49"/>
      <c r="Q141" s="49"/>
      <c r="R141" s="49"/>
      <c r="S141" s="49"/>
      <c r="T141" s="49"/>
      <c r="U141" s="49"/>
      <c r="V141" s="49"/>
      <c r="W141" s="49"/>
      <c r="X141" s="49"/>
      <c r="Y141" s="49"/>
      <c r="Z141" s="49"/>
    </row>
    <row r="142" ht="15.75" customHeight="1">
      <c r="A142" s="47"/>
      <c r="B142" s="47"/>
      <c r="C142" s="47"/>
      <c r="D142" s="48"/>
      <c r="E142" s="48"/>
      <c r="F142" s="48"/>
      <c r="G142" s="47"/>
      <c r="H142" s="49"/>
      <c r="I142" s="49"/>
      <c r="J142" s="49"/>
      <c r="K142" s="49"/>
      <c r="L142" s="49"/>
      <c r="M142" s="49"/>
      <c r="N142" s="49"/>
      <c r="O142" s="49"/>
      <c r="P142" s="49"/>
      <c r="Q142" s="49"/>
      <c r="R142" s="49"/>
      <c r="S142" s="49"/>
      <c r="T142" s="49"/>
      <c r="U142" s="49"/>
      <c r="V142" s="49"/>
      <c r="W142" s="49"/>
      <c r="X142" s="49"/>
      <c r="Y142" s="49"/>
      <c r="Z142" s="49"/>
    </row>
    <row r="143" ht="15.75" customHeight="1">
      <c r="A143" s="47"/>
      <c r="B143" s="47"/>
      <c r="C143" s="47"/>
      <c r="D143" s="48"/>
      <c r="E143" s="48"/>
      <c r="F143" s="48"/>
      <c r="G143" s="47"/>
      <c r="H143" s="49"/>
      <c r="I143" s="49"/>
      <c r="J143" s="49"/>
      <c r="K143" s="49"/>
      <c r="L143" s="49"/>
      <c r="M143" s="49"/>
      <c r="N143" s="49"/>
      <c r="O143" s="49"/>
      <c r="P143" s="49"/>
      <c r="Q143" s="49"/>
      <c r="R143" s="49"/>
      <c r="S143" s="49"/>
      <c r="T143" s="49"/>
      <c r="U143" s="49"/>
      <c r="V143" s="49"/>
      <c r="W143" s="49"/>
      <c r="X143" s="49"/>
      <c r="Y143" s="49"/>
      <c r="Z143" s="49"/>
    </row>
    <row r="144" ht="15.75" customHeight="1">
      <c r="A144" s="47"/>
      <c r="B144" s="47"/>
      <c r="C144" s="47"/>
      <c r="D144" s="48"/>
      <c r="E144" s="48"/>
      <c r="F144" s="48"/>
      <c r="G144" s="47"/>
      <c r="H144" s="49"/>
      <c r="I144" s="49"/>
      <c r="J144" s="49"/>
      <c r="K144" s="49"/>
      <c r="L144" s="49"/>
      <c r="M144" s="49"/>
      <c r="N144" s="49"/>
      <c r="O144" s="49"/>
      <c r="P144" s="49"/>
      <c r="Q144" s="49"/>
      <c r="R144" s="49"/>
      <c r="S144" s="49"/>
      <c r="T144" s="49"/>
      <c r="U144" s="49"/>
      <c r="V144" s="49"/>
      <c r="W144" s="49"/>
      <c r="X144" s="49"/>
      <c r="Y144" s="49"/>
      <c r="Z144" s="49"/>
    </row>
    <row r="145" ht="15.75" customHeight="1">
      <c r="A145" s="47"/>
      <c r="B145" s="47"/>
      <c r="C145" s="47"/>
      <c r="D145" s="48"/>
      <c r="E145" s="48"/>
      <c r="F145" s="48"/>
      <c r="G145" s="47"/>
      <c r="H145" s="49"/>
      <c r="I145" s="49"/>
      <c r="J145" s="49"/>
      <c r="K145" s="49"/>
      <c r="L145" s="49"/>
      <c r="M145" s="49"/>
      <c r="N145" s="49"/>
      <c r="O145" s="49"/>
      <c r="P145" s="49"/>
      <c r="Q145" s="49"/>
      <c r="R145" s="49"/>
      <c r="S145" s="49"/>
      <c r="T145" s="49"/>
      <c r="U145" s="49"/>
      <c r="V145" s="49"/>
      <c r="W145" s="49"/>
      <c r="X145" s="49"/>
      <c r="Y145" s="49"/>
      <c r="Z145" s="49"/>
    </row>
    <row r="146" ht="15.75" customHeight="1">
      <c r="A146" s="47"/>
      <c r="B146" s="47"/>
      <c r="C146" s="47"/>
      <c r="D146" s="48"/>
      <c r="E146" s="48"/>
      <c r="F146" s="48"/>
      <c r="G146" s="47"/>
      <c r="H146" s="49"/>
      <c r="I146" s="49"/>
      <c r="J146" s="49"/>
      <c r="K146" s="49"/>
      <c r="L146" s="49"/>
      <c r="M146" s="49"/>
      <c r="N146" s="49"/>
      <c r="O146" s="49"/>
      <c r="P146" s="49"/>
      <c r="Q146" s="49"/>
      <c r="R146" s="49"/>
      <c r="S146" s="49"/>
      <c r="T146" s="49"/>
      <c r="U146" s="49"/>
      <c r="V146" s="49"/>
      <c r="W146" s="49"/>
      <c r="X146" s="49"/>
      <c r="Y146" s="49"/>
      <c r="Z146" s="49"/>
    </row>
    <row r="147" ht="15.75" customHeight="1">
      <c r="A147" s="47"/>
      <c r="B147" s="47"/>
      <c r="C147" s="47"/>
      <c r="D147" s="48"/>
      <c r="E147" s="48"/>
      <c r="F147" s="48"/>
      <c r="G147" s="47"/>
      <c r="H147" s="49"/>
      <c r="I147" s="49"/>
      <c r="J147" s="49"/>
      <c r="K147" s="49"/>
      <c r="L147" s="49"/>
      <c r="M147" s="49"/>
      <c r="N147" s="49"/>
      <c r="O147" s="49"/>
      <c r="P147" s="49"/>
      <c r="Q147" s="49"/>
      <c r="R147" s="49"/>
      <c r="S147" s="49"/>
      <c r="T147" s="49"/>
      <c r="U147" s="49"/>
      <c r="V147" s="49"/>
      <c r="W147" s="49"/>
      <c r="X147" s="49"/>
      <c r="Y147" s="49"/>
      <c r="Z147" s="49"/>
    </row>
    <row r="148" ht="15.75" customHeight="1">
      <c r="A148" s="47"/>
      <c r="B148" s="47"/>
      <c r="C148" s="47"/>
      <c r="D148" s="48"/>
      <c r="E148" s="48"/>
      <c r="F148" s="48"/>
      <c r="G148" s="47"/>
      <c r="H148" s="49"/>
      <c r="I148" s="49"/>
      <c r="J148" s="49"/>
      <c r="K148" s="49"/>
      <c r="L148" s="49"/>
      <c r="M148" s="49"/>
      <c r="N148" s="49"/>
      <c r="O148" s="49"/>
      <c r="P148" s="49"/>
      <c r="Q148" s="49"/>
      <c r="R148" s="49"/>
      <c r="S148" s="49"/>
      <c r="T148" s="49"/>
      <c r="U148" s="49"/>
      <c r="V148" s="49"/>
      <c r="W148" s="49"/>
      <c r="X148" s="49"/>
      <c r="Y148" s="49"/>
      <c r="Z148" s="49"/>
    </row>
    <row r="149" ht="15.75" customHeight="1">
      <c r="A149" s="47"/>
      <c r="B149" s="47"/>
      <c r="C149" s="47"/>
      <c r="D149" s="48"/>
      <c r="E149" s="48"/>
      <c r="F149" s="48"/>
      <c r="G149" s="47"/>
      <c r="H149" s="49"/>
      <c r="I149" s="49"/>
      <c r="J149" s="49"/>
      <c r="K149" s="49"/>
      <c r="L149" s="49"/>
      <c r="M149" s="49"/>
      <c r="N149" s="49"/>
      <c r="O149" s="49"/>
      <c r="P149" s="49"/>
      <c r="Q149" s="49"/>
      <c r="R149" s="49"/>
      <c r="S149" s="49"/>
      <c r="T149" s="49"/>
      <c r="U149" s="49"/>
      <c r="V149" s="49"/>
      <c r="W149" s="49"/>
      <c r="X149" s="49"/>
      <c r="Y149" s="49"/>
      <c r="Z149" s="49"/>
    </row>
    <row r="150" ht="15.75" customHeight="1">
      <c r="A150" s="47"/>
      <c r="B150" s="47"/>
      <c r="C150" s="47"/>
      <c r="D150" s="48"/>
      <c r="E150" s="48"/>
      <c r="F150" s="48"/>
      <c r="G150" s="47"/>
      <c r="H150" s="49"/>
      <c r="I150" s="49"/>
      <c r="J150" s="49"/>
      <c r="K150" s="49"/>
      <c r="L150" s="49"/>
      <c r="M150" s="49"/>
      <c r="N150" s="49"/>
      <c r="O150" s="49"/>
      <c r="P150" s="49"/>
      <c r="Q150" s="49"/>
      <c r="R150" s="49"/>
      <c r="S150" s="49"/>
      <c r="T150" s="49"/>
      <c r="U150" s="49"/>
      <c r="V150" s="49"/>
      <c r="W150" s="49"/>
      <c r="X150" s="49"/>
      <c r="Y150" s="49"/>
      <c r="Z150" s="49"/>
    </row>
    <row r="151" ht="15.75" customHeight="1">
      <c r="A151" s="47"/>
      <c r="B151" s="47"/>
      <c r="C151" s="47"/>
      <c r="D151" s="48"/>
      <c r="E151" s="48"/>
      <c r="F151" s="48"/>
      <c r="G151" s="47"/>
      <c r="H151" s="49"/>
      <c r="I151" s="49"/>
      <c r="J151" s="49"/>
      <c r="K151" s="49"/>
      <c r="L151" s="49"/>
      <c r="M151" s="49"/>
      <c r="N151" s="49"/>
      <c r="O151" s="49"/>
      <c r="P151" s="49"/>
      <c r="Q151" s="49"/>
      <c r="R151" s="49"/>
      <c r="S151" s="49"/>
      <c r="T151" s="49"/>
      <c r="U151" s="49"/>
      <c r="V151" s="49"/>
      <c r="W151" s="49"/>
      <c r="X151" s="49"/>
      <c r="Y151" s="49"/>
      <c r="Z151" s="49"/>
    </row>
    <row r="152" ht="15.75" customHeight="1">
      <c r="A152" s="47"/>
      <c r="B152" s="47"/>
      <c r="C152" s="47"/>
      <c r="D152" s="48"/>
      <c r="E152" s="48"/>
      <c r="F152" s="48"/>
      <c r="G152" s="47"/>
      <c r="H152" s="49"/>
      <c r="I152" s="49"/>
      <c r="J152" s="49"/>
      <c r="K152" s="49"/>
      <c r="L152" s="49"/>
      <c r="M152" s="49"/>
      <c r="N152" s="49"/>
      <c r="O152" s="49"/>
      <c r="P152" s="49"/>
      <c r="Q152" s="49"/>
      <c r="R152" s="49"/>
      <c r="S152" s="49"/>
      <c r="T152" s="49"/>
      <c r="U152" s="49"/>
      <c r="V152" s="49"/>
      <c r="W152" s="49"/>
      <c r="X152" s="49"/>
      <c r="Y152" s="49"/>
      <c r="Z152" s="49"/>
    </row>
    <row r="153" ht="15.75" customHeight="1">
      <c r="A153" s="47"/>
      <c r="B153" s="47"/>
      <c r="C153" s="47"/>
      <c r="D153" s="48"/>
      <c r="E153" s="48"/>
      <c r="F153" s="48"/>
      <c r="G153" s="47"/>
      <c r="H153" s="49"/>
      <c r="I153" s="49"/>
      <c r="J153" s="49"/>
      <c r="K153" s="49"/>
      <c r="L153" s="49"/>
      <c r="M153" s="49"/>
      <c r="N153" s="49"/>
      <c r="O153" s="49"/>
      <c r="P153" s="49"/>
      <c r="Q153" s="49"/>
      <c r="R153" s="49"/>
      <c r="S153" s="49"/>
      <c r="T153" s="49"/>
      <c r="U153" s="49"/>
      <c r="V153" s="49"/>
      <c r="W153" s="49"/>
      <c r="X153" s="49"/>
      <c r="Y153" s="49"/>
      <c r="Z153" s="49"/>
    </row>
    <row r="154" ht="15.75" customHeight="1">
      <c r="A154" s="47"/>
      <c r="B154" s="47"/>
      <c r="C154" s="47"/>
      <c r="D154" s="48"/>
      <c r="E154" s="48"/>
      <c r="F154" s="48"/>
      <c r="G154" s="47"/>
      <c r="H154" s="49"/>
      <c r="I154" s="49"/>
      <c r="J154" s="49"/>
      <c r="K154" s="49"/>
      <c r="L154" s="49"/>
      <c r="M154" s="49"/>
      <c r="N154" s="49"/>
      <c r="O154" s="49"/>
      <c r="P154" s="49"/>
      <c r="Q154" s="49"/>
      <c r="R154" s="49"/>
      <c r="S154" s="49"/>
      <c r="T154" s="49"/>
      <c r="U154" s="49"/>
      <c r="V154" s="49"/>
      <c r="W154" s="49"/>
      <c r="X154" s="49"/>
      <c r="Y154" s="49"/>
      <c r="Z154" s="49"/>
    </row>
    <row r="155" ht="15.75" customHeight="1">
      <c r="A155" s="47"/>
      <c r="B155" s="47"/>
      <c r="C155" s="47"/>
      <c r="D155" s="48"/>
      <c r="E155" s="48"/>
      <c r="F155" s="48"/>
      <c r="G155" s="47"/>
      <c r="H155" s="49"/>
      <c r="I155" s="49"/>
      <c r="J155" s="49"/>
      <c r="K155" s="49"/>
      <c r="L155" s="49"/>
      <c r="M155" s="49"/>
      <c r="N155" s="49"/>
      <c r="O155" s="49"/>
      <c r="P155" s="49"/>
      <c r="Q155" s="49"/>
      <c r="R155" s="49"/>
      <c r="S155" s="49"/>
      <c r="T155" s="49"/>
      <c r="U155" s="49"/>
      <c r="V155" s="49"/>
      <c r="W155" s="49"/>
      <c r="X155" s="49"/>
      <c r="Y155" s="49"/>
      <c r="Z155" s="49"/>
    </row>
    <row r="156" ht="15.75" customHeight="1">
      <c r="A156" s="47"/>
      <c r="B156" s="47"/>
      <c r="C156" s="47"/>
      <c r="D156" s="48"/>
      <c r="E156" s="48"/>
      <c r="F156" s="48"/>
      <c r="G156" s="47"/>
      <c r="H156" s="49"/>
      <c r="I156" s="49"/>
      <c r="J156" s="49"/>
      <c r="K156" s="49"/>
      <c r="L156" s="49"/>
      <c r="M156" s="49"/>
      <c r="N156" s="49"/>
      <c r="O156" s="49"/>
      <c r="P156" s="49"/>
      <c r="Q156" s="49"/>
      <c r="R156" s="49"/>
      <c r="S156" s="49"/>
      <c r="T156" s="49"/>
      <c r="U156" s="49"/>
      <c r="V156" s="49"/>
      <c r="W156" s="49"/>
      <c r="X156" s="49"/>
      <c r="Y156" s="49"/>
      <c r="Z156" s="49"/>
    </row>
    <row r="157" ht="15.75" customHeight="1">
      <c r="A157" s="47"/>
      <c r="B157" s="47"/>
      <c r="C157" s="47"/>
      <c r="D157" s="48"/>
      <c r="E157" s="48"/>
      <c r="F157" s="48"/>
      <c r="G157" s="47"/>
      <c r="H157" s="49"/>
      <c r="I157" s="49"/>
      <c r="J157" s="49"/>
      <c r="K157" s="49"/>
      <c r="L157" s="49"/>
      <c r="M157" s="49"/>
      <c r="N157" s="49"/>
      <c r="O157" s="49"/>
      <c r="P157" s="49"/>
      <c r="Q157" s="49"/>
      <c r="R157" s="49"/>
      <c r="S157" s="49"/>
      <c r="T157" s="49"/>
      <c r="U157" s="49"/>
      <c r="V157" s="49"/>
      <c r="W157" s="49"/>
      <c r="X157" s="49"/>
      <c r="Y157" s="49"/>
      <c r="Z157" s="49"/>
    </row>
    <row r="158" ht="15.75" customHeight="1">
      <c r="A158" s="47"/>
      <c r="B158" s="47"/>
      <c r="C158" s="47"/>
      <c r="D158" s="48"/>
      <c r="E158" s="48"/>
      <c r="F158" s="48"/>
      <c r="G158" s="47"/>
      <c r="H158" s="49"/>
      <c r="I158" s="49"/>
      <c r="J158" s="49"/>
      <c r="K158" s="49"/>
      <c r="L158" s="49"/>
      <c r="M158" s="49"/>
      <c r="N158" s="49"/>
      <c r="O158" s="49"/>
      <c r="P158" s="49"/>
      <c r="Q158" s="49"/>
      <c r="R158" s="49"/>
      <c r="S158" s="49"/>
      <c r="T158" s="49"/>
      <c r="U158" s="49"/>
      <c r="V158" s="49"/>
      <c r="W158" s="49"/>
      <c r="X158" s="49"/>
      <c r="Y158" s="49"/>
      <c r="Z158" s="49"/>
    </row>
    <row r="159" ht="15.75" customHeight="1">
      <c r="A159" s="47"/>
      <c r="B159" s="47"/>
      <c r="C159" s="47"/>
      <c r="D159" s="48"/>
      <c r="E159" s="48"/>
      <c r="F159" s="48"/>
      <c r="G159" s="47"/>
      <c r="H159" s="49"/>
      <c r="I159" s="49"/>
      <c r="J159" s="49"/>
      <c r="K159" s="49"/>
      <c r="L159" s="49"/>
      <c r="M159" s="49"/>
      <c r="N159" s="49"/>
      <c r="O159" s="49"/>
      <c r="P159" s="49"/>
      <c r="Q159" s="49"/>
      <c r="R159" s="49"/>
      <c r="S159" s="49"/>
      <c r="T159" s="49"/>
      <c r="U159" s="49"/>
      <c r="V159" s="49"/>
      <c r="W159" s="49"/>
      <c r="X159" s="49"/>
      <c r="Y159" s="49"/>
      <c r="Z159" s="49"/>
    </row>
    <row r="160" ht="15.75" customHeight="1">
      <c r="A160" s="47"/>
      <c r="B160" s="47"/>
      <c r="C160" s="47"/>
      <c r="D160" s="48"/>
      <c r="E160" s="48"/>
      <c r="F160" s="48"/>
      <c r="G160" s="47"/>
      <c r="H160" s="49"/>
      <c r="I160" s="49"/>
      <c r="J160" s="49"/>
      <c r="K160" s="49"/>
      <c r="L160" s="49"/>
      <c r="M160" s="49"/>
      <c r="N160" s="49"/>
      <c r="O160" s="49"/>
      <c r="P160" s="49"/>
      <c r="Q160" s="49"/>
      <c r="R160" s="49"/>
      <c r="S160" s="49"/>
      <c r="T160" s="49"/>
      <c r="U160" s="49"/>
      <c r="V160" s="49"/>
      <c r="W160" s="49"/>
      <c r="X160" s="49"/>
      <c r="Y160" s="49"/>
      <c r="Z160" s="49"/>
    </row>
    <row r="161" ht="15.75" customHeight="1">
      <c r="A161" s="47"/>
      <c r="B161" s="47"/>
      <c r="C161" s="47"/>
      <c r="D161" s="48"/>
      <c r="E161" s="48"/>
      <c r="F161" s="48"/>
      <c r="G161" s="47"/>
      <c r="H161" s="49"/>
      <c r="I161" s="49"/>
      <c r="J161" s="49"/>
      <c r="K161" s="49"/>
      <c r="L161" s="49"/>
      <c r="M161" s="49"/>
      <c r="N161" s="49"/>
      <c r="O161" s="49"/>
      <c r="P161" s="49"/>
      <c r="Q161" s="49"/>
      <c r="R161" s="49"/>
      <c r="S161" s="49"/>
      <c r="T161" s="49"/>
      <c r="U161" s="49"/>
      <c r="V161" s="49"/>
      <c r="W161" s="49"/>
      <c r="X161" s="49"/>
      <c r="Y161" s="49"/>
      <c r="Z161" s="49"/>
    </row>
    <row r="162" ht="15.75" customHeight="1">
      <c r="A162" s="47"/>
      <c r="B162" s="47"/>
      <c r="C162" s="47"/>
      <c r="D162" s="48"/>
      <c r="E162" s="48"/>
      <c r="F162" s="48"/>
      <c r="G162" s="47"/>
      <c r="H162" s="49"/>
      <c r="I162" s="49"/>
      <c r="J162" s="49"/>
      <c r="K162" s="49"/>
      <c r="L162" s="49"/>
      <c r="M162" s="49"/>
      <c r="N162" s="49"/>
      <c r="O162" s="49"/>
      <c r="P162" s="49"/>
      <c r="Q162" s="49"/>
      <c r="R162" s="49"/>
      <c r="S162" s="49"/>
      <c r="T162" s="49"/>
      <c r="U162" s="49"/>
      <c r="V162" s="49"/>
      <c r="W162" s="49"/>
      <c r="X162" s="49"/>
      <c r="Y162" s="49"/>
      <c r="Z162" s="49"/>
    </row>
    <row r="163" ht="15.75" customHeight="1">
      <c r="A163" s="47"/>
      <c r="B163" s="47"/>
      <c r="C163" s="47"/>
      <c r="D163" s="48"/>
      <c r="E163" s="48"/>
      <c r="F163" s="48"/>
      <c r="G163" s="47"/>
      <c r="H163" s="49"/>
      <c r="I163" s="49"/>
      <c r="J163" s="49"/>
      <c r="K163" s="49"/>
      <c r="L163" s="49"/>
      <c r="M163" s="49"/>
      <c r="N163" s="49"/>
      <c r="O163" s="49"/>
      <c r="P163" s="49"/>
      <c r="Q163" s="49"/>
      <c r="R163" s="49"/>
      <c r="S163" s="49"/>
      <c r="T163" s="49"/>
      <c r="U163" s="49"/>
      <c r="V163" s="49"/>
      <c r="W163" s="49"/>
      <c r="X163" s="49"/>
      <c r="Y163" s="49"/>
      <c r="Z163" s="49"/>
    </row>
    <row r="164" ht="15.75" customHeight="1">
      <c r="A164" s="47"/>
      <c r="B164" s="47"/>
      <c r="C164" s="47"/>
      <c r="D164" s="48"/>
      <c r="E164" s="48"/>
      <c r="F164" s="48"/>
      <c r="G164" s="47"/>
      <c r="H164" s="49"/>
      <c r="I164" s="49"/>
      <c r="J164" s="49"/>
      <c r="K164" s="49"/>
      <c r="L164" s="49"/>
      <c r="M164" s="49"/>
      <c r="N164" s="49"/>
      <c r="O164" s="49"/>
      <c r="P164" s="49"/>
      <c r="Q164" s="49"/>
      <c r="R164" s="49"/>
      <c r="S164" s="49"/>
      <c r="T164" s="49"/>
      <c r="U164" s="49"/>
      <c r="V164" s="49"/>
      <c r="W164" s="49"/>
      <c r="X164" s="49"/>
      <c r="Y164" s="49"/>
      <c r="Z164" s="49"/>
    </row>
    <row r="165" ht="15.75" customHeight="1">
      <c r="A165" s="47"/>
      <c r="B165" s="47"/>
      <c r="C165" s="47"/>
      <c r="D165" s="48"/>
      <c r="E165" s="48"/>
      <c r="F165" s="48"/>
      <c r="G165" s="47"/>
      <c r="H165" s="49"/>
      <c r="I165" s="49"/>
      <c r="J165" s="49"/>
      <c r="K165" s="49"/>
      <c r="L165" s="49"/>
      <c r="M165" s="49"/>
      <c r="N165" s="49"/>
      <c r="O165" s="49"/>
      <c r="P165" s="49"/>
      <c r="Q165" s="49"/>
      <c r="R165" s="49"/>
      <c r="S165" s="49"/>
      <c r="T165" s="49"/>
      <c r="U165" s="49"/>
      <c r="V165" s="49"/>
      <c r="W165" s="49"/>
      <c r="X165" s="49"/>
      <c r="Y165" s="49"/>
      <c r="Z165" s="49"/>
    </row>
    <row r="166" ht="15.75" customHeight="1">
      <c r="A166" s="47"/>
      <c r="B166" s="47"/>
      <c r="C166" s="47"/>
      <c r="D166" s="48"/>
      <c r="E166" s="48"/>
      <c r="F166" s="48"/>
      <c r="G166" s="47"/>
      <c r="H166" s="49"/>
      <c r="I166" s="49"/>
      <c r="J166" s="49"/>
      <c r="K166" s="49"/>
      <c r="L166" s="49"/>
      <c r="M166" s="49"/>
      <c r="N166" s="49"/>
      <c r="O166" s="49"/>
      <c r="P166" s="49"/>
      <c r="Q166" s="49"/>
      <c r="R166" s="49"/>
      <c r="S166" s="49"/>
      <c r="T166" s="49"/>
      <c r="U166" s="49"/>
      <c r="V166" s="49"/>
      <c r="W166" s="49"/>
      <c r="X166" s="49"/>
      <c r="Y166" s="49"/>
      <c r="Z166" s="49"/>
    </row>
    <row r="167" ht="15.75" customHeight="1">
      <c r="A167" s="47"/>
      <c r="B167" s="47"/>
      <c r="C167" s="47"/>
      <c r="D167" s="48"/>
      <c r="E167" s="48"/>
      <c r="F167" s="48"/>
      <c r="G167" s="47"/>
      <c r="H167" s="49"/>
      <c r="I167" s="49"/>
      <c r="J167" s="49"/>
      <c r="K167" s="49"/>
      <c r="L167" s="49"/>
      <c r="M167" s="49"/>
      <c r="N167" s="49"/>
      <c r="O167" s="49"/>
      <c r="P167" s="49"/>
      <c r="Q167" s="49"/>
      <c r="R167" s="49"/>
      <c r="S167" s="49"/>
      <c r="T167" s="49"/>
      <c r="U167" s="49"/>
      <c r="V167" s="49"/>
      <c r="W167" s="49"/>
      <c r="X167" s="49"/>
      <c r="Y167" s="49"/>
      <c r="Z167" s="49"/>
    </row>
    <row r="168" ht="15.75" customHeight="1">
      <c r="A168" s="47"/>
      <c r="B168" s="47"/>
      <c r="C168" s="47"/>
      <c r="D168" s="48"/>
      <c r="E168" s="48"/>
      <c r="F168" s="48"/>
      <c r="G168" s="47"/>
      <c r="H168" s="49"/>
      <c r="I168" s="49"/>
      <c r="J168" s="49"/>
      <c r="K168" s="49"/>
      <c r="L168" s="49"/>
      <c r="M168" s="49"/>
      <c r="N168" s="49"/>
      <c r="O168" s="49"/>
      <c r="P168" s="49"/>
      <c r="Q168" s="49"/>
      <c r="R168" s="49"/>
      <c r="S168" s="49"/>
      <c r="T168" s="49"/>
      <c r="U168" s="49"/>
      <c r="V168" s="49"/>
      <c r="W168" s="49"/>
      <c r="X168" s="49"/>
      <c r="Y168" s="49"/>
      <c r="Z168" s="49"/>
    </row>
    <row r="169" ht="15.75" customHeight="1">
      <c r="A169" s="47"/>
      <c r="B169" s="47"/>
      <c r="C169" s="47"/>
      <c r="D169" s="48"/>
      <c r="E169" s="48"/>
      <c r="F169" s="48"/>
      <c r="G169" s="47"/>
      <c r="H169" s="49"/>
      <c r="I169" s="49"/>
      <c r="J169" s="49"/>
      <c r="K169" s="49"/>
      <c r="L169" s="49"/>
      <c r="M169" s="49"/>
      <c r="N169" s="49"/>
      <c r="O169" s="49"/>
      <c r="P169" s="49"/>
      <c r="Q169" s="49"/>
      <c r="R169" s="49"/>
      <c r="S169" s="49"/>
      <c r="T169" s="49"/>
      <c r="U169" s="49"/>
      <c r="V169" s="49"/>
      <c r="W169" s="49"/>
      <c r="X169" s="49"/>
      <c r="Y169" s="49"/>
      <c r="Z169" s="49"/>
    </row>
    <row r="170" ht="15.75" customHeight="1">
      <c r="A170" s="47"/>
      <c r="B170" s="47"/>
      <c r="C170" s="47"/>
      <c r="D170" s="48"/>
      <c r="E170" s="48"/>
      <c r="F170" s="48"/>
      <c r="G170" s="47"/>
      <c r="H170" s="49"/>
      <c r="I170" s="49"/>
      <c r="J170" s="49"/>
      <c r="K170" s="49"/>
      <c r="L170" s="49"/>
      <c r="M170" s="49"/>
      <c r="N170" s="49"/>
      <c r="O170" s="49"/>
      <c r="P170" s="49"/>
      <c r="Q170" s="49"/>
      <c r="R170" s="49"/>
      <c r="S170" s="49"/>
      <c r="T170" s="49"/>
      <c r="U170" s="49"/>
      <c r="V170" s="49"/>
      <c r="W170" s="49"/>
      <c r="X170" s="49"/>
      <c r="Y170" s="49"/>
      <c r="Z170" s="49"/>
    </row>
    <row r="171" ht="15.75" customHeight="1">
      <c r="A171" s="47"/>
      <c r="B171" s="47"/>
      <c r="C171" s="47"/>
      <c r="D171" s="48"/>
      <c r="E171" s="48"/>
      <c r="F171" s="48"/>
      <c r="G171" s="47"/>
      <c r="H171" s="49"/>
      <c r="I171" s="49"/>
      <c r="J171" s="49"/>
      <c r="K171" s="49"/>
      <c r="L171" s="49"/>
      <c r="M171" s="49"/>
      <c r="N171" s="49"/>
      <c r="O171" s="49"/>
      <c r="P171" s="49"/>
      <c r="Q171" s="49"/>
      <c r="R171" s="49"/>
      <c r="S171" s="49"/>
      <c r="T171" s="49"/>
      <c r="U171" s="49"/>
      <c r="V171" s="49"/>
      <c r="W171" s="49"/>
      <c r="X171" s="49"/>
      <c r="Y171" s="49"/>
      <c r="Z171" s="49"/>
    </row>
    <row r="172" ht="15.75" customHeight="1">
      <c r="A172" s="47"/>
      <c r="B172" s="47"/>
      <c r="C172" s="47"/>
      <c r="D172" s="48"/>
      <c r="E172" s="48"/>
      <c r="F172" s="48"/>
      <c r="G172" s="47"/>
      <c r="H172" s="49"/>
      <c r="I172" s="49"/>
      <c r="J172" s="49"/>
      <c r="K172" s="49"/>
      <c r="L172" s="49"/>
      <c r="M172" s="49"/>
      <c r="N172" s="49"/>
      <c r="O172" s="49"/>
      <c r="P172" s="49"/>
      <c r="Q172" s="49"/>
      <c r="R172" s="49"/>
      <c r="S172" s="49"/>
      <c r="T172" s="49"/>
      <c r="U172" s="49"/>
      <c r="V172" s="49"/>
      <c r="W172" s="49"/>
      <c r="X172" s="49"/>
      <c r="Y172" s="49"/>
      <c r="Z172" s="49"/>
    </row>
    <row r="173" ht="15.75" customHeight="1">
      <c r="A173" s="47"/>
      <c r="B173" s="47"/>
      <c r="C173" s="47"/>
      <c r="D173" s="48"/>
      <c r="E173" s="48"/>
      <c r="F173" s="48"/>
      <c r="G173" s="47"/>
      <c r="H173" s="49"/>
      <c r="I173" s="49"/>
      <c r="J173" s="49"/>
      <c r="K173" s="49"/>
      <c r="L173" s="49"/>
      <c r="M173" s="49"/>
      <c r="N173" s="49"/>
      <c r="O173" s="49"/>
      <c r="P173" s="49"/>
      <c r="Q173" s="49"/>
      <c r="R173" s="49"/>
      <c r="S173" s="49"/>
      <c r="T173" s="49"/>
      <c r="U173" s="49"/>
      <c r="V173" s="49"/>
      <c r="W173" s="49"/>
      <c r="X173" s="49"/>
      <c r="Y173" s="49"/>
      <c r="Z173" s="49"/>
    </row>
    <row r="174" ht="15.75" customHeight="1">
      <c r="A174" s="47"/>
      <c r="B174" s="47"/>
      <c r="C174" s="47"/>
      <c r="D174" s="48"/>
      <c r="E174" s="48"/>
      <c r="F174" s="48"/>
      <c r="G174" s="47"/>
      <c r="H174" s="49"/>
      <c r="I174" s="49"/>
      <c r="J174" s="49"/>
      <c r="K174" s="49"/>
      <c r="L174" s="49"/>
      <c r="M174" s="49"/>
      <c r="N174" s="49"/>
      <c r="O174" s="49"/>
      <c r="P174" s="49"/>
      <c r="Q174" s="49"/>
      <c r="R174" s="49"/>
      <c r="S174" s="49"/>
      <c r="T174" s="49"/>
      <c r="U174" s="49"/>
      <c r="V174" s="49"/>
      <c r="W174" s="49"/>
      <c r="X174" s="49"/>
      <c r="Y174" s="49"/>
      <c r="Z174" s="49"/>
    </row>
    <row r="175" ht="15.75" customHeight="1">
      <c r="A175" s="47"/>
      <c r="B175" s="47"/>
      <c r="C175" s="47"/>
      <c r="D175" s="48"/>
      <c r="E175" s="48"/>
      <c r="F175" s="48"/>
      <c r="G175" s="47"/>
      <c r="H175" s="49"/>
      <c r="I175" s="49"/>
      <c r="J175" s="49"/>
      <c r="K175" s="49"/>
      <c r="L175" s="49"/>
      <c r="M175" s="49"/>
      <c r="N175" s="49"/>
      <c r="O175" s="49"/>
      <c r="P175" s="49"/>
      <c r="Q175" s="49"/>
      <c r="R175" s="49"/>
      <c r="S175" s="49"/>
      <c r="T175" s="49"/>
      <c r="U175" s="49"/>
      <c r="V175" s="49"/>
      <c r="W175" s="49"/>
      <c r="X175" s="49"/>
      <c r="Y175" s="49"/>
      <c r="Z175" s="49"/>
    </row>
    <row r="176" ht="15.75" customHeight="1">
      <c r="A176" s="47"/>
      <c r="B176" s="47"/>
      <c r="C176" s="47"/>
      <c r="D176" s="48"/>
      <c r="E176" s="48"/>
      <c r="F176" s="48"/>
      <c r="G176" s="47"/>
      <c r="H176" s="49"/>
      <c r="I176" s="49"/>
      <c r="J176" s="49"/>
      <c r="K176" s="49"/>
      <c r="L176" s="49"/>
      <c r="M176" s="49"/>
      <c r="N176" s="49"/>
      <c r="O176" s="49"/>
      <c r="P176" s="49"/>
      <c r="Q176" s="49"/>
      <c r="R176" s="49"/>
      <c r="S176" s="49"/>
      <c r="T176" s="49"/>
      <c r="U176" s="49"/>
      <c r="V176" s="49"/>
      <c r="W176" s="49"/>
      <c r="X176" s="49"/>
      <c r="Y176" s="49"/>
      <c r="Z176" s="49"/>
    </row>
    <row r="177" ht="15.75" customHeight="1">
      <c r="A177" s="47"/>
      <c r="B177" s="47"/>
      <c r="C177" s="47"/>
      <c r="D177" s="48"/>
      <c r="E177" s="48"/>
      <c r="F177" s="48"/>
      <c r="G177" s="47"/>
      <c r="H177" s="49"/>
      <c r="I177" s="49"/>
      <c r="J177" s="49"/>
      <c r="K177" s="49"/>
      <c r="L177" s="49"/>
      <c r="M177" s="49"/>
      <c r="N177" s="49"/>
      <c r="O177" s="49"/>
      <c r="P177" s="49"/>
      <c r="Q177" s="49"/>
      <c r="R177" s="49"/>
      <c r="S177" s="49"/>
      <c r="T177" s="49"/>
      <c r="U177" s="49"/>
      <c r="V177" s="49"/>
      <c r="W177" s="49"/>
      <c r="X177" s="49"/>
      <c r="Y177" s="49"/>
      <c r="Z177" s="49"/>
    </row>
    <row r="178" ht="15.75" customHeight="1">
      <c r="A178" s="47"/>
      <c r="B178" s="47"/>
      <c r="C178" s="47"/>
      <c r="D178" s="48"/>
      <c r="E178" s="48"/>
      <c r="F178" s="48"/>
      <c r="G178" s="47"/>
      <c r="H178" s="49"/>
      <c r="I178" s="49"/>
      <c r="J178" s="49"/>
      <c r="K178" s="49"/>
      <c r="L178" s="49"/>
      <c r="M178" s="49"/>
      <c r="N178" s="49"/>
      <c r="O178" s="49"/>
      <c r="P178" s="49"/>
      <c r="Q178" s="49"/>
      <c r="R178" s="49"/>
      <c r="S178" s="49"/>
      <c r="T178" s="49"/>
      <c r="U178" s="49"/>
      <c r="V178" s="49"/>
      <c r="W178" s="49"/>
      <c r="X178" s="49"/>
      <c r="Y178" s="49"/>
      <c r="Z178" s="49"/>
    </row>
    <row r="179" ht="15.75" customHeight="1">
      <c r="A179" s="47"/>
      <c r="B179" s="47"/>
      <c r="C179" s="47"/>
      <c r="D179" s="48"/>
      <c r="E179" s="48"/>
      <c r="F179" s="48"/>
      <c r="G179" s="47"/>
      <c r="H179" s="49"/>
      <c r="I179" s="49"/>
      <c r="J179" s="49"/>
      <c r="K179" s="49"/>
      <c r="L179" s="49"/>
      <c r="M179" s="49"/>
      <c r="N179" s="49"/>
      <c r="O179" s="49"/>
      <c r="P179" s="49"/>
      <c r="Q179" s="49"/>
      <c r="R179" s="49"/>
      <c r="S179" s="49"/>
      <c r="T179" s="49"/>
      <c r="U179" s="49"/>
      <c r="V179" s="49"/>
      <c r="W179" s="49"/>
      <c r="X179" s="49"/>
      <c r="Y179" s="49"/>
      <c r="Z179" s="49"/>
    </row>
    <row r="180" ht="15.75" customHeight="1">
      <c r="A180" s="47"/>
      <c r="B180" s="47"/>
      <c r="C180" s="47"/>
      <c r="D180" s="48"/>
      <c r="E180" s="48"/>
      <c r="F180" s="48"/>
      <c r="G180" s="47"/>
      <c r="H180" s="49"/>
      <c r="I180" s="49"/>
      <c r="J180" s="49"/>
      <c r="K180" s="49"/>
      <c r="L180" s="49"/>
      <c r="M180" s="49"/>
      <c r="N180" s="49"/>
      <c r="O180" s="49"/>
      <c r="P180" s="49"/>
      <c r="Q180" s="49"/>
      <c r="R180" s="49"/>
      <c r="S180" s="49"/>
      <c r="T180" s="49"/>
      <c r="U180" s="49"/>
      <c r="V180" s="49"/>
      <c r="W180" s="49"/>
      <c r="X180" s="49"/>
      <c r="Y180" s="49"/>
      <c r="Z180" s="49"/>
    </row>
    <row r="181" ht="15.75" customHeight="1">
      <c r="A181" s="47"/>
      <c r="B181" s="47"/>
      <c r="C181" s="47"/>
      <c r="D181" s="48"/>
      <c r="E181" s="48"/>
      <c r="F181" s="48"/>
      <c r="G181" s="47"/>
      <c r="H181" s="49"/>
      <c r="I181" s="49"/>
      <c r="J181" s="49"/>
      <c r="K181" s="49"/>
      <c r="L181" s="49"/>
      <c r="M181" s="49"/>
      <c r="N181" s="49"/>
      <c r="O181" s="49"/>
      <c r="P181" s="49"/>
      <c r="Q181" s="49"/>
      <c r="R181" s="49"/>
      <c r="S181" s="49"/>
      <c r="T181" s="49"/>
      <c r="U181" s="49"/>
      <c r="V181" s="49"/>
      <c r="W181" s="49"/>
      <c r="X181" s="49"/>
      <c r="Y181" s="49"/>
      <c r="Z181" s="49"/>
    </row>
    <row r="182" ht="15.75" customHeight="1">
      <c r="A182" s="47"/>
      <c r="B182" s="47"/>
      <c r="C182" s="47"/>
      <c r="D182" s="48"/>
      <c r="E182" s="48"/>
      <c r="F182" s="48"/>
      <c r="G182" s="47"/>
      <c r="H182" s="49"/>
      <c r="I182" s="49"/>
      <c r="J182" s="49"/>
      <c r="K182" s="49"/>
      <c r="L182" s="49"/>
      <c r="M182" s="49"/>
      <c r="N182" s="49"/>
      <c r="O182" s="49"/>
      <c r="P182" s="49"/>
      <c r="Q182" s="49"/>
      <c r="R182" s="49"/>
      <c r="S182" s="49"/>
      <c r="T182" s="49"/>
      <c r="U182" s="49"/>
      <c r="V182" s="49"/>
      <c r="W182" s="49"/>
      <c r="X182" s="49"/>
      <c r="Y182" s="49"/>
      <c r="Z182" s="49"/>
    </row>
    <row r="183" ht="15.75" customHeight="1">
      <c r="A183" s="47"/>
      <c r="B183" s="47"/>
      <c r="C183" s="47"/>
      <c r="D183" s="48"/>
      <c r="E183" s="48"/>
      <c r="F183" s="48"/>
      <c r="G183" s="47"/>
      <c r="H183" s="49"/>
      <c r="I183" s="49"/>
      <c r="J183" s="49"/>
      <c r="K183" s="49"/>
      <c r="L183" s="49"/>
      <c r="M183" s="49"/>
      <c r="N183" s="49"/>
      <c r="O183" s="49"/>
      <c r="P183" s="49"/>
      <c r="Q183" s="49"/>
      <c r="R183" s="49"/>
      <c r="S183" s="49"/>
      <c r="T183" s="49"/>
      <c r="U183" s="49"/>
      <c r="V183" s="49"/>
      <c r="W183" s="49"/>
      <c r="X183" s="49"/>
      <c r="Y183" s="49"/>
      <c r="Z183" s="49"/>
    </row>
    <row r="184" ht="15.75" customHeight="1">
      <c r="A184" s="47"/>
      <c r="B184" s="47"/>
      <c r="C184" s="47"/>
      <c r="D184" s="48"/>
      <c r="E184" s="48"/>
      <c r="F184" s="48"/>
      <c r="G184" s="47"/>
      <c r="H184" s="49"/>
      <c r="I184" s="49"/>
      <c r="J184" s="49"/>
      <c r="K184" s="49"/>
      <c r="L184" s="49"/>
      <c r="M184" s="49"/>
      <c r="N184" s="49"/>
      <c r="O184" s="49"/>
      <c r="P184" s="49"/>
      <c r="Q184" s="49"/>
      <c r="R184" s="49"/>
      <c r="S184" s="49"/>
      <c r="T184" s="49"/>
      <c r="U184" s="49"/>
      <c r="V184" s="49"/>
      <c r="W184" s="49"/>
      <c r="X184" s="49"/>
      <c r="Y184" s="49"/>
      <c r="Z184" s="49"/>
    </row>
    <row r="185" ht="15.75" customHeight="1">
      <c r="A185" s="47"/>
      <c r="B185" s="47"/>
      <c r="C185" s="47"/>
      <c r="D185" s="48"/>
      <c r="E185" s="48"/>
      <c r="F185" s="48"/>
      <c r="G185" s="47"/>
      <c r="H185" s="49"/>
      <c r="I185" s="49"/>
      <c r="J185" s="49"/>
      <c r="K185" s="49"/>
      <c r="L185" s="49"/>
      <c r="M185" s="49"/>
      <c r="N185" s="49"/>
      <c r="O185" s="49"/>
      <c r="P185" s="49"/>
      <c r="Q185" s="49"/>
      <c r="R185" s="49"/>
      <c r="S185" s="49"/>
      <c r="T185" s="49"/>
      <c r="U185" s="49"/>
      <c r="V185" s="49"/>
      <c r="W185" s="49"/>
      <c r="X185" s="49"/>
      <c r="Y185" s="49"/>
      <c r="Z185" s="49"/>
    </row>
    <row r="186" ht="15.75" customHeight="1">
      <c r="A186" s="47"/>
      <c r="B186" s="47"/>
      <c r="C186" s="47"/>
      <c r="D186" s="48"/>
      <c r="E186" s="48"/>
      <c r="F186" s="48"/>
      <c r="G186" s="47"/>
      <c r="H186" s="49"/>
      <c r="I186" s="49"/>
      <c r="J186" s="49"/>
      <c r="K186" s="49"/>
      <c r="L186" s="49"/>
      <c r="M186" s="49"/>
      <c r="N186" s="49"/>
      <c r="O186" s="49"/>
      <c r="P186" s="49"/>
      <c r="Q186" s="49"/>
      <c r="R186" s="49"/>
      <c r="S186" s="49"/>
      <c r="T186" s="49"/>
      <c r="U186" s="49"/>
      <c r="V186" s="49"/>
      <c r="W186" s="49"/>
      <c r="X186" s="49"/>
      <c r="Y186" s="49"/>
      <c r="Z186" s="49"/>
    </row>
    <row r="187" ht="15.75" customHeight="1">
      <c r="A187" s="47"/>
      <c r="B187" s="47"/>
      <c r="C187" s="47"/>
      <c r="D187" s="48"/>
      <c r="E187" s="48"/>
      <c r="F187" s="48"/>
      <c r="G187" s="47"/>
      <c r="H187" s="49"/>
      <c r="I187" s="49"/>
      <c r="J187" s="49"/>
      <c r="K187" s="49"/>
      <c r="L187" s="49"/>
      <c r="M187" s="49"/>
      <c r="N187" s="49"/>
      <c r="O187" s="49"/>
      <c r="P187" s="49"/>
      <c r="Q187" s="49"/>
      <c r="R187" s="49"/>
      <c r="S187" s="49"/>
      <c r="T187" s="49"/>
      <c r="U187" s="49"/>
      <c r="V187" s="49"/>
      <c r="W187" s="49"/>
      <c r="X187" s="49"/>
      <c r="Y187" s="49"/>
      <c r="Z187" s="49"/>
    </row>
    <row r="188" ht="15.75" customHeight="1">
      <c r="A188" s="47"/>
      <c r="B188" s="47"/>
      <c r="C188" s="47"/>
      <c r="D188" s="48"/>
      <c r="E188" s="48"/>
      <c r="F188" s="48"/>
      <c r="G188" s="47"/>
      <c r="H188" s="49"/>
      <c r="I188" s="49"/>
      <c r="J188" s="49"/>
      <c r="K188" s="49"/>
      <c r="L188" s="49"/>
      <c r="M188" s="49"/>
      <c r="N188" s="49"/>
      <c r="O188" s="49"/>
      <c r="P188" s="49"/>
      <c r="Q188" s="49"/>
      <c r="R188" s="49"/>
      <c r="S188" s="49"/>
      <c r="T188" s="49"/>
      <c r="U188" s="49"/>
      <c r="V188" s="49"/>
      <c r="W188" s="49"/>
      <c r="X188" s="49"/>
      <c r="Y188" s="49"/>
      <c r="Z188" s="49"/>
    </row>
    <row r="189" ht="15.75" customHeight="1">
      <c r="A189" s="47"/>
      <c r="B189" s="47"/>
      <c r="C189" s="47"/>
      <c r="D189" s="48"/>
      <c r="E189" s="48"/>
      <c r="F189" s="48"/>
      <c r="G189" s="47"/>
      <c r="H189" s="49"/>
      <c r="I189" s="49"/>
      <c r="J189" s="49"/>
      <c r="K189" s="49"/>
      <c r="L189" s="49"/>
      <c r="M189" s="49"/>
      <c r="N189" s="49"/>
      <c r="O189" s="49"/>
      <c r="P189" s="49"/>
      <c r="Q189" s="49"/>
      <c r="R189" s="49"/>
      <c r="S189" s="49"/>
      <c r="T189" s="49"/>
      <c r="U189" s="49"/>
      <c r="V189" s="49"/>
      <c r="W189" s="49"/>
      <c r="X189" s="49"/>
      <c r="Y189" s="49"/>
      <c r="Z189" s="49"/>
    </row>
    <row r="190" ht="15.75" customHeight="1">
      <c r="A190" s="47"/>
      <c r="B190" s="47"/>
      <c r="C190" s="47"/>
      <c r="D190" s="48"/>
      <c r="E190" s="48"/>
      <c r="F190" s="48"/>
      <c r="G190" s="47"/>
      <c r="H190" s="49"/>
      <c r="I190" s="49"/>
      <c r="J190" s="49"/>
      <c r="K190" s="49"/>
      <c r="L190" s="49"/>
      <c r="M190" s="49"/>
      <c r="N190" s="49"/>
      <c r="O190" s="49"/>
      <c r="P190" s="49"/>
      <c r="Q190" s="49"/>
      <c r="R190" s="49"/>
      <c r="S190" s="49"/>
      <c r="T190" s="49"/>
      <c r="U190" s="49"/>
      <c r="V190" s="49"/>
      <c r="W190" s="49"/>
      <c r="X190" s="49"/>
      <c r="Y190" s="49"/>
      <c r="Z190" s="49"/>
    </row>
    <row r="191" ht="15.75" customHeight="1">
      <c r="A191" s="47"/>
      <c r="B191" s="47"/>
      <c r="C191" s="47"/>
      <c r="D191" s="48"/>
      <c r="E191" s="48"/>
      <c r="F191" s="48"/>
      <c r="G191" s="47"/>
      <c r="H191" s="49"/>
      <c r="I191" s="49"/>
      <c r="J191" s="49"/>
      <c r="K191" s="49"/>
      <c r="L191" s="49"/>
      <c r="M191" s="49"/>
      <c r="N191" s="49"/>
      <c r="O191" s="49"/>
      <c r="P191" s="49"/>
      <c r="Q191" s="49"/>
      <c r="R191" s="49"/>
      <c r="S191" s="49"/>
      <c r="T191" s="49"/>
      <c r="U191" s="49"/>
      <c r="V191" s="49"/>
      <c r="W191" s="49"/>
      <c r="X191" s="49"/>
      <c r="Y191" s="49"/>
      <c r="Z191" s="49"/>
    </row>
    <row r="192" ht="15.75" customHeight="1">
      <c r="A192" s="47"/>
      <c r="B192" s="47"/>
      <c r="C192" s="47"/>
      <c r="D192" s="48"/>
      <c r="E192" s="48"/>
      <c r="F192" s="48"/>
      <c r="G192" s="47"/>
      <c r="H192" s="49"/>
      <c r="I192" s="49"/>
      <c r="J192" s="49"/>
      <c r="K192" s="49"/>
      <c r="L192" s="49"/>
      <c r="M192" s="49"/>
      <c r="N192" s="49"/>
      <c r="O192" s="49"/>
      <c r="P192" s="49"/>
      <c r="Q192" s="49"/>
      <c r="R192" s="49"/>
      <c r="S192" s="49"/>
      <c r="T192" s="49"/>
      <c r="U192" s="49"/>
      <c r="V192" s="49"/>
      <c r="W192" s="49"/>
      <c r="X192" s="49"/>
      <c r="Y192" s="49"/>
      <c r="Z192" s="49"/>
    </row>
    <row r="193" ht="15.75" customHeight="1">
      <c r="A193" s="47"/>
      <c r="B193" s="47"/>
      <c r="C193" s="47"/>
      <c r="D193" s="48"/>
      <c r="E193" s="48"/>
      <c r="F193" s="48"/>
      <c r="G193" s="47"/>
      <c r="H193" s="49"/>
      <c r="I193" s="49"/>
      <c r="J193" s="49"/>
      <c r="K193" s="49"/>
      <c r="L193" s="49"/>
      <c r="M193" s="49"/>
      <c r="N193" s="49"/>
      <c r="O193" s="49"/>
      <c r="P193" s="49"/>
      <c r="Q193" s="49"/>
      <c r="R193" s="49"/>
      <c r="S193" s="49"/>
      <c r="T193" s="49"/>
      <c r="U193" s="49"/>
      <c r="V193" s="49"/>
      <c r="W193" s="49"/>
      <c r="X193" s="49"/>
      <c r="Y193" s="49"/>
      <c r="Z193" s="49"/>
    </row>
    <row r="194" ht="15.75" customHeight="1">
      <c r="A194" s="47"/>
      <c r="B194" s="47"/>
      <c r="C194" s="47"/>
      <c r="D194" s="48"/>
      <c r="E194" s="48"/>
      <c r="F194" s="48"/>
      <c r="G194" s="47"/>
      <c r="H194" s="49"/>
      <c r="I194" s="49"/>
      <c r="J194" s="49"/>
      <c r="K194" s="49"/>
      <c r="L194" s="49"/>
      <c r="M194" s="49"/>
      <c r="N194" s="49"/>
      <c r="O194" s="49"/>
      <c r="P194" s="49"/>
      <c r="Q194" s="49"/>
      <c r="R194" s="49"/>
      <c r="S194" s="49"/>
      <c r="T194" s="49"/>
      <c r="U194" s="49"/>
      <c r="V194" s="49"/>
      <c r="W194" s="49"/>
      <c r="X194" s="49"/>
      <c r="Y194" s="49"/>
      <c r="Z194" s="49"/>
    </row>
    <row r="195" ht="15.75" customHeight="1">
      <c r="A195" s="47"/>
      <c r="B195" s="47"/>
      <c r="C195" s="47"/>
      <c r="D195" s="48"/>
      <c r="E195" s="48"/>
      <c r="F195" s="48"/>
      <c r="G195" s="47"/>
      <c r="H195" s="49"/>
      <c r="I195" s="49"/>
      <c r="J195" s="49"/>
      <c r="K195" s="49"/>
      <c r="L195" s="49"/>
      <c r="M195" s="49"/>
      <c r="N195" s="49"/>
      <c r="O195" s="49"/>
      <c r="P195" s="49"/>
      <c r="Q195" s="49"/>
      <c r="R195" s="49"/>
      <c r="S195" s="49"/>
      <c r="T195" s="49"/>
      <c r="U195" s="49"/>
      <c r="V195" s="49"/>
      <c r="W195" s="49"/>
      <c r="X195" s="49"/>
      <c r="Y195" s="49"/>
      <c r="Z195" s="49"/>
    </row>
    <row r="196" ht="15.75" customHeight="1">
      <c r="A196" s="47"/>
      <c r="B196" s="47"/>
      <c r="C196" s="47"/>
      <c r="D196" s="48"/>
      <c r="E196" s="48"/>
      <c r="F196" s="48"/>
      <c r="G196" s="47"/>
      <c r="H196" s="49"/>
      <c r="I196" s="49"/>
      <c r="J196" s="49"/>
      <c r="K196" s="49"/>
      <c r="L196" s="49"/>
      <c r="M196" s="49"/>
      <c r="N196" s="49"/>
      <c r="O196" s="49"/>
      <c r="P196" s="49"/>
      <c r="Q196" s="49"/>
      <c r="R196" s="49"/>
      <c r="S196" s="49"/>
      <c r="T196" s="49"/>
      <c r="U196" s="49"/>
      <c r="V196" s="49"/>
      <c r="W196" s="49"/>
      <c r="X196" s="49"/>
      <c r="Y196" s="49"/>
      <c r="Z196" s="49"/>
    </row>
    <row r="197" ht="15.75" customHeight="1">
      <c r="A197" s="47"/>
      <c r="B197" s="47"/>
      <c r="C197" s="47"/>
      <c r="D197" s="48"/>
      <c r="E197" s="48"/>
      <c r="F197" s="48"/>
      <c r="G197" s="47"/>
      <c r="H197" s="49"/>
      <c r="I197" s="49"/>
      <c r="J197" s="49"/>
      <c r="K197" s="49"/>
      <c r="L197" s="49"/>
      <c r="M197" s="49"/>
      <c r="N197" s="49"/>
      <c r="O197" s="49"/>
      <c r="P197" s="49"/>
      <c r="Q197" s="49"/>
      <c r="R197" s="49"/>
      <c r="S197" s="49"/>
      <c r="T197" s="49"/>
      <c r="U197" s="49"/>
      <c r="V197" s="49"/>
      <c r="W197" s="49"/>
      <c r="X197" s="49"/>
      <c r="Y197" s="49"/>
      <c r="Z197" s="49"/>
    </row>
    <row r="198" ht="15.75" customHeight="1">
      <c r="A198" s="47"/>
      <c r="B198" s="47"/>
      <c r="C198" s="47"/>
      <c r="D198" s="48"/>
      <c r="E198" s="48"/>
      <c r="F198" s="48"/>
      <c r="G198" s="47"/>
      <c r="H198" s="49"/>
      <c r="I198" s="49"/>
      <c r="J198" s="49"/>
      <c r="K198" s="49"/>
      <c r="L198" s="49"/>
      <c r="M198" s="49"/>
      <c r="N198" s="49"/>
      <c r="O198" s="49"/>
      <c r="P198" s="49"/>
      <c r="Q198" s="49"/>
      <c r="R198" s="49"/>
      <c r="S198" s="49"/>
      <c r="T198" s="49"/>
      <c r="U198" s="49"/>
      <c r="V198" s="49"/>
      <c r="W198" s="49"/>
      <c r="X198" s="49"/>
      <c r="Y198" s="49"/>
      <c r="Z198" s="49"/>
    </row>
    <row r="199" ht="15.75" customHeight="1">
      <c r="A199" s="47"/>
      <c r="B199" s="47"/>
      <c r="C199" s="47"/>
      <c r="D199" s="48"/>
      <c r="E199" s="48"/>
      <c r="F199" s="48"/>
      <c r="G199" s="47"/>
      <c r="H199" s="49"/>
      <c r="I199" s="49"/>
      <c r="J199" s="49"/>
      <c r="K199" s="49"/>
      <c r="L199" s="49"/>
      <c r="M199" s="49"/>
      <c r="N199" s="49"/>
      <c r="O199" s="49"/>
      <c r="P199" s="49"/>
      <c r="Q199" s="49"/>
      <c r="R199" s="49"/>
      <c r="S199" s="49"/>
      <c r="T199" s="49"/>
      <c r="U199" s="49"/>
      <c r="V199" s="49"/>
      <c r="W199" s="49"/>
      <c r="X199" s="49"/>
      <c r="Y199" s="49"/>
      <c r="Z199" s="49"/>
    </row>
    <row r="200" ht="15.75" customHeight="1">
      <c r="A200" s="47"/>
      <c r="B200" s="47"/>
      <c r="C200" s="47"/>
      <c r="D200" s="48"/>
      <c r="E200" s="48"/>
      <c r="F200" s="48"/>
      <c r="G200" s="47"/>
      <c r="H200" s="49"/>
      <c r="I200" s="49"/>
      <c r="J200" s="49"/>
      <c r="K200" s="49"/>
      <c r="L200" s="49"/>
      <c r="M200" s="49"/>
      <c r="N200" s="49"/>
      <c r="O200" s="49"/>
      <c r="P200" s="49"/>
      <c r="Q200" s="49"/>
      <c r="R200" s="49"/>
      <c r="S200" s="49"/>
      <c r="T200" s="49"/>
      <c r="U200" s="49"/>
      <c r="V200" s="49"/>
      <c r="W200" s="49"/>
      <c r="X200" s="49"/>
      <c r="Y200" s="49"/>
      <c r="Z200" s="49"/>
    </row>
    <row r="201" ht="15.75" customHeight="1">
      <c r="A201" s="47"/>
      <c r="B201" s="47"/>
      <c r="C201" s="47"/>
      <c r="D201" s="48"/>
      <c r="E201" s="48"/>
      <c r="F201" s="48"/>
      <c r="G201" s="47"/>
      <c r="H201" s="49"/>
      <c r="I201" s="49"/>
      <c r="J201" s="49"/>
      <c r="K201" s="49"/>
      <c r="L201" s="49"/>
      <c r="M201" s="49"/>
      <c r="N201" s="49"/>
      <c r="O201" s="49"/>
      <c r="P201" s="49"/>
      <c r="Q201" s="49"/>
      <c r="R201" s="49"/>
      <c r="S201" s="49"/>
      <c r="T201" s="49"/>
      <c r="U201" s="49"/>
      <c r="V201" s="49"/>
      <c r="W201" s="49"/>
      <c r="X201" s="49"/>
      <c r="Y201" s="49"/>
      <c r="Z201" s="49"/>
    </row>
    <row r="202" ht="15.75" customHeight="1">
      <c r="A202" s="47"/>
      <c r="B202" s="47"/>
      <c r="C202" s="47"/>
      <c r="D202" s="48"/>
      <c r="E202" s="48"/>
      <c r="F202" s="48"/>
      <c r="G202" s="47"/>
      <c r="H202" s="49"/>
      <c r="I202" s="49"/>
      <c r="J202" s="49"/>
      <c r="K202" s="49"/>
      <c r="L202" s="49"/>
      <c r="M202" s="49"/>
      <c r="N202" s="49"/>
      <c r="O202" s="49"/>
      <c r="P202" s="49"/>
      <c r="Q202" s="49"/>
      <c r="R202" s="49"/>
      <c r="S202" s="49"/>
      <c r="T202" s="49"/>
      <c r="U202" s="49"/>
      <c r="V202" s="49"/>
      <c r="W202" s="49"/>
      <c r="X202" s="49"/>
      <c r="Y202" s="49"/>
      <c r="Z202" s="49"/>
    </row>
    <row r="203" ht="15.75" customHeight="1">
      <c r="A203" s="47"/>
      <c r="B203" s="47"/>
      <c r="C203" s="47"/>
      <c r="D203" s="48"/>
      <c r="E203" s="48"/>
      <c r="F203" s="48"/>
      <c r="G203" s="47"/>
      <c r="H203" s="49"/>
      <c r="I203" s="49"/>
      <c r="J203" s="49"/>
      <c r="K203" s="49"/>
      <c r="L203" s="49"/>
      <c r="M203" s="49"/>
      <c r="N203" s="49"/>
      <c r="O203" s="49"/>
      <c r="P203" s="49"/>
      <c r="Q203" s="49"/>
      <c r="R203" s="49"/>
      <c r="S203" s="49"/>
      <c r="T203" s="49"/>
      <c r="U203" s="49"/>
      <c r="V203" s="49"/>
      <c r="W203" s="49"/>
      <c r="X203" s="49"/>
      <c r="Y203" s="49"/>
      <c r="Z203" s="49"/>
    </row>
    <row r="204" ht="15.75" customHeight="1">
      <c r="A204" s="47"/>
      <c r="B204" s="47"/>
      <c r="C204" s="47"/>
      <c r="D204" s="48"/>
      <c r="E204" s="48"/>
      <c r="F204" s="48"/>
      <c r="G204" s="47"/>
      <c r="H204" s="49"/>
      <c r="I204" s="49"/>
      <c r="J204" s="49"/>
      <c r="K204" s="49"/>
      <c r="L204" s="49"/>
      <c r="M204" s="49"/>
      <c r="N204" s="49"/>
      <c r="O204" s="49"/>
      <c r="P204" s="49"/>
      <c r="Q204" s="49"/>
      <c r="R204" s="49"/>
      <c r="S204" s="49"/>
      <c r="T204" s="49"/>
      <c r="U204" s="49"/>
      <c r="V204" s="49"/>
      <c r="W204" s="49"/>
      <c r="X204" s="49"/>
      <c r="Y204" s="49"/>
      <c r="Z204" s="49"/>
    </row>
    <row r="205" ht="15.75" customHeight="1">
      <c r="A205" s="47"/>
      <c r="B205" s="47"/>
      <c r="C205" s="47"/>
      <c r="D205" s="48"/>
      <c r="E205" s="48"/>
      <c r="F205" s="48"/>
      <c r="G205" s="47"/>
      <c r="H205" s="49"/>
      <c r="I205" s="49"/>
      <c r="J205" s="49"/>
      <c r="K205" s="49"/>
      <c r="L205" s="49"/>
      <c r="M205" s="49"/>
      <c r="N205" s="49"/>
      <c r="O205" s="49"/>
      <c r="P205" s="49"/>
      <c r="Q205" s="49"/>
      <c r="R205" s="49"/>
      <c r="S205" s="49"/>
      <c r="T205" s="49"/>
      <c r="U205" s="49"/>
      <c r="V205" s="49"/>
      <c r="W205" s="49"/>
      <c r="X205" s="49"/>
      <c r="Y205" s="49"/>
      <c r="Z205" s="49"/>
    </row>
    <row r="206" ht="15.75" customHeight="1">
      <c r="A206" s="47"/>
      <c r="B206" s="47"/>
      <c r="C206" s="47"/>
      <c r="D206" s="48"/>
      <c r="E206" s="48"/>
      <c r="F206" s="48"/>
      <c r="G206" s="47"/>
      <c r="H206" s="49"/>
      <c r="I206" s="49"/>
      <c r="J206" s="49"/>
      <c r="K206" s="49"/>
      <c r="L206" s="49"/>
      <c r="M206" s="49"/>
      <c r="N206" s="49"/>
      <c r="O206" s="49"/>
      <c r="P206" s="49"/>
      <c r="Q206" s="49"/>
      <c r="R206" s="49"/>
      <c r="S206" s="49"/>
      <c r="T206" s="49"/>
      <c r="U206" s="49"/>
      <c r="V206" s="49"/>
      <c r="W206" s="49"/>
      <c r="X206" s="49"/>
      <c r="Y206" s="49"/>
      <c r="Z206" s="49"/>
    </row>
    <row r="207" ht="15.75" customHeight="1">
      <c r="A207" s="47"/>
      <c r="B207" s="47"/>
      <c r="C207" s="47"/>
      <c r="D207" s="48"/>
      <c r="E207" s="48"/>
      <c r="F207" s="48"/>
      <c r="G207" s="47"/>
      <c r="H207" s="49"/>
      <c r="I207" s="49"/>
      <c r="J207" s="49"/>
      <c r="K207" s="49"/>
      <c r="L207" s="49"/>
      <c r="M207" s="49"/>
      <c r="N207" s="49"/>
      <c r="O207" s="49"/>
      <c r="P207" s="49"/>
      <c r="Q207" s="49"/>
      <c r="R207" s="49"/>
      <c r="S207" s="49"/>
      <c r="T207" s="49"/>
      <c r="U207" s="49"/>
      <c r="V207" s="49"/>
      <c r="W207" s="49"/>
      <c r="X207" s="49"/>
      <c r="Y207" s="49"/>
      <c r="Z207" s="49"/>
    </row>
    <row r="208" ht="15.75" customHeight="1">
      <c r="A208" s="47"/>
      <c r="B208" s="47"/>
      <c r="C208" s="47"/>
      <c r="D208" s="48"/>
      <c r="E208" s="48"/>
      <c r="F208" s="48"/>
      <c r="G208" s="47"/>
      <c r="H208" s="49"/>
      <c r="I208" s="49"/>
      <c r="J208" s="49"/>
      <c r="K208" s="49"/>
      <c r="L208" s="49"/>
      <c r="M208" s="49"/>
      <c r="N208" s="49"/>
      <c r="O208" s="49"/>
      <c r="P208" s="49"/>
      <c r="Q208" s="49"/>
      <c r="R208" s="49"/>
      <c r="S208" s="49"/>
      <c r="T208" s="49"/>
      <c r="U208" s="49"/>
      <c r="V208" s="49"/>
      <c r="W208" s="49"/>
      <c r="X208" s="49"/>
      <c r="Y208" s="49"/>
      <c r="Z208" s="49"/>
    </row>
    <row r="209" ht="15.75" customHeight="1">
      <c r="A209" s="47"/>
      <c r="B209" s="47"/>
      <c r="C209" s="47"/>
      <c r="D209" s="48"/>
      <c r="E209" s="48"/>
      <c r="F209" s="48"/>
      <c r="G209" s="47"/>
      <c r="H209" s="49"/>
      <c r="I209" s="49"/>
      <c r="J209" s="49"/>
      <c r="K209" s="49"/>
      <c r="L209" s="49"/>
      <c r="M209" s="49"/>
      <c r="N209" s="49"/>
      <c r="O209" s="49"/>
      <c r="P209" s="49"/>
      <c r="Q209" s="49"/>
      <c r="R209" s="49"/>
      <c r="S209" s="49"/>
      <c r="T209" s="49"/>
      <c r="U209" s="49"/>
      <c r="V209" s="49"/>
      <c r="W209" s="49"/>
      <c r="X209" s="49"/>
      <c r="Y209" s="49"/>
      <c r="Z209" s="49"/>
    </row>
    <row r="210" ht="15.75" customHeight="1">
      <c r="A210" s="47"/>
      <c r="B210" s="47"/>
      <c r="C210" s="47"/>
      <c r="D210" s="48"/>
      <c r="E210" s="48"/>
      <c r="F210" s="48"/>
      <c r="G210" s="47"/>
      <c r="H210" s="49"/>
      <c r="I210" s="49"/>
      <c r="J210" s="49"/>
      <c r="K210" s="49"/>
      <c r="L210" s="49"/>
      <c r="M210" s="49"/>
      <c r="N210" s="49"/>
      <c r="O210" s="49"/>
      <c r="P210" s="49"/>
      <c r="Q210" s="49"/>
      <c r="R210" s="49"/>
      <c r="S210" s="49"/>
      <c r="T210" s="49"/>
      <c r="U210" s="49"/>
      <c r="V210" s="49"/>
      <c r="W210" s="49"/>
      <c r="X210" s="49"/>
      <c r="Y210" s="49"/>
      <c r="Z210" s="49"/>
    </row>
    <row r="211" ht="15.75" customHeight="1">
      <c r="A211" s="47"/>
      <c r="B211" s="47"/>
      <c r="C211" s="47"/>
      <c r="D211" s="48"/>
      <c r="E211" s="48"/>
      <c r="F211" s="48"/>
      <c r="G211" s="47"/>
      <c r="H211" s="49"/>
      <c r="I211" s="49"/>
      <c r="J211" s="49"/>
      <c r="K211" s="49"/>
      <c r="L211" s="49"/>
      <c r="M211" s="49"/>
      <c r="N211" s="49"/>
      <c r="O211" s="49"/>
      <c r="P211" s="49"/>
      <c r="Q211" s="49"/>
      <c r="R211" s="49"/>
      <c r="S211" s="49"/>
      <c r="T211" s="49"/>
      <c r="U211" s="49"/>
      <c r="V211" s="49"/>
      <c r="W211" s="49"/>
      <c r="X211" s="49"/>
      <c r="Y211" s="49"/>
      <c r="Z211" s="49"/>
    </row>
    <row r="212" ht="15.75" customHeight="1">
      <c r="A212" s="47"/>
      <c r="B212" s="47"/>
      <c r="C212" s="47"/>
      <c r="D212" s="48"/>
      <c r="E212" s="48"/>
      <c r="F212" s="48"/>
      <c r="G212" s="47"/>
      <c r="H212" s="49"/>
      <c r="I212" s="49"/>
      <c r="J212" s="49"/>
      <c r="K212" s="49"/>
      <c r="L212" s="49"/>
      <c r="M212" s="49"/>
      <c r="N212" s="49"/>
      <c r="O212" s="49"/>
      <c r="P212" s="49"/>
      <c r="Q212" s="49"/>
      <c r="R212" s="49"/>
      <c r="S212" s="49"/>
      <c r="T212" s="49"/>
      <c r="U212" s="49"/>
      <c r="V212" s="49"/>
      <c r="W212" s="49"/>
      <c r="X212" s="49"/>
      <c r="Y212" s="49"/>
      <c r="Z212" s="49"/>
    </row>
    <row r="213" ht="15.75" customHeight="1">
      <c r="A213" s="47"/>
      <c r="B213" s="47"/>
      <c r="C213" s="47"/>
      <c r="D213" s="48"/>
      <c r="E213" s="48"/>
      <c r="F213" s="48"/>
      <c r="G213" s="47"/>
      <c r="H213" s="49"/>
      <c r="I213" s="49"/>
      <c r="J213" s="49"/>
      <c r="K213" s="49"/>
      <c r="L213" s="49"/>
      <c r="M213" s="49"/>
      <c r="N213" s="49"/>
      <c r="O213" s="49"/>
      <c r="P213" s="49"/>
      <c r="Q213" s="49"/>
      <c r="R213" s="49"/>
      <c r="S213" s="49"/>
      <c r="T213" s="49"/>
      <c r="U213" s="49"/>
      <c r="V213" s="49"/>
      <c r="W213" s="49"/>
      <c r="X213" s="49"/>
      <c r="Y213" s="49"/>
      <c r="Z213" s="49"/>
    </row>
    <row r="214" ht="15.75" customHeight="1">
      <c r="A214" s="47"/>
      <c r="B214" s="47"/>
      <c r="C214" s="47"/>
      <c r="D214" s="48"/>
      <c r="E214" s="48"/>
      <c r="F214" s="48"/>
      <c r="G214" s="47"/>
      <c r="H214" s="49"/>
      <c r="I214" s="49"/>
      <c r="J214" s="49"/>
      <c r="K214" s="49"/>
      <c r="L214" s="49"/>
      <c r="M214" s="49"/>
      <c r="N214" s="49"/>
      <c r="O214" s="49"/>
      <c r="P214" s="49"/>
      <c r="Q214" s="49"/>
      <c r="R214" s="49"/>
      <c r="S214" s="49"/>
      <c r="T214" s="49"/>
      <c r="U214" s="49"/>
      <c r="V214" s="49"/>
      <c r="W214" s="49"/>
      <c r="X214" s="49"/>
      <c r="Y214" s="49"/>
      <c r="Z214" s="49"/>
    </row>
    <row r="215" ht="15.75" customHeight="1">
      <c r="A215" s="47"/>
      <c r="B215" s="47"/>
      <c r="C215" s="47"/>
      <c r="D215" s="48"/>
      <c r="E215" s="48"/>
      <c r="F215" s="48"/>
      <c r="G215" s="47"/>
      <c r="H215" s="49"/>
      <c r="I215" s="49"/>
      <c r="J215" s="49"/>
      <c r="K215" s="49"/>
      <c r="L215" s="49"/>
      <c r="M215" s="49"/>
      <c r="N215" s="49"/>
      <c r="O215" s="49"/>
      <c r="P215" s="49"/>
      <c r="Q215" s="49"/>
      <c r="R215" s="49"/>
      <c r="S215" s="49"/>
      <c r="T215" s="49"/>
      <c r="U215" s="49"/>
      <c r="V215" s="49"/>
      <c r="W215" s="49"/>
      <c r="X215" s="49"/>
      <c r="Y215" s="49"/>
      <c r="Z215" s="49"/>
    </row>
    <row r="216" ht="15.75" customHeight="1">
      <c r="A216" s="47"/>
      <c r="B216" s="47"/>
      <c r="C216" s="47"/>
      <c r="D216" s="48"/>
      <c r="E216" s="48"/>
      <c r="F216" s="48"/>
      <c r="G216" s="47"/>
      <c r="H216" s="49"/>
      <c r="I216" s="49"/>
      <c r="J216" s="49"/>
      <c r="K216" s="49"/>
      <c r="L216" s="49"/>
      <c r="M216" s="49"/>
      <c r="N216" s="49"/>
      <c r="O216" s="49"/>
      <c r="P216" s="49"/>
      <c r="Q216" s="49"/>
      <c r="R216" s="49"/>
      <c r="S216" s="49"/>
      <c r="T216" s="49"/>
      <c r="U216" s="49"/>
      <c r="V216" s="49"/>
      <c r="W216" s="49"/>
      <c r="X216" s="49"/>
      <c r="Y216" s="49"/>
      <c r="Z216" s="49"/>
    </row>
    <row r="217" ht="15.75" customHeight="1">
      <c r="A217" s="47"/>
      <c r="B217" s="47"/>
      <c r="C217" s="47"/>
      <c r="D217" s="48"/>
      <c r="E217" s="48"/>
      <c r="F217" s="48"/>
      <c r="G217" s="47"/>
      <c r="H217" s="49"/>
      <c r="I217" s="49"/>
      <c r="J217" s="49"/>
      <c r="K217" s="49"/>
      <c r="L217" s="49"/>
      <c r="M217" s="49"/>
      <c r="N217" s="49"/>
      <c r="O217" s="49"/>
      <c r="P217" s="49"/>
      <c r="Q217" s="49"/>
      <c r="R217" s="49"/>
      <c r="S217" s="49"/>
      <c r="T217" s="49"/>
      <c r="U217" s="49"/>
      <c r="V217" s="49"/>
      <c r="W217" s="49"/>
      <c r="X217" s="49"/>
      <c r="Y217" s="49"/>
      <c r="Z217" s="49"/>
    </row>
    <row r="218" ht="15.75" customHeight="1">
      <c r="A218" s="47"/>
      <c r="B218" s="47"/>
      <c r="C218" s="47"/>
      <c r="D218" s="48"/>
      <c r="E218" s="48"/>
      <c r="F218" s="48"/>
      <c r="G218" s="47"/>
      <c r="H218" s="49"/>
      <c r="I218" s="49"/>
      <c r="J218" s="49"/>
      <c r="K218" s="49"/>
      <c r="L218" s="49"/>
      <c r="M218" s="49"/>
      <c r="N218" s="49"/>
      <c r="O218" s="49"/>
      <c r="P218" s="49"/>
      <c r="Q218" s="49"/>
      <c r="R218" s="49"/>
      <c r="S218" s="49"/>
      <c r="T218" s="49"/>
      <c r="U218" s="49"/>
      <c r="V218" s="49"/>
      <c r="W218" s="49"/>
      <c r="X218" s="49"/>
      <c r="Y218" s="49"/>
      <c r="Z218" s="49"/>
    </row>
    <row r="219" ht="15.75" customHeight="1">
      <c r="A219" s="47"/>
      <c r="B219" s="47"/>
      <c r="C219" s="47"/>
      <c r="D219" s="48"/>
      <c r="E219" s="48"/>
      <c r="F219" s="48"/>
      <c r="G219" s="47"/>
      <c r="H219" s="49"/>
      <c r="I219" s="49"/>
      <c r="J219" s="49"/>
      <c r="K219" s="49"/>
      <c r="L219" s="49"/>
      <c r="M219" s="49"/>
      <c r="N219" s="49"/>
      <c r="O219" s="49"/>
      <c r="P219" s="49"/>
      <c r="Q219" s="49"/>
      <c r="R219" s="49"/>
      <c r="S219" s="49"/>
      <c r="T219" s="49"/>
      <c r="U219" s="49"/>
      <c r="V219" s="49"/>
      <c r="W219" s="49"/>
      <c r="X219" s="49"/>
      <c r="Y219" s="49"/>
      <c r="Z219" s="49"/>
    </row>
    <row r="220" ht="15.75" customHeight="1">
      <c r="A220" s="47"/>
      <c r="B220" s="47"/>
      <c r="C220" s="47"/>
      <c r="D220" s="48"/>
      <c r="E220" s="48"/>
      <c r="F220" s="48"/>
      <c r="G220" s="47"/>
      <c r="H220" s="49"/>
      <c r="I220" s="49"/>
      <c r="J220" s="49"/>
      <c r="K220" s="49"/>
      <c r="L220" s="49"/>
      <c r="M220" s="49"/>
      <c r="N220" s="49"/>
      <c r="O220" s="49"/>
      <c r="P220" s="49"/>
      <c r="Q220" s="49"/>
      <c r="R220" s="49"/>
      <c r="S220" s="49"/>
      <c r="T220" s="49"/>
      <c r="U220" s="49"/>
      <c r="V220" s="49"/>
      <c r="W220" s="49"/>
      <c r="X220" s="49"/>
      <c r="Y220" s="49"/>
      <c r="Z220" s="49"/>
    </row>
    <row r="221" ht="15.75" customHeight="1">
      <c r="A221" s="47"/>
      <c r="B221" s="47"/>
      <c r="C221" s="47"/>
      <c r="D221" s="48"/>
      <c r="E221" s="48"/>
      <c r="F221" s="48"/>
      <c r="G221" s="47"/>
      <c r="H221" s="49"/>
      <c r="I221" s="49"/>
      <c r="J221" s="49"/>
      <c r="K221" s="49"/>
      <c r="L221" s="49"/>
      <c r="M221" s="49"/>
      <c r="N221" s="49"/>
      <c r="O221" s="49"/>
      <c r="P221" s="49"/>
      <c r="Q221" s="49"/>
      <c r="R221" s="49"/>
      <c r="S221" s="49"/>
      <c r="T221" s="49"/>
      <c r="U221" s="49"/>
      <c r="V221" s="49"/>
      <c r="W221" s="49"/>
      <c r="X221" s="49"/>
      <c r="Y221" s="49"/>
      <c r="Z221" s="49"/>
    </row>
    <row r="222" ht="15.75" customHeight="1">
      <c r="A222" s="47"/>
      <c r="B222" s="47"/>
      <c r="C222" s="47"/>
      <c r="D222" s="48"/>
      <c r="E222" s="48"/>
      <c r="F222" s="48"/>
      <c r="G222" s="47"/>
      <c r="H222" s="49"/>
      <c r="I222" s="49"/>
      <c r="J222" s="49"/>
      <c r="K222" s="49"/>
      <c r="L222" s="49"/>
      <c r="M222" s="49"/>
      <c r="N222" s="49"/>
      <c r="O222" s="49"/>
      <c r="P222" s="49"/>
      <c r="Q222" s="49"/>
      <c r="R222" s="49"/>
      <c r="S222" s="49"/>
      <c r="T222" s="49"/>
      <c r="U222" s="49"/>
      <c r="V222" s="49"/>
      <c r="W222" s="49"/>
      <c r="X222" s="49"/>
      <c r="Y222" s="49"/>
      <c r="Z222" s="49"/>
    </row>
    <row r="223" ht="15.75" customHeight="1">
      <c r="A223" s="47"/>
      <c r="B223" s="47"/>
      <c r="C223" s="47"/>
      <c r="D223" s="48"/>
      <c r="E223" s="48"/>
      <c r="F223" s="48"/>
      <c r="G223" s="47"/>
      <c r="H223" s="49"/>
      <c r="I223" s="49"/>
      <c r="J223" s="49"/>
      <c r="K223" s="49"/>
      <c r="L223" s="49"/>
      <c r="M223" s="49"/>
      <c r="N223" s="49"/>
      <c r="O223" s="49"/>
      <c r="P223" s="49"/>
      <c r="Q223" s="49"/>
      <c r="R223" s="49"/>
      <c r="S223" s="49"/>
      <c r="T223" s="49"/>
      <c r="U223" s="49"/>
      <c r="V223" s="49"/>
      <c r="W223" s="49"/>
      <c r="X223" s="49"/>
      <c r="Y223" s="49"/>
      <c r="Z223" s="49"/>
    </row>
    <row r="224" ht="15.75" customHeight="1">
      <c r="A224" s="47"/>
      <c r="B224" s="47"/>
      <c r="C224" s="47"/>
      <c r="D224" s="48"/>
      <c r="E224" s="48"/>
      <c r="F224" s="48"/>
      <c r="G224" s="47"/>
      <c r="H224" s="49"/>
      <c r="I224" s="49"/>
      <c r="J224" s="49"/>
      <c r="K224" s="49"/>
      <c r="L224" s="49"/>
      <c r="M224" s="49"/>
      <c r="N224" s="49"/>
      <c r="O224" s="49"/>
      <c r="P224" s="49"/>
      <c r="Q224" s="49"/>
      <c r="R224" s="49"/>
      <c r="S224" s="49"/>
      <c r="T224" s="49"/>
      <c r="U224" s="49"/>
      <c r="V224" s="49"/>
      <c r="W224" s="49"/>
      <c r="X224" s="49"/>
      <c r="Y224" s="49"/>
      <c r="Z224" s="49"/>
    </row>
    <row r="225" ht="15.75" customHeight="1">
      <c r="A225" s="47"/>
      <c r="B225" s="47"/>
      <c r="C225" s="47"/>
      <c r="D225" s="48"/>
      <c r="E225" s="48"/>
      <c r="F225" s="48"/>
      <c r="G225" s="47"/>
      <c r="H225" s="49"/>
      <c r="I225" s="49"/>
      <c r="J225" s="49"/>
      <c r="K225" s="49"/>
      <c r="L225" s="49"/>
      <c r="M225" s="49"/>
      <c r="N225" s="49"/>
      <c r="O225" s="49"/>
      <c r="P225" s="49"/>
      <c r="Q225" s="49"/>
      <c r="R225" s="49"/>
      <c r="S225" s="49"/>
      <c r="T225" s="49"/>
      <c r="U225" s="49"/>
      <c r="V225" s="49"/>
      <c r="W225" s="49"/>
      <c r="X225" s="49"/>
      <c r="Y225" s="49"/>
      <c r="Z225" s="49"/>
    </row>
    <row r="226" ht="15.75" customHeight="1">
      <c r="A226" s="47"/>
      <c r="B226" s="47"/>
      <c r="C226" s="47"/>
      <c r="D226" s="48"/>
      <c r="E226" s="48"/>
      <c r="F226" s="48"/>
      <c r="G226" s="47"/>
      <c r="H226" s="49"/>
      <c r="I226" s="49"/>
      <c r="J226" s="49"/>
      <c r="K226" s="49"/>
      <c r="L226" s="49"/>
      <c r="M226" s="49"/>
      <c r="N226" s="49"/>
      <c r="O226" s="49"/>
      <c r="P226" s="49"/>
      <c r="Q226" s="49"/>
      <c r="R226" s="49"/>
      <c r="S226" s="49"/>
      <c r="T226" s="49"/>
      <c r="U226" s="49"/>
      <c r="V226" s="49"/>
      <c r="W226" s="49"/>
      <c r="X226" s="49"/>
      <c r="Y226" s="49"/>
      <c r="Z226" s="49"/>
    </row>
    <row r="227" ht="15.75" customHeight="1">
      <c r="A227" s="47"/>
      <c r="B227" s="47"/>
      <c r="C227" s="47"/>
      <c r="D227" s="48"/>
      <c r="E227" s="48"/>
      <c r="F227" s="48"/>
      <c r="G227" s="47"/>
      <c r="H227" s="49"/>
      <c r="I227" s="49"/>
      <c r="J227" s="49"/>
      <c r="K227" s="49"/>
      <c r="L227" s="49"/>
      <c r="M227" s="49"/>
      <c r="N227" s="49"/>
      <c r="O227" s="49"/>
      <c r="P227" s="49"/>
      <c r="Q227" s="49"/>
      <c r="R227" s="49"/>
      <c r="S227" s="49"/>
      <c r="T227" s="49"/>
      <c r="U227" s="49"/>
      <c r="V227" s="49"/>
      <c r="W227" s="49"/>
      <c r="X227" s="49"/>
      <c r="Y227" s="49"/>
      <c r="Z227" s="49"/>
    </row>
    <row r="228" ht="15.75" customHeight="1">
      <c r="A228" s="47"/>
      <c r="B228" s="47"/>
      <c r="C228" s="47"/>
      <c r="D228" s="48"/>
      <c r="E228" s="48"/>
      <c r="F228" s="48"/>
      <c r="G228" s="47"/>
      <c r="H228" s="49"/>
      <c r="I228" s="49"/>
      <c r="J228" s="49"/>
      <c r="K228" s="49"/>
      <c r="L228" s="49"/>
      <c r="M228" s="49"/>
      <c r="N228" s="49"/>
      <c r="O228" s="49"/>
      <c r="P228" s="49"/>
      <c r="Q228" s="49"/>
      <c r="R228" s="49"/>
      <c r="S228" s="49"/>
      <c r="T228" s="49"/>
      <c r="U228" s="49"/>
      <c r="V228" s="49"/>
      <c r="W228" s="49"/>
      <c r="X228" s="49"/>
      <c r="Y228" s="49"/>
      <c r="Z228" s="49"/>
    </row>
    <row r="229" ht="15.75" customHeight="1">
      <c r="A229" s="47"/>
      <c r="B229" s="47"/>
      <c r="C229" s="47"/>
      <c r="D229" s="48"/>
      <c r="E229" s="48"/>
      <c r="F229" s="48"/>
      <c r="G229" s="47"/>
      <c r="H229" s="49"/>
      <c r="I229" s="49"/>
      <c r="J229" s="49"/>
      <c r="K229" s="49"/>
      <c r="L229" s="49"/>
      <c r="M229" s="49"/>
      <c r="N229" s="49"/>
      <c r="O229" s="49"/>
      <c r="P229" s="49"/>
      <c r="Q229" s="49"/>
      <c r="R229" s="49"/>
      <c r="S229" s="49"/>
      <c r="T229" s="49"/>
      <c r="U229" s="49"/>
      <c r="V229" s="49"/>
      <c r="W229" s="49"/>
      <c r="X229" s="49"/>
      <c r="Y229" s="49"/>
      <c r="Z229" s="49"/>
    </row>
    <row r="230" ht="15.75" customHeight="1">
      <c r="A230" s="47"/>
      <c r="B230" s="47"/>
      <c r="C230" s="47"/>
      <c r="D230" s="48"/>
      <c r="E230" s="48"/>
      <c r="F230" s="48"/>
      <c r="G230" s="47"/>
      <c r="H230" s="49"/>
      <c r="I230" s="49"/>
      <c r="J230" s="49"/>
      <c r="K230" s="49"/>
      <c r="L230" s="49"/>
      <c r="M230" s="49"/>
      <c r="N230" s="49"/>
      <c r="O230" s="49"/>
      <c r="P230" s="49"/>
      <c r="Q230" s="49"/>
      <c r="R230" s="49"/>
      <c r="S230" s="49"/>
      <c r="T230" s="49"/>
      <c r="U230" s="49"/>
      <c r="V230" s="49"/>
      <c r="W230" s="49"/>
      <c r="X230" s="49"/>
      <c r="Y230" s="49"/>
      <c r="Z230" s="49"/>
    </row>
    <row r="231" ht="15.75" customHeight="1">
      <c r="A231" s="47"/>
      <c r="B231" s="47"/>
      <c r="C231" s="47"/>
      <c r="D231" s="48"/>
      <c r="E231" s="48"/>
      <c r="F231" s="48"/>
      <c r="G231" s="47"/>
      <c r="H231" s="49"/>
      <c r="I231" s="49"/>
      <c r="J231" s="49"/>
      <c r="K231" s="49"/>
      <c r="L231" s="49"/>
      <c r="M231" s="49"/>
      <c r="N231" s="49"/>
      <c r="O231" s="49"/>
      <c r="P231" s="49"/>
      <c r="Q231" s="49"/>
      <c r="R231" s="49"/>
      <c r="S231" s="49"/>
      <c r="T231" s="49"/>
      <c r="U231" s="49"/>
      <c r="V231" s="49"/>
      <c r="W231" s="49"/>
      <c r="X231" s="49"/>
      <c r="Y231" s="49"/>
      <c r="Z231" s="49"/>
    </row>
    <row r="232" ht="15.75" customHeight="1">
      <c r="A232" s="47"/>
      <c r="B232" s="47"/>
      <c r="C232" s="47"/>
      <c r="D232" s="48"/>
      <c r="E232" s="48"/>
      <c r="F232" s="48"/>
      <c r="G232" s="47"/>
      <c r="H232" s="49"/>
      <c r="I232" s="49"/>
      <c r="J232" s="49"/>
      <c r="K232" s="49"/>
      <c r="L232" s="49"/>
      <c r="M232" s="49"/>
      <c r="N232" s="49"/>
      <c r="O232" s="49"/>
      <c r="P232" s="49"/>
      <c r="Q232" s="49"/>
      <c r="R232" s="49"/>
      <c r="S232" s="49"/>
      <c r="T232" s="49"/>
      <c r="U232" s="49"/>
      <c r="V232" s="49"/>
      <c r="W232" s="49"/>
      <c r="X232" s="49"/>
      <c r="Y232" s="49"/>
      <c r="Z232" s="49"/>
    </row>
    <row r="233" ht="15.75" customHeight="1">
      <c r="A233" s="47"/>
      <c r="B233" s="47"/>
      <c r="C233" s="47"/>
      <c r="D233" s="48"/>
      <c r="E233" s="48"/>
      <c r="F233" s="48"/>
      <c r="G233" s="47"/>
      <c r="H233" s="49"/>
      <c r="I233" s="49"/>
      <c r="J233" s="49"/>
      <c r="K233" s="49"/>
      <c r="L233" s="49"/>
      <c r="M233" s="49"/>
      <c r="N233" s="49"/>
      <c r="O233" s="49"/>
      <c r="P233" s="49"/>
      <c r="Q233" s="49"/>
      <c r="R233" s="49"/>
      <c r="S233" s="49"/>
      <c r="T233" s="49"/>
      <c r="U233" s="49"/>
      <c r="V233" s="49"/>
      <c r="W233" s="49"/>
      <c r="X233" s="49"/>
      <c r="Y233" s="49"/>
      <c r="Z233" s="49"/>
    </row>
    <row r="234" ht="15.75" customHeight="1">
      <c r="A234" s="47"/>
      <c r="B234" s="47"/>
      <c r="C234" s="47"/>
      <c r="D234" s="48"/>
      <c r="E234" s="48"/>
      <c r="F234" s="48"/>
      <c r="G234" s="47"/>
      <c r="H234" s="49"/>
      <c r="I234" s="49"/>
      <c r="J234" s="49"/>
      <c r="K234" s="49"/>
      <c r="L234" s="49"/>
      <c r="M234" s="49"/>
      <c r="N234" s="49"/>
      <c r="O234" s="49"/>
      <c r="P234" s="49"/>
      <c r="Q234" s="49"/>
      <c r="R234" s="49"/>
      <c r="S234" s="49"/>
      <c r="T234" s="49"/>
      <c r="U234" s="49"/>
      <c r="V234" s="49"/>
      <c r="W234" s="49"/>
      <c r="X234" s="49"/>
      <c r="Y234" s="49"/>
      <c r="Z234" s="49"/>
    </row>
    <row r="235" ht="15.75" customHeight="1">
      <c r="A235" s="47"/>
      <c r="B235" s="47"/>
      <c r="C235" s="47"/>
      <c r="D235" s="48"/>
      <c r="E235" s="48"/>
      <c r="F235" s="48"/>
      <c r="G235" s="47"/>
      <c r="H235" s="49"/>
      <c r="I235" s="49"/>
      <c r="J235" s="49"/>
      <c r="K235" s="49"/>
      <c r="L235" s="49"/>
      <c r="M235" s="49"/>
      <c r="N235" s="49"/>
      <c r="O235" s="49"/>
      <c r="P235" s="49"/>
      <c r="Q235" s="49"/>
      <c r="R235" s="49"/>
      <c r="S235" s="49"/>
      <c r="T235" s="49"/>
      <c r="U235" s="49"/>
      <c r="V235" s="49"/>
      <c r="W235" s="49"/>
      <c r="X235" s="49"/>
      <c r="Y235" s="49"/>
      <c r="Z235" s="49"/>
    </row>
    <row r="236" ht="15.75" customHeight="1">
      <c r="A236" s="47"/>
      <c r="B236" s="47"/>
      <c r="C236" s="47"/>
      <c r="D236" s="48"/>
      <c r="E236" s="48"/>
      <c r="F236" s="48"/>
      <c r="G236" s="47"/>
      <c r="H236" s="49"/>
      <c r="I236" s="49"/>
      <c r="J236" s="49"/>
      <c r="K236" s="49"/>
      <c r="L236" s="49"/>
      <c r="M236" s="49"/>
      <c r="N236" s="49"/>
      <c r="O236" s="49"/>
      <c r="P236" s="49"/>
      <c r="Q236" s="49"/>
      <c r="R236" s="49"/>
      <c r="S236" s="49"/>
      <c r="T236" s="49"/>
      <c r="U236" s="49"/>
      <c r="V236" s="49"/>
      <c r="W236" s="49"/>
      <c r="X236" s="49"/>
      <c r="Y236" s="49"/>
      <c r="Z236" s="49"/>
    </row>
    <row r="237" ht="15.75" customHeight="1">
      <c r="A237" s="47"/>
      <c r="B237" s="47"/>
      <c r="C237" s="47"/>
      <c r="D237" s="48"/>
      <c r="E237" s="48"/>
      <c r="F237" s="48"/>
      <c r="G237" s="47"/>
      <c r="H237" s="49"/>
      <c r="I237" s="49"/>
      <c r="J237" s="49"/>
      <c r="K237" s="49"/>
      <c r="L237" s="49"/>
      <c r="M237" s="49"/>
      <c r="N237" s="49"/>
      <c r="O237" s="49"/>
      <c r="P237" s="49"/>
      <c r="Q237" s="49"/>
      <c r="R237" s="49"/>
      <c r="S237" s="49"/>
      <c r="T237" s="49"/>
      <c r="U237" s="49"/>
      <c r="V237" s="49"/>
      <c r="W237" s="49"/>
      <c r="X237" s="49"/>
      <c r="Y237" s="49"/>
      <c r="Z237" s="49"/>
    </row>
    <row r="238" ht="15.75" customHeight="1">
      <c r="A238" s="47"/>
      <c r="B238" s="47"/>
      <c r="C238" s="47"/>
      <c r="D238" s="48"/>
      <c r="E238" s="48"/>
      <c r="F238" s="48"/>
      <c r="G238" s="47"/>
      <c r="H238" s="49"/>
      <c r="I238" s="49"/>
      <c r="J238" s="49"/>
      <c r="K238" s="49"/>
      <c r="L238" s="49"/>
      <c r="M238" s="49"/>
      <c r="N238" s="49"/>
      <c r="O238" s="49"/>
      <c r="P238" s="49"/>
      <c r="Q238" s="49"/>
      <c r="R238" s="49"/>
      <c r="S238" s="49"/>
      <c r="T238" s="49"/>
      <c r="U238" s="49"/>
      <c r="V238" s="49"/>
      <c r="W238" s="49"/>
      <c r="X238" s="49"/>
      <c r="Y238" s="49"/>
      <c r="Z238" s="49"/>
    </row>
    <row r="239" ht="15.75" customHeight="1">
      <c r="A239" s="47"/>
      <c r="B239" s="47"/>
      <c r="C239" s="47"/>
      <c r="D239" s="48"/>
      <c r="E239" s="48"/>
      <c r="F239" s="48"/>
      <c r="G239" s="47"/>
      <c r="H239" s="49"/>
      <c r="I239" s="49"/>
      <c r="J239" s="49"/>
      <c r="K239" s="49"/>
      <c r="L239" s="49"/>
      <c r="M239" s="49"/>
      <c r="N239" s="49"/>
      <c r="O239" s="49"/>
      <c r="P239" s="49"/>
      <c r="Q239" s="49"/>
      <c r="R239" s="49"/>
      <c r="S239" s="49"/>
      <c r="T239" s="49"/>
      <c r="U239" s="49"/>
      <c r="V239" s="49"/>
      <c r="W239" s="49"/>
      <c r="X239" s="49"/>
      <c r="Y239" s="49"/>
      <c r="Z239" s="49"/>
    </row>
    <row r="240" ht="15.75" customHeight="1">
      <c r="A240" s="47"/>
      <c r="B240" s="47"/>
      <c r="C240" s="47"/>
      <c r="D240" s="48"/>
      <c r="E240" s="48"/>
      <c r="F240" s="48"/>
      <c r="G240" s="47"/>
      <c r="H240" s="49"/>
      <c r="I240" s="49"/>
      <c r="J240" s="49"/>
      <c r="K240" s="49"/>
      <c r="L240" s="49"/>
      <c r="M240" s="49"/>
      <c r="N240" s="49"/>
      <c r="O240" s="49"/>
      <c r="P240" s="49"/>
      <c r="Q240" s="49"/>
      <c r="R240" s="49"/>
      <c r="S240" s="49"/>
      <c r="T240" s="49"/>
      <c r="U240" s="49"/>
      <c r="V240" s="49"/>
      <c r="W240" s="49"/>
      <c r="X240" s="49"/>
      <c r="Y240" s="49"/>
      <c r="Z240" s="49"/>
    </row>
    <row r="241" ht="15.75" customHeight="1">
      <c r="A241" s="47"/>
      <c r="B241" s="47"/>
      <c r="C241" s="47"/>
      <c r="D241" s="48"/>
      <c r="E241" s="48"/>
      <c r="F241" s="48"/>
      <c r="G241" s="47"/>
      <c r="H241" s="49"/>
      <c r="I241" s="49"/>
      <c r="J241" s="49"/>
      <c r="K241" s="49"/>
      <c r="L241" s="49"/>
      <c r="M241" s="49"/>
      <c r="N241" s="49"/>
      <c r="O241" s="49"/>
      <c r="P241" s="49"/>
      <c r="Q241" s="49"/>
      <c r="R241" s="49"/>
      <c r="S241" s="49"/>
      <c r="T241" s="49"/>
      <c r="U241" s="49"/>
      <c r="V241" s="49"/>
      <c r="W241" s="49"/>
      <c r="X241" s="49"/>
      <c r="Y241" s="49"/>
      <c r="Z241" s="49"/>
    </row>
    <row r="242" ht="15.75" customHeight="1">
      <c r="A242" s="47"/>
      <c r="B242" s="47"/>
      <c r="C242" s="47"/>
      <c r="D242" s="48"/>
      <c r="E242" s="48"/>
      <c r="F242" s="48"/>
      <c r="G242" s="47"/>
      <c r="H242" s="49"/>
      <c r="I242" s="49"/>
      <c r="J242" s="49"/>
      <c r="K242" s="49"/>
      <c r="L242" s="49"/>
      <c r="M242" s="49"/>
      <c r="N242" s="49"/>
      <c r="O242" s="49"/>
      <c r="P242" s="49"/>
      <c r="Q242" s="49"/>
      <c r="R242" s="49"/>
      <c r="S242" s="49"/>
      <c r="T242" s="49"/>
      <c r="U242" s="49"/>
      <c r="V242" s="49"/>
      <c r="W242" s="49"/>
      <c r="X242" s="49"/>
      <c r="Y242" s="49"/>
      <c r="Z242" s="49"/>
    </row>
    <row r="243" ht="15.75" customHeight="1">
      <c r="A243" s="47"/>
      <c r="B243" s="47"/>
      <c r="C243" s="47"/>
      <c r="D243" s="48"/>
      <c r="E243" s="48"/>
      <c r="F243" s="48"/>
      <c r="G243" s="47"/>
      <c r="H243" s="49"/>
      <c r="I243" s="49"/>
      <c r="J243" s="49"/>
      <c r="K243" s="49"/>
      <c r="L243" s="49"/>
      <c r="M243" s="49"/>
      <c r="N243" s="49"/>
      <c r="O243" s="49"/>
      <c r="P243" s="49"/>
      <c r="Q243" s="49"/>
      <c r="R243" s="49"/>
      <c r="S243" s="49"/>
      <c r="T243" s="49"/>
      <c r="U243" s="49"/>
      <c r="V243" s="49"/>
      <c r="W243" s="49"/>
      <c r="X243" s="49"/>
      <c r="Y243" s="49"/>
      <c r="Z243" s="49"/>
    </row>
    <row r="244" ht="15.75" customHeight="1">
      <c r="A244" s="47"/>
      <c r="B244" s="47"/>
      <c r="C244" s="47"/>
      <c r="D244" s="48"/>
      <c r="E244" s="48"/>
      <c r="F244" s="48"/>
      <c r="G244" s="47"/>
      <c r="H244" s="49"/>
      <c r="I244" s="49"/>
      <c r="J244" s="49"/>
      <c r="K244" s="49"/>
      <c r="L244" s="49"/>
      <c r="M244" s="49"/>
      <c r="N244" s="49"/>
      <c r="O244" s="49"/>
      <c r="P244" s="49"/>
      <c r="Q244" s="49"/>
      <c r="R244" s="49"/>
      <c r="S244" s="49"/>
      <c r="T244" s="49"/>
      <c r="U244" s="49"/>
      <c r="V244" s="49"/>
      <c r="W244" s="49"/>
      <c r="X244" s="49"/>
      <c r="Y244" s="49"/>
      <c r="Z244" s="49"/>
    </row>
    <row r="245" ht="15.75" customHeight="1">
      <c r="A245" s="47"/>
      <c r="B245" s="47"/>
      <c r="C245" s="47"/>
      <c r="D245" s="48"/>
      <c r="E245" s="48"/>
      <c r="F245" s="48"/>
      <c r="G245" s="47"/>
      <c r="H245" s="49"/>
      <c r="I245" s="49"/>
      <c r="J245" s="49"/>
      <c r="K245" s="49"/>
      <c r="L245" s="49"/>
      <c r="M245" s="49"/>
      <c r="N245" s="49"/>
      <c r="O245" s="49"/>
      <c r="P245" s="49"/>
      <c r="Q245" s="49"/>
      <c r="R245" s="49"/>
      <c r="S245" s="49"/>
      <c r="T245" s="49"/>
      <c r="U245" s="49"/>
      <c r="V245" s="49"/>
      <c r="W245" s="49"/>
      <c r="X245" s="49"/>
      <c r="Y245" s="49"/>
      <c r="Z245" s="49"/>
    </row>
    <row r="246" ht="15.75" customHeight="1">
      <c r="A246" s="47"/>
      <c r="B246" s="47"/>
      <c r="C246" s="47"/>
      <c r="D246" s="48"/>
      <c r="E246" s="48"/>
      <c r="F246" s="48"/>
      <c r="G246" s="47"/>
      <c r="H246" s="49"/>
      <c r="I246" s="49"/>
      <c r="J246" s="49"/>
      <c r="K246" s="49"/>
      <c r="L246" s="49"/>
      <c r="M246" s="49"/>
      <c r="N246" s="49"/>
      <c r="O246" s="49"/>
      <c r="P246" s="49"/>
      <c r="Q246" s="49"/>
      <c r="R246" s="49"/>
      <c r="S246" s="49"/>
      <c r="T246" s="49"/>
      <c r="U246" s="49"/>
      <c r="V246" s="49"/>
      <c r="W246" s="49"/>
      <c r="X246" s="49"/>
      <c r="Y246" s="49"/>
      <c r="Z246" s="49"/>
    </row>
    <row r="247" ht="15.75" customHeight="1">
      <c r="A247" s="47"/>
      <c r="B247" s="47"/>
      <c r="C247" s="47"/>
      <c r="D247" s="48"/>
      <c r="E247" s="48"/>
      <c r="F247" s="48"/>
      <c r="G247" s="47"/>
      <c r="H247" s="49"/>
      <c r="I247" s="49"/>
      <c r="J247" s="49"/>
      <c r="K247" s="49"/>
      <c r="L247" s="49"/>
      <c r="M247" s="49"/>
      <c r="N247" s="49"/>
      <c r="O247" s="49"/>
      <c r="P247" s="49"/>
      <c r="Q247" s="49"/>
      <c r="R247" s="49"/>
      <c r="S247" s="49"/>
      <c r="T247" s="49"/>
      <c r="U247" s="49"/>
      <c r="V247" s="49"/>
      <c r="W247" s="49"/>
      <c r="X247" s="49"/>
      <c r="Y247" s="49"/>
      <c r="Z247" s="49"/>
    </row>
    <row r="248" ht="15.75" customHeight="1">
      <c r="A248" s="47"/>
      <c r="B248" s="47"/>
      <c r="C248" s="47"/>
      <c r="D248" s="48"/>
      <c r="E248" s="48"/>
      <c r="F248" s="48"/>
      <c r="G248" s="47"/>
      <c r="H248" s="49"/>
      <c r="I248" s="49"/>
      <c r="J248" s="49"/>
      <c r="K248" s="49"/>
      <c r="L248" s="49"/>
      <c r="M248" s="49"/>
      <c r="N248" s="49"/>
      <c r="O248" s="49"/>
      <c r="P248" s="49"/>
      <c r="Q248" s="49"/>
      <c r="R248" s="49"/>
      <c r="S248" s="49"/>
      <c r="T248" s="49"/>
      <c r="U248" s="49"/>
      <c r="V248" s="49"/>
      <c r="W248" s="49"/>
      <c r="X248" s="49"/>
      <c r="Y248" s="49"/>
      <c r="Z248" s="49"/>
    </row>
    <row r="249" ht="15.75" customHeight="1">
      <c r="A249" s="47"/>
      <c r="B249" s="47"/>
      <c r="C249" s="47"/>
      <c r="D249" s="48"/>
      <c r="E249" s="48"/>
      <c r="F249" s="48"/>
      <c r="G249" s="47"/>
      <c r="H249" s="49"/>
      <c r="I249" s="49"/>
      <c r="J249" s="49"/>
      <c r="K249" s="49"/>
      <c r="L249" s="49"/>
      <c r="M249" s="49"/>
      <c r="N249" s="49"/>
      <c r="O249" s="49"/>
      <c r="P249" s="49"/>
      <c r="Q249" s="49"/>
      <c r="R249" s="49"/>
      <c r="S249" s="49"/>
      <c r="T249" s="49"/>
      <c r="U249" s="49"/>
      <c r="V249" s="49"/>
      <c r="W249" s="49"/>
      <c r="X249" s="49"/>
      <c r="Y249" s="49"/>
      <c r="Z249" s="49"/>
    </row>
    <row r="250" ht="15.75" customHeight="1">
      <c r="A250" s="47"/>
      <c r="B250" s="47"/>
      <c r="C250" s="47"/>
      <c r="D250" s="48"/>
      <c r="E250" s="48"/>
      <c r="F250" s="48"/>
      <c r="G250" s="47"/>
      <c r="H250" s="49"/>
      <c r="I250" s="49"/>
      <c r="J250" s="49"/>
      <c r="K250" s="49"/>
      <c r="L250" s="49"/>
      <c r="M250" s="49"/>
      <c r="N250" s="49"/>
      <c r="O250" s="49"/>
      <c r="P250" s="49"/>
      <c r="Q250" s="49"/>
      <c r="R250" s="49"/>
      <c r="S250" s="49"/>
      <c r="T250" s="49"/>
      <c r="U250" s="49"/>
      <c r="V250" s="49"/>
      <c r="W250" s="49"/>
      <c r="X250" s="49"/>
      <c r="Y250" s="49"/>
      <c r="Z250" s="49"/>
    </row>
    <row r="251" ht="15.75" customHeight="1">
      <c r="A251" s="47"/>
      <c r="B251" s="47"/>
      <c r="C251" s="47"/>
      <c r="D251" s="48"/>
      <c r="E251" s="48"/>
      <c r="F251" s="48"/>
      <c r="G251" s="47"/>
      <c r="H251" s="49"/>
      <c r="I251" s="49"/>
      <c r="J251" s="49"/>
      <c r="K251" s="49"/>
      <c r="L251" s="49"/>
      <c r="M251" s="49"/>
      <c r="N251" s="49"/>
      <c r="O251" s="49"/>
      <c r="P251" s="49"/>
      <c r="Q251" s="49"/>
      <c r="R251" s="49"/>
      <c r="S251" s="49"/>
      <c r="T251" s="49"/>
      <c r="U251" s="49"/>
      <c r="V251" s="49"/>
      <c r="W251" s="49"/>
      <c r="X251" s="49"/>
      <c r="Y251" s="49"/>
      <c r="Z251" s="49"/>
    </row>
    <row r="252" ht="15.75" customHeight="1">
      <c r="A252" s="47"/>
      <c r="B252" s="47"/>
      <c r="C252" s="47"/>
      <c r="D252" s="48"/>
      <c r="E252" s="48"/>
      <c r="F252" s="48"/>
      <c r="G252" s="47"/>
      <c r="H252" s="49"/>
      <c r="I252" s="49"/>
      <c r="J252" s="49"/>
      <c r="K252" s="49"/>
      <c r="L252" s="49"/>
      <c r="M252" s="49"/>
      <c r="N252" s="49"/>
      <c r="O252" s="49"/>
      <c r="P252" s="49"/>
      <c r="Q252" s="49"/>
      <c r="R252" s="49"/>
      <c r="S252" s="49"/>
      <c r="T252" s="49"/>
      <c r="U252" s="49"/>
      <c r="V252" s="49"/>
      <c r="W252" s="49"/>
      <c r="X252" s="49"/>
      <c r="Y252" s="49"/>
      <c r="Z252" s="49"/>
    </row>
    <row r="253" ht="15.75" customHeight="1">
      <c r="A253" s="47"/>
      <c r="B253" s="47"/>
      <c r="C253" s="47"/>
      <c r="D253" s="48"/>
      <c r="E253" s="48"/>
      <c r="F253" s="48"/>
      <c r="G253" s="47"/>
      <c r="H253" s="49"/>
      <c r="I253" s="49"/>
      <c r="J253" s="49"/>
      <c r="K253" s="49"/>
      <c r="L253" s="49"/>
      <c r="M253" s="49"/>
      <c r="N253" s="49"/>
      <c r="O253" s="49"/>
      <c r="P253" s="49"/>
      <c r="Q253" s="49"/>
      <c r="R253" s="49"/>
      <c r="S253" s="49"/>
      <c r="T253" s="49"/>
      <c r="U253" s="49"/>
      <c r="V253" s="49"/>
      <c r="W253" s="49"/>
      <c r="X253" s="49"/>
      <c r="Y253" s="49"/>
      <c r="Z253" s="49"/>
    </row>
    <row r="254" ht="15.75" customHeight="1">
      <c r="A254" s="47"/>
      <c r="B254" s="47"/>
      <c r="C254" s="47"/>
      <c r="D254" s="48"/>
      <c r="E254" s="48"/>
      <c r="F254" s="48"/>
      <c r="G254" s="47"/>
      <c r="H254" s="49"/>
      <c r="I254" s="49"/>
      <c r="J254" s="49"/>
      <c r="K254" s="49"/>
      <c r="L254" s="49"/>
      <c r="M254" s="49"/>
      <c r="N254" s="49"/>
      <c r="O254" s="49"/>
      <c r="P254" s="49"/>
      <c r="Q254" s="49"/>
      <c r="R254" s="49"/>
      <c r="S254" s="49"/>
      <c r="T254" s="49"/>
      <c r="U254" s="49"/>
      <c r="V254" s="49"/>
      <c r="W254" s="49"/>
      <c r="X254" s="49"/>
      <c r="Y254" s="49"/>
      <c r="Z254" s="49"/>
    </row>
    <row r="255" ht="15.75" customHeight="1">
      <c r="A255" s="47"/>
      <c r="B255" s="47"/>
      <c r="C255" s="47"/>
      <c r="D255" s="48"/>
      <c r="E255" s="48"/>
      <c r="F255" s="48"/>
      <c r="G255" s="47"/>
      <c r="H255" s="49"/>
      <c r="I255" s="49"/>
      <c r="J255" s="49"/>
      <c r="K255" s="49"/>
      <c r="L255" s="49"/>
      <c r="M255" s="49"/>
      <c r="N255" s="49"/>
      <c r="O255" s="49"/>
      <c r="P255" s="49"/>
      <c r="Q255" s="49"/>
      <c r="R255" s="49"/>
      <c r="S255" s="49"/>
      <c r="T255" s="49"/>
      <c r="U255" s="49"/>
      <c r="V255" s="49"/>
      <c r="W255" s="49"/>
      <c r="X255" s="49"/>
      <c r="Y255" s="49"/>
      <c r="Z255" s="49"/>
    </row>
    <row r="256" ht="15.75" customHeight="1">
      <c r="A256" s="47"/>
      <c r="B256" s="47"/>
      <c r="C256" s="47"/>
      <c r="D256" s="48"/>
      <c r="E256" s="48"/>
      <c r="F256" s="48"/>
      <c r="G256" s="47"/>
      <c r="H256" s="49"/>
      <c r="I256" s="49"/>
      <c r="J256" s="49"/>
      <c r="K256" s="49"/>
      <c r="L256" s="49"/>
      <c r="M256" s="49"/>
      <c r="N256" s="49"/>
      <c r="O256" s="49"/>
      <c r="P256" s="49"/>
      <c r="Q256" s="49"/>
      <c r="R256" s="49"/>
      <c r="S256" s="49"/>
      <c r="T256" s="49"/>
      <c r="U256" s="49"/>
      <c r="V256" s="49"/>
      <c r="W256" s="49"/>
      <c r="X256" s="49"/>
      <c r="Y256" s="49"/>
      <c r="Z256" s="49"/>
    </row>
    <row r="257" ht="15.75" customHeight="1">
      <c r="A257" s="47"/>
      <c r="B257" s="47"/>
      <c r="C257" s="47"/>
      <c r="D257" s="48"/>
      <c r="E257" s="48"/>
      <c r="F257" s="48"/>
      <c r="G257" s="47"/>
      <c r="H257" s="49"/>
      <c r="I257" s="49"/>
      <c r="J257" s="49"/>
      <c r="K257" s="49"/>
      <c r="L257" s="49"/>
      <c r="M257" s="49"/>
      <c r="N257" s="49"/>
      <c r="O257" s="49"/>
      <c r="P257" s="49"/>
      <c r="Q257" s="49"/>
      <c r="R257" s="49"/>
      <c r="S257" s="49"/>
      <c r="T257" s="49"/>
      <c r="U257" s="49"/>
      <c r="V257" s="49"/>
      <c r="W257" s="49"/>
      <c r="X257" s="49"/>
      <c r="Y257" s="49"/>
      <c r="Z257" s="49"/>
    </row>
    <row r="258" ht="15.75" customHeight="1">
      <c r="A258" s="47"/>
      <c r="B258" s="47"/>
      <c r="C258" s="47"/>
      <c r="D258" s="48"/>
      <c r="E258" s="48"/>
      <c r="F258" s="48"/>
      <c r="G258" s="47"/>
      <c r="H258" s="49"/>
      <c r="I258" s="49"/>
      <c r="J258" s="49"/>
      <c r="K258" s="49"/>
      <c r="L258" s="49"/>
      <c r="M258" s="49"/>
      <c r="N258" s="49"/>
      <c r="O258" s="49"/>
      <c r="P258" s="49"/>
      <c r="Q258" s="49"/>
      <c r="R258" s="49"/>
      <c r="S258" s="49"/>
      <c r="T258" s="49"/>
      <c r="U258" s="49"/>
      <c r="V258" s="49"/>
      <c r="W258" s="49"/>
      <c r="X258" s="49"/>
      <c r="Y258" s="49"/>
      <c r="Z258" s="49"/>
    </row>
    <row r="259" ht="15.75" customHeight="1">
      <c r="A259" s="47"/>
      <c r="B259" s="47"/>
      <c r="C259" s="47"/>
      <c r="D259" s="48"/>
      <c r="E259" s="48"/>
      <c r="F259" s="48"/>
      <c r="G259" s="47"/>
      <c r="H259" s="49"/>
      <c r="I259" s="49"/>
      <c r="J259" s="49"/>
      <c r="K259" s="49"/>
      <c r="L259" s="49"/>
      <c r="M259" s="49"/>
      <c r="N259" s="49"/>
      <c r="O259" s="49"/>
      <c r="P259" s="49"/>
      <c r="Q259" s="49"/>
      <c r="R259" s="49"/>
      <c r="S259" s="49"/>
      <c r="T259" s="49"/>
      <c r="U259" s="49"/>
      <c r="V259" s="49"/>
      <c r="W259" s="49"/>
      <c r="X259" s="49"/>
      <c r="Y259" s="49"/>
      <c r="Z259" s="49"/>
    </row>
    <row r="260" ht="15.75" customHeight="1">
      <c r="A260" s="47"/>
      <c r="B260" s="47"/>
      <c r="C260" s="47"/>
      <c r="D260" s="48"/>
      <c r="E260" s="48"/>
      <c r="F260" s="48"/>
      <c r="G260" s="47"/>
      <c r="H260" s="49"/>
      <c r="I260" s="49"/>
      <c r="J260" s="49"/>
      <c r="K260" s="49"/>
      <c r="L260" s="49"/>
      <c r="M260" s="49"/>
      <c r="N260" s="49"/>
      <c r="O260" s="49"/>
      <c r="P260" s="49"/>
      <c r="Q260" s="49"/>
      <c r="R260" s="49"/>
      <c r="S260" s="49"/>
      <c r="T260" s="49"/>
      <c r="U260" s="49"/>
      <c r="V260" s="49"/>
      <c r="W260" s="49"/>
      <c r="X260" s="49"/>
      <c r="Y260" s="49"/>
      <c r="Z260" s="49"/>
    </row>
    <row r="261" ht="15.75" customHeight="1">
      <c r="A261" s="47"/>
      <c r="B261" s="47"/>
      <c r="C261" s="47"/>
      <c r="D261" s="48"/>
      <c r="E261" s="48"/>
      <c r="F261" s="48"/>
      <c r="G261" s="47"/>
      <c r="H261" s="49"/>
      <c r="I261" s="49"/>
      <c r="J261" s="49"/>
      <c r="K261" s="49"/>
      <c r="L261" s="49"/>
      <c r="M261" s="49"/>
      <c r="N261" s="49"/>
      <c r="O261" s="49"/>
      <c r="P261" s="49"/>
      <c r="Q261" s="49"/>
      <c r="R261" s="49"/>
      <c r="S261" s="49"/>
      <c r="T261" s="49"/>
      <c r="U261" s="49"/>
      <c r="V261" s="49"/>
      <c r="W261" s="49"/>
      <c r="X261" s="49"/>
      <c r="Y261" s="49"/>
      <c r="Z261" s="49"/>
    </row>
    <row r="262" ht="15.75" customHeight="1">
      <c r="A262" s="47"/>
      <c r="B262" s="47"/>
      <c r="C262" s="47"/>
      <c r="D262" s="48"/>
      <c r="E262" s="48"/>
      <c r="F262" s="48"/>
      <c r="G262" s="47"/>
      <c r="H262" s="49"/>
      <c r="I262" s="49"/>
      <c r="J262" s="49"/>
      <c r="K262" s="49"/>
      <c r="L262" s="49"/>
      <c r="M262" s="49"/>
      <c r="N262" s="49"/>
      <c r="O262" s="49"/>
      <c r="P262" s="49"/>
      <c r="Q262" s="49"/>
      <c r="R262" s="49"/>
      <c r="S262" s="49"/>
      <c r="T262" s="49"/>
      <c r="U262" s="49"/>
      <c r="V262" s="49"/>
      <c r="W262" s="49"/>
      <c r="X262" s="49"/>
      <c r="Y262" s="49"/>
      <c r="Z262" s="49"/>
    </row>
    <row r="263" ht="15.75" customHeight="1">
      <c r="A263" s="47"/>
      <c r="B263" s="47"/>
      <c r="C263" s="47"/>
      <c r="D263" s="48"/>
      <c r="E263" s="48"/>
      <c r="F263" s="48"/>
      <c r="G263" s="47"/>
      <c r="H263" s="49"/>
      <c r="I263" s="49"/>
      <c r="J263" s="49"/>
      <c r="K263" s="49"/>
      <c r="L263" s="49"/>
      <c r="M263" s="49"/>
      <c r="N263" s="49"/>
      <c r="O263" s="49"/>
      <c r="P263" s="49"/>
      <c r="Q263" s="49"/>
      <c r="R263" s="49"/>
      <c r="S263" s="49"/>
      <c r="T263" s="49"/>
      <c r="U263" s="49"/>
      <c r="V263" s="49"/>
      <c r="W263" s="49"/>
      <c r="X263" s="49"/>
      <c r="Y263" s="49"/>
      <c r="Z263" s="49"/>
    </row>
    <row r="264" ht="15.75" customHeight="1">
      <c r="A264" s="47"/>
      <c r="B264" s="47"/>
      <c r="C264" s="47"/>
      <c r="D264" s="48"/>
      <c r="E264" s="48"/>
      <c r="F264" s="48"/>
      <c r="G264" s="47"/>
      <c r="H264" s="49"/>
      <c r="I264" s="49"/>
      <c r="J264" s="49"/>
      <c r="K264" s="49"/>
      <c r="L264" s="49"/>
      <c r="M264" s="49"/>
      <c r="N264" s="49"/>
      <c r="O264" s="49"/>
      <c r="P264" s="49"/>
      <c r="Q264" s="49"/>
      <c r="R264" s="49"/>
      <c r="S264" s="49"/>
      <c r="T264" s="49"/>
      <c r="U264" s="49"/>
      <c r="V264" s="49"/>
      <c r="W264" s="49"/>
      <c r="X264" s="49"/>
      <c r="Y264" s="49"/>
      <c r="Z264" s="49"/>
    </row>
    <row r="265" ht="15.75" customHeight="1">
      <c r="A265" s="47"/>
      <c r="B265" s="47"/>
      <c r="C265" s="47"/>
      <c r="D265" s="48"/>
      <c r="E265" s="48"/>
      <c r="F265" s="48"/>
      <c r="G265" s="47"/>
      <c r="H265" s="49"/>
      <c r="I265" s="49"/>
      <c r="J265" s="49"/>
      <c r="K265" s="49"/>
      <c r="L265" s="49"/>
      <c r="M265" s="49"/>
      <c r="N265" s="49"/>
      <c r="O265" s="49"/>
      <c r="P265" s="49"/>
      <c r="Q265" s="49"/>
      <c r="R265" s="49"/>
      <c r="S265" s="49"/>
      <c r="T265" s="49"/>
      <c r="U265" s="49"/>
      <c r="V265" s="49"/>
      <c r="W265" s="49"/>
      <c r="X265" s="49"/>
      <c r="Y265" s="49"/>
      <c r="Z265" s="49"/>
    </row>
    <row r="266" ht="15.75" customHeight="1">
      <c r="A266" s="49"/>
      <c r="B266" s="49"/>
      <c r="C266" s="49"/>
      <c r="D266" s="122"/>
      <c r="E266" s="122"/>
      <c r="F266" s="122"/>
      <c r="G266" s="49"/>
      <c r="H266" s="49"/>
      <c r="I266" s="49"/>
      <c r="J266" s="49"/>
      <c r="K266" s="49"/>
      <c r="L266" s="49"/>
      <c r="M266" s="49"/>
      <c r="N266" s="49"/>
      <c r="O266" s="49"/>
      <c r="P266" s="49"/>
      <c r="Q266" s="49"/>
      <c r="R266" s="49"/>
      <c r="S266" s="49"/>
      <c r="T266" s="49"/>
      <c r="U266" s="49"/>
      <c r="V266" s="49"/>
      <c r="W266" s="49"/>
      <c r="X266" s="49"/>
      <c r="Y266" s="49"/>
      <c r="Z266" s="49"/>
    </row>
    <row r="267" ht="15.75" customHeight="1">
      <c r="A267" s="49"/>
      <c r="B267" s="49"/>
      <c r="C267" s="49"/>
      <c r="D267" s="122"/>
      <c r="E267" s="122"/>
      <c r="F267" s="122"/>
      <c r="G267" s="49"/>
      <c r="H267" s="49"/>
      <c r="I267" s="49"/>
      <c r="J267" s="49"/>
      <c r="K267" s="49"/>
      <c r="L267" s="49"/>
      <c r="M267" s="49"/>
      <c r="N267" s="49"/>
      <c r="O267" s="49"/>
      <c r="P267" s="49"/>
      <c r="Q267" s="49"/>
      <c r="R267" s="49"/>
      <c r="S267" s="49"/>
      <c r="T267" s="49"/>
      <c r="U267" s="49"/>
      <c r="V267" s="49"/>
      <c r="W267" s="49"/>
      <c r="X267" s="49"/>
      <c r="Y267" s="49"/>
      <c r="Z267" s="49"/>
    </row>
    <row r="268" ht="15.75" customHeight="1">
      <c r="A268" s="49"/>
      <c r="B268" s="49"/>
      <c r="C268" s="49"/>
      <c r="D268" s="122"/>
      <c r="E268" s="122"/>
      <c r="F268" s="122"/>
      <c r="G268" s="49"/>
      <c r="H268" s="49"/>
      <c r="I268" s="49"/>
      <c r="J268" s="49"/>
      <c r="K268" s="49"/>
      <c r="L268" s="49"/>
      <c r="M268" s="49"/>
      <c r="N268" s="49"/>
      <c r="O268" s="49"/>
      <c r="P268" s="49"/>
      <c r="Q268" s="49"/>
      <c r="R268" s="49"/>
      <c r="S268" s="49"/>
      <c r="T268" s="49"/>
      <c r="U268" s="49"/>
      <c r="V268" s="49"/>
      <c r="W268" s="49"/>
      <c r="X268" s="49"/>
      <c r="Y268" s="49"/>
      <c r="Z268" s="49"/>
    </row>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9:BI137"/>
  <sheetViews>
    <sheetView showGridLines="0" workbookViewId="0">
      <pane ySplit="7.0" topLeftCell="A8" activePane="bottomLeft" state="frozen"/>
      <selection activeCell="B9" sqref="B9" pane="bottomLeft"/>
    </sheetView>
  </sheetViews>
  <sheetFormatPr customHeight="1" defaultColWidth="12.63" defaultRowHeight="15.0"/>
  <cols>
    <col min="1" max="1" customWidth="true" width="6.63"/>
    <col min="2" max="2" customWidth="true" width="9.5"/>
    <col min="3" max="3" customWidth="true" width="7.25"/>
    <col min="4" max="4" customWidth="true" width="7.63"/>
    <col min="5" max="5" customWidth="true" width="11.38"/>
    <col min="6" max="6" customWidth="true" width="8.13"/>
    <col min="7" max="7" customWidth="true" width="16.13"/>
    <col min="8" max="8" customWidth="true" width="9.5"/>
    <col min="9" max="9" customWidth="true" width="13.13"/>
    <col min="10" max="10" customWidth="true" width="12.38"/>
    <col min="11" max="11" customWidth="true" width="14.5"/>
    <col min="12" max="12" customWidth="true" width="16.38"/>
    <col min="13" max="13" customWidth="true" width="6.88"/>
    <col min="14" max="14" customWidth="true" width="8.88"/>
    <col min="15" max="15" customWidth="true" width="10.88"/>
    <col min="16" max="16" customWidth="true" width="10.75"/>
    <col min="17" max="17" customWidth="true" width="14.0"/>
    <col min="18" max="18" customWidth="true" width="11.5"/>
    <col min="19" max="19" customWidth="true" width="12.5"/>
    <col min="20" max="20" customWidth="true" width="12.0"/>
    <col min="21" max="21" customWidth="true" width="11.13"/>
    <col min="22" max="22" customWidth="true" width="12.38"/>
    <col min="23" max="23" customWidth="true" width="14.0"/>
    <col min="24" max="26" customWidth="true" width="18.25"/>
    <col min="27" max="27" customWidth="true" width="20.25"/>
    <col min="28" max="28" customWidth="true" width="11.5"/>
    <col min="29" max="29" customWidth="true" width="11.38"/>
    <col min="30" max="30" customWidth="true" width="11.75"/>
    <col min="31" max="31" customWidth="true" width="12.0"/>
    <col min="32" max="32" customWidth="true" width="12.13"/>
    <col min="33" max="33" customWidth="true" width="16.13"/>
    <col min="34" max="34" customWidth="true" width="12.0"/>
    <col min="35" max="35" customWidth="true" width="18.25"/>
    <col min="36" max="36" customWidth="true" width="13.5"/>
    <col min="37" max="37" customWidth="true" width="12.0"/>
    <col min="38" max="38" customWidth="true" width="11.75"/>
    <col min="39" max="39" customWidth="true" width="13.25"/>
    <col min="40" max="40" customWidth="true" width="12.13"/>
    <col min="41" max="41" customWidth="true" width="11.63"/>
    <col min="42" max="42" customWidth="true" width="16.88"/>
    <col min="43" max="43" customWidth="true" width="17.38"/>
    <col min="44" max="44" customWidth="true" width="16.38"/>
    <col min="45" max="45" customWidth="true" width="15.13"/>
    <col min="46" max="46" customWidth="true" width="11.13"/>
    <col min="47" max="47" customWidth="true" width="12.13"/>
    <col min="48" max="48" customWidth="true" width="12.75"/>
    <col min="49" max="49" customWidth="true" width="12.25"/>
    <col min="50" max="50" customWidth="true" width="16.25"/>
    <col min="51" max="51" customWidth="true" width="14.0"/>
    <col min="52" max="52" customWidth="true" width="12.0"/>
    <col min="53" max="53" customWidth="true" width="15.75"/>
    <col min="54" max="54" customWidth="true" width="14.38"/>
    <col min="55" max="55" customWidth="true" width="15.88"/>
    <col min="56" max="56" customWidth="true" width="15.13"/>
    <col min="57" max="57" customWidth="true" width="14.0"/>
    <col min="58" max="59" customWidth="true" width="12.88"/>
    <col min="60" max="60" customWidth="true" width="16.5"/>
    <col min="61" max="61" customWidth="true" width="14.63"/>
  </cols>
  <sheetData>
    <row r="1">
      <c r="A1" s="123" t="s">
        <v>110</v>
      </c>
      <c r="E1" s="124"/>
      <c r="F1" s="125"/>
      <c r="G1" s="126"/>
      <c r="H1" s="127"/>
      <c r="I1" s="127"/>
      <c r="J1" s="127"/>
      <c r="K1" s="127"/>
      <c r="L1" s="127"/>
      <c r="M1" s="127"/>
      <c r="N1" s="127"/>
      <c r="O1" s="128"/>
      <c r="P1" s="127"/>
      <c r="Q1" s="127"/>
      <c r="R1" s="127"/>
      <c r="S1" s="127"/>
      <c r="T1" s="127"/>
      <c r="U1" s="127"/>
      <c r="V1" s="127"/>
      <c r="W1" s="129"/>
      <c r="X1" s="130"/>
      <c r="Y1" s="131"/>
      <c r="Z1" s="132"/>
      <c r="AA1" s="133"/>
      <c r="AB1" s="134"/>
      <c r="AC1" s="127"/>
      <c r="AD1" s="127"/>
      <c r="AE1" s="127"/>
      <c r="AF1" s="127"/>
      <c r="AG1" s="127"/>
      <c r="AH1" s="127"/>
      <c r="AI1" s="127"/>
      <c r="AJ1" s="127"/>
      <c r="AK1" s="127"/>
      <c r="AL1" s="127"/>
      <c r="AM1" s="127"/>
      <c r="AN1" s="127"/>
      <c r="AO1" s="127"/>
      <c r="AP1" s="127"/>
      <c r="AQ1" s="127"/>
      <c r="AR1" s="127"/>
      <c r="AS1" s="127"/>
      <c r="AT1" s="127"/>
      <c r="AU1" s="127"/>
      <c r="AV1" s="127"/>
      <c r="AW1" s="127"/>
      <c r="AX1" s="127"/>
      <c r="AY1" s="127"/>
      <c r="AZ1" s="127"/>
      <c r="BA1" s="127"/>
      <c r="BB1" s="127"/>
      <c r="BC1" s="135"/>
      <c r="BD1" s="136"/>
      <c r="BE1" s="128"/>
      <c r="BF1" s="127"/>
      <c r="BG1" s="127"/>
      <c r="BH1" s="135"/>
      <c r="BI1" s="137"/>
    </row>
    <row r="2" ht="15.75" customHeight="1">
      <c r="A2" s="138" t="str">
        <f>Summary!C26</f>
        <v>Detailed view of your order level earnings, deductions, pay-outs and UTRs for settled orders. </v>
      </c>
      <c r="B2" s="139"/>
      <c r="C2" s="140"/>
      <c r="D2" s="141"/>
      <c r="E2" s="142"/>
      <c r="F2" s="139"/>
      <c r="G2" s="143"/>
      <c r="H2" s="141"/>
      <c r="I2" s="141"/>
      <c r="J2" s="141"/>
      <c r="K2" s="141"/>
      <c r="L2" s="141"/>
      <c r="M2" s="141"/>
      <c r="N2" s="141"/>
      <c r="O2" s="144"/>
      <c r="P2" s="141"/>
      <c r="Q2" s="141"/>
      <c r="R2" s="141"/>
      <c r="S2" s="141"/>
      <c r="T2" s="141"/>
      <c r="U2" s="141"/>
      <c r="V2" s="141"/>
      <c r="W2" s="141"/>
      <c r="X2" s="145"/>
      <c r="Y2" s="141"/>
      <c r="Z2" s="141"/>
      <c r="AA2" s="146"/>
      <c r="AB2" s="141"/>
      <c r="AC2" s="141"/>
      <c r="AD2" s="141"/>
      <c r="AE2" s="141"/>
      <c r="AF2" s="141"/>
      <c r="AG2" s="141"/>
      <c r="AH2" s="141"/>
      <c r="AI2" s="141"/>
      <c r="AJ2" s="141"/>
      <c r="AK2" s="141"/>
      <c r="AL2" s="141"/>
      <c r="AM2" s="141"/>
      <c r="AN2" s="141"/>
      <c r="AO2" s="141"/>
      <c r="AP2" s="141"/>
      <c r="AQ2" s="141"/>
      <c r="AR2" s="141"/>
      <c r="AS2" s="141"/>
      <c r="AT2" s="141"/>
      <c r="AU2" s="141"/>
      <c r="AV2" s="141"/>
      <c r="AW2" s="141"/>
      <c r="AX2" s="141"/>
      <c r="AY2" s="141"/>
      <c r="AZ2" s="141"/>
      <c r="BA2" s="141"/>
      <c r="BB2" s="141"/>
      <c r="BC2" s="147"/>
      <c r="BD2" s="148"/>
      <c r="BE2" s="144"/>
      <c r="BF2" s="141"/>
      <c r="BG2" s="141"/>
      <c r="BH2" s="147"/>
      <c r="BI2" s="149"/>
    </row>
    <row r="3" ht="15.75" customHeight="1">
      <c r="A3" s="150" t="s">
        <v>111</v>
      </c>
      <c r="B3" s="139"/>
      <c r="C3" s="140"/>
      <c r="D3" s="141"/>
      <c r="E3" s="142"/>
      <c r="F3" s="139"/>
      <c r="G3" s="143"/>
      <c r="H3" s="141"/>
      <c r="I3" s="141"/>
      <c r="J3" s="141"/>
      <c r="K3" s="141"/>
      <c r="L3" s="141"/>
      <c r="M3" s="141"/>
      <c r="N3" s="141"/>
      <c r="O3" s="144"/>
      <c r="P3" s="141"/>
      <c r="Q3" s="141"/>
      <c r="R3" s="141"/>
      <c r="S3" s="141"/>
      <c r="T3" s="141"/>
      <c r="U3" s="141"/>
      <c r="V3" s="141"/>
      <c r="W3" s="141"/>
      <c r="X3" s="145"/>
      <c r="Y3" s="141"/>
      <c r="Z3" s="141"/>
      <c r="AA3" s="146"/>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7"/>
      <c r="BD3" s="148"/>
      <c r="BE3" s="144"/>
      <c r="BF3" s="141"/>
      <c r="BG3" s="141"/>
      <c r="BH3" s="147"/>
      <c r="BI3" s="149"/>
    </row>
    <row r="4" ht="15.75" customHeight="1">
      <c r="A4" s="151"/>
      <c r="B4" s="139"/>
      <c r="C4" s="140"/>
      <c r="D4" s="141"/>
      <c r="E4" s="142"/>
      <c r="F4" s="139"/>
      <c r="G4" s="143"/>
      <c r="H4" s="141"/>
      <c r="I4" s="141"/>
      <c r="J4" s="141"/>
      <c r="K4" s="141"/>
      <c r="L4" s="141"/>
      <c r="M4" s="141"/>
      <c r="N4" s="141"/>
      <c r="O4" s="144"/>
      <c r="P4" s="141"/>
      <c r="Q4" s="141"/>
      <c r="R4" s="141"/>
      <c r="S4" s="141"/>
      <c r="T4" s="141"/>
      <c r="U4" s="141"/>
      <c r="V4" s="141"/>
      <c r="W4" s="141"/>
      <c r="X4" s="145"/>
      <c r="Y4" s="141"/>
      <c r="Z4" s="141"/>
      <c r="AA4" s="146"/>
      <c r="AB4" s="141"/>
      <c r="AC4" s="141"/>
      <c r="AD4" s="141"/>
      <c r="AE4" s="141"/>
      <c r="AF4" s="141"/>
      <c r="AG4" s="141"/>
      <c r="AH4" s="141"/>
      <c r="AI4" s="141"/>
      <c r="AJ4" s="141"/>
      <c r="AK4" s="141"/>
      <c r="AL4" s="141"/>
      <c r="AM4" s="141"/>
      <c r="AN4" s="141"/>
      <c r="AO4" s="141"/>
      <c r="AP4" s="141"/>
      <c r="AQ4" s="141"/>
      <c r="AR4" s="141"/>
      <c r="AS4" s="141"/>
      <c r="AT4" s="141"/>
      <c r="AU4" s="141"/>
      <c r="AV4" s="141"/>
      <c r="AW4" s="141"/>
      <c r="AX4" s="141"/>
      <c r="AY4" s="141"/>
      <c r="AZ4" s="141"/>
      <c r="BA4" s="141"/>
      <c r="BB4" s="141"/>
      <c r="BC4" s="147"/>
      <c r="BD4" s="148"/>
      <c r="BE4" s="144"/>
      <c r="BF4" s="141"/>
      <c r="BG4" s="141"/>
      <c r="BH4" s="147"/>
      <c r="BI4" s="149"/>
    </row>
    <row r="5" ht="15.75" customHeight="1">
      <c r="A5" s="152" t="s">
        <v>112</v>
      </c>
      <c r="B5" s="153"/>
      <c r="C5" s="153"/>
      <c r="D5" s="153"/>
      <c r="E5" s="153"/>
      <c r="F5" s="153"/>
      <c r="G5" s="154"/>
      <c r="H5" s="153"/>
      <c r="I5" s="153"/>
      <c r="J5" s="153"/>
      <c r="K5" s="153"/>
      <c r="L5" s="153"/>
      <c r="M5" s="153"/>
      <c r="N5" s="153"/>
      <c r="O5" s="155" t="s">
        <v>113</v>
      </c>
      <c r="P5" s="156"/>
      <c r="Q5" s="156"/>
      <c r="R5" s="156"/>
      <c r="S5" s="156"/>
      <c r="T5" s="156"/>
      <c r="U5" s="156"/>
      <c r="V5" s="156"/>
      <c r="W5" s="157"/>
      <c r="X5" s="158" t="s">
        <v>114</v>
      </c>
      <c r="Y5" s="159"/>
      <c r="Z5" s="159"/>
      <c r="AA5" s="160"/>
      <c r="AB5" s="158" t="s">
        <v>115</v>
      </c>
      <c r="AC5" s="159"/>
      <c r="AD5" s="159"/>
      <c r="AE5" s="159"/>
      <c r="AF5" s="159"/>
      <c r="AG5" s="159"/>
      <c r="AH5" s="159"/>
      <c r="AI5" s="159"/>
      <c r="AJ5" s="159"/>
      <c r="AK5" s="159"/>
      <c r="AL5" s="159"/>
      <c r="AM5" s="159"/>
      <c r="AN5" s="159"/>
      <c r="AO5" s="159"/>
      <c r="AP5" s="159"/>
      <c r="AQ5" s="159"/>
      <c r="AR5" s="159"/>
      <c r="AS5" s="159"/>
      <c r="AT5" s="159"/>
      <c r="AU5" s="159"/>
      <c r="AV5" s="159"/>
      <c r="AW5" s="159"/>
      <c r="AX5" s="159"/>
      <c r="AY5" s="159"/>
      <c r="AZ5" s="159"/>
      <c r="BA5" s="159"/>
      <c r="BB5" s="159"/>
      <c r="BC5" s="159"/>
      <c r="BD5" s="161"/>
      <c r="BE5" s="162" t="s">
        <v>116</v>
      </c>
      <c r="BF5" s="156"/>
      <c r="BG5" s="156"/>
      <c r="BH5" s="163"/>
      <c r="BI5" s="164"/>
    </row>
    <row r="6" ht="15.75" customHeight="1">
      <c r="A6" s="165"/>
      <c r="B6" s="166"/>
      <c r="C6" s="166"/>
      <c r="D6" s="166"/>
      <c r="E6" s="166"/>
      <c r="F6" s="166"/>
      <c r="G6" s="167"/>
      <c r="H6" s="166"/>
      <c r="I6" s="166"/>
      <c r="J6" s="166"/>
      <c r="K6" s="166"/>
      <c r="L6" s="166"/>
      <c r="M6" s="166"/>
      <c r="N6" s="166"/>
      <c r="O6" s="168" t="s">
        <v>117</v>
      </c>
      <c r="P6" s="169" t="s">
        <v>118</v>
      </c>
      <c r="Q6" s="169" t="s">
        <v>119</v>
      </c>
      <c r="R6" s="169" t="s">
        <v>120</v>
      </c>
      <c r="S6" s="169" t="s">
        <v>121</v>
      </c>
      <c r="T6" s="169" t="s">
        <v>122</v>
      </c>
      <c r="U6" s="169" t="s">
        <v>123</v>
      </c>
      <c r="V6" s="169" t="s">
        <v>124</v>
      </c>
      <c r="W6" s="170" t="s">
        <v>125</v>
      </c>
      <c r="X6" s="171" t="s">
        <v>126</v>
      </c>
      <c r="Y6" s="172" t="s">
        <v>127</v>
      </c>
      <c r="Z6" s="172" t="s">
        <v>128</v>
      </c>
      <c r="AA6" s="173" t="s">
        <v>129</v>
      </c>
      <c r="AB6" s="174" t="s">
        <v>130</v>
      </c>
      <c r="AC6" s="175" t="s">
        <v>131</v>
      </c>
      <c r="AD6" s="175" t="s">
        <v>132</v>
      </c>
      <c r="AE6" s="175" t="s">
        <v>133</v>
      </c>
      <c r="AF6" s="175" t="s">
        <v>134</v>
      </c>
      <c r="AG6" s="175" t="s">
        <v>135</v>
      </c>
      <c r="AH6" s="175" t="s">
        <v>136</v>
      </c>
      <c r="AI6" s="176" t="s">
        <v>137</v>
      </c>
      <c r="AJ6" s="175" t="s">
        <v>138</v>
      </c>
      <c r="AK6" s="175" t="s">
        <v>139</v>
      </c>
      <c r="AL6" s="175" t="s">
        <v>140</v>
      </c>
      <c r="AM6" s="175" t="s">
        <v>141</v>
      </c>
      <c r="AN6" s="175" t="s">
        <v>142</v>
      </c>
      <c r="AO6" s="175" t="s">
        <v>143</v>
      </c>
      <c r="AP6" s="175" t="s">
        <v>144</v>
      </c>
      <c r="AQ6" s="169" t="s">
        <v>145</v>
      </c>
      <c r="AR6" s="177" t="s">
        <v>146</v>
      </c>
      <c r="AS6" s="169" t="s">
        <v>147</v>
      </c>
      <c r="AT6" s="169" t="s">
        <v>148</v>
      </c>
      <c r="AU6" s="175" t="s">
        <v>149</v>
      </c>
      <c r="AV6" s="175" t="s">
        <v>150</v>
      </c>
      <c r="AW6" s="175" t="s">
        <v>151</v>
      </c>
      <c r="AX6" s="178" t="s">
        <v>152</v>
      </c>
      <c r="AY6" s="178" t="s">
        <v>153</v>
      </c>
      <c r="AZ6" s="178" t="s">
        <v>154</v>
      </c>
      <c r="BA6" s="179" t="s">
        <v>155</v>
      </c>
      <c r="BB6" s="179" t="s">
        <v>156</v>
      </c>
      <c r="BC6" s="179" t="s">
        <v>157</v>
      </c>
      <c r="BD6" s="180" t="s">
        <v>158</v>
      </c>
      <c r="BE6" s="178" t="s">
        <v>159</v>
      </c>
      <c r="BF6" s="178" t="s">
        <v>160</v>
      </c>
      <c r="BG6" s="178" t="s">
        <v>161</v>
      </c>
      <c r="BH6" s="178" t="s">
        <v>162</v>
      </c>
      <c r="BI6" s="181"/>
    </row>
    <row r="7">
      <c r="A7" s="182" t="s">
        <v>31</v>
      </c>
      <c r="B7" s="183" t="s">
        <v>163</v>
      </c>
      <c r="C7" s="183" t="s">
        <v>164</v>
      </c>
      <c r="D7" s="184" t="s">
        <v>165</v>
      </c>
      <c r="E7" s="185" t="s">
        <v>166</v>
      </c>
      <c r="F7" s="183" t="s">
        <v>167</v>
      </c>
      <c r="G7" s="183" t="s">
        <v>168</v>
      </c>
      <c r="H7" s="184" t="s">
        <v>169</v>
      </c>
      <c r="I7" s="184" t="s">
        <v>170</v>
      </c>
      <c r="J7" s="184" t="s">
        <v>171</v>
      </c>
      <c r="K7" s="184" t="s">
        <v>172</v>
      </c>
      <c r="L7" s="184" t="s">
        <v>173</v>
      </c>
      <c r="M7" s="184" t="s">
        <v>174</v>
      </c>
      <c r="N7" s="186" t="s">
        <v>175</v>
      </c>
      <c r="O7" s="187" t="s">
        <v>176</v>
      </c>
      <c r="P7" s="184" t="s">
        <v>177</v>
      </c>
      <c r="Q7" s="184" t="s">
        <v>178</v>
      </c>
      <c r="R7" s="184" t="s">
        <v>179</v>
      </c>
      <c r="S7" s="184" t="s">
        <v>180</v>
      </c>
      <c r="T7" s="188" t="s">
        <v>181</v>
      </c>
      <c r="U7" s="184" t="s">
        <v>182</v>
      </c>
      <c r="V7" s="184" t="s">
        <v>183</v>
      </c>
      <c r="W7" s="189" t="s">
        <v>184</v>
      </c>
      <c r="X7" s="190" t="s">
        <v>185</v>
      </c>
      <c r="Y7" s="191" t="s">
        <v>53</v>
      </c>
      <c r="Z7" s="192" t="s">
        <v>55</v>
      </c>
      <c r="AA7" s="193" t="s">
        <v>186</v>
      </c>
      <c r="AB7" s="194" t="s">
        <v>187</v>
      </c>
      <c r="AC7" s="195" t="s">
        <v>188</v>
      </c>
      <c r="AD7" s="184" t="s">
        <v>189</v>
      </c>
      <c r="AE7" s="184" t="s">
        <v>190</v>
      </c>
      <c r="AF7" s="184" t="s">
        <v>191</v>
      </c>
      <c r="AG7" s="184" t="s">
        <v>192</v>
      </c>
      <c r="AH7" s="184" t="s">
        <v>193</v>
      </c>
      <c r="AI7" s="196" t="s">
        <v>194</v>
      </c>
      <c r="AJ7" s="195" t="s">
        <v>195</v>
      </c>
      <c r="AK7" s="184" t="s">
        <v>196</v>
      </c>
      <c r="AL7" s="184" t="s">
        <v>197</v>
      </c>
      <c r="AM7" s="184" t="s">
        <v>198</v>
      </c>
      <c r="AN7" s="184" t="s">
        <v>199</v>
      </c>
      <c r="AO7" s="184" t="s">
        <v>200</v>
      </c>
      <c r="AP7" s="184" t="s">
        <v>201</v>
      </c>
      <c r="AQ7" s="184" t="s">
        <v>202</v>
      </c>
      <c r="AR7" s="197" t="s">
        <v>203</v>
      </c>
      <c r="AS7" s="184" t="s">
        <v>204</v>
      </c>
      <c r="AT7" s="184" t="s">
        <v>205</v>
      </c>
      <c r="AU7" s="184" t="s">
        <v>206</v>
      </c>
      <c r="AV7" s="184" t="s">
        <v>207</v>
      </c>
      <c r="AW7" s="184" t="s">
        <v>208</v>
      </c>
      <c r="AX7" s="184" t="s">
        <v>209</v>
      </c>
      <c r="AY7" s="184" t="s">
        <v>210</v>
      </c>
      <c r="AZ7" s="184" t="s">
        <v>211</v>
      </c>
      <c r="BA7" s="198" t="s">
        <v>212</v>
      </c>
      <c r="BB7" s="198" t="s">
        <v>213</v>
      </c>
      <c r="BC7" s="198" t="s">
        <v>214</v>
      </c>
      <c r="BD7" s="199" t="s">
        <v>215</v>
      </c>
      <c r="BE7" s="200" t="s">
        <v>216</v>
      </c>
      <c r="BF7" s="201" t="s">
        <v>217</v>
      </c>
      <c r="BG7" s="201" t="s">
        <v>15</v>
      </c>
      <c r="BH7" s="202" t="s">
        <v>218</v>
      </c>
      <c r="BI7" s="203" t="s">
        <v>219</v>
      </c>
    </row>
    <row r="8" ht="15.75" hidden="1" customHeight="1">
      <c r="A8" s="204" t="s">
        <v>220</v>
      </c>
      <c r="B8" s="204" t="s">
        <v>220</v>
      </c>
      <c r="C8" s="204" t="s">
        <v>220</v>
      </c>
      <c r="D8" s="204"/>
      <c r="E8" s="204"/>
      <c r="F8" s="204"/>
      <c r="G8" s="205"/>
      <c r="H8" s="204"/>
      <c r="I8" s="204"/>
      <c r="J8" s="204"/>
      <c r="K8" s="204"/>
      <c r="L8" s="204"/>
      <c r="M8" s="204"/>
      <c r="N8" s="204"/>
      <c r="O8" s="204"/>
      <c r="P8" s="204"/>
      <c r="Q8" s="204"/>
      <c r="R8" s="204"/>
      <c r="S8" s="204"/>
      <c r="T8" s="204"/>
      <c r="U8" s="204"/>
      <c r="V8" s="204"/>
      <c r="W8" s="204"/>
      <c r="X8" s="204"/>
      <c r="Y8" s="204"/>
      <c r="Z8" s="204"/>
      <c r="AA8" s="204"/>
      <c r="AB8" s="204"/>
      <c r="AC8" s="204"/>
      <c r="AD8" s="204"/>
      <c r="AE8" s="204"/>
      <c r="AF8" s="204"/>
      <c r="AG8" s="204"/>
      <c r="AH8" s="204"/>
      <c r="AI8" s="204"/>
      <c r="AJ8" s="204"/>
      <c r="AK8" s="204"/>
      <c r="AL8" s="204"/>
      <c r="AM8" s="204"/>
      <c r="AN8" s="204"/>
      <c r="AO8" s="204"/>
      <c r="AP8" s="206"/>
      <c r="AQ8" s="206"/>
      <c r="AR8" s="206"/>
      <c r="AS8" s="204"/>
      <c r="AT8" s="204"/>
      <c r="AU8" s="204"/>
      <c r="AV8" s="204"/>
      <c r="AW8" s="204"/>
      <c r="AX8" s="204"/>
      <c r="AY8" s="204"/>
      <c r="AZ8" s="204"/>
      <c r="BA8" s="204"/>
      <c r="BB8" s="206"/>
      <c r="BC8" s="204"/>
      <c r="BD8" s="204"/>
      <c r="BE8" s="204"/>
      <c r="BF8" s="204"/>
      <c r="BG8" s="206"/>
      <c r="BH8" s="204"/>
      <c r="BI8" s="207"/>
    </row>
    <row r="9">
      <c r="A9" s="248" t="inlineStr">
        <is>
          <t>1</t>
        </is>
      </c>
      <c r="B9" s="248" t="inlineStr">
        <is>
          <t>7552660112</t>
        </is>
      </c>
      <c r="C9" s="248" t="inlineStr">
        <is>
          <t>2025-12-08 12:42:40</t>
        </is>
      </c>
      <c r="D9" s="248" t="inlineStr">
        <is>
          <t>50</t>
        </is>
      </c>
      <c r="E9" s="248" t="inlineStr">
        <is>
          <t>Bawarchi Baba- By Posh Foods</t>
        </is>
      </c>
      <c r="F9" s="248" t="inlineStr">
        <is>
          <t>20415473</t>
        </is>
      </c>
      <c r="G9" s="248" t="inlineStr">
        <is>
          <t>NA</t>
        </is>
      </c>
      <c r="H9" s="248" t="inlineStr">
        <is>
          <t>ONLINE</t>
        </is>
      </c>
      <c r="I9" s="248" t="inlineStr">
        <is>
          <t>DELIVERED</t>
        </is>
      </c>
      <c r="J9" s="248" t="inlineStr">
        <is>
          <t>NA</t>
        </is>
      </c>
      <c r="K9" s="248" t="inlineStr">
        <is>
          <t>NA</t>
        </is>
      </c>
      <c r="L9" s="248" t="inlineStr">
        <is>
          <t>NA</t>
        </is>
      </c>
      <c r="M9" s="248" t="inlineStr">
        <is>
          <t>O2</t>
        </is>
      </c>
      <c r="N9" s="248" t="inlineStr">
        <is>
          <t>9</t>
        </is>
      </c>
      <c r="O9" s="248" t="n">
        <v>751.0</v>
      </c>
      <c r="P9" s="248" t="n">
        <v>0.0</v>
      </c>
      <c r="Q9" s="248" t="n">
        <v>0.0</v>
      </c>
      <c r="R9" s="248" t="n">
        <v>0.0</v>
      </c>
      <c r="S9" s="248" t="n">
        <v>0.0</v>
      </c>
      <c r="T9" s="248" t="n">
        <v>0.0</v>
      </c>
      <c r="U9" s="248" t="n">
        <v>0.0</v>
      </c>
      <c r="V9" s="248" t="n">
        <v>37.55</v>
      </c>
      <c r="W9" s="248" t="n">
        <v>788.55</v>
      </c>
      <c r="X9" s="248" t="n">
        <v>751.0</v>
      </c>
      <c r="Y9" s="248" t="n">
        <v>0.0</v>
      </c>
      <c r="Z9" s="248" t="n">
        <v>0.0</v>
      </c>
      <c r="AA9" s="248" t="n">
        <v>751.0</v>
      </c>
      <c r="AB9" s="248" t="n">
        <v>23.0</v>
      </c>
      <c r="AC9" s="248" t="n">
        <v>172.73</v>
      </c>
      <c r="AD9" s="248" t="n">
        <v>1.49</v>
      </c>
      <c r="AE9" s="248" t="n">
        <v>0.0</v>
      </c>
      <c r="AF9" s="248" t="n">
        <v>0.0</v>
      </c>
      <c r="AG9" s="248" t="n">
        <v>0.0</v>
      </c>
      <c r="AH9" s="248" t="n">
        <v>14.51</v>
      </c>
      <c r="AI9" s="248" t="n">
        <v>187.24</v>
      </c>
      <c r="AJ9" s="248" t="n">
        <v>33.7</v>
      </c>
      <c r="AK9" s="248" t="n">
        <v>0.0</v>
      </c>
      <c r="AL9" s="248" t="n">
        <v>751.0</v>
      </c>
      <c r="AM9" s="248" t="n">
        <v>0.0</v>
      </c>
      <c r="AN9" s="248" t="n">
        <v>0.0</v>
      </c>
      <c r="AO9" s="248" t="n">
        <v>0.75</v>
      </c>
      <c r="AP9" s="248" t="n">
        <v>37.55</v>
      </c>
      <c r="AQ9" s="248" t="n">
        <v>0.0</v>
      </c>
      <c r="AR9" s="248" t="n">
        <v>72.0</v>
      </c>
      <c r="AS9" s="248" t="n">
        <v>0.0</v>
      </c>
      <c r="AT9" s="248" t="n">
        <v>0.0</v>
      </c>
      <c r="AU9" s="248" t="n">
        <v>0.0</v>
      </c>
      <c r="AV9" s="248" t="n">
        <v>0.0</v>
      </c>
      <c r="AW9" s="248" t="n">
        <v>0.0</v>
      </c>
      <c r="AX9" s="248" t="n">
        <v>0.0</v>
      </c>
      <c r="AY9" s="248" t="n">
        <v>0.0</v>
      </c>
      <c r="AZ9" s="248" t="n">
        <v>0.0</v>
      </c>
      <c r="BA9" s="248" t="n">
        <v>0.0</v>
      </c>
      <c r="BB9" s="248" t="n">
        <v>259.24</v>
      </c>
      <c r="BC9" s="248" t="n">
        <v>0.0</v>
      </c>
      <c r="BD9" s="248" t="n">
        <v>529.31</v>
      </c>
      <c r="BE9" s="248" t="inlineStr">
        <is>
          <t>settled</t>
        </is>
      </c>
      <c r="BF9" s="248" t="inlineStr">
        <is>
          <t>2025-12-17 05:30:00</t>
        </is>
      </c>
      <c r="BG9" s="248" t="inlineStr">
        <is>
          <t>CITIN25671235852</t>
        </is>
      </c>
      <c r="BH9" s="248" t="n">
        <v>0.0</v>
      </c>
      <c r="BI9" s="248" t="inlineStr">
        <is>
          <t>cb35c5eea46990d77471d7446ceb503f5dccd4c464f34b8967937e6f99fa8a1c</t>
        </is>
      </c>
    </row>
    <row r="10">
      <c r="A10" s="248" t="inlineStr">
        <is>
          <t>2</t>
        </is>
      </c>
      <c r="B10" s="248" t="inlineStr">
        <is>
          <t>7560170806</t>
        </is>
      </c>
      <c r="C10" s="248" t="inlineStr">
        <is>
          <t>2025-12-08 13:00:47</t>
        </is>
      </c>
      <c r="D10" s="248" t="inlineStr">
        <is>
          <t>50</t>
        </is>
      </c>
      <c r="E10" s="248" t="inlineStr">
        <is>
          <t>Bawarchi Baba- By Posh Foods</t>
        </is>
      </c>
      <c r="F10" s="248" t="inlineStr">
        <is>
          <t>20415473</t>
        </is>
      </c>
      <c r="G10" s="248" t="inlineStr">
        <is>
          <t>Flat ₹150 off (2025-12-03 - 2031-01-01)</t>
        </is>
      </c>
      <c r="H10" s="248" t="inlineStr">
        <is>
          <t>ONLINE</t>
        </is>
      </c>
      <c r="I10" s="248" t="inlineStr">
        <is>
          <t>DELIVERED</t>
        </is>
      </c>
      <c r="J10" s="248" t="inlineStr">
        <is>
          <t>NA</t>
        </is>
      </c>
      <c r="K10" s="248" t="inlineStr">
        <is>
          <t>NA</t>
        </is>
      </c>
      <c r="L10" s="248" t="inlineStr">
        <is>
          <t>NA</t>
        </is>
      </c>
      <c r="M10" s="248" t="inlineStr">
        <is>
          <t>O2</t>
        </is>
      </c>
      <c r="N10" s="248" t="inlineStr">
        <is>
          <t>9</t>
        </is>
      </c>
      <c r="O10" s="248" t="n">
        <v>602.0</v>
      </c>
      <c r="P10" s="248" t="n">
        <v>0.0</v>
      </c>
      <c r="Q10" s="248" t="n">
        <v>0.0</v>
      </c>
      <c r="R10" s="248" t="n">
        <v>150.0</v>
      </c>
      <c r="S10" s="248" t="n">
        <v>0.0</v>
      </c>
      <c r="T10" s="248" t="n">
        <v>0.0</v>
      </c>
      <c r="U10" s="248" t="n">
        <v>0.0</v>
      </c>
      <c r="V10" s="248" t="n">
        <v>22.6</v>
      </c>
      <c r="W10" s="248" t="n">
        <v>474.6</v>
      </c>
      <c r="X10" s="248" t="n">
        <v>452.0</v>
      </c>
      <c r="Y10" s="248" t="n">
        <v>0.0</v>
      </c>
      <c r="Z10" s="248" t="n">
        <v>0.0</v>
      </c>
      <c r="AA10" s="248" t="n">
        <v>452.0</v>
      </c>
      <c r="AB10" s="248" t="n">
        <v>23.0</v>
      </c>
      <c r="AC10" s="248" t="n">
        <v>103.96</v>
      </c>
      <c r="AD10" s="248" t="n">
        <v>3.94</v>
      </c>
      <c r="AE10" s="248" t="n">
        <v>0.0</v>
      </c>
      <c r="AF10" s="248" t="n">
        <v>0.0</v>
      </c>
      <c r="AG10" s="248" t="n">
        <v>0.0</v>
      </c>
      <c r="AH10" s="248" t="n">
        <v>8.73</v>
      </c>
      <c r="AI10" s="248" t="n">
        <v>112.69</v>
      </c>
      <c r="AJ10" s="248" t="n">
        <v>20.28</v>
      </c>
      <c r="AK10" s="248" t="n">
        <v>0.0</v>
      </c>
      <c r="AL10" s="248" t="n">
        <v>452.0</v>
      </c>
      <c r="AM10" s="248" t="n">
        <v>0.0</v>
      </c>
      <c r="AN10" s="248" t="n">
        <v>0.0</v>
      </c>
      <c r="AO10" s="248" t="n">
        <v>0.45</v>
      </c>
      <c r="AP10" s="248" t="n">
        <v>22.6</v>
      </c>
      <c r="AQ10" s="248" t="n">
        <v>0.0</v>
      </c>
      <c r="AR10" s="248" t="n">
        <v>43.33</v>
      </c>
      <c r="AS10" s="248" t="n">
        <v>0.0</v>
      </c>
      <c r="AT10" s="248" t="n">
        <v>0.0</v>
      </c>
      <c r="AU10" s="248" t="n">
        <v>0.0</v>
      </c>
      <c r="AV10" s="248" t="n">
        <v>0.0</v>
      </c>
      <c r="AW10" s="248" t="n">
        <v>0.0</v>
      </c>
      <c r="AX10" s="248" t="n">
        <v>0.0</v>
      </c>
      <c r="AY10" s="248" t="n">
        <v>0.0</v>
      </c>
      <c r="AZ10" s="248" t="n">
        <v>0.0</v>
      </c>
      <c r="BA10" s="248" t="n">
        <v>0.0</v>
      </c>
      <c r="BB10" s="248" t="n">
        <v>156.02</v>
      </c>
      <c r="BC10" s="248" t="n">
        <v>0.0</v>
      </c>
      <c r="BD10" s="248" t="n">
        <v>318.58</v>
      </c>
      <c r="BE10" s="248" t="inlineStr">
        <is>
          <t>settled</t>
        </is>
      </c>
      <c r="BF10" s="248" t="inlineStr">
        <is>
          <t>2025-12-17 05:30:00</t>
        </is>
      </c>
      <c r="BG10" s="248" t="inlineStr">
        <is>
          <t>CITIN25671235852</t>
        </is>
      </c>
      <c r="BH10" s="248" t="n">
        <v>0.0</v>
      </c>
      <c r="BI10" s="248" t="inlineStr">
        <is>
          <t>c41a75f085e7c6e4c98d1bf0f3d1fc65320c600b0f7c5c8ab4118203ba64f127</t>
        </is>
      </c>
    </row>
    <row r="11">
      <c r="A11" s="248" t="inlineStr">
        <is>
          <t>3</t>
        </is>
      </c>
      <c r="B11" s="248" t="inlineStr">
        <is>
          <t>7557546844</t>
        </is>
      </c>
      <c r="C11" s="248" t="inlineStr">
        <is>
          <t>2025-12-08 14:30:09</t>
        </is>
      </c>
      <c r="D11" s="248" t="inlineStr">
        <is>
          <t>50</t>
        </is>
      </c>
      <c r="E11" s="248" t="inlineStr">
        <is>
          <t>Bawarchi Baba- By Posh Foods</t>
        </is>
      </c>
      <c r="F11" s="248" t="inlineStr">
        <is>
          <t>20415473</t>
        </is>
      </c>
      <c r="G11" s="248" t="inlineStr">
        <is>
          <t>Flat ₹125 off (2025-12-03 - 2031-01-01)</t>
        </is>
      </c>
      <c r="H11" s="248" t="inlineStr">
        <is>
          <t>ONLINE</t>
        </is>
      </c>
      <c r="I11" s="248" t="inlineStr">
        <is>
          <t>DELIVERED</t>
        </is>
      </c>
      <c r="J11" s="248" t="inlineStr">
        <is>
          <t>NA</t>
        </is>
      </c>
      <c r="K11" s="248" t="inlineStr">
        <is>
          <t>NA</t>
        </is>
      </c>
      <c r="L11" s="248" t="inlineStr">
        <is>
          <t>NA</t>
        </is>
      </c>
      <c r="M11" s="248" t="inlineStr">
        <is>
          <t>O2</t>
        </is>
      </c>
      <c r="N11" s="248" t="inlineStr">
        <is>
          <t>9</t>
        </is>
      </c>
      <c r="O11" s="248" t="n">
        <v>381.0</v>
      </c>
      <c r="P11" s="248" t="n">
        <v>0.0</v>
      </c>
      <c r="Q11" s="248" t="n">
        <v>0.0</v>
      </c>
      <c r="R11" s="248" t="n">
        <v>87.0</v>
      </c>
      <c r="S11" s="248" t="n">
        <v>0.0</v>
      </c>
      <c r="T11" s="248" t="n">
        <v>0.0</v>
      </c>
      <c r="U11" s="248" t="n">
        <v>0.0</v>
      </c>
      <c r="V11" s="248" t="n">
        <v>14.7</v>
      </c>
      <c r="W11" s="248" t="n">
        <v>308.7</v>
      </c>
      <c r="X11" s="248" t="n">
        <v>294.0</v>
      </c>
      <c r="Y11" s="248" t="n">
        <v>0.0</v>
      </c>
      <c r="Z11" s="248" t="n">
        <v>0.0</v>
      </c>
      <c r="AA11" s="248" t="n">
        <v>294.0</v>
      </c>
      <c r="AB11" s="248" t="n">
        <v>23.0</v>
      </c>
      <c r="AC11" s="248" t="n">
        <v>67.62</v>
      </c>
      <c r="AD11" s="248" t="n">
        <v>4.91</v>
      </c>
      <c r="AE11" s="248" t="n">
        <v>20.0</v>
      </c>
      <c r="AF11" s="248" t="n">
        <v>0.0</v>
      </c>
      <c r="AG11" s="248" t="n">
        <v>0.0</v>
      </c>
      <c r="AH11" s="248" t="n">
        <v>5.68</v>
      </c>
      <c r="AI11" s="248" t="n">
        <v>93.3</v>
      </c>
      <c r="AJ11" s="248" t="n">
        <v>16.79</v>
      </c>
      <c r="AK11" s="248" t="n">
        <v>0.0</v>
      </c>
      <c r="AL11" s="248" t="n">
        <v>294.0</v>
      </c>
      <c r="AM11" s="248" t="n">
        <v>0.0</v>
      </c>
      <c r="AN11" s="248" t="n">
        <v>0.0</v>
      </c>
      <c r="AO11" s="248" t="n">
        <v>0.29</v>
      </c>
      <c r="AP11" s="248" t="n">
        <v>14.7</v>
      </c>
      <c r="AQ11" s="248" t="n">
        <v>0.0</v>
      </c>
      <c r="AR11" s="248" t="n">
        <v>31.78</v>
      </c>
      <c r="AS11" s="248" t="n">
        <v>0.0</v>
      </c>
      <c r="AT11" s="248" t="n">
        <v>0.0</v>
      </c>
      <c r="AU11" s="248" t="n">
        <v>0.0</v>
      </c>
      <c r="AV11" s="248" t="n">
        <v>0.0</v>
      </c>
      <c r="AW11" s="248" t="n">
        <v>0.0</v>
      </c>
      <c r="AX11" s="248" t="n">
        <v>0.0</v>
      </c>
      <c r="AY11" s="248" t="n">
        <v>0.0</v>
      </c>
      <c r="AZ11" s="248" t="n">
        <v>0.0</v>
      </c>
      <c r="BA11" s="248" t="n">
        <v>0.0</v>
      </c>
      <c r="BB11" s="248" t="n">
        <v>125.08</v>
      </c>
      <c r="BC11" s="248" t="n">
        <v>0.0</v>
      </c>
      <c r="BD11" s="248" t="n">
        <v>183.62</v>
      </c>
      <c r="BE11" s="248" t="inlineStr">
        <is>
          <t>settled</t>
        </is>
      </c>
      <c r="BF11" s="248" t="inlineStr">
        <is>
          <t>2025-12-17 05:30:00</t>
        </is>
      </c>
      <c r="BG11" s="248" t="inlineStr">
        <is>
          <t>CITIN25671235852</t>
        </is>
      </c>
      <c r="BH11" s="248" t="n">
        <v>0.0</v>
      </c>
      <c r="BI11" s="248" t="inlineStr">
        <is>
          <t>2db5cd9dba2dd6d0d4f9ebbd62a61959ee0a5989de1abe74e935951629652deb</t>
        </is>
      </c>
    </row>
    <row r="12">
      <c r="A12" s="248" t="inlineStr">
        <is>
          <t>4</t>
        </is>
      </c>
      <c r="B12" s="248" t="inlineStr">
        <is>
          <t>7562450177</t>
        </is>
      </c>
      <c r="C12" s="248" t="inlineStr">
        <is>
          <t>2025-12-08 15:18:57</t>
        </is>
      </c>
      <c r="D12" s="248" t="inlineStr">
        <is>
          <t>50</t>
        </is>
      </c>
      <c r="E12" s="248" t="inlineStr">
        <is>
          <t>Bawarchi Baba- By Posh Foods</t>
        </is>
      </c>
      <c r="F12" s="248" t="inlineStr">
        <is>
          <t>20415473</t>
        </is>
      </c>
      <c r="G12" s="248" t="inlineStr">
        <is>
          <t>Flat ₹150 off (2025-12-03 - 2031-01-01)</t>
        </is>
      </c>
      <c r="H12" s="248" t="inlineStr">
        <is>
          <t>ONLINE</t>
        </is>
      </c>
      <c r="I12" s="248" t="inlineStr">
        <is>
          <t>DELIVERED</t>
        </is>
      </c>
      <c r="J12" s="248" t="inlineStr">
        <is>
          <t>NA</t>
        </is>
      </c>
      <c r="K12" s="248" t="inlineStr">
        <is>
          <t>NA</t>
        </is>
      </c>
      <c r="L12" s="248" t="inlineStr">
        <is>
          <t>NA</t>
        </is>
      </c>
      <c r="M12" s="248" t="inlineStr">
        <is>
          <t>O2</t>
        </is>
      </c>
      <c r="N12" s="248" t="inlineStr">
        <is>
          <t>9</t>
        </is>
      </c>
      <c r="O12" s="248" t="n">
        <v>490.0</v>
      </c>
      <c r="P12" s="248" t="n">
        <v>0.0</v>
      </c>
      <c r="Q12" s="248" t="n">
        <v>0.0</v>
      </c>
      <c r="R12" s="248" t="n">
        <v>105.0</v>
      </c>
      <c r="S12" s="248" t="n">
        <v>0.0</v>
      </c>
      <c r="T12" s="248" t="n">
        <v>0.0</v>
      </c>
      <c r="U12" s="248" t="n">
        <v>0.0</v>
      </c>
      <c r="V12" s="248" t="n">
        <v>19.25</v>
      </c>
      <c r="W12" s="248" t="n">
        <v>404.25</v>
      </c>
      <c r="X12" s="248" t="n">
        <v>385.0</v>
      </c>
      <c r="Y12" s="248" t="n">
        <v>0.0</v>
      </c>
      <c r="Z12" s="248" t="n">
        <v>0.0</v>
      </c>
      <c r="AA12" s="248" t="n">
        <v>385.0</v>
      </c>
      <c r="AB12" s="248" t="n">
        <v>23.0</v>
      </c>
      <c r="AC12" s="248" t="n">
        <v>88.55</v>
      </c>
      <c r="AD12" s="248" t="n">
        <v>5.99</v>
      </c>
      <c r="AE12" s="248" t="n">
        <v>20.0</v>
      </c>
      <c r="AF12" s="248" t="n">
        <v>0.0</v>
      </c>
      <c r="AG12" s="248" t="n">
        <v>0.0</v>
      </c>
      <c r="AH12" s="248" t="n">
        <v>7.44</v>
      </c>
      <c r="AI12" s="248" t="n">
        <v>115.99</v>
      </c>
      <c r="AJ12" s="248" t="n">
        <v>20.88</v>
      </c>
      <c r="AK12" s="248" t="n">
        <v>0.0</v>
      </c>
      <c r="AL12" s="248" t="n">
        <v>385.0</v>
      </c>
      <c r="AM12" s="248" t="n">
        <v>0.0</v>
      </c>
      <c r="AN12" s="248" t="n">
        <v>0.0</v>
      </c>
      <c r="AO12" s="248" t="n">
        <v>0.38</v>
      </c>
      <c r="AP12" s="248" t="n">
        <v>19.25</v>
      </c>
      <c r="AQ12" s="248" t="n">
        <v>0.0</v>
      </c>
      <c r="AR12" s="248" t="n">
        <v>40.51</v>
      </c>
      <c r="AS12" s="248" t="n">
        <v>0.0</v>
      </c>
      <c r="AT12" s="248" t="n">
        <v>0.0</v>
      </c>
      <c r="AU12" s="248" t="n">
        <v>0.0</v>
      </c>
      <c r="AV12" s="248" t="n">
        <v>0.0</v>
      </c>
      <c r="AW12" s="248" t="n">
        <v>0.0</v>
      </c>
      <c r="AX12" s="248" t="n">
        <v>0.0</v>
      </c>
      <c r="AY12" s="248" t="n">
        <v>0.0</v>
      </c>
      <c r="AZ12" s="248" t="n">
        <v>0.0</v>
      </c>
      <c r="BA12" s="248" t="n">
        <v>0.0</v>
      </c>
      <c r="BB12" s="248" t="n">
        <v>156.5</v>
      </c>
      <c r="BC12" s="248" t="n">
        <v>0.0</v>
      </c>
      <c r="BD12" s="248" t="n">
        <v>247.75</v>
      </c>
      <c r="BE12" s="248" t="inlineStr">
        <is>
          <t>settled</t>
        </is>
      </c>
      <c r="BF12" s="248" t="inlineStr">
        <is>
          <t>2025-12-17 05:30:00</t>
        </is>
      </c>
      <c r="BG12" s="248" t="inlineStr">
        <is>
          <t>CITIN25671235852</t>
        </is>
      </c>
      <c r="BH12" s="248" t="n">
        <v>0.0</v>
      </c>
      <c r="BI12" s="248" t="inlineStr">
        <is>
          <t>edbc0734e8d40cbb942dc5d2da9219ca3805078547a3dcbc1be08de4d560499a</t>
        </is>
      </c>
    </row>
    <row r="13">
      <c r="A13" s="248" t="inlineStr">
        <is>
          <t>5</t>
        </is>
      </c>
      <c r="B13" s="248" t="inlineStr">
        <is>
          <t>7562487134</t>
        </is>
      </c>
      <c r="C13" s="248" t="inlineStr">
        <is>
          <t>2025-12-08 17:44:34</t>
        </is>
      </c>
      <c r="D13" s="248" t="inlineStr">
        <is>
          <t>50</t>
        </is>
      </c>
      <c r="E13" s="248" t="inlineStr">
        <is>
          <t>Bawarchi Baba- By Posh Foods</t>
        </is>
      </c>
      <c r="F13" s="248" t="inlineStr">
        <is>
          <t>20415473</t>
        </is>
      </c>
      <c r="G13" s="248" t="inlineStr">
        <is>
          <t>Flat ₹175 off (2025-12-03 - 2025-12-08)</t>
        </is>
      </c>
      <c r="H13" s="248" t="inlineStr">
        <is>
          <t>ONLINE</t>
        </is>
      </c>
      <c r="I13" s="248" t="inlineStr">
        <is>
          <t>DELIVERED</t>
        </is>
      </c>
      <c r="J13" s="248" t="inlineStr">
        <is>
          <t>NA</t>
        </is>
      </c>
      <c r="K13" s="248" t="inlineStr">
        <is>
          <t>NA</t>
        </is>
      </c>
      <c r="L13" s="248" t="inlineStr">
        <is>
          <t>NA</t>
        </is>
      </c>
      <c r="M13" s="248" t="inlineStr">
        <is>
          <t>O2</t>
        </is>
      </c>
      <c r="N13" s="248" t="inlineStr">
        <is>
          <t>9</t>
        </is>
      </c>
      <c r="O13" s="248" t="n">
        <v>907.0</v>
      </c>
      <c r="P13" s="248" t="n">
        <v>0.0</v>
      </c>
      <c r="Q13" s="248" t="n">
        <v>0.0</v>
      </c>
      <c r="R13" s="248" t="n">
        <v>175.0</v>
      </c>
      <c r="S13" s="248" t="n">
        <v>0.0</v>
      </c>
      <c r="T13" s="248" t="n">
        <v>0.0</v>
      </c>
      <c r="U13" s="248" t="n">
        <v>0.0</v>
      </c>
      <c r="V13" s="248" t="n">
        <v>36.6</v>
      </c>
      <c r="W13" s="248" t="n">
        <v>768.6</v>
      </c>
      <c r="X13" s="248" t="n">
        <v>732.0</v>
      </c>
      <c r="Y13" s="248" t="n">
        <v>0.0</v>
      </c>
      <c r="Z13" s="248" t="n">
        <v>0.0</v>
      </c>
      <c r="AA13" s="248" t="n">
        <v>732.0</v>
      </c>
      <c r="AB13" s="248" t="n">
        <v>23.0</v>
      </c>
      <c r="AC13" s="248" t="n">
        <v>168.36</v>
      </c>
      <c r="AD13" s="248" t="n">
        <v>5.65</v>
      </c>
      <c r="AE13" s="248" t="n">
        <v>20.0</v>
      </c>
      <c r="AF13" s="248" t="n">
        <v>0.0</v>
      </c>
      <c r="AG13" s="248" t="n">
        <v>0.0</v>
      </c>
      <c r="AH13" s="248" t="n">
        <v>14.14</v>
      </c>
      <c r="AI13" s="248" t="n">
        <v>202.5</v>
      </c>
      <c r="AJ13" s="248" t="n">
        <v>36.45</v>
      </c>
      <c r="AK13" s="248" t="n">
        <v>0.0</v>
      </c>
      <c r="AL13" s="248" t="n">
        <v>732.0</v>
      </c>
      <c r="AM13" s="248" t="n">
        <v>0.0</v>
      </c>
      <c r="AN13" s="248" t="n">
        <v>0.0</v>
      </c>
      <c r="AO13" s="248" t="n">
        <v>0.73</v>
      </c>
      <c r="AP13" s="248" t="n">
        <v>36.6</v>
      </c>
      <c r="AQ13" s="248" t="n">
        <v>0.0</v>
      </c>
      <c r="AR13" s="248" t="n">
        <v>73.78</v>
      </c>
      <c r="AS13" s="248" t="n">
        <v>0.0</v>
      </c>
      <c r="AT13" s="248" t="n">
        <v>0.0</v>
      </c>
      <c r="AU13" s="248" t="n">
        <v>0.0</v>
      </c>
      <c r="AV13" s="248" t="n">
        <v>0.0</v>
      </c>
      <c r="AW13" s="248" t="n">
        <v>0.0</v>
      </c>
      <c r="AX13" s="248" t="n">
        <v>0.0</v>
      </c>
      <c r="AY13" s="248" t="n">
        <v>0.0</v>
      </c>
      <c r="AZ13" s="248" t="n">
        <v>0.0</v>
      </c>
      <c r="BA13" s="248" t="n">
        <v>0.0</v>
      </c>
      <c r="BB13" s="248" t="n">
        <v>276.28</v>
      </c>
      <c r="BC13" s="248" t="n">
        <v>0.0</v>
      </c>
      <c r="BD13" s="248" t="n">
        <v>492.32</v>
      </c>
      <c r="BE13" s="248" t="inlineStr">
        <is>
          <t>settled</t>
        </is>
      </c>
      <c r="BF13" s="248" t="inlineStr">
        <is>
          <t>2025-12-17 05:30:00</t>
        </is>
      </c>
      <c r="BG13" s="248" t="inlineStr">
        <is>
          <t>CITIN25671235852</t>
        </is>
      </c>
      <c r="BH13" s="248" t="n">
        <v>0.0</v>
      </c>
      <c r="BI13" s="248" t="inlineStr">
        <is>
          <t>cecb45147239b1ed9a4c33970a3d2217df7c0ed88b2cf60944a30562ce8d78f4</t>
        </is>
      </c>
    </row>
    <row r="14">
      <c r="A14" s="248" t="inlineStr">
        <is>
          <t>6</t>
        </is>
      </c>
      <c r="B14" s="248" t="inlineStr">
        <is>
          <t>7559445870</t>
        </is>
      </c>
      <c r="C14" s="248" t="inlineStr">
        <is>
          <t>2025-12-08 18:29:26</t>
        </is>
      </c>
      <c r="D14" s="248" t="inlineStr">
        <is>
          <t>50</t>
        </is>
      </c>
      <c r="E14" s="248" t="inlineStr">
        <is>
          <t>Bawarchi Baba- By Posh Foods</t>
        </is>
      </c>
      <c r="F14" s="248" t="inlineStr">
        <is>
          <t>20415473</t>
        </is>
      </c>
      <c r="G14" s="248" t="inlineStr">
        <is>
          <t>NA</t>
        </is>
      </c>
      <c r="H14" s="248" t="inlineStr">
        <is>
          <t>ONLINE</t>
        </is>
      </c>
      <c r="I14" s="248" t="inlineStr">
        <is>
          <t>DELIVERED</t>
        </is>
      </c>
      <c r="J14" s="248" t="inlineStr">
        <is>
          <t>NA</t>
        </is>
      </c>
      <c r="K14" s="248" t="inlineStr">
        <is>
          <t>NA</t>
        </is>
      </c>
      <c r="L14" s="248" t="inlineStr">
        <is>
          <t>NA</t>
        </is>
      </c>
      <c r="M14" s="248" t="inlineStr">
        <is>
          <t>O2</t>
        </is>
      </c>
      <c r="N14" s="248" t="inlineStr">
        <is>
          <t>6</t>
        </is>
      </c>
      <c r="O14" s="248" t="n">
        <v>490.0</v>
      </c>
      <c r="P14" s="248" t="n">
        <v>0.0</v>
      </c>
      <c r="Q14" s="248" t="n">
        <v>0.0</v>
      </c>
      <c r="R14" s="248" t="n">
        <v>0.0</v>
      </c>
      <c r="S14" s="248" t="n">
        <v>0.0</v>
      </c>
      <c r="T14" s="248" t="n">
        <v>0.0</v>
      </c>
      <c r="U14" s="248" t="n">
        <v>0.0</v>
      </c>
      <c r="V14" s="248" t="n">
        <v>24.5</v>
      </c>
      <c r="W14" s="248" t="n">
        <v>514.5</v>
      </c>
      <c r="X14" s="248" t="n">
        <v>490.0</v>
      </c>
      <c r="Y14" s="248" t="n">
        <v>0.0</v>
      </c>
      <c r="Z14" s="248" t="n">
        <v>0.0</v>
      </c>
      <c r="AA14" s="248" t="n">
        <v>490.0</v>
      </c>
      <c r="AB14" s="248" t="n">
        <v>23.0</v>
      </c>
      <c r="AC14" s="248" t="n">
        <v>112.7</v>
      </c>
      <c r="AD14" s="248" t="n">
        <v>13.54</v>
      </c>
      <c r="AE14" s="248" t="n">
        <v>40.0</v>
      </c>
      <c r="AF14" s="248" t="n">
        <v>0.0</v>
      </c>
      <c r="AG14" s="248" t="n">
        <v>5.7</v>
      </c>
      <c r="AH14" s="248" t="n">
        <v>9.47</v>
      </c>
      <c r="AI14" s="248" t="n">
        <v>156.47</v>
      </c>
      <c r="AJ14" s="248" t="n">
        <v>28.16</v>
      </c>
      <c r="AK14" s="248" t="n">
        <v>0.0</v>
      </c>
      <c r="AL14" s="248" t="n">
        <v>490.0</v>
      </c>
      <c r="AM14" s="248" t="n">
        <v>0.0</v>
      </c>
      <c r="AN14" s="248" t="n">
        <v>0.0</v>
      </c>
      <c r="AO14" s="248" t="n">
        <v>0.49</v>
      </c>
      <c r="AP14" s="248" t="n">
        <v>24.5</v>
      </c>
      <c r="AQ14" s="248" t="n">
        <v>0.0</v>
      </c>
      <c r="AR14" s="248" t="n">
        <v>53.15</v>
      </c>
      <c r="AS14" s="248" t="n">
        <v>0.0</v>
      </c>
      <c r="AT14" s="248" t="n">
        <v>0.0</v>
      </c>
      <c r="AU14" s="248" t="n">
        <v>0.0</v>
      </c>
      <c r="AV14" s="248" t="n">
        <v>0.0</v>
      </c>
      <c r="AW14" s="248" t="n">
        <v>0.0</v>
      </c>
      <c r="AX14" s="248" t="n">
        <v>0.0</v>
      </c>
      <c r="AY14" s="248" t="n">
        <v>0.0</v>
      </c>
      <c r="AZ14" s="248" t="n">
        <v>0.0</v>
      </c>
      <c r="BA14" s="248" t="n">
        <v>0.0</v>
      </c>
      <c r="BB14" s="248" t="n">
        <v>209.62</v>
      </c>
      <c r="BC14" s="248" t="n">
        <v>0.0</v>
      </c>
      <c r="BD14" s="248" t="n">
        <v>304.88</v>
      </c>
      <c r="BE14" s="248" t="inlineStr">
        <is>
          <t>settled</t>
        </is>
      </c>
      <c r="BF14" s="248" t="inlineStr">
        <is>
          <t>2025-12-17 05:30:00</t>
        </is>
      </c>
      <c r="BG14" s="248" t="inlineStr">
        <is>
          <t>CITIN25671235852</t>
        </is>
      </c>
      <c r="BH14" s="248" t="n">
        <v>0.0</v>
      </c>
      <c r="BI14" s="248" t="inlineStr">
        <is>
          <t>a361917a88f59dcd3a1edcf93ecccc12998bd335b1cea92cef36d93c53b559c2</t>
        </is>
      </c>
    </row>
    <row r="15">
      <c r="A15" s="248" t="inlineStr">
        <is>
          <t>7</t>
        </is>
      </c>
      <c r="B15" s="248" t="inlineStr">
        <is>
          <t>7562608999</t>
        </is>
      </c>
      <c r="C15" s="248" t="inlineStr">
        <is>
          <t>2025-12-08 19:10:22</t>
        </is>
      </c>
      <c r="D15" s="248" t="inlineStr">
        <is>
          <t>50</t>
        </is>
      </c>
      <c r="E15" s="248" t="inlineStr">
        <is>
          <t>Bawarchi Baba- By Posh Foods</t>
        </is>
      </c>
      <c r="F15" s="248" t="inlineStr">
        <is>
          <t>20415473</t>
        </is>
      </c>
      <c r="G15" s="248" t="inlineStr">
        <is>
          <t>NA</t>
        </is>
      </c>
      <c r="H15" s="248" t="inlineStr">
        <is>
          <t>ONLINE</t>
        </is>
      </c>
      <c r="I15" s="248" t="inlineStr">
        <is>
          <t>DELIVERED</t>
        </is>
      </c>
      <c r="J15" s="248" t="inlineStr">
        <is>
          <t>NA</t>
        </is>
      </c>
      <c r="K15" s="248" t="inlineStr">
        <is>
          <t>NA</t>
        </is>
      </c>
      <c r="L15" s="248" t="inlineStr">
        <is>
          <t>NA</t>
        </is>
      </c>
      <c r="M15" s="248" t="inlineStr">
        <is>
          <t>O2</t>
        </is>
      </c>
      <c r="N15" s="248" t="inlineStr">
        <is>
          <t>9</t>
        </is>
      </c>
      <c r="O15" s="248" t="n">
        <v>325.0</v>
      </c>
      <c r="P15" s="248" t="n">
        <v>0.0</v>
      </c>
      <c r="Q15" s="248" t="n">
        <v>0.0</v>
      </c>
      <c r="R15" s="248" t="n">
        <v>0.0</v>
      </c>
      <c r="S15" s="248" t="n">
        <v>32.5</v>
      </c>
      <c r="T15" s="248" t="n">
        <v>0.0</v>
      </c>
      <c r="U15" s="248" t="n">
        <v>0.0</v>
      </c>
      <c r="V15" s="248" t="n">
        <v>14.63</v>
      </c>
      <c r="W15" s="248" t="n">
        <v>307.13</v>
      </c>
      <c r="X15" s="248" t="n">
        <v>292.5</v>
      </c>
      <c r="Y15" s="248" t="n">
        <v>0.0</v>
      </c>
      <c r="Z15" s="248" t="n">
        <v>0.0</v>
      </c>
      <c r="AA15" s="248" t="n">
        <v>292.5</v>
      </c>
      <c r="AB15" s="248" t="n">
        <v>23.0</v>
      </c>
      <c r="AC15" s="248" t="n">
        <v>67.28</v>
      </c>
      <c r="AD15" s="248" t="n">
        <v>2.61</v>
      </c>
      <c r="AE15" s="248" t="n">
        <v>0.0</v>
      </c>
      <c r="AF15" s="248" t="n">
        <v>0.0</v>
      </c>
      <c r="AG15" s="248" t="n">
        <v>0.0</v>
      </c>
      <c r="AH15" s="248" t="n">
        <v>5.65</v>
      </c>
      <c r="AI15" s="248" t="n">
        <v>72.93</v>
      </c>
      <c r="AJ15" s="248" t="n">
        <v>13.13</v>
      </c>
      <c r="AK15" s="248" t="n">
        <v>0.0</v>
      </c>
      <c r="AL15" s="248" t="n">
        <v>292.5</v>
      </c>
      <c r="AM15" s="248" t="n">
        <v>0.0</v>
      </c>
      <c r="AN15" s="248" t="n">
        <v>0.0</v>
      </c>
      <c r="AO15" s="248" t="n">
        <v>0.29</v>
      </c>
      <c r="AP15" s="248" t="n">
        <v>14.63</v>
      </c>
      <c r="AQ15" s="248" t="n">
        <v>0.0</v>
      </c>
      <c r="AR15" s="248" t="n">
        <v>28.05</v>
      </c>
      <c r="AS15" s="248" t="n">
        <v>0.0</v>
      </c>
      <c r="AT15" s="248" t="n">
        <v>0.0</v>
      </c>
      <c r="AU15" s="248" t="n">
        <v>0.0</v>
      </c>
      <c r="AV15" s="248" t="n">
        <v>0.0</v>
      </c>
      <c r="AW15" s="248" t="n">
        <v>0.0</v>
      </c>
      <c r="AX15" s="248" t="n">
        <v>0.0</v>
      </c>
      <c r="AY15" s="248" t="n">
        <v>0.0</v>
      </c>
      <c r="AZ15" s="248" t="n">
        <v>0.0</v>
      </c>
      <c r="BA15" s="248" t="n">
        <v>0.0</v>
      </c>
      <c r="BB15" s="248" t="n">
        <v>100.98</v>
      </c>
      <c r="BC15" s="248" t="n">
        <v>0.0</v>
      </c>
      <c r="BD15" s="248" t="n">
        <v>206.15</v>
      </c>
      <c r="BE15" s="248" t="inlineStr">
        <is>
          <t>settled</t>
        </is>
      </c>
      <c r="BF15" s="248" t="inlineStr">
        <is>
          <t>2025-12-17 05:30:00</t>
        </is>
      </c>
      <c r="BG15" s="248" t="inlineStr">
        <is>
          <t>CITIN25671235852</t>
        </is>
      </c>
      <c r="BH15" s="248" t="n">
        <v>0.0</v>
      </c>
      <c r="BI15" s="248" t="inlineStr">
        <is>
          <t>621fad13401bb5d6646e7cea0a351a197872da77b3ba2a2dd6959d54d6c72f98</t>
        </is>
      </c>
    </row>
    <row r="16">
      <c r="A16" s="248" t="inlineStr">
        <is>
          <t>8</t>
        </is>
      </c>
      <c r="B16" s="248" t="inlineStr">
        <is>
          <t>7561484332</t>
        </is>
      </c>
      <c r="C16" s="248" t="inlineStr">
        <is>
          <t>2025-12-08 19:12:38</t>
        </is>
      </c>
      <c r="D16" s="248" t="inlineStr">
        <is>
          <t>50</t>
        </is>
      </c>
      <c r="E16" s="248" t="inlineStr">
        <is>
          <t>Bawarchi Baba- By Posh Foods</t>
        </is>
      </c>
      <c r="F16" s="248" t="inlineStr">
        <is>
          <t>20415473</t>
        </is>
      </c>
      <c r="G16" s="248" t="inlineStr">
        <is>
          <t>NA</t>
        </is>
      </c>
      <c r="H16" s="248" t="inlineStr">
        <is>
          <t>ONLINE</t>
        </is>
      </c>
      <c r="I16" s="248" t="inlineStr">
        <is>
          <t>DELIVERED</t>
        </is>
      </c>
      <c r="J16" s="248" t="inlineStr">
        <is>
          <t>NA</t>
        </is>
      </c>
      <c r="K16" s="248" t="inlineStr">
        <is>
          <t>NA</t>
        </is>
      </c>
      <c r="L16" s="248" t="inlineStr">
        <is>
          <t>NA</t>
        </is>
      </c>
      <c r="M16" s="248" t="inlineStr">
        <is>
          <t>O2</t>
        </is>
      </c>
      <c r="N16" s="248" t="inlineStr">
        <is>
          <t>9</t>
        </is>
      </c>
      <c r="O16" s="248" t="n">
        <v>590.0</v>
      </c>
      <c r="P16" s="248" t="n">
        <v>0.0</v>
      </c>
      <c r="Q16" s="248" t="n">
        <v>0.0</v>
      </c>
      <c r="R16" s="248" t="n">
        <v>0.0</v>
      </c>
      <c r="S16" s="248" t="n">
        <v>59.0</v>
      </c>
      <c r="T16" s="248" t="n">
        <v>0.0</v>
      </c>
      <c r="U16" s="248" t="n">
        <v>0.0</v>
      </c>
      <c r="V16" s="248" t="n">
        <v>26.55</v>
      </c>
      <c r="W16" s="248" t="n">
        <v>557.55</v>
      </c>
      <c r="X16" s="248" t="n">
        <v>531.0</v>
      </c>
      <c r="Y16" s="248" t="n">
        <v>0.0</v>
      </c>
      <c r="Z16" s="248" t="n">
        <v>0.0</v>
      </c>
      <c r="AA16" s="248" t="n">
        <v>531.0</v>
      </c>
      <c r="AB16" s="248" t="n">
        <v>23.0</v>
      </c>
      <c r="AC16" s="248" t="n">
        <v>122.13</v>
      </c>
      <c r="AD16" s="248" t="n">
        <v>0.99</v>
      </c>
      <c r="AE16" s="248" t="n">
        <v>0.0</v>
      </c>
      <c r="AF16" s="248" t="n">
        <v>0.0</v>
      </c>
      <c r="AG16" s="248" t="n">
        <v>0.0</v>
      </c>
      <c r="AH16" s="248" t="n">
        <v>10.26</v>
      </c>
      <c r="AI16" s="248" t="n">
        <v>132.39</v>
      </c>
      <c r="AJ16" s="248" t="n">
        <v>23.83</v>
      </c>
      <c r="AK16" s="248" t="n">
        <v>0.0</v>
      </c>
      <c r="AL16" s="248" t="n">
        <v>531.0</v>
      </c>
      <c r="AM16" s="248" t="n">
        <v>0.0</v>
      </c>
      <c r="AN16" s="248" t="n">
        <v>0.0</v>
      </c>
      <c r="AO16" s="248" t="n">
        <v>0.53</v>
      </c>
      <c r="AP16" s="248" t="n">
        <v>26.55</v>
      </c>
      <c r="AQ16" s="248" t="n">
        <v>0.0</v>
      </c>
      <c r="AR16" s="248" t="n">
        <v>50.91</v>
      </c>
      <c r="AS16" s="248" t="n">
        <v>0.0</v>
      </c>
      <c r="AT16" s="248" t="n">
        <v>0.0</v>
      </c>
      <c r="AU16" s="248" t="n">
        <v>0.0</v>
      </c>
      <c r="AV16" s="248" t="n">
        <v>0.0</v>
      </c>
      <c r="AW16" s="248" t="n">
        <v>0.0</v>
      </c>
      <c r="AX16" s="248" t="n">
        <v>0.0</v>
      </c>
      <c r="AY16" s="248" t="n">
        <v>0.0</v>
      </c>
      <c r="AZ16" s="248" t="n">
        <v>0.0</v>
      </c>
      <c r="BA16" s="248" t="n">
        <v>0.0</v>
      </c>
      <c r="BB16" s="248" t="n">
        <v>183.3</v>
      </c>
      <c r="BC16" s="248" t="n">
        <v>0.0</v>
      </c>
      <c r="BD16" s="248" t="n">
        <v>374.25</v>
      </c>
      <c r="BE16" s="248" t="inlineStr">
        <is>
          <t>settled</t>
        </is>
      </c>
      <c r="BF16" s="248" t="inlineStr">
        <is>
          <t>2025-12-17 05:30:00</t>
        </is>
      </c>
      <c r="BG16" s="248" t="inlineStr">
        <is>
          <t>CITIN25671235852</t>
        </is>
      </c>
      <c r="BH16" s="248" t="n">
        <v>0.0</v>
      </c>
      <c r="BI16" s="248" t="inlineStr">
        <is>
          <t>bfd7222db6761f7b6e19ffa558a574c02831304a52f5397e91709ee714f0b64b</t>
        </is>
      </c>
    </row>
    <row r="17">
      <c r="A17" s="248" t="inlineStr">
        <is>
          <t>9</t>
        </is>
      </c>
      <c r="B17" s="248" t="inlineStr">
        <is>
          <t>7551968276</t>
        </is>
      </c>
      <c r="C17" s="248" t="inlineStr">
        <is>
          <t>2025-12-08 19:21:25</t>
        </is>
      </c>
      <c r="D17" s="248" t="inlineStr">
        <is>
          <t>50</t>
        </is>
      </c>
      <c r="E17" s="248" t="inlineStr">
        <is>
          <t>Bawarchi Baba- By Posh Foods</t>
        </is>
      </c>
      <c r="F17" s="248" t="inlineStr">
        <is>
          <t>20415473</t>
        </is>
      </c>
      <c r="G17" s="248" t="inlineStr">
        <is>
          <t>NA</t>
        </is>
      </c>
      <c r="H17" s="248" t="inlineStr">
        <is>
          <t>ONLINE</t>
        </is>
      </c>
      <c r="I17" s="248" t="inlineStr">
        <is>
          <t>DELIVERED</t>
        </is>
      </c>
      <c r="J17" s="248" t="inlineStr">
        <is>
          <t>NA</t>
        </is>
      </c>
      <c r="K17" s="248" t="inlineStr">
        <is>
          <t>NA</t>
        </is>
      </c>
      <c r="L17" s="248" t="inlineStr">
        <is>
          <t>NA</t>
        </is>
      </c>
      <c r="M17" s="248" t="inlineStr">
        <is>
          <t>O2</t>
        </is>
      </c>
      <c r="N17" s="248" t="inlineStr">
        <is>
          <t>9</t>
        </is>
      </c>
      <c r="O17" s="248" t="n">
        <v>539.0</v>
      </c>
      <c r="P17" s="248" t="n">
        <v>0.0</v>
      </c>
      <c r="Q17" s="248" t="n">
        <v>0.0</v>
      </c>
      <c r="R17" s="248" t="n">
        <v>0.0</v>
      </c>
      <c r="S17" s="248" t="n">
        <v>53.9</v>
      </c>
      <c r="T17" s="248" t="n">
        <v>0.0</v>
      </c>
      <c r="U17" s="248" t="n">
        <v>0.0</v>
      </c>
      <c r="V17" s="248" t="n">
        <v>24.26</v>
      </c>
      <c r="W17" s="248" t="n">
        <v>509.36</v>
      </c>
      <c r="X17" s="248" t="n">
        <v>485.1</v>
      </c>
      <c r="Y17" s="248" t="n">
        <v>0.0</v>
      </c>
      <c r="Z17" s="248" t="n">
        <v>0.0</v>
      </c>
      <c r="AA17" s="248" t="n">
        <v>485.1</v>
      </c>
      <c r="AB17" s="248" t="n">
        <v>23.0</v>
      </c>
      <c r="AC17" s="248" t="n">
        <v>111.57</v>
      </c>
      <c r="AD17" s="248" t="n">
        <v>0.61</v>
      </c>
      <c r="AE17" s="248" t="n">
        <v>0.0</v>
      </c>
      <c r="AF17" s="248" t="n">
        <v>0.0</v>
      </c>
      <c r="AG17" s="248" t="n">
        <v>0.0</v>
      </c>
      <c r="AH17" s="248" t="n">
        <v>9.37</v>
      </c>
      <c r="AI17" s="248" t="n">
        <v>120.94</v>
      </c>
      <c r="AJ17" s="248" t="n">
        <v>21.77</v>
      </c>
      <c r="AK17" s="248" t="n">
        <v>0.0</v>
      </c>
      <c r="AL17" s="248" t="n">
        <v>485.1</v>
      </c>
      <c r="AM17" s="248" t="n">
        <v>0.0</v>
      </c>
      <c r="AN17" s="248" t="n">
        <v>0.0</v>
      </c>
      <c r="AO17" s="248" t="n">
        <v>0.49</v>
      </c>
      <c r="AP17" s="248" t="n">
        <v>24.26</v>
      </c>
      <c r="AQ17" s="248" t="n">
        <v>0.0</v>
      </c>
      <c r="AR17" s="248" t="n">
        <v>46.52</v>
      </c>
      <c r="AS17" s="248" t="n">
        <v>0.0</v>
      </c>
      <c r="AT17" s="248" t="n">
        <v>0.0</v>
      </c>
      <c r="AU17" s="248" t="n">
        <v>0.0</v>
      </c>
      <c r="AV17" s="248" t="n">
        <v>0.0</v>
      </c>
      <c r="AW17" s="248" t="n">
        <v>0.0</v>
      </c>
      <c r="AX17" s="248" t="n">
        <v>0.0</v>
      </c>
      <c r="AY17" s="248" t="n">
        <v>0.0</v>
      </c>
      <c r="AZ17" s="248" t="n">
        <v>0.0</v>
      </c>
      <c r="BA17" s="248" t="n">
        <v>0.0</v>
      </c>
      <c r="BB17" s="248" t="n">
        <v>167.46</v>
      </c>
      <c r="BC17" s="248" t="n">
        <v>0.0</v>
      </c>
      <c r="BD17" s="248" t="n">
        <v>341.9</v>
      </c>
      <c r="BE17" s="248" t="inlineStr">
        <is>
          <t>settled</t>
        </is>
      </c>
      <c r="BF17" s="248" t="inlineStr">
        <is>
          <t>2025-12-17 05:30:00</t>
        </is>
      </c>
      <c r="BG17" s="248" t="inlineStr">
        <is>
          <t>CITIN25671235852</t>
        </is>
      </c>
      <c r="BH17" s="248" t="n">
        <v>0.0</v>
      </c>
      <c r="BI17" s="248" t="inlineStr">
        <is>
          <t>d3cf32bfc12742075a230d6155099807b7225a6de7f03bfe3ee36776938e9bd1</t>
        </is>
      </c>
    </row>
    <row r="18">
      <c r="A18" s="248" t="inlineStr">
        <is>
          <t>10</t>
        </is>
      </c>
      <c r="B18" s="248" t="inlineStr">
        <is>
          <t>7560870809</t>
        </is>
      </c>
      <c r="C18" s="248" t="inlineStr">
        <is>
          <t>2025-12-08 20:04:36</t>
        </is>
      </c>
      <c r="D18" s="248" t="inlineStr">
        <is>
          <t>50</t>
        </is>
      </c>
      <c r="E18" s="248" t="inlineStr">
        <is>
          <t>Bawarchi Baba- By Posh Foods</t>
        </is>
      </c>
      <c r="F18" s="248" t="inlineStr">
        <is>
          <t>20415473</t>
        </is>
      </c>
      <c r="G18" s="248" t="inlineStr">
        <is>
          <t>NA</t>
        </is>
      </c>
      <c r="H18" s="248" t="inlineStr">
        <is>
          <t>ONLINE</t>
        </is>
      </c>
      <c r="I18" s="248" t="inlineStr">
        <is>
          <t>DELIVERED</t>
        </is>
      </c>
      <c r="J18" s="248" t="inlineStr">
        <is>
          <t>NA</t>
        </is>
      </c>
      <c r="K18" s="248" t="inlineStr">
        <is>
          <t>NA</t>
        </is>
      </c>
      <c r="L18" s="248" t="inlineStr">
        <is>
          <t>NA</t>
        </is>
      </c>
      <c r="M18" s="248" t="inlineStr">
        <is>
          <t>O2</t>
        </is>
      </c>
      <c r="N18" s="248" t="inlineStr">
        <is>
          <t>9</t>
        </is>
      </c>
      <c r="O18" s="248" t="n">
        <v>300.0</v>
      </c>
      <c r="P18" s="248" t="n">
        <v>0.0</v>
      </c>
      <c r="Q18" s="248" t="n">
        <v>0.0</v>
      </c>
      <c r="R18" s="248" t="n">
        <v>0.0</v>
      </c>
      <c r="S18" s="248" t="n">
        <v>30.0</v>
      </c>
      <c r="T18" s="248" t="n">
        <v>0.0</v>
      </c>
      <c r="U18" s="248" t="n">
        <v>0.0</v>
      </c>
      <c r="V18" s="248" t="n">
        <v>13.5</v>
      </c>
      <c r="W18" s="248" t="n">
        <v>283.5</v>
      </c>
      <c r="X18" s="248" t="n">
        <v>270.0</v>
      </c>
      <c r="Y18" s="248" t="n">
        <v>0.0</v>
      </c>
      <c r="Z18" s="248" t="n">
        <v>0.0</v>
      </c>
      <c r="AA18" s="248" t="n">
        <v>270.0</v>
      </c>
      <c r="AB18" s="248" t="n">
        <v>23.0</v>
      </c>
      <c r="AC18" s="248" t="n">
        <v>62.1</v>
      </c>
      <c r="AD18" s="248" t="n">
        <v>3.18</v>
      </c>
      <c r="AE18" s="248" t="n">
        <v>0.0</v>
      </c>
      <c r="AF18" s="248" t="n">
        <v>0.0</v>
      </c>
      <c r="AG18" s="248" t="n">
        <v>0.0</v>
      </c>
      <c r="AH18" s="248" t="n">
        <v>5.22</v>
      </c>
      <c r="AI18" s="248" t="n">
        <v>67.32</v>
      </c>
      <c r="AJ18" s="248" t="n">
        <v>12.12</v>
      </c>
      <c r="AK18" s="248" t="n">
        <v>0.0</v>
      </c>
      <c r="AL18" s="248" t="n">
        <v>270.0</v>
      </c>
      <c r="AM18" s="248" t="n">
        <v>0.0</v>
      </c>
      <c r="AN18" s="248" t="n">
        <v>0.0</v>
      </c>
      <c r="AO18" s="248" t="n">
        <v>0.27</v>
      </c>
      <c r="AP18" s="248" t="n">
        <v>13.5</v>
      </c>
      <c r="AQ18" s="248" t="n">
        <v>0.0</v>
      </c>
      <c r="AR18" s="248" t="n">
        <v>25.89</v>
      </c>
      <c r="AS18" s="248" t="n">
        <v>0.0</v>
      </c>
      <c r="AT18" s="248" t="n">
        <v>0.0</v>
      </c>
      <c r="AU18" s="248" t="n">
        <v>0.0</v>
      </c>
      <c r="AV18" s="248" t="n">
        <v>0.0</v>
      </c>
      <c r="AW18" s="248" t="n">
        <v>0.0</v>
      </c>
      <c r="AX18" s="248" t="n">
        <v>0.0</v>
      </c>
      <c r="AY18" s="248" t="n">
        <v>0.0</v>
      </c>
      <c r="AZ18" s="248" t="n">
        <v>0.0</v>
      </c>
      <c r="BA18" s="248" t="n">
        <v>0.0</v>
      </c>
      <c r="BB18" s="248" t="n">
        <v>93.21</v>
      </c>
      <c r="BC18" s="248" t="n">
        <v>0.0</v>
      </c>
      <c r="BD18" s="248" t="n">
        <v>190.29</v>
      </c>
      <c r="BE18" s="248" t="inlineStr">
        <is>
          <t>settled</t>
        </is>
      </c>
      <c r="BF18" s="248" t="inlineStr">
        <is>
          <t>2025-12-17 05:30:00</t>
        </is>
      </c>
      <c r="BG18" s="248" t="inlineStr">
        <is>
          <t>CITIN25671235852</t>
        </is>
      </c>
      <c r="BH18" s="248" t="n">
        <v>0.0</v>
      </c>
      <c r="BI18" s="248" t="inlineStr">
        <is>
          <t>cdcec16cbc5de97435cef34fd6582f75f34f0bedefd4a29c2da78ef8640f3356</t>
        </is>
      </c>
    </row>
    <row r="19">
      <c r="A19" s="248" t="inlineStr">
        <is>
          <t>11</t>
        </is>
      </c>
      <c r="B19" s="248" t="inlineStr">
        <is>
          <t>7562163978</t>
        </is>
      </c>
      <c r="C19" s="248" t="inlineStr">
        <is>
          <t>2025-12-08 21:09:18</t>
        </is>
      </c>
      <c r="D19" s="248" t="inlineStr">
        <is>
          <t>50</t>
        </is>
      </c>
      <c r="E19" s="248" t="inlineStr">
        <is>
          <t>Bawarchi Baba- By Posh Foods</t>
        </is>
      </c>
      <c r="F19" s="248" t="inlineStr">
        <is>
          <t>20415473</t>
        </is>
      </c>
      <c r="G19" s="248" t="inlineStr">
        <is>
          <t>NA</t>
        </is>
      </c>
      <c r="H19" s="248" t="inlineStr">
        <is>
          <t>ONLINE</t>
        </is>
      </c>
      <c r="I19" s="248" t="inlineStr">
        <is>
          <t>DELIVERED</t>
        </is>
      </c>
      <c r="J19" s="248" t="inlineStr">
        <is>
          <t>NA</t>
        </is>
      </c>
      <c r="K19" s="248" t="inlineStr">
        <is>
          <t>NA</t>
        </is>
      </c>
      <c r="L19" s="248" t="inlineStr">
        <is>
          <t>NA</t>
        </is>
      </c>
      <c r="M19" s="248" t="inlineStr">
        <is>
          <t>O2</t>
        </is>
      </c>
      <c r="N19" s="248" t="inlineStr">
        <is>
          <t>9</t>
        </is>
      </c>
      <c r="O19" s="248" t="n">
        <v>396.0</v>
      </c>
      <c r="P19" s="248" t="n">
        <v>0.0</v>
      </c>
      <c r="Q19" s="248" t="n">
        <v>0.0</v>
      </c>
      <c r="R19" s="248" t="n">
        <v>0.0</v>
      </c>
      <c r="S19" s="248" t="n">
        <v>39.6</v>
      </c>
      <c r="T19" s="248" t="n">
        <v>0.0</v>
      </c>
      <c r="U19" s="248" t="n">
        <v>0.0</v>
      </c>
      <c r="V19" s="248" t="n">
        <v>17.82</v>
      </c>
      <c r="W19" s="248" t="n">
        <v>374.22</v>
      </c>
      <c r="X19" s="248" t="n">
        <v>356.4</v>
      </c>
      <c r="Y19" s="248" t="n">
        <v>0.0</v>
      </c>
      <c r="Z19" s="248" t="n">
        <v>0.0</v>
      </c>
      <c r="AA19" s="248" t="n">
        <v>356.4</v>
      </c>
      <c r="AB19" s="248" t="n">
        <v>23.0</v>
      </c>
      <c r="AC19" s="248" t="n">
        <v>81.97</v>
      </c>
      <c r="AD19" s="248" t="n">
        <v>5.65</v>
      </c>
      <c r="AE19" s="248" t="n">
        <v>20.0</v>
      </c>
      <c r="AF19" s="248" t="n">
        <v>0.0</v>
      </c>
      <c r="AG19" s="248" t="n">
        <v>0.0</v>
      </c>
      <c r="AH19" s="248" t="n">
        <v>6.89</v>
      </c>
      <c r="AI19" s="248" t="n">
        <v>108.86</v>
      </c>
      <c r="AJ19" s="248" t="n">
        <v>19.59</v>
      </c>
      <c r="AK19" s="248" t="n">
        <v>0.0</v>
      </c>
      <c r="AL19" s="248" t="n">
        <v>356.4</v>
      </c>
      <c r="AM19" s="248" t="n">
        <v>0.0</v>
      </c>
      <c r="AN19" s="248" t="n">
        <v>0.0</v>
      </c>
      <c r="AO19" s="248" t="n">
        <v>0.36</v>
      </c>
      <c r="AP19" s="248" t="n">
        <v>17.82</v>
      </c>
      <c r="AQ19" s="248" t="n">
        <v>0.0</v>
      </c>
      <c r="AR19" s="248" t="n">
        <v>37.77</v>
      </c>
      <c r="AS19" s="248" t="n">
        <v>0.0</v>
      </c>
      <c r="AT19" s="248" t="n">
        <v>0.0</v>
      </c>
      <c r="AU19" s="248" t="n">
        <v>0.0</v>
      </c>
      <c r="AV19" s="248" t="n">
        <v>0.0</v>
      </c>
      <c r="AW19" s="248" t="n">
        <v>0.0</v>
      </c>
      <c r="AX19" s="248" t="n">
        <v>0.0</v>
      </c>
      <c r="AY19" s="248" t="n">
        <v>0.0</v>
      </c>
      <c r="AZ19" s="248" t="n">
        <v>0.0</v>
      </c>
      <c r="BA19" s="248" t="n">
        <v>0.0</v>
      </c>
      <c r="BB19" s="248" t="n">
        <v>146.63</v>
      </c>
      <c r="BC19" s="248" t="n">
        <v>0.0</v>
      </c>
      <c r="BD19" s="248" t="n">
        <v>227.59</v>
      </c>
      <c r="BE19" s="248" t="inlineStr">
        <is>
          <t>settled</t>
        </is>
      </c>
      <c r="BF19" s="248" t="inlineStr">
        <is>
          <t>2025-12-17 05:30:00</t>
        </is>
      </c>
      <c r="BG19" s="248" t="inlineStr">
        <is>
          <t>CITIN25671235852</t>
        </is>
      </c>
      <c r="BH19" s="248" t="n">
        <v>0.0</v>
      </c>
      <c r="BI19" s="248" t="inlineStr">
        <is>
          <t>37a022bed0da614004a7c558e4f12c870d7c637b327ed11407091764109e7c37</t>
        </is>
      </c>
    </row>
    <row r="20">
      <c r="A20" s="248" t="inlineStr">
        <is>
          <t>12</t>
        </is>
      </c>
      <c r="B20" s="248" t="inlineStr">
        <is>
          <t>7561048586</t>
        </is>
      </c>
      <c r="C20" s="248" t="inlineStr">
        <is>
          <t>2025-12-08 21:13:38</t>
        </is>
      </c>
      <c r="D20" s="248" t="inlineStr">
        <is>
          <t>50</t>
        </is>
      </c>
      <c r="E20" s="248" t="inlineStr">
        <is>
          <t>Bawarchi Baba- By Posh Foods</t>
        </is>
      </c>
      <c r="F20" s="248" t="inlineStr">
        <is>
          <t>20415473</t>
        </is>
      </c>
      <c r="G20" s="248" t="inlineStr">
        <is>
          <t>NA</t>
        </is>
      </c>
      <c r="H20" s="248" t="inlineStr">
        <is>
          <t>ONLINE</t>
        </is>
      </c>
      <c r="I20" s="248" t="inlineStr">
        <is>
          <t>DELIVERED</t>
        </is>
      </c>
      <c r="J20" s="248" t="inlineStr">
        <is>
          <t>NA</t>
        </is>
      </c>
      <c r="K20" s="248" t="inlineStr">
        <is>
          <t>NA</t>
        </is>
      </c>
      <c r="L20" s="248" t="inlineStr">
        <is>
          <t>NA</t>
        </is>
      </c>
      <c r="M20" s="248" t="inlineStr">
        <is>
          <t>O2</t>
        </is>
      </c>
      <c r="N20" s="248" t="inlineStr">
        <is>
          <t>9</t>
        </is>
      </c>
      <c r="O20" s="248" t="n">
        <v>320.0</v>
      </c>
      <c r="P20" s="248" t="n">
        <v>0.0</v>
      </c>
      <c r="Q20" s="248" t="n">
        <v>0.0</v>
      </c>
      <c r="R20" s="248" t="n">
        <v>0.0</v>
      </c>
      <c r="S20" s="248" t="n">
        <v>32.0</v>
      </c>
      <c r="T20" s="248" t="n">
        <v>0.0</v>
      </c>
      <c r="U20" s="248" t="n">
        <v>0.0</v>
      </c>
      <c r="V20" s="248" t="n">
        <v>14.4</v>
      </c>
      <c r="W20" s="248" t="n">
        <v>302.4</v>
      </c>
      <c r="X20" s="248" t="n">
        <v>288.0</v>
      </c>
      <c r="Y20" s="248" t="n">
        <v>0.0</v>
      </c>
      <c r="Z20" s="248" t="n">
        <v>0.0</v>
      </c>
      <c r="AA20" s="248" t="n">
        <v>288.0</v>
      </c>
      <c r="AB20" s="248" t="n">
        <v>23.0</v>
      </c>
      <c r="AC20" s="248" t="n">
        <v>66.24</v>
      </c>
      <c r="AD20" s="248" t="n">
        <v>2.34</v>
      </c>
      <c r="AE20" s="248" t="n">
        <v>0.0</v>
      </c>
      <c r="AF20" s="248" t="n">
        <v>0.0</v>
      </c>
      <c r="AG20" s="248" t="n">
        <v>0.0</v>
      </c>
      <c r="AH20" s="248" t="n">
        <v>5.56</v>
      </c>
      <c r="AI20" s="248" t="n">
        <v>71.8</v>
      </c>
      <c r="AJ20" s="248" t="n">
        <v>12.92</v>
      </c>
      <c r="AK20" s="248" t="n">
        <v>0.0</v>
      </c>
      <c r="AL20" s="248" t="n">
        <v>288.0</v>
      </c>
      <c r="AM20" s="248" t="n">
        <v>0.0</v>
      </c>
      <c r="AN20" s="248" t="n">
        <v>0.0</v>
      </c>
      <c r="AO20" s="248" t="n">
        <v>0.29</v>
      </c>
      <c r="AP20" s="248" t="n">
        <v>14.4</v>
      </c>
      <c r="AQ20" s="248" t="n">
        <v>0.0</v>
      </c>
      <c r="AR20" s="248" t="n">
        <v>27.61</v>
      </c>
      <c r="AS20" s="248" t="n">
        <v>0.0</v>
      </c>
      <c r="AT20" s="248" t="n">
        <v>0.0</v>
      </c>
      <c r="AU20" s="248" t="n">
        <v>0.0</v>
      </c>
      <c r="AV20" s="248" t="n">
        <v>0.0</v>
      </c>
      <c r="AW20" s="248" t="n">
        <v>0.0</v>
      </c>
      <c r="AX20" s="248" t="n">
        <v>0.0</v>
      </c>
      <c r="AY20" s="248" t="n">
        <v>0.0</v>
      </c>
      <c r="AZ20" s="248" t="n">
        <v>0.0</v>
      </c>
      <c r="BA20" s="248" t="n">
        <v>0.0</v>
      </c>
      <c r="BB20" s="248" t="n">
        <v>99.41</v>
      </c>
      <c r="BC20" s="248" t="n">
        <v>0.0</v>
      </c>
      <c r="BD20" s="248" t="n">
        <v>202.99</v>
      </c>
      <c r="BE20" s="248" t="inlineStr">
        <is>
          <t>settled</t>
        </is>
      </c>
      <c r="BF20" s="248" t="inlineStr">
        <is>
          <t>2025-12-17 05:30:00</t>
        </is>
      </c>
      <c r="BG20" s="248" t="inlineStr">
        <is>
          <t>CITIN25671235852</t>
        </is>
      </c>
      <c r="BH20" s="248" t="n">
        <v>0.0</v>
      </c>
      <c r="BI20" s="248" t="inlineStr">
        <is>
          <t>aa5be29e94b463f92498aeb9190fa54a04d4f14492c5ae6b8bbb1e492596ddc2</t>
        </is>
      </c>
    </row>
    <row r="21">
      <c r="A21" s="248" t="inlineStr">
        <is>
          <t>13</t>
        </is>
      </c>
      <c r="B21" s="248" t="inlineStr">
        <is>
          <t>7561000908</t>
        </is>
      </c>
      <c r="C21" s="248" t="inlineStr">
        <is>
          <t>2025-12-08 21:28:06</t>
        </is>
      </c>
      <c r="D21" s="248" t="inlineStr">
        <is>
          <t>50</t>
        </is>
      </c>
      <c r="E21" s="248" t="inlineStr">
        <is>
          <t>Bawarchi Baba- By Posh Foods</t>
        </is>
      </c>
      <c r="F21" s="248" t="inlineStr">
        <is>
          <t>20415473</t>
        </is>
      </c>
      <c r="G21" s="248" t="inlineStr">
        <is>
          <t>NA</t>
        </is>
      </c>
      <c r="H21" s="248" t="inlineStr">
        <is>
          <t>ONLINE</t>
        </is>
      </c>
      <c r="I21" s="248" t="inlineStr">
        <is>
          <t>DELIVERED</t>
        </is>
      </c>
      <c r="J21" s="248" t="inlineStr">
        <is>
          <t>NA</t>
        </is>
      </c>
      <c r="K21" s="248" t="inlineStr">
        <is>
          <t>NA</t>
        </is>
      </c>
      <c r="L21" s="248" t="inlineStr">
        <is>
          <t>NA</t>
        </is>
      </c>
      <c r="M21" s="248" t="inlineStr">
        <is>
          <t>O2</t>
        </is>
      </c>
      <c r="N21" s="248" t="inlineStr">
        <is>
          <t>9</t>
        </is>
      </c>
      <c r="O21" s="248" t="n">
        <v>675.0</v>
      </c>
      <c r="P21" s="248" t="n">
        <v>0.0</v>
      </c>
      <c r="Q21" s="248" t="n">
        <v>0.0</v>
      </c>
      <c r="R21" s="248" t="n">
        <v>0.0</v>
      </c>
      <c r="S21" s="248" t="n">
        <v>67.5</v>
      </c>
      <c r="T21" s="248" t="n">
        <v>0.0</v>
      </c>
      <c r="U21" s="248" t="n">
        <v>0.0</v>
      </c>
      <c r="V21" s="248" t="n">
        <v>30.38</v>
      </c>
      <c r="W21" s="248" t="n">
        <v>637.88</v>
      </c>
      <c r="X21" s="248" t="n">
        <v>607.5</v>
      </c>
      <c r="Y21" s="248" t="n">
        <v>0.0</v>
      </c>
      <c r="Z21" s="248" t="n">
        <v>0.0</v>
      </c>
      <c r="AA21" s="248" t="n">
        <v>607.5</v>
      </c>
      <c r="AB21" s="248" t="n">
        <v>23.0</v>
      </c>
      <c r="AC21" s="248" t="n">
        <v>139.72</v>
      </c>
      <c r="AD21" s="248" t="n">
        <v>2.58</v>
      </c>
      <c r="AE21" s="248" t="n">
        <v>0.0</v>
      </c>
      <c r="AF21" s="248" t="n">
        <v>0.0</v>
      </c>
      <c r="AG21" s="248" t="n">
        <v>0.0</v>
      </c>
      <c r="AH21" s="248" t="n">
        <v>11.74</v>
      </c>
      <c r="AI21" s="248" t="n">
        <v>151.46</v>
      </c>
      <c r="AJ21" s="248" t="n">
        <v>27.26</v>
      </c>
      <c r="AK21" s="248" t="n">
        <v>0.0</v>
      </c>
      <c r="AL21" s="248" t="n">
        <v>607.5</v>
      </c>
      <c r="AM21" s="248" t="n">
        <v>0.0</v>
      </c>
      <c r="AN21" s="248" t="n">
        <v>0.0</v>
      </c>
      <c r="AO21" s="248" t="n">
        <v>0.61</v>
      </c>
      <c r="AP21" s="248" t="n">
        <v>30.38</v>
      </c>
      <c r="AQ21" s="248" t="n">
        <v>0.0</v>
      </c>
      <c r="AR21" s="248" t="n">
        <v>58.25</v>
      </c>
      <c r="AS21" s="248" t="n">
        <v>0.0</v>
      </c>
      <c r="AT21" s="248" t="n">
        <v>0.0</v>
      </c>
      <c r="AU21" s="248" t="n">
        <v>0.0</v>
      </c>
      <c r="AV21" s="248" t="n">
        <v>0.0</v>
      </c>
      <c r="AW21" s="248" t="n">
        <v>0.0</v>
      </c>
      <c r="AX21" s="248" t="n">
        <v>0.0</v>
      </c>
      <c r="AY21" s="248" t="n">
        <v>0.0</v>
      </c>
      <c r="AZ21" s="248" t="n">
        <v>0.0</v>
      </c>
      <c r="BA21" s="248" t="n">
        <v>0.0</v>
      </c>
      <c r="BB21" s="248" t="n">
        <v>209.71</v>
      </c>
      <c r="BC21" s="248" t="n">
        <v>0.0</v>
      </c>
      <c r="BD21" s="248" t="n">
        <v>428.17</v>
      </c>
      <c r="BE21" s="248" t="inlineStr">
        <is>
          <t>settled</t>
        </is>
      </c>
      <c r="BF21" s="248" t="inlineStr">
        <is>
          <t>2025-12-17 05:30:00</t>
        </is>
      </c>
      <c r="BG21" s="248" t="inlineStr">
        <is>
          <t>CITIN25671235852</t>
        </is>
      </c>
      <c r="BH21" s="248" t="n">
        <v>0.0</v>
      </c>
      <c r="BI21" s="248" t="inlineStr">
        <is>
          <t>3e48f71dea2a8e399fe7c495b855dfa168afe50ac525b522b468e58b64b12878</t>
        </is>
      </c>
    </row>
    <row r="22">
      <c r="A22" s="248" t="inlineStr">
        <is>
          <t>14</t>
        </is>
      </c>
      <c r="B22" s="248" t="inlineStr">
        <is>
          <t>7560794873</t>
        </is>
      </c>
      <c r="C22" s="248" t="inlineStr">
        <is>
          <t>2025-12-08 21:43:53</t>
        </is>
      </c>
      <c r="D22" s="248" t="inlineStr">
        <is>
          <t>50</t>
        </is>
      </c>
      <c r="E22" s="248" t="inlineStr">
        <is>
          <t>Bawarchi Baba- By Posh Foods</t>
        </is>
      </c>
      <c r="F22" s="248" t="inlineStr">
        <is>
          <t>20415473</t>
        </is>
      </c>
      <c r="G22" s="248" t="inlineStr">
        <is>
          <t>NA</t>
        </is>
      </c>
      <c r="H22" s="248" t="inlineStr">
        <is>
          <t>ONLINE</t>
        </is>
      </c>
      <c r="I22" s="248" t="inlineStr">
        <is>
          <t>DELIVERED</t>
        </is>
      </c>
      <c r="J22" s="248" t="inlineStr">
        <is>
          <t>NA</t>
        </is>
      </c>
      <c r="K22" s="248" t="inlineStr">
        <is>
          <t>NA</t>
        </is>
      </c>
      <c r="L22" s="248" t="inlineStr">
        <is>
          <t>NA</t>
        </is>
      </c>
      <c r="M22" s="248" t="inlineStr">
        <is>
          <t>O2</t>
        </is>
      </c>
      <c r="N22" s="248" t="inlineStr">
        <is>
          <t>9</t>
        </is>
      </c>
      <c r="O22" s="248" t="n">
        <v>751.0</v>
      </c>
      <c r="P22" s="248" t="n">
        <v>0.0</v>
      </c>
      <c r="Q22" s="248" t="n">
        <v>0.0</v>
      </c>
      <c r="R22" s="248" t="n">
        <v>0.0</v>
      </c>
      <c r="S22" s="248" t="n">
        <v>75.1</v>
      </c>
      <c r="T22" s="248" t="n">
        <v>0.0</v>
      </c>
      <c r="U22" s="248" t="n">
        <v>0.0</v>
      </c>
      <c r="V22" s="248" t="n">
        <v>33.8</v>
      </c>
      <c r="W22" s="248" t="n">
        <v>709.7</v>
      </c>
      <c r="X22" s="248" t="n">
        <v>675.9</v>
      </c>
      <c r="Y22" s="248" t="n">
        <v>0.0</v>
      </c>
      <c r="Z22" s="248" t="n">
        <v>0.0</v>
      </c>
      <c r="AA22" s="248" t="n">
        <v>675.9</v>
      </c>
      <c r="AB22" s="248" t="n">
        <v>23.0</v>
      </c>
      <c r="AC22" s="248" t="n">
        <v>155.46</v>
      </c>
      <c r="AD22" s="248" t="n">
        <v>5.51</v>
      </c>
      <c r="AE22" s="248" t="n">
        <v>20.0</v>
      </c>
      <c r="AF22" s="248" t="n">
        <v>0.0</v>
      </c>
      <c r="AG22" s="248" t="n">
        <v>0.0</v>
      </c>
      <c r="AH22" s="248" t="n">
        <v>13.06</v>
      </c>
      <c r="AI22" s="248" t="n">
        <v>188.52</v>
      </c>
      <c r="AJ22" s="248" t="n">
        <v>33.93</v>
      </c>
      <c r="AK22" s="248" t="n">
        <v>0.0</v>
      </c>
      <c r="AL22" s="248" t="n">
        <v>675.9</v>
      </c>
      <c r="AM22" s="248" t="n">
        <v>0.0</v>
      </c>
      <c r="AN22" s="248" t="n">
        <v>0.0</v>
      </c>
      <c r="AO22" s="248" t="n">
        <v>0.68</v>
      </c>
      <c r="AP22" s="248" t="n">
        <v>33.8</v>
      </c>
      <c r="AQ22" s="248" t="n">
        <v>0.0</v>
      </c>
      <c r="AR22" s="248" t="n">
        <v>68.41</v>
      </c>
      <c r="AS22" s="248" t="n">
        <v>0.0</v>
      </c>
      <c r="AT22" s="248" t="n">
        <v>0.0</v>
      </c>
      <c r="AU22" s="248" t="n">
        <v>0.0</v>
      </c>
      <c r="AV22" s="248" t="n">
        <v>0.0</v>
      </c>
      <c r="AW22" s="248" t="n">
        <v>0.0</v>
      </c>
      <c r="AX22" s="248" t="n">
        <v>0.0</v>
      </c>
      <c r="AY22" s="248" t="n">
        <v>0.0</v>
      </c>
      <c r="AZ22" s="248" t="n">
        <v>0.0</v>
      </c>
      <c r="BA22" s="248" t="n">
        <v>0.0</v>
      </c>
      <c r="BB22" s="248" t="n">
        <v>256.93</v>
      </c>
      <c r="BC22" s="248" t="n">
        <v>0.0</v>
      </c>
      <c r="BD22" s="248" t="n">
        <v>452.77</v>
      </c>
      <c r="BE22" s="248" t="inlineStr">
        <is>
          <t>settled</t>
        </is>
      </c>
      <c r="BF22" s="248" t="inlineStr">
        <is>
          <t>2025-12-17 05:30:00</t>
        </is>
      </c>
      <c r="BG22" s="248" t="inlineStr">
        <is>
          <t>CITIN25671235852</t>
        </is>
      </c>
      <c r="BH22" s="248" t="n">
        <v>0.0</v>
      </c>
      <c r="BI22" s="248" t="inlineStr">
        <is>
          <t>611b318f97e954a8e0bb3252a137fb669780c97b2f26c00da589b1f0e47fb4ed</t>
        </is>
      </c>
    </row>
    <row r="23">
      <c r="A23" s="248" t="inlineStr">
        <is>
          <t>15</t>
        </is>
      </c>
      <c r="B23" s="248" t="inlineStr">
        <is>
          <t>7551796882</t>
        </is>
      </c>
      <c r="C23" s="248" t="inlineStr">
        <is>
          <t>2025-12-08 21:50:24</t>
        </is>
      </c>
      <c r="D23" s="248" t="inlineStr">
        <is>
          <t>50</t>
        </is>
      </c>
      <c r="E23" s="248" t="inlineStr">
        <is>
          <t>Bawarchi Baba- By Posh Foods</t>
        </is>
      </c>
      <c r="F23" s="248" t="inlineStr">
        <is>
          <t>20415473</t>
        </is>
      </c>
      <c r="G23" s="248" t="inlineStr">
        <is>
          <t>NA</t>
        </is>
      </c>
      <c r="H23" s="248" t="inlineStr">
        <is>
          <t>ONLINE</t>
        </is>
      </c>
      <c r="I23" s="248" t="inlineStr">
        <is>
          <t>DELIVERED</t>
        </is>
      </c>
      <c r="J23" s="248" t="inlineStr">
        <is>
          <t>NA</t>
        </is>
      </c>
      <c r="K23" s="248" t="inlineStr">
        <is>
          <t>NA</t>
        </is>
      </c>
      <c r="L23" s="248" t="inlineStr">
        <is>
          <t>NA</t>
        </is>
      </c>
      <c r="M23" s="248" t="inlineStr">
        <is>
          <t>O2</t>
        </is>
      </c>
      <c r="N23" s="248" t="inlineStr">
        <is>
          <t>9</t>
        </is>
      </c>
      <c r="O23" s="248" t="n">
        <v>445.0</v>
      </c>
      <c r="P23" s="248" t="n">
        <v>0.0</v>
      </c>
      <c r="Q23" s="248" t="n">
        <v>0.0</v>
      </c>
      <c r="R23" s="248" t="n">
        <v>0.0</v>
      </c>
      <c r="S23" s="248" t="n">
        <v>44.5</v>
      </c>
      <c r="T23" s="248" t="n">
        <v>0.0</v>
      </c>
      <c r="U23" s="248" t="n">
        <v>0.0</v>
      </c>
      <c r="V23" s="248" t="n">
        <v>20.03</v>
      </c>
      <c r="W23" s="248" t="n">
        <v>420.53</v>
      </c>
      <c r="X23" s="248" t="n">
        <v>400.5</v>
      </c>
      <c r="Y23" s="248" t="n">
        <v>0.0</v>
      </c>
      <c r="Z23" s="248" t="n">
        <v>0.0</v>
      </c>
      <c r="AA23" s="248" t="n">
        <v>400.5</v>
      </c>
      <c r="AB23" s="248" t="n">
        <v>23.0</v>
      </c>
      <c r="AC23" s="248" t="n">
        <v>92.12</v>
      </c>
      <c r="AD23" s="248" t="n">
        <v>1.98</v>
      </c>
      <c r="AE23" s="248" t="n">
        <v>0.0</v>
      </c>
      <c r="AF23" s="248" t="n">
        <v>0.0</v>
      </c>
      <c r="AG23" s="248" t="n">
        <v>0.0</v>
      </c>
      <c r="AH23" s="248" t="n">
        <v>7.74</v>
      </c>
      <c r="AI23" s="248" t="n">
        <v>99.86</v>
      </c>
      <c r="AJ23" s="248" t="n">
        <v>17.97</v>
      </c>
      <c r="AK23" s="248" t="n">
        <v>0.0</v>
      </c>
      <c r="AL23" s="248" t="n">
        <v>400.5</v>
      </c>
      <c r="AM23" s="248" t="n">
        <v>0.0</v>
      </c>
      <c r="AN23" s="248" t="n">
        <v>0.0</v>
      </c>
      <c r="AO23" s="248" t="n">
        <v>0.4</v>
      </c>
      <c r="AP23" s="248" t="n">
        <v>20.03</v>
      </c>
      <c r="AQ23" s="248" t="n">
        <v>0.0</v>
      </c>
      <c r="AR23" s="248" t="n">
        <v>38.4</v>
      </c>
      <c r="AS23" s="248" t="n">
        <v>0.0</v>
      </c>
      <c r="AT23" s="248" t="n">
        <v>0.0</v>
      </c>
      <c r="AU23" s="248" t="n">
        <v>0.0</v>
      </c>
      <c r="AV23" s="248" t="n">
        <v>0.0</v>
      </c>
      <c r="AW23" s="248" t="n">
        <v>0.0</v>
      </c>
      <c r="AX23" s="248" t="n">
        <v>0.0</v>
      </c>
      <c r="AY23" s="248" t="n">
        <v>0.0</v>
      </c>
      <c r="AZ23" s="248" t="n">
        <v>0.0</v>
      </c>
      <c r="BA23" s="248" t="n">
        <v>0.0</v>
      </c>
      <c r="BB23" s="248" t="n">
        <v>138.26</v>
      </c>
      <c r="BC23" s="248" t="n">
        <v>0.0</v>
      </c>
      <c r="BD23" s="248" t="n">
        <v>282.27</v>
      </c>
      <c r="BE23" s="248" t="inlineStr">
        <is>
          <t>settled</t>
        </is>
      </c>
      <c r="BF23" s="248" t="inlineStr">
        <is>
          <t>2025-12-17 05:30:00</t>
        </is>
      </c>
      <c r="BG23" s="248" t="inlineStr">
        <is>
          <t>CITIN25671235852</t>
        </is>
      </c>
      <c r="BH23" s="248" t="n">
        <v>0.0</v>
      </c>
      <c r="BI23" s="248" t="inlineStr">
        <is>
          <t>07d1e264be075a9f1733a91c8b22332189efc8eaed0075af7900b8073e537117</t>
        </is>
      </c>
    </row>
    <row r="24">
      <c r="A24" s="248" t="inlineStr">
        <is>
          <t>16</t>
        </is>
      </c>
      <c r="B24" s="248" t="inlineStr">
        <is>
          <t>7562380587</t>
        </is>
      </c>
      <c r="C24" s="248" t="inlineStr">
        <is>
          <t>2025-12-08 22:08:39</t>
        </is>
      </c>
      <c r="D24" s="248" t="inlineStr">
        <is>
          <t>50</t>
        </is>
      </c>
      <c r="E24" s="248" t="inlineStr">
        <is>
          <t>Bawarchi Baba- By Posh Foods</t>
        </is>
      </c>
      <c r="F24" s="248" t="inlineStr">
        <is>
          <t>20415473</t>
        </is>
      </c>
      <c r="G24" s="248" t="inlineStr">
        <is>
          <t>NA</t>
        </is>
      </c>
      <c r="H24" s="248" t="inlineStr">
        <is>
          <t>ONLINE</t>
        </is>
      </c>
      <c r="I24" s="248" t="inlineStr">
        <is>
          <t>DELIVERED</t>
        </is>
      </c>
      <c r="J24" s="248" t="inlineStr">
        <is>
          <t>NA</t>
        </is>
      </c>
      <c r="K24" s="248" t="inlineStr">
        <is>
          <t>NA</t>
        </is>
      </c>
      <c r="L24" s="248" t="inlineStr">
        <is>
          <t>NA</t>
        </is>
      </c>
      <c r="M24" s="248" t="inlineStr">
        <is>
          <t>O2</t>
        </is>
      </c>
      <c r="N24" s="248" t="inlineStr">
        <is>
          <t>9</t>
        </is>
      </c>
      <c r="O24" s="248" t="n">
        <v>600.0</v>
      </c>
      <c r="P24" s="248" t="n">
        <v>0.0</v>
      </c>
      <c r="Q24" s="248" t="n">
        <v>0.0</v>
      </c>
      <c r="R24" s="248" t="n">
        <v>0.0</v>
      </c>
      <c r="S24" s="248" t="n">
        <v>60.0</v>
      </c>
      <c r="T24" s="248" t="n">
        <v>0.0</v>
      </c>
      <c r="U24" s="248" t="n">
        <v>0.0</v>
      </c>
      <c r="V24" s="248" t="n">
        <v>27.0</v>
      </c>
      <c r="W24" s="248" t="n">
        <v>567.0</v>
      </c>
      <c r="X24" s="248" t="n">
        <v>540.0</v>
      </c>
      <c r="Y24" s="248" t="n">
        <v>0.0</v>
      </c>
      <c r="Z24" s="248" t="n">
        <v>0.0</v>
      </c>
      <c r="AA24" s="248" t="n">
        <v>540.0</v>
      </c>
      <c r="AB24" s="248" t="n">
        <v>23.0</v>
      </c>
      <c r="AC24" s="248" t="n">
        <v>124.2</v>
      </c>
      <c r="AD24" s="248" t="n">
        <v>1.91</v>
      </c>
      <c r="AE24" s="248" t="n">
        <v>0.0</v>
      </c>
      <c r="AF24" s="248" t="n">
        <v>0.0</v>
      </c>
      <c r="AG24" s="248" t="n">
        <v>0.0</v>
      </c>
      <c r="AH24" s="248" t="n">
        <v>10.43</v>
      </c>
      <c r="AI24" s="248" t="n">
        <v>134.63</v>
      </c>
      <c r="AJ24" s="248" t="n">
        <v>24.24</v>
      </c>
      <c r="AK24" s="248" t="n">
        <v>0.0</v>
      </c>
      <c r="AL24" s="248" t="n">
        <v>540.0</v>
      </c>
      <c r="AM24" s="248" t="n">
        <v>0.0</v>
      </c>
      <c r="AN24" s="248" t="n">
        <v>0.0</v>
      </c>
      <c r="AO24" s="248" t="n">
        <v>0.54</v>
      </c>
      <c r="AP24" s="248" t="n">
        <v>27.0</v>
      </c>
      <c r="AQ24" s="248" t="n">
        <v>0.0</v>
      </c>
      <c r="AR24" s="248" t="n">
        <v>51.78</v>
      </c>
      <c r="AS24" s="248" t="n">
        <v>0.0</v>
      </c>
      <c r="AT24" s="248" t="n">
        <v>0.0</v>
      </c>
      <c r="AU24" s="248" t="n">
        <v>0.0</v>
      </c>
      <c r="AV24" s="248" t="n">
        <v>0.0</v>
      </c>
      <c r="AW24" s="248" t="n">
        <v>0.0</v>
      </c>
      <c r="AX24" s="248" t="n">
        <v>0.0</v>
      </c>
      <c r="AY24" s="248" t="n">
        <v>0.0</v>
      </c>
      <c r="AZ24" s="248" t="n">
        <v>0.0</v>
      </c>
      <c r="BA24" s="248" t="n">
        <v>0.0</v>
      </c>
      <c r="BB24" s="248" t="n">
        <v>186.41</v>
      </c>
      <c r="BC24" s="248" t="n">
        <v>0.0</v>
      </c>
      <c r="BD24" s="248" t="n">
        <v>380.59</v>
      </c>
      <c r="BE24" s="248" t="inlineStr">
        <is>
          <t>settled</t>
        </is>
      </c>
      <c r="BF24" s="248" t="inlineStr">
        <is>
          <t>2025-12-17 05:30:00</t>
        </is>
      </c>
      <c r="BG24" s="248" t="inlineStr">
        <is>
          <t>CITIN25671235852</t>
        </is>
      </c>
      <c r="BH24" s="248" t="n">
        <v>0.0</v>
      </c>
      <c r="BI24" s="248" t="inlineStr">
        <is>
          <t>2299dfe683eab1fff0cfc58dd118c964cdaea50ac52470606c318cb9a220acc2</t>
        </is>
      </c>
    </row>
    <row r="25">
      <c r="A25" s="248" t="inlineStr">
        <is>
          <t>17</t>
        </is>
      </c>
      <c r="B25" s="248" t="inlineStr">
        <is>
          <t>7562065144</t>
        </is>
      </c>
      <c r="C25" s="248" t="inlineStr">
        <is>
          <t>2025-12-09 14:12:31</t>
        </is>
      </c>
      <c r="D25" s="248" t="inlineStr">
        <is>
          <t>50</t>
        </is>
      </c>
      <c r="E25" s="248" t="inlineStr">
        <is>
          <t>Bawarchi Baba- By Posh Foods</t>
        </is>
      </c>
      <c r="F25" s="248" t="inlineStr">
        <is>
          <t>20415473</t>
        </is>
      </c>
      <c r="G25" s="248" t="inlineStr">
        <is>
          <t>NA</t>
        </is>
      </c>
      <c r="H25" s="248" t="inlineStr">
        <is>
          <t>ONLINE</t>
        </is>
      </c>
      <c r="I25" s="248" t="inlineStr">
        <is>
          <t>DELIVERED</t>
        </is>
      </c>
      <c r="J25" s="248" t="inlineStr">
        <is>
          <t>NA</t>
        </is>
      </c>
      <c r="K25" s="248" t="inlineStr">
        <is>
          <t>NA</t>
        </is>
      </c>
      <c r="L25" s="248" t="inlineStr">
        <is>
          <t>NA</t>
        </is>
      </c>
      <c r="M25" s="248" t="inlineStr">
        <is>
          <t>O2</t>
        </is>
      </c>
      <c r="N25" s="248" t="inlineStr">
        <is>
          <t>9</t>
        </is>
      </c>
      <c r="O25" s="248" t="n">
        <v>420.0</v>
      </c>
      <c r="P25" s="248" t="n">
        <v>0.0</v>
      </c>
      <c r="Q25" s="248" t="n">
        <v>0.0</v>
      </c>
      <c r="R25" s="248" t="n">
        <v>0.0</v>
      </c>
      <c r="S25" s="248" t="n">
        <v>0.0</v>
      </c>
      <c r="T25" s="248" t="n">
        <v>0.0</v>
      </c>
      <c r="U25" s="248" t="n">
        <v>0.0</v>
      </c>
      <c r="V25" s="248" t="n">
        <v>21.0</v>
      </c>
      <c r="W25" s="248" t="n">
        <v>441.0</v>
      </c>
      <c r="X25" s="248" t="n">
        <v>420.0</v>
      </c>
      <c r="Y25" s="248" t="n">
        <v>0.0</v>
      </c>
      <c r="Z25" s="248" t="n">
        <v>0.0</v>
      </c>
      <c r="AA25" s="248" t="n">
        <v>420.0</v>
      </c>
      <c r="AB25" s="248" t="n">
        <v>23.0</v>
      </c>
      <c r="AC25" s="248" t="n">
        <v>96.6</v>
      </c>
      <c r="AD25" s="248" t="n">
        <v>5.47</v>
      </c>
      <c r="AE25" s="248" t="n">
        <v>20.0</v>
      </c>
      <c r="AF25" s="248" t="n">
        <v>0.0</v>
      </c>
      <c r="AG25" s="248" t="n">
        <v>0.0</v>
      </c>
      <c r="AH25" s="248" t="n">
        <v>8.11</v>
      </c>
      <c r="AI25" s="248" t="n">
        <v>124.71</v>
      </c>
      <c r="AJ25" s="248" t="n">
        <v>22.45</v>
      </c>
      <c r="AK25" s="248" t="n">
        <v>0.0</v>
      </c>
      <c r="AL25" s="248" t="n">
        <v>420.0</v>
      </c>
      <c r="AM25" s="248" t="n">
        <v>0.0</v>
      </c>
      <c r="AN25" s="248" t="n">
        <v>0.0</v>
      </c>
      <c r="AO25" s="248" t="n">
        <v>0.42</v>
      </c>
      <c r="AP25" s="248" t="n">
        <v>21.0</v>
      </c>
      <c r="AQ25" s="248" t="n">
        <v>0.0</v>
      </c>
      <c r="AR25" s="248" t="n">
        <v>43.87</v>
      </c>
      <c r="AS25" s="248" t="n">
        <v>0.0</v>
      </c>
      <c r="AT25" s="248" t="n">
        <v>0.0</v>
      </c>
      <c r="AU25" s="248" t="n">
        <v>0.0</v>
      </c>
      <c r="AV25" s="248" t="n">
        <v>0.0</v>
      </c>
      <c r="AW25" s="248" t="n">
        <v>0.0</v>
      </c>
      <c r="AX25" s="248" t="n">
        <v>0.0</v>
      </c>
      <c r="AY25" s="248" t="n">
        <v>0.0</v>
      </c>
      <c r="AZ25" s="248" t="n">
        <v>0.0</v>
      </c>
      <c r="BA25" s="248" t="n">
        <v>0.0</v>
      </c>
      <c r="BB25" s="248" t="n">
        <v>168.58</v>
      </c>
      <c r="BC25" s="248" t="n">
        <v>0.0</v>
      </c>
      <c r="BD25" s="248" t="n">
        <v>272.42</v>
      </c>
      <c r="BE25" s="248" t="inlineStr">
        <is>
          <t>settled</t>
        </is>
      </c>
      <c r="BF25" s="248" t="inlineStr">
        <is>
          <t>2025-12-17 05:30:00</t>
        </is>
      </c>
      <c r="BG25" s="248" t="inlineStr">
        <is>
          <t>CITIN25671235852</t>
        </is>
      </c>
      <c r="BH25" s="248" t="n">
        <v>0.0</v>
      </c>
      <c r="BI25" s="248" t="inlineStr">
        <is>
          <t>d427f54af139d2ac05cfb4e4d68c778e39d3b1b39188947420b84c45f5750e50</t>
        </is>
      </c>
    </row>
    <row r="26">
      <c r="A26" s="248" t="inlineStr">
        <is>
          <t>18</t>
        </is>
      </c>
      <c r="B26" s="248" t="inlineStr">
        <is>
          <t>7560929148</t>
        </is>
      </c>
      <c r="C26" s="248" t="inlineStr">
        <is>
          <t>2025-12-09 20:23:56</t>
        </is>
      </c>
      <c r="D26" s="248" t="inlineStr">
        <is>
          <t>50</t>
        </is>
      </c>
      <c r="E26" s="248" t="inlineStr">
        <is>
          <t>Bawarchi Baba- By Posh Foods</t>
        </is>
      </c>
      <c r="F26" s="248" t="inlineStr">
        <is>
          <t>20415473</t>
        </is>
      </c>
      <c r="G26" s="248" t="inlineStr">
        <is>
          <t>NA</t>
        </is>
      </c>
      <c r="H26" s="248" t="inlineStr">
        <is>
          <t>ONLINE</t>
        </is>
      </c>
      <c r="I26" s="248" t="inlineStr">
        <is>
          <t>DELIVERED</t>
        </is>
      </c>
      <c r="J26" s="248" t="inlineStr">
        <is>
          <t>NA</t>
        </is>
      </c>
      <c r="K26" s="248" t="inlineStr">
        <is>
          <t>NA</t>
        </is>
      </c>
      <c r="L26" s="248" t="inlineStr">
        <is>
          <t>NA</t>
        </is>
      </c>
      <c r="M26" s="248" t="inlineStr">
        <is>
          <t>O2</t>
        </is>
      </c>
      <c r="N26" s="248" t="inlineStr">
        <is>
          <t>9</t>
        </is>
      </c>
      <c r="O26" s="248" t="n">
        <v>590.0</v>
      </c>
      <c r="P26" s="248" t="n">
        <v>0.0</v>
      </c>
      <c r="Q26" s="248" t="n">
        <v>0.0</v>
      </c>
      <c r="R26" s="248" t="n">
        <v>0.0</v>
      </c>
      <c r="S26" s="248" t="n">
        <v>59.0</v>
      </c>
      <c r="T26" s="248" t="n">
        <v>0.0</v>
      </c>
      <c r="U26" s="248" t="n">
        <v>0.0</v>
      </c>
      <c r="V26" s="248" t="n">
        <v>26.55</v>
      </c>
      <c r="W26" s="248" t="n">
        <v>557.55</v>
      </c>
      <c r="X26" s="248" t="n">
        <v>531.0</v>
      </c>
      <c r="Y26" s="248" t="n">
        <v>0.0</v>
      </c>
      <c r="Z26" s="248" t="n">
        <v>0.0</v>
      </c>
      <c r="AA26" s="248" t="n">
        <v>531.0</v>
      </c>
      <c r="AB26" s="248" t="n">
        <v>23.0</v>
      </c>
      <c r="AC26" s="248" t="n">
        <v>122.13</v>
      </c>
      <c r="AD26" s="248" t="n">
        <v>6.31</v>
      </c>
      <c r="AE26" s="248" t="n">
        <v>40.0</v>
      </c>
      <c r="AF26" s="248" t="n">
        <v>0.0</v>
      </c>
      <c r="AG26" s="248" t="n">
        <v>2.83</v>
      </c>
      <c r="AH26" s="248" t="n">
        <v>10.26</v>
      </c>
      <c r="AI26" s="248" t="n">
        <v>169.56</v>
      </c>
      <c r="AJ26" s="248" t="n">
        <v>30.52</v>
      </c>
      <c r="AK26" s="248" t="n">
        <v>0.0</v>
      </c>
      <c r="AL26" s="248" t="n">
        <v>531.0</v>
      </c>
      <c r="AM26" s="248" t="n">
        <v>0.0</v>
      </c>
      <c r="AN26" s="248" t="n">
        <v>0.0</v>
      </c>
      <c r="AO26" s="248" t="n">
        <v>0.53</v>
      </c>
      <c r="AP26" s="248" t="n">
        <v>26.55</v>
      </c>
      <c r="AQ26" s="248" t="n">
        <v>0.0</v>
      </c>
      <c r="AR26" s="248" t="n">
        <v>57.6</v>
      </c>
      <c r="AS26" s="248" t="n">
        <v>0.0</v>
      </c>
      <c r="AT26" s="248" t="n">
        <v>0.0</v>
      </c>
      <c r="AU26" s="248" t="n">
        <v>0.0</v>
      </c>
      <c r="AV26" s="248" t="n">
        <v>0.0</v>
      </c>
      <c r="AW26" s="248" t="n">
        <v>0.0</v>
      </c>
      <c r="AX26" s="248" t="n">
        <v>0.0</v>
      </c>
      <c r="AY26" s="248" t="n">
        <v>0.0</v>
      </c>
      <c r="AZ26" s="248" t="n">
        <v>0.0</v>
      </c>
      <c r="BA26" s="248" t="n">
        <v>0.0</v>
      </c>
      <c r="BB26" s="248" t="n">
        <v>227.16</v>
      </c>
      <c r="BC26" s="248" t="n">
        <v>0.0</v>
      </c>
      <c r="BD26" s="248" t="n">
        <v>330.39</v>
      </c>
      <c r="BE26" s="248" t="inlineStr">
        <is>
          <t>settled</t>
        </is>
      </c>
      <c r="BF26" s="248" t="inlineStr">
        <is>
          <t>2025-12-17 05:30:00</t>
        </is>
      </c>
      <c r="BG26" s="248" t="inlineStr">
        <is>
          <t>CITIN25671235852</t>
        </is>
      </c>
      <c r="BH26" s="248" t="n">
        <v>0.0</v>
      </c>
      <c r="BI26" s="248" t="inlineStr">
        <is>
          <t>45b62fd216501b305b549d4985874f8e3cbe995df8a75416230c10b2a447ed05</t>
        </is>
      </c>
    </row>
    <row r="27">
      <c r="A27" s="248" t="inlineStr">
        <is>
          <t>19</t>
        </is>
      </c>
      <c r="B27" s="248" t="inlineStr">
        <is>
          <t>7551190559</t>
        </is>
      </c>
      <c r="C27" s="248" t="inlineStr">
        <is>
          <t>2025-12-09 21:37:25</t>
        </is>
      </c>
      <c r="D27" s="248" t="inlineStr">
        <is>
          <t>50</t>
        </is>
      </c>
      <c r="E27" s="248" t="inlineStr">
        <is>
          <t>Bawarchi Baba- By Posh Foods</t>
        </is>
      </c>
      <c r="F27" s="248" t="inlineStr">
        <is>
          <t>20415473</t>
        </is>
      </c>
      <c r="G27" s="248" t="inlineStr">
        <is>
          <t>NA</t>
        </is>
      </c>
      <c r="H27" s="248" t="inlineStr">
        <is>
          <t>ONLINE</t>
        </is>
      </c>
      <c r="I27" s="248" t="inlineStr">
        <is>
          <t>DELIVERED</t>
        </is>
      </c>
      <c r="J27" s="248" t="inlineStr">
        <is>
          <t>NA</t>
        </is>
      </c>
      <c r="K27" s="248" t="inlineStr">
        <is>
          <t>NA</t>
        </is>
      </c>
      <c r="L27" s="248" t="inlineStr">
        <is>
          <t>NA</t>
        </is>
      </c>
      <c r="M27" s="248" t="inlineStr">
        <is>
          <t>O2</t>
        </is>
      </c>
      <c r="N27" s="248" t="inlineStr">
        <is>
          <t>9</t>
        </is>
      </c>
      <c r="O27" s="248" t="n">
        <v>434.0</v>
      </c>
      <c r="P27" s="248" t="n">
        <v>0.0</v>
      </c>
      <c r="Q27" s="248" t="n">
        <v>0.0</v>
      </c>
      <c r="R27" s="248" t="n">
        <v>0.0</v>
      </c>
      <c r="S27" s="248" t="n">
        <v>43.4</v>
      </c>
      <c r="T27" s="248" t="n">
        <v>0.0</v>
      </c>
      <c r="U27" s="248" t="n">
        <v>0.0</v>
      </c>
      <c r="V27" s="248" t="n">
        <v>19.53</v>
      </c>
      <c r="W27" s="248" t="n">
        <v>410.13</v>
      </c>
      <c r="X27" s="248" t="n">
        <v>390.6</v>
      </c>
      <c r="Y27" s="248" t="n">
        <v>0.0</v>
      </c>
      <c r="Z27" s="248" t="n">
        <v>0.0</v>
      </c>
      <c r="AA27" s="248" t="n">
        <v>390.6</v>
      </c>
      <c r="AB27" s="248" t="n">
        <v>23.0</v>
      </c>
      <c r="AC27" s="248" t="n">
        <v>89.84</v>
      </c>
      <c r="AD27" s="248" t="n">
        <v>3.49</v>
      </c>
      <c r="AE27" s="248" t="n">
        <v>0.0</v>
      </c>
      <c r="AF27" s="248" t="n">
        <v>0.0</v>
      </c>
      <c r="AG27" s="248" t="n">
        <v>0.0</v>
      </c>
      <c r="AH27" s="248" t="n">
        <v>7.55</v>
      </c>
      <c r="AI27" s="248" t="n">
        <v>97.39</v>
      </c>
      <c r="AJ27" s="248" t="n">
        <v>17.53</v>
      </c>
      <c r="AK27" s="248" t="n">
        <v>0.0</v>
      </c>
      <c r="AL27" s="248" t="n">
        <v>390.6</v>
      </c>
      <c r="AM27" s="248" t="n">
        <v>0.0</v>
      </c>
      <c r="AN27" s="248" t="n">
        <v>0.0</v>
      </c>
      <c r="AO27" s="248" t="n">
        <v>0.39</v>
      </c>
      <c r="AP27" s="248" t="n">
        <v>19.53</v>
      </c>
      <c r="AQ27" s="248" t="n">
        <v>0.0</v>
      </c>
      <c r="AR27" s="248" t="n">
        <v>37.45</v>
      </c>
      <c r="AS27" s="248" t="n">
        <v>0.0</v>
      </c>
      <c r="AT27" s="248" t="n">
        <v>0.0</v>
      </c>
      <c r="AU27" s="248" t="n">
        <v>0.0</v>
      </c>
      <c r="AV27" s="248" t="n">
        <v>0.0</v>
      </c>
      <c r="AW27" s="248" t="n">
        <v>0.0</v>
      </c>
      <c r="AX27" s="248" t="n">
        <v>0.0</v>
      </c>
      <c r="AY27" s="248" t="n">
        <v>0.0</v>
      </c>
      <c r="AZ27" s="248" t="n">
        <v>0.0</v>
      </c>
      <c r="BA27" s="248" t="n">
        <v>0.0</v>
      </c>
      <c r="BB27" s="248" t="n">
        <v>134.84</v>
      </c>
      <c r="BC27" s="248" t="n">
        <v>0.0</v>
      </c>
      <c r="BD27" s="248" t="n">
        <v>275.29</v>
      </c>
      <c r="BE27" s="248" t="inlineStr">
        <is>
          <t>settled</t>
        </is>
      </c>
      <c r="BF27" s="248" t="inlineStr">
        <is>
          <t>2025-12-17 05:30:00</t>
        </is>
      </c>
      <c r="BG27" s="248" t="inlineStr">
        <is>
          <t>CITIN25671235852</t>
        </is>
      </c>
      <c r="BH27" s="248" t="n">
        <v>0.0</v>
      </c>
      <c r="BI27" s="248" t="inlineStr">
        <is>
          <t>0f5a2af02a066b9c747168c9f83b03408959098f27008ece4bc7a0928e20f59f</t>
        </is>
      </c>
    </row>
    <row r="28">
      <c r="A28" s="248" t="inlineStr">
        <is>
          <t>20</t>
        </is>
      </c>
      <c r="B28" s="248" t="inlineStr">
        <is>
          <t>7564139767</t>
        </is>
      </c>
      <c r="C28" s="248" t="inlineStr">
        <is>
          <t>2025-12-09 21:38:45</t>
        </is>
      </c>
      <c r="D28" s="248" t="inlineStr">
        <is>
          <t>50</t>
        </is>
      </c>
      <c r="E28" s="248" t="inlineStr">
        <is>
          <t>Bawarchi Baba- By Posh Foods</t>
        </is>
      </c>
      <c r="F28" s="248" t="inlineStr">
        <is>
          <t>20415473</t>
        </is>
      </c>
      <c r="G28" s="248" t="inlineStr">
        <is>
          <t>NA</t>
        </is>
      </c>
      <c r="H28" s="248" t="inlineStr">
        <is>
          <t>ONLINE</t>
        </is>
      </c>
      <c r="I28" s="248" t="inlineStr">
        <is>
          <t>DELIVERED</t>
        </is>
      </c>
      <c r="J28" s="248" t="inlineStr">
        <is>
          <t>NA</t>
        </is>
      </c>
      <c r="K28" s="248" t="inlineStr">
        <is>
          <t>NA</t>
        </is>
      </c>
      <c r="L28" s="248" t="inlineStr">
        <is>
          <t>NA</t>
        </is>
      </c>
      <c r="M28" s="248" t="inlineStr">
        <is>
          <t>O2</t>
        </is>
      </c>
      <c r="N28" s="248" t="inlineStr">
        <is>
          <t>9</t>
        </is>
      </c>
      <c r="O28" s="248" t="n">
        <v>315.0</v>
      </c>
      <c r="P28" s="248" t="n">
        <v>0.0</v>
      </c>
      <c r="Q28" s="248" t="n">
        <v>0.0</v>
      </c>
      <c r="R28" s="248" t="n">
        <v>0.0</v>
      </c>
      <c r="S28" s="248" t="n">
        <v>31.5</v>
      </c>
      <c r="T28" s="248" t="n">
        <v>0.0</v>
      </c>
      <c r="U28" s="248" t="n">
        <v>0.0</v>
      </c>
      <c r="V28" s="248" t="n">
        <v>14.18</v>
      </c>
      <c r="W28" s="248" t="n">
        <v>297.68</v>
      </c>
      <c r="X28" s="248" t="n">
        <v>283.5</v>
      </c>
      <c r="Y28" s="248" t="n">
        <v>0.0</v>
      </c>
      <c r="Z28" s="248" t="n">
        <v>0.0</v>
      </c>
      <c r="AA28" s="248" t="n">
        <v>283.5</v>
      </c>
      <c r="AB28" s="248" t="n">
        <v>23.0</v>
      </c>
      <c r="AC28" s="248" t="n">
        <v>65.2</v>
      </c>
      <c r="AD28" s="248" t="n">
        <v>3.49</v>
      </c>
      <c r="AE28" s="248" t="n">
        <v>0.0</v>
      </c>
      <c r="AF28" s="248" t="n">
        <v>0.0</v>
      </c>
      <c r="AG28" s="248" t="n">
        <v>0.0</v>
      </c>
      <c r="AH28" s="248" t="n">
        <v>5.48</v>
      </c>
      <c r="AI28" s="248" t="n">
        <v>70.68</v>
      </c>
      <c r="AJ28" s="248" t="n">
        <v>12.73</v>
      </c>
      <c r="AK28" s="248" t="n">
        <v>0.0</v>
      </c>
      <c r="AL28" s="248" t="n">
        <v>283.5</v>
      </c>
      <c r="AM28" s="248" t="n">
        <v>0.0</v>
      </c>
      <c r="AN28" s="248" t="n">
        <v>0.0</v>
      </c>
      <c r="AO28" s="248" t="n">
        <v>0.28</v>
      </c>
      <c r="AP28" s="248" t="n">
        <v>14.18</v>
      </c>
      <c r="AQ28" s="248" t="n">
        <v>0.0</v>
      </c>
      <c r="AR28" s="248" t="n">
        <v>27.19</v>
      </c>
      <c r="AS28" s="248" t="n">
        <v>0.0</v>
      </c>
      <c r="AT28" s="248" t="n">
        <v>0.0</v>
      </c>
      <c r="AU28" s="248" t="n">
        <v>0.0</v>
      </c>
      <c r="AV28" s="248" t="n">
        <v>0.0</v>
      </c>
      <c r="AW28" s="248" t="n">
        <v>0.0</v>
      </c>
      <c r="AX28" s="248" t="n">
        <v>0.0</v>
      </c>
      <c r="AY28" s="248" t="n">
        <v>0.0</v>
      </c>
      <c r="AZ28" s="248" t="n">
        <v>0.0</v>
      </c>
      <c r="BA28" s="248" t="n">
        <v>0.0</v>
      </c>
      <c r="BB28" s="248" t="n">
        <v>97.87</v>
      </c>
      <c r="BC28" s="248" t="n">
        <v>0.0</v>
      </c>
      <c r="BD28" s="248" t="n">
        <v>199.81</v>
      </c>
      <c r="BE28" s="248" t="inlineStr">
        <is>
          <t>settled</t>
        </is>
      </c>
      <c r="BF28" s="248" t="inlineStr">
        <is>
          <t>2025-12-17 05:30:00</t>
        </is>
      </c>
      <c r="BG28" s="248" t="inlineStr">
        <is>
          <t>CITIN25671235852</t>
        </is>
      </c>
      <c r="BH28" s="248" t="n">
        <v>0.0</v>
      </c>
      <c r="BI28" s="248" t="inlineStr">
        <is>
          <t>0f5a2af02a066b9c747168c9f83b03408959098f27008ece4bc7a0928e20f59f</t>
        </is>
      </c>
    </row>
    <row r="29">
      <c r="A29" s="248" t="inlineStr">
        <is>
          <t>21</t>
        </is>
      </c>
      <c r="B29" s="248" t="inlineStr">
        <is>
          <t>7564049531</t>
        </is>
      </c>
      <c r="C29" s="248" t="inlineStr">
        <is>
          <t>2025-12-10 12:44:31</t>
        </is>
      </c>
      <c r="D29" s="248" t="inlineStr">
        <is>
          <t>50</t>
        </is>
      </c>
      <c r="E29" s="248" t="inlineStr">
        <is>
          <t>Bawarchi Baba- By Posh Foods</t>
        </is>
      </c>
      <c r="F29" s="248" t="inlineStr">
        <is>
          <t>20415473</t>
        </is>
      </c>
      <c r="G29" s="248" t="inlineStr">
        <is>
          <t>Flat ₹125 off (2025-12-08 - 2031-01-01)</t>
        </is>
      </c>
      <c r="H29" s="248" t="inlineStr">
        <is>
          <t>ONLINE</t>
        </is>
      </c>
      <c r="I29" s="248" t="inlineStr">
        <is>
          <t>DELIVERED</t>
        </is>
      </c>
      <c r="J29" s="248" t="inlineStr">
        <is>
          <t>NA</t>
        </is>
      </c>
      <c r="K29" s="248" t="inlineStr">
        <is>
          <t>NA</t>
        </is>
      </c>
      <c r="L29" s="248" t="inlineStr">
        <is>
          <t>NA</t>
        </is>
      </c>
      <c r="M29" s="248" t="inlineStr">
        <is>
          <t>O2</t>
        </is>
      </c>
      <c r="N29" s="248" t="inlineStr">
        <is>
          <t>9</t>
        </is>
      </c>
      <c r="O29" s="248" t="n">
        <v>380.0</v>
      </c>
      <c r="P29" s="248" t="n">
        <v>0.0</v>
      </c>
      <c r="Q29" s="248" t="n">
        <v>0.0</v>
      </c>
      <c r="R29" s="248" t="n">
        <v>87.0</v>
      </c>
      <c r="S29" s="248" t="n">
        <v>0.0</v>
      </c>
      <c r="T29" s="248" t="n">
        <v>0.0</v>
      </c>
      <c r="U29" s="248" t="n">
        <v>0.0</v>
      </c>
      <c r="V29" s="248" t="n">
        <v>14.65</v>
      </c>
      <c r="W29" s="248" t="n">
        <v>307.65</v>
      </c>
      <c r="X29" s="248" t="n">
        <v>293.0</v>
      </c>
      <c r="Y29" s="248" t="n">
        <v>0.0</v>
      </c>
      <c r="Z29" s="248" t="n">
        <v>0.0</v>
      </c>
      <c r="AA29" s="248" t="n">
        <v>293.0</v>
      </c>
      <c r="AB29" s="248" t="n">
        <v>23.0</v>
      </c>
      <c r="AC29" s="248" t="n">
        <v>67.39</v>
      </c>
      <c r="AD29" s="248" t="n">
        <v>3.29</v>
      </c>
      <c r="AE29" s="248" t="n">
        <v>0.0</v>
      </c>
      <c r="AF29" s="248" t="n">
        <v>0.0</v>
      </c>
      <c r="AG29" s="248" t="n">
        <v>0.0</v>
      </c>
      <c r="AH29" s="248" t="n">
        <v>5.66</v>
      </c>
      <c r="AI29" s="248" t="n">
        <v>73.05</v>
      </c>
      <c r="AJ29" s="248" t="n">
        <v>13.15</v>
      </c>
      <c r="AK29" s="248" t="n">
        <v>0.0</v>
      </c>
      <c r="AL29" s="248" t="n">
        <v>293.0</v>
      </c>
      <c r="AM29" s="248" t="n">
        <v>0.0</v>
      </c>
      <c r="AN29" s="248" t="n">
        <v>0.0</v>
      </c>
      <c r="AO29" s="248" t="n">
        <v>0.29</v>
      </c>
      <c r="AP29" s="248" t="n">
        <v>14.65</v>
      </c>
      <c r="AQ29" s="248" t="n">
        <v>0.0</v>
      </c>
      <c r="AR29" s="248" t="n">
        <v>28.09</v>
      </c>
      <c r="AS29" s="248" t="n">
        <v>0.0</v>
      </c>
      <c r="AT29" s="248" t="n">
        <v>0.0</v>
      </c>
      <c r="AU29" s="248" t="n">
        <v>0.0</v>
      </c>
      <c r="AV29" s="248" t="n">
        <v>0.0</v>
      </c>
      <c r="AW29" s="248" t="n">
        <v>0.0</v>
      </c>
      <c r="AX29" s="248" t="n">
        <v>0.0</v>
      </c>
      <c r="AY29" s="248" t="n">
        <v>0.0</v>
      </c>
      <c r="AZ29" s="248" t="n">
        <v>0.0</v>
      </c>
      <c r="BA29" s="248" t="n">
        <v>0.0</v>
      </c>
      <c r="BB29" s="248" t="n">
        <v>101.14</v>
      </c>
      <c r="BC29" s="248" t="n">
        <v>0.0</v>
      </c>
      <c r="BD29" s="248" t="n">
        <v>206.51</v>
      </c>
      <c r="BE29" s="248" t="inlineStr">
        <is>
          <t>settled</t>
        </is>
      </c>
      <c r="BF29" s="248" t="inlineStr">
        <is>
          <t>2025-12-17 05:30:00</t>
        </is>
      </c>
      <c r="BG29" s="248" t="inlineStr">
        <is>
          <t>CITIN25671235852</t>
        </is>
      </c>
      <c r="BH29" s="248" t="n">
        <v>0.0</v>
      </c>
      <c r="BI29" s="248" t="inlineStr">
        <is>
          <t>87d8c7a719c2dd44b2bf858b66b94a18e1fc0e9b5c4ac4810a6d3a01a93f16e3</t>
        </is>
      </c>
    </row>
    <row r="30">
      <c r="A30" s="248" t="inlineStr">
        <is>
          <t>22</t>
        </is>
      </c>
      <c r="B30" s="248" t="inlineStr">
        <is>
          <t>7565010466</t>
        </is>
      </c>
      <c r="C30" s="248" t="inlineStr">
        <is>
          <t>2025-12-10 13:20:59</t>
        </is>
      </c>
      <c r="D30" s="248" t="inlineStr">
        <is>
          <t>50</t>
        </is>
      </c>
      <c r="E30" s="248" t="inlineStr">
        <is>
          <t>Bawarchi Baba- By Posh Foods</t>
        </is>
      </c>
      <c r="F30" s="248" t="inlineStr">
        <is>
          <t>20415473</t>
        </is>
      </c>
      <c r="G30" s="248" t="inlineStr">
        <is>
          <t>NA</t>
        </is>
      </c>
      <c r="H30" s="248" t="inlineStr">
        <is>
          <t>ONLINE</t>
        </is>
      </c>
      <c r="I30" s="248" t="inlineStr">
        <is>
          <t>DELIVERED</t>
        </is>
      </c>
      <c r="J30" s="248" t="inlineStr">
        <is>
          <t>NA</t>
        </is>
      </c>
      <c r="K30" s="248" t="inlineStr">
        <is>
          <t>NA</t>
        </is>
      </c>
      <c r="L30" s="248" t="inlineStr">
        <is>
          <t>NA</t>
        </is>
      </c>
      <c r="M30" s="248" t="inlineStr">
        <is>
          <t>O2</t>
        </is>
      </c>
      <c r="N30" s="248" t="inlineStr">
        <is>
          <t>9</t>
        </is>
      </c>
      <c r="O30" s="248" t="n">
        <v>751.0</v>
      </c>
      <c r="P30" s="248" t="n">
        <v>0.0</v>
      </c>
      <c r="Q30" s="248" t="n">
        <v>0.0</v>
      </c>
      <c r="R30" s="248" t="n">
        <v>0.0</v>
      </c>
      <c r="S30" s="248" t="n">
        <v>0.0</v>
      </c>
      <c r="T30" s="248" t="n">
        <v>0.0</v>
      </c>
      <c r="U30" s="248" t="n">
        <v>0.0</v>
      </c>
      <c r="V30" s="248" t="n">
        <v>37.55</v>
      </c>
      <c r="W30" s="248" t="n">
        <v>788.55</v>
      </c>
      <c r="X30" s="248" t="n">
        <v>751.0</v>
      </c>
      <c r="Y30" s="248" t="n">
        <v>0.0</v>
      </c>
      <c r="Z30" s="248" t="n">
        <v>0.0</v>
      </c>
      <c r="AA30" s="248" t="n">
        <v>751.0</v>
      </c>
      <c r="AB30" s="248" t="n">
        <v>23.0</v>
      </c>
      <c r="AC30" s="248" t="n">
        <v>172.73</v>
      </c>
      <c r="AD30" s="248" t="n">
        <v>1.49</v>
      </c>
      <c r="AE30" s="248" t="n">
        <v>0.0</v>
      </c>
      <c r="AF30" s="248" t="n">
        <v>0.0</v>
      </c>
      <c r="AG30" s="248" t="n">
        <v>0.0</v>
      </c>
      <c r="AH30" s="248" t="n">
        <v>14.51</v>
      </c>
      <c r="AI30" s="248" t="n">
        <v>187.24</v>
      </c>
      <c r="AJ30" s="248" t="n">
        <v>33.7</v>
      </c>
      <c r="AK30" s="248" t="n">
        <v>0.0</v>
      </c>
      <c r="AL30" s="248" t="n">
        <v>751.0</v>
      </c>
      <c r="AM30" s="248" t="n">
        <v>0.0</v>
      </c>
      <c r="AN30" s="248" t="n">
        <v>0.0</v>
      </c>
      <c r="AO30" s="248" t="n">
        <v>0.75</v>
      </c>
      <c r="AP30" s="248" t="n">
        <v>37.55</v>
      </c>
      <c r="AQ30" s="248" t="n">
        <v>0.0</v>
      </c>
      <c r="AR30" s="248" t="n">
        <v>72.0</v>
      </c>
      <c r="AS30" s="248" t="n">
        <v>0.0</v>
      </c>
      <c r="AT30" s="248" t="n">
        <v>0.0</v>
      </c>
      <c r="AU30" s="248" t="n">
        <v>0.0</v>
      </c>
      <c r="AV30" s="248" t="n">
        <v>0.0</v>
      </c>
      <c r="AW30" s="248" t="n">
        <v>0.0</v>
      </c>
      <c r="AX30" s="248" t="n">
        <v>0.0</v>
      </c>
      <c r="AY30" s="248" t="n">
        <v>0.0</v>
      </c>
      <c r="AZ30" s="248" t="n">
        <v>0.0</v>
      </c>
      <c r="BA30" s="248" t="n">
        <v>0.0</v>
      </c>
      <c r="BB30" s="248" t="n">
        <v>259.24</v>
      </c>
      <c r="BC30" s="248" t="n">
        <v>0.0</v>
      </c>
      <c r="BD30" s="248" t="n">
        <v>529.31</v>
      </c>
      <c r="BE30" s="248" t="inlineStr">
        <is>
          <t>settled</t>
        </is>
      </c>
      <c r="BF30" s="248" t="inlineStr">
        <is>
          <t>2025-12-17 05:30:00</t>
        </is>
      </c>
      <c r="BG30" s="248" t="inlineStr">
        <is>
          <t>CITIN25671235852</t>
        </is>
      </c>
      <c r="BH30" s="248" t="n">
        <v>0.0</v>
      </c>
      <c r="BI30" s="248" t="inlineStr">
        <is>
          <t>cb35c5eea46990d77471d7446ceb503f5dccd4c464f34b8967937e6f99fa8a1c</t>
        </is>
      </c>
    </row>
    <row r="31">
      <c r="A31" s="248" t="inlineStr">
        <is>
          <t>23</t>
        </is>
      </c>
      <c r="B31" s="248" t="inlineStr">
        <is>
          <t>7566522919</t>
        </is>
      </c>
      <c r="C31" s="248" t="inlineStr">
        <is>
          <t>2025-12-10 13:44:10</t>
        </is>
      </c>
      <c r="D31" s="248" t="inlineStr">
        <is>
          <t>50</t>
        </is>
      </c>
      <c r="E31" s="248" t="inlineStr">
        <is>
          <t>Bawarchi Baba- By Posh Foods</t>
        </is>
      </c>
      <c r="F31" s="248" t="inlineStr">
        <is>
          <t>20415473</t>
        </is>
      </c>
      <c r="G31" s="248" t="inlineStr">
        <is>
          <t>Flat ₹150 off (2025-12-08 - 2031-01-01)</t>
        </is>
      </c>
      <c r="H31" s="248" t="inlineStr">
        <is>
          <t>ONLINE</t>
        </is>
      </c>
      <c r="I31" s="248" t="inlineStr">
        <is>
          <t>DELIVERED</t>
        </is>
      </c>
      <c r="J31" s="248" t="inlineStr">
        <is>
          <t>NA</t>
        </is>
      </c>
      <c r="K31" s="248" t="inlineStr">
        <is>
          <t>NA</t>
        </is>
      </c>
      <c r="L31" s="248" t="inlineStr">
        <is>
          <t>NA</t>
        </is>
      </c>
      <c r="M31" s="248" t="inlineStr">
        <is>
          <t>O2</t>
        </is>
      </c>
      <c r="N31" s="248" t="inlineStr">
        <is>
          <t>9</t>
        </is>
      </c>
      <c r="O31" s="248" t="n">
        <v>670.0</v>
      </c>
      <c r="P31" s="248" t="n">
        <v>0.0</v>
      </c>
      <c r="Q31" s="248" t="n">
        <v>0.0</v>
      </c>
      <c r="R31" s="248" t="n">
        <v>150.0</v>
      </c>
      <c r="S31" s="248" t="n">
        <v>0.0</v>
      </c>
      <c r="T31" s="248" t="n">
        <v>0.0</v>
      </c>
      <c r="U31" s="248" t="n">
        <v>0.0</v>
      </c>
      <c r="V31" s="248" t="n">
        <v>26.0</v>
      </c>
      <c r="W31" s="248" t="n">
        <v>546.0</v>
      </c>
      <c r="X31" s="248" t="n">
        <v>520.0</v>
      </c>
      <c r="Y31" s="248" t="n">
        <v>0.0</v>
      </c>
      <c r="Z31" s="248" t="n">
        <v>0.0</v>
      </c>
      <c r="AA31" s="248" t="n">
        <v>520.0</v>
      </c>
      <c r="AB31" s="248" t="n">
        <v>23.0</v>
      </c>
      <c r="AC31" s="248" t="n">
        <v>119.6</v>
      </c>
      <c r="AD31" s="248" t="n">
        <v>2.16</v>
      </c>
      <c r="AE31" s="248" t="n">
        <v>0.0</v>
      </c>
      <c r="AF31" s="248" t="n">
        <v>0.0</v>
      </c>
      <c r="AG31" s="248" t="n">
        <v>0.0</v>
      </c>
      <c r="AH31" s="248" t="n">
        <v>10.05</v>
      </c>
      <c r="AI31" s="248" t="n">
        <v>129.65</v>
      </c>
      <c r="AJ31" s="248" t="n">
        <v>23.34</v>
      </c>
      <c r="AK31" s="248" t="n">
        <v>0.0</v>
      </c>
      <c r="AL31" s="248" t="n">
        <v>520.0</v>
      </c>
      <c r="AM31" s="248" t="n">
        <v>0.0</v>
      </c>
      <c r="AN31" s="248" t="n">
        <v>0.0</v>
      </c>
      <c r="AO31" s="248" t="n">
        <v>0.52</v>
      </c>
      <c r="AP31" s="248" t="n">
        <v>26.0</v>
      </c>
      <c r="AQ31" s="248" t="n">
        <v>0.0</v>
      </c>
      <c r="AR31" s="248" t="n">
        <v>49.86</v>
      </c>
      <c r="AS31" s="248" t="n">
        <v>0.0</v>
      </c>
      <c r="AT31" s="248" t="n">
        <v>0.0</v>
      </c>
      <c r="AU31" s="248" t="n">
        <v>0.0</v>
      </c>
      <c r="AV31" s="248" t="n">
        <v>0.0</v>
      </c>
      <c r="AW31" s="248" t="n">
        <v>0.0</v>
      </c>
      <c r="AX31" s="248" t="n">
        <v>0.0</v>
      </c>
      <c r="AY31" s="248" t="n">
        <v>0.0</v>
      </c>
      <c r="AZ31" s="248" t="n">
        <v>0.0</v>
      </c>
      <c r="BA31" s="248" t="n">
        <v>0.0</v>
      </c>
      <c r="BB31" s="248" t="n">
        <v>179.51</v>
      </c>
      <c r="BC31" s="248" t="n">
        <v>0.0</v>
      </c>
      <c r="BD31" s="248" t="n">
        <v>366.49</v>
      </c>
      <c r="BE31" s="248" t="inlineStr">
        <is>
          <t>settled</t>
        </is>
      </c>
      <c r="BF31" s="248" t="inlineStr">
        <is>
          <t>2025-12-17 05:30:00</t>
        </is>
      </c>
      <c r="BG31" s="248" t="inlineStr">
        <is>
          <t>CITIN25671235852</t>
        </is>
      </c>
      <c r="BH31" s="248" t="n">
        <v>0.0</v>
      </c>
      <c r="BI31" s="248" t="inlineStr">
        <is>
          <t>9796172d724f2db44015326e18f8e6484d68dfa3155d77636a690a38b2a01f04</t>
        </is>
      </c>
    </row>
    <row r="32">
      <c r="A32" s="248" t="inlineStr">
        <is>
          <t>24</t>
        </is>
      </c>
      <c r="B32" s="248" t="inlineStr">
        <is>
          <t>7566181134</t>
        </is>
      </c>
      <c r="C32" s="248" t="inlineStr">
        <is>
          <t>2025-12-10 13:50:48</t>
        </is>
      </c>
      <c r="D32" s="248" t="inlineStr">
        <is>
          <t>50</t>
        </is>
      </c>
      <c r="E32" s="248" t="inlineStr">
        <is>
          <t>Bawarchi Baba- By Posh Foods</t>
        </is>
      </c>
      <c r="F32" s="248" t="inlineStr">
        <is>
          <t>20415473</t>
        </is>
      </c>
      <c r="G32" s="248" t="inlineStr">
        <is>
          <t>NA</t>
        </is>
      </c>
      <c r="H32" s="248" t="inlineStr">
        <is>
          <t>ONLINE</t>
        </is>
      </c>
      <c r="I32" s="248" t="inlineStr">
        <is>
          <t>DELIVERED</t>
        </is>
      </c>
      <c r="J32" s="248" t="inlineStr">
        <is>
          <t>NA</t>
        </is>
      </c>
      <c r="K32" s="248" t="inlineStr">
        <is>
          <t>NA</t>
        </is>
      </c>
      <c r="L32" s="248" t="inlineStr">
        <is>
          <t>NA</t>
        </is>
      </c>
      <c r="M32" s="248" t="inlineStr">
        <is>
          <t>O2</t>
        </is>
      </c>
      <c r="N32" s="248" t="inlineStr">
        <is>
          <t>9</t>
        </is>
      </c>
      <c r="O32" s="248" t="n">
        <v>1800.0</v>
      </c>
      <c r="P32" s="248" t="n">
        <v>0.0</v>
      </c>
      <c r="Q32" s="248" t="n">
        <v>0.0</v>
      </c>
      <c r="R32" s="248" t="n">
        <v>0.0</v>
      </c>
      <c r="S32" s="248" t="n">
        <v>0.0</v>
      </c>
      <c r="T32" s="248" t="n">
        <v>0.0</v>
      </c>
      <c r="U32" s="248" t="n">
        <v>0.0</v>
      </c>
      <c r="V32" s="248" t="n">
        <v>90.0</v>
      </c>
      <c r="W32" s="248" t="n">
        <v>1890.0</v>
      </c>
      <c r="X32" s="248" t="n">
        <v>1800.0</v>
      </c>
      <c r="Y32" s="248" t="n">
        <v>0.0</v>
      </c>
      <c r="Z32" s="248" t="n">
        <v>0.0</v>
      </c>
      <c r="AA32" s="248" t="n">
        <v>1800.0</v>
      </c>
      <c r="AB32" s="248" t="n">
        <v>23.0</v>
      </c>
      <c r="AC32" s="248" t="n">
        <v>414.0</v>
      </c>
      <c r="AD32" s="248" t="n">
        <v>1.32</v>
      </c>
      <c r="AE32" s="248" t="n">
        <v>0.0</v>
      </c>
      <c r="AF32" s="248" t="n">
        <v>0.0</v>
      </c>
      <c r="AG32" s="248" t="n">
        <v>0.0</v>
      </c>
      <c r="AH32" s="248" t="n">
        <v>34.78</v>
      </c>
      <c r="AI32" s="248" t="n">
        <v>448.78</v>
      </c>
      <c r="AJ32" s="248" t="n">
        <v>80.78</v>
      </c>
      <c r="AK32" s="248" t="n">
        <v>0.0</v>
      </c>
      <c r="AL32" s="248" t="n">
        <v>1800.0</v>
      </c>
      <c r="AM32" s="248" t="n">
        <v>0.0</v>
      </c>
      <c r="AN32" s="248" t="n">
        <v>0.0</v>
      </c>
      <c r="AO32" s="248" t="n">
        <v>1.8</v>
      </c>
      <c r="AP32" s="248" t="n">
        <v>90.0</v>
      </c>
      <c r="AQ32" s="248" t="n">
        <v>0.0</v>
      </c>
      <c r="AR32" s="248" t="n">
        <v>172.58</v>
      </c>
      <c r="AS32" s="248" t="n">
        <v>0.0</v>
      </c>
      <c r="AT32" s="248" t="n">
        <v>0.0</v>
      </c>
      <c r="AU32" s="248" t="n">
        <v>0.0</v>
      </c>
      <c r="AV32" s="248" t="n">
        <v>0.0</v>
      </c>
      <c r="AW32" s="248" t="n">
        <v>0.0</v>
      </c>
      <c r="AX32" s="248" t="n">
        <v>0.0</v>
      </c>
      <c r="AY32" s="248" t="n">
        <v>0.0</v>
      </c>
      <c r="AZ32" s="248" t="n">
        <v>0.0</v>
      </c>
      <c r="BA32" s="248" t="n">
        <v>0.0</v>
      </c>
      <c r="BB32" s="248" t="n">
        <v>621.36</v>
      </c>
      <c r="BC32" s="248" t="n">
        <v>0.0</v>
      </c>
      <c r="BD32" s="248" t="n">
        <v>1268.64</v>
      </c>
      <c r="BE32" s="248" t="inlineStr">
        <is>
          <t>settled</t>
        </is>
      </c>
      <c r="BF32" s="248" t="inlineStr">
        <is>
          <t>2025-12-17 05:30:00</t>
        </is>
      </c>
      <c r="BG32" s="248" t="inlineStr">
        <is>
          <t>CITIN25671235852</t>
        </is>
      </c>
      <c r="BH32" s="248" t="n">
        <v>0.0</v>
      </c>
      <c r="BI32" s="248" t="inlineStr">
        <is>
          <t>1dfd46c3f575b0fc515f09c409cf14ea28b6ff24c4c424b42770aaeb645a7810</t>
        </is>
      </c>
    </row>
    <row r="33">
      <c r="A33" s="248" t="inlineStr">
        <is>
          <t>25</t>
        </is>
      </c>
      <c r="B33" s="248" t="inlineStr">
        <is>
          <t>7561423195</t>
        </is>
      </c>
      <c r="C33" s="248" t="inlineStr">
        <is>
          <t>2025-12-10 15:24:06</t>
        </is>
      </c>
      <c r="D33" s="248" t="inlineStr">
        <is>
          <t>50</t>
        </is>
      </c>
      <c r="E33" s="248" t="inlineStr">
        <is>
          <t>Bawarchi Baba- By Posh Foods</t>
        </is>
      </c>
      <c r="F33" s="248" t="inlineStr">
        <is>
          <t>20415473</t>
        </is>
      </c>
      <c r="G33" s="248" t="inlineStr">
        <is>
          <t>NA</t>
        </is>
      </c>
      <c r="H33" s="248" t="inlineStr">
        <is>
          <t>ONLINE</t>
        </is>
      </c>
      <c r="I33" s="248" t="inlineStr">
        <is>
          <t>DELIVERED</t>
        </is>
      </c>
      <c r="J33" s="248" t="inlineStr">
        <is>
          <t>NA</t>
        </is>
      </c>
      <c r="K33" s="248" t="inlineStr">
        <is>
          <t>NA</t>
        </is>
      </c>
      <c r="L33" s="248" t="inlineStr">
        <is>
          <t>NA</t>
        </is>
      </c>
      <c r="M33" s="248" t="inlineStr">
        <is>
          <t>O2</t>
        </is>
      </c>
      <c r="N33" s="248" t="inlineStr">
        <is>
          <t>9</t>
        </is>
      </c>
      <c r="O33" s="248" t="n">
        <v>696.0</v>
      </c>
      <c r="P33" s="248" t="n">
        <v>0.0</v>
      </c>
      <c r="Q33" s="248" t="n">
        <v>0.0</v>
      </c>
      <c r="R33" s="248" t="n">
        <v>0.0</v>
      </c>
      <c r="S33" s="248" t="n">
        <v>0.0</v>
      </c>
      <c r="T33" s="248" t="n">
        <v>0.0</v>
      </c>
      <c r="U33" s="248" t="n">
        <v>0.0</v>
      </c>
      <c r="V33" s="248" t="n">
        <v>34.8</v>
      </c>
      <c r="W33" s="248" t="n">
        <v>730.8</v>
      </c>
      <c r="X33" s="248" t="n">
        <v>696.0</v>
      </c>
      <c r="Y33" s="248" t="n">
        <v>0.0</v>
      </c>
      <c r="Z33" s="248" t="n">
        <v>0.0</v>
      </c>
      <c r="AA33" s="248" t="n">
        <v>696.0</v>
      </c>
      <c r="AB33" s="248" t="n">
        <v>23.0</v>
      </c>
      <c r="AC33" s="248" t="n">
        <v>160.08</v>
      </c>
      <c r="AD33" s="248" t="n">
        <v>5.65</v>
      </c>
      <c r="AE33" s="248" t="n">
        <v>20.0</v>
      </c>
      <c r="AF33" s="248" t="n">
        <v>0.0</v>
      </c>
      <c r="AG33" s="248" t="n">
        <v>0.0</v>
      </c>
      <c r="AH33" s="248" t="n">
        <v>13.45</v>
      </c>
      <c r="AI33" s="248" t="n">
        <v>193.53</v>
      </c>
      <c r="AJ33" s="248" t="n">
        <v>34.83</v>
      </c>
      <c r="AK33" s="248" t="n">
        <v>0.0</v>
      </c>
      <c r="AL33" s="248" t="n">
        <v>696.0</v>
      </c>
      <c r="AM33" s="248" t="n">
        <v>0.0</v>
      </c>
      <c r="AN33" s="248" t="n">
        <v>0.0</v>
      </c>
      <c r="AO33" s="248" t="n">
        <v>0.7</v>
      </c>
      <c r="AP33" s="248" t="n">
        <v>34.8</v>
      </c>
      <c r="AQ33" s="248" t="n">
        <v>0.0</v>
      </c>
      <c r="AR33" s="248" t="n">
        <v>70.33</v>
      </c>
      <c r="AS33" s="248" t="n">
        <v>0.0</v>
      </c>
      <c r="AT33" s="248" t="n">
        <v>0.0</v>
      </c>
      <c r="AU33" s="248" t="n">
        <v>0.0</v>
      </c>
      <c r="AV33" s="248" t="n">
        <v>0.0</v>
      </c>
      <c r="AW33" s="248" t="n">
        <v>0.0</v>
      </c>
      <c r="AX33" s="248" t="n">
        <v>0.0</v>
      </c>
      <c r="AY33" s="248" t="n">
        <v>0.0</v>
      </c>
      <c r="AZ33" s="248" t="n">
        <v>0.0</v>
      </c>
      <c r="BA33" s="248" t="n">
        <v>0.0</v>
      </c>
      <c r="BB33" s="248" t="n">
        <v>263.86</v>
      </c>
      <c r="BC33" s="248" t="n">
        <v>0.0</v>
      </c>
      <c r="BD33" s="248" t="n">
        <v>466.94</v>
      </c>
      <c r="BE33" s="248" t="inlineStr">
        <is>
          <t>settled</t>
        </is>
      </c>
      <c r="BF33" s="248" t="inlineStr">
        <is>
          <t>2025-12-17 05:30:00</t>
        </is>
      </c>
      <c r="BG33" s="248" t="inlineStr">
        <is>
          <t>CITIN25671235852</t>
        </is>
      </c>
      <c r="BH33" s="248" t="n">
        <v>0.0</v>
      </c>
      <c r="BI33" s="248" t="inlineStr">
        <is>
          <t>1c676af2d2dafd9b83b7c4a2c5353ecd7dec02bf798ef6dec839ca863fc6f1f6</t>
        </is>
      </c>
    </row>
    <row r="34">
      <c r="A34" s="248" t="inlineStr">
        <is>
          <t>26</t>
        </is>
      </c>
      <c r="B34" s="248" t="inlineStr">
        <is>
          <t>7564096316</t>
        </is>
      </c>
      <c r="C34" s="248" t="inlineStr">
        <is>
          <t>2025-12-10 16:26:20</t>
        </is>
      </c>
      <c r="D34" s="248" t="inlineStr">
        <is>
          <t>50</t>
        </is>
      </c>
      <c r="E34" s="248" t="inlineStr">
        <is>
          <t>Bawarchi Baba- By Posh Foods</t>
        </is>
      </c>
      <c r="F34" s="248" t="inlineStr">
        <is>
          <t>20415473</t>
        </is>
      </c>
      <c r="G34" s="248" t="inlineStr">
        <is>
          <t>Flat ₹150 off (2025-12-08 - 2031-01-01)</t>
        </is>
      </c>
      <c r="H34" s="248" t="inlineStr">
        <is>
          <t>ONLINE</t>
        </is>
      </c>
      <c r="I34" s="248" t="inlineStr">
        <is>
          <t>DELIVERED</t>
        </is>
      </c>
      <c r="J34" s="248" t="inlineStr">
        <is>
          <t>NA</t>
        </is>
      </c>
      <c r="K34" s="248" t="inlineStr">
        <is>
          <t>NA</t>
        </is>
      </c>
      <c r="L34" s="248" t="inlineStr">
        <is>
          <t>NA</t>
        </is>
      </c>
      <c r="M34" s="248" t="inlineStr">
        <is>
          <t>O2</t>
        </is>
      </c>
      <c r="N34" s="248" t="inlineStr">
        <is>
          <t>9</t>
        </is>
      </c>
      <c r="O34" s="248" t="n">
        <v>460.0</v>
      </c>
      <c r="P34" s="248" t="n">
        <v>0.0</v>
      </c>
      <c r="Q34" s="248" t="n">
        <v>0.0</v>
      </c>
      <c r="R34" s="248" t="n">
        <v>105.0</v>
      </c>
      <c r="S34" s="248" t="n">
        <v>0.0</v>
      </c>
      <c r="T34" s="248" t="n">
        <v>0.0</v>
      </c>
      <c r="U34" s="248" t="n">
        <v>0.0</v>
      </c>
      <c r="V34" s="248" t="n">
        <v>17.75</v>
      </c>
      <c r="W34" s="248" t="n">
        <v>372.75</v>
      </c>
      <c r="X34" s="248" t="n">
        <v>355.0</v>
      </c>
      <c r="Y34" s="248" t="n">
        <v>0.0</v>
      </c>
      <c r="Z34" s="248" t="n">
        <v>0.0</v>
      </c>
      <c r="AA34" s="248" t="n">
        <v>355.0</v>
      </c>
      <c r="AB34" s="248" t="n">
        <v>23.0</v>
      </c>
      <c r="AC34" s="248" t="n">
        <v>81.65</v>
      </c>
      <c r="AD34" s="248" t="n">
        <v>3.12</v>
      </c>
      <c r="AE34" s="248" t="n">
        <v>0.0</v>
      </c>
      <c r="AF34" s="248" t="n">
        <v>0.0</v>
      </c>
      <c r="AG34" s="248" t="n">
        <v>0.0</v>
      </c>
      <c r="AH34" s="248" t="n">
        <v>6.86</v>
      </c>
      <c r="AI34" s="248" t="n">
        <v>88.51</v>
      </c>
      <c r="AJ34" s="248" t="n">
        <v>15.93</v>
      </c>
      <c r="AK34" s="248" t="n">
        <v>0.0</v>
      </c>
      <c r="AL34" s="248" t="n">
        <v>355.0</v>
      </c>
      <c r="AM34" s="248" t="n">
        <v>0.0</v>
      </c>
      <c r="AN34" s="248" t="n">
        <v>0.0</v>
      </c>
      <c r="AO34" s="248" t="n">
        <v>0.36</v>
      </c>
      <c r="AP34" s="248" t="n">
        <v>17.75</v>
      </c>
      <c r="AQ34" s="248" t="n">
        <v>0.0</v>
      </c>
      <c r="AR34" s="248" t="n">
        <v>34.04</v>
      </c>
      <c r="AS34" s="248" t="n">
        <v>0.0</v>
      </c>
      <c r="AT34" s="248" t="n">
        <v>0.0</v>
      </c>
      <c r="AU34" s="248" t="n">
        <v>0.0</v>
      </c>
      <c r="AV34" s="248" t="n">
        <v>0.0</v>
      </c>
      <c r="AW34" s="248" t="n">
        <v>0.0</v>
      </c>
      <c r="AX34" s="248" t="n">
        <v>0.0</v>
      </c>
      <c r="AY34" s="248" t="n">
        <v>0.0</v>
      </c>
      <c r="AZ34" s="248" t="n">
        <v>0.0</v>
      </c>
      <c r="BA34" s="248" t="n">
        <v>0.0</v>
      </c>
      <c r="BB34" s="248" t="n">
        <v>122.55</v>
      </c>
      <c r="BC34" s="248" t="n">
        <v>0.0</v>
      </c>
      <c r="BD34" s="248" t="n">
        <v>250.2</v>
      </c>
      <c r="BE34" s="248" t="inlineStr">
        <is>
          <t>settled</t>
        </is>
      </c>
      <c r="BF34" s="248" t="inlineStr">
        <is>
          <t>2025-12-17 05:30:00</t>
        </is>
      </c>
      <c r="BG34" s="248" t="inlineStr">
        <is>
          <t>CITIN25671235852</t>
        </is>
      </c>
      <c r="BH34" s="248" t="n">
        <v>0.0</v>
      </c>
      <c r="BI34" s="248" t="inlineStr">
        <is>
          <t>b4d473f31dd7f13b8b5e143f59de0b73b98dfc2c7cd5b3e88936c14bbce84e42</t>
        </is>
      </c>
    </row>
    <row r="35">
      <c r="A35" s="248" t="inlineStr">
        <is>
          <t>27</t>
        </is>
      </c>
      <c r="B35" s="248" t="inlineStr">
        <is>
          <t>7557660994</t>
        </is>
      </c>
      <c r="C35" s="248" t="inlineStr">
        <is>
          <t>2025-12-10 18:31:21</t>
        </is>
      </c>
      <c r="D35" s="248" t="inlineStr">
        <is>
          <t>50</t>
        </is>
      </c>
      <c r="E35" s="248" t="inlineStr">
        <is>
          <t>Bawarchi Baba- By Posh Foods</t>
        </is>
      </c>
      <c r="F35" s="248" t="inlineStr">
        <is>
          <t>20415473</t>
        </is>
      </c>
      <c r="G35" s="248" t="inlineStr">
        <is>
          <t>NA</t>
        </is>
      </c>
      <c r="H35" s="248" t="inlineStr">
        <is>
          <t>ONLINE</t>
        </is>
      </c>
      <c r="I35" s="248" t="inlineStr">
        <is>
          <t>DELIVERED</t>
        </is>
      </c>
      <c r="J35" s="248" t="inlineStr">
        <is>
          <t>NA</t>
        </is>
      </c>
      <c r="K35" s="248" t="inlineStr">
        <is>
          <t>NA</t>
        </is>
      </c>
      <c r="L35" s="248" t="inlineStr">
        <is>
          <t>NA</t>
        </is>
      </c>
      <c r="M35" s="248" t="inlineStr">
        <is>
          <t>O2</t>
        </is>
      </c>
      <c r="N35" s="248" t="inlineStr">
        <is>
          <t>9</t>
        </is>
      </c>
      <c r="O35" s="248" t="n">
        <v>208.0</v>
      </c>
      <c r="P35" s="248" t="n">
        <v>0.0</v>
      </c>
      <c r="Q35" s="248" t="n">
        <v>0.0</v>
      </c>
      <c r="R35" s="248" t="n">
        <v>0.0</v>
      </c>
      <c r="S35" s="248" t="n">
        <v>120.0</v>
      </c>
      <c r="T35" s="248" t="n">
        <v>0.0</v>
      </c>
      <c r="U35" s="248" t="n">
        <v>0.0</v>
      </c>
      <c r="V35" s="248" t="n">
        <v>4.4</v>
      </c>
      <c r="W35" s="248" t="n">
        <v>92.4</v>
      </c>
      <c r="X35" s="248" t="n">
        <v>88.0</v>
      </c>
      <c r="Y35" s="248" t="n">
        <v>0.0</v>
      </c>
      <c r="Z35" s="248" t="n">
        <v>0.0</v>
      </c>
      <c r="AA35" s="248" t="n">
        <v>88.0</v>
      </c>
      <c r="AB35" s="248" t="n">
        <v>23.0</v>
      </c>
      <c r="AC35" s="248" t="n">
        <v>20.24</v>
      </c>
      <c r="AD35" s="248" t="n">
        <v>2.05</v>
      </c>
      <c r="AE35" s="248" t="n">
        <v>0.0</v>
      </c>
      <c r="AF35" s="248" t="n">
        <v>0.0</v>
      </c>
      <c r="AG35" s="248" t="n">
        <v>0.0</v>
      </c>
      <c r="AH35" s="248" t="n">
        <v>1.7</v>
      </c>
      <c r="AI35" s="248" t="n">
        <v>21.94</v>
      </c>
      <c r="AJ35" s="248" t="n">
        <v>3.95</v>
      </c>
      <c r="AK35" s="248" t="n">
        <v>0.0</v>
      </c>
      <c r="AL35" s="248" t="n">
        <v>88.0</v>
      </c>
      <c r="AM35" s="248" t="n">
        <v>0.0</v>
      </c>
      <c r="AN35" s="248" t="n">
        <v>0.0</v>
      </c>
      <c r="AO35" s="248" t="n">
        <v>0.09</v>
      </c>
      <c r="AP35" s="248" t="n">
        <v>4.4</v>
      </c>
      <c r="AQ35" s="248" t="n">
        <v>0.0</v>
      </c>
      <c r="AR35" s="248" t="n">
        <v>8.44</v>
      </c>
      <c r="AS35" s="248" t="n">
        <v>0.0</v>
      </c>
      <c r="AT35" s="248" t="n">
        <v>0.0</v>
      </c>
      <c r="AU35" s="248" t="n">
        <v>0.0</v>
      </c>
      <c r="AV35" s="248" t="n">
        <v>0.0</v>
      </c>
      <c r="AW35" s="248" t="n">
        <v>0.0</v>
      </c>
      <c r="AX35" s="248" t="n">
        <v>0.0</v>
      </c>
      <c r="AY35" s="248" t="n">
        <v>0.0</v>
      </c>
      <c r="AZ35" s="248" t="n">
        <v>0.0</v>
      </c>
      <c r="BA35" s="248" t="n">
        <v>0.0</v>
      </c>
      <c r="BB35" s="248" t="n">
        <v>30.38</v>
      </c>
      <c r="BC35" s="248" t="n">
        <v>0.0</v>
      </c>
      <c r="BD35" s="248" t="n">
        <v>62.02</v>
      </c>
      <c r="BE35" s="248" t="inlineStr">
        <is>
          <t>settled</t>
        </is>
      </c>
      <c r="BF35" s="248" t="inlineStr">
        <is>
          <t>2025-12-17 05:30:00</t>
        </is>
      </c>
      <c r="BG35" s="248" t="inlineStr">
        <is>
          <t>CITIN25671235852</t>
        </is>
      </c>
      <c r="BH35" s="248" t="n">
        <v>0.0</v>
      </c>
      <c r="BI35" s="248" t="inlineStr">
        <is>
          <t>5931bef8a64a57e05fcc82a9e7aea926924c996136cdd76538b599ac3a10579b</t>
        </is>
      </c>
    </row>
    <row r="36">
      <c r="A36" s="248" t="inlineStr">
        <is>
          <t>28</t>
        </is>
      </c>
      <c r="B36" s="248" t="inlineStr">
        <is>
          <t>7559154673</t>
        </is>
      </c>
      <c r="C36" s="248" t="inlineStr">
        <is>
          <t>2025-12-10 19:14:17</t>
        </is>
      </c>
      <c r="D36" s="248" t="inlineStr">
        <is>
          <t>50</t>
        </is>
      </c>
      <c r="E36" s="248" t="inlineStr">
        <is>
          <t>Bawarchi Baba- By Posh Foods</t>
        </is>
      </c>
      <c r="F36" s="248" t="inlineStr">
        <is>
          <t>20415473</t>
        </is>
      </c>
      <c r="G36" s="248" t="inlineStr">
        <is>
          <t>NA</t>
        </is>
      </c>
      <c r="H36" s="248" t="inlineStr">
        <is>
          <t>ONLINE</t>
        </is>
      </c>
      <c r="I36" s="248" t="inlineStr">
        <is>
          <t>DELIVERED</t>
        </is>
      </c>
      <c r="J36" s="248" t="inlineStr">
        <is>
          <t>NA</t>
        </is>
      </c>
      <c r="K36" s="248" t="inlineStr">
        <is>
          <t>NA</t>
        </is>
      </c>
      <c r="L36" s="248" t="inlineStr">
        <is>
          <t>NA</t>
        </is>
      </c>
      <c r="M36" s="248" t="inlineStr">
        <is>
          <t>O2</t>
        </is>
      </c>
      <c r="N36" s="248" t="inlineStr">
        <is>
          <t>9</t>
        </is>
      </c>
      <c r="O36" s="248" t="n">
        <v>2259.0</v>
      </c>
      <c r="P36" s="248" t="n">
        <v>0.0</v>
      </c>
      <c r="Q36" s="248" t="n">
        <v>0.0</v>
      </c>
      <c r="R36" s="248" t="n">
        <v>0.0</v>
      </c>
      <c r="S36" s="248" t="n">
        <v>225.9</v>
      </c>
      <c r="T36" s="248" t="n">
        <v>0.0</v>
      </c>
      <c r="U36" s="248" t="n">
        <v>0.0</v>
      </c>
      <c r="V36" s="248" t="n">
        <v>101.66</v>
      </c>
      <c r="W36" s="248" t="n">
        <v>2134.76</v>
      </c>
      <c r="X36" s="248" t="n">
        <v>2033.1</v>
      </c>
      <c r="Y36" s="248" t="n">
        <v>0.0</v>
      </c>
      <c r="Z36" s="248" t="n">
        <v>0.0</v>
      </c>
      <c r="AA36" s="248" t="n">
        <v>2033.1</v>
      </c>
      <c r="AB36" s="248" t="n">
        <v>23.0</v>
      </c>
      <c r="AC36" s="248" t="n">
        <v>467.61</v>
      </c>
      <c r="AD36" s="248" t="n">
        <v>0.59</v>
      </c>
      <c r="AE36" s="248" t="n">
        <v>0.0</v>
      </c>
      <c r="AF36" s="248" t="n">
        <v>0.0</v>
      </c>
      <c r="AG36" s="248" t="n">
        <v>0.0</v>
      </c>
      <c r="AH36" s="248" t="n">
        <v>39.28</v>
      </c>
      <c r="AI36" s="248" t="n">
        <v>506.89</v>
      </c>
      <c r="AJ36" s="248" t="n">
        <v>91.24</v>
      </c>
      <c r="AK36" s="248" t="n">
        <v>0.0</v>
      </c>
      <c r="AL36" s="248" t="n">
        <v>2033.1</v>
      </c>
      <c r="AM36" s="248" t="n">
        <v>0.0</v>
      </c>
      <c r="AN36" s="248" t="n">
        <v>0.0</v>
      </c>
      <c r="AO36" s="248" t="n">
        <v>2.03</v>
      </c>
      <c r="AP36" s="248" t="n">
        <v>101.66</v>
      </c>
      <c r="AQ36" s="248" t="n">
        <v>0.0</v>
      </c>
      <c r="AR36" s="248" t="n">
        <v>194.93</v>
      </c>
      <c r="AS36" s="248" t="n">
        <v>0.0</v>
      </c>
      <c r="AT36" s="248" t="n">
        <v>0.0</v>
      </c>
      <c r="AU36" s="248" t="n">
        <v>0.0</v>
      </c>
      <c r="AV36" s="248" t="n">
        <v>0.0</v>
      </c>
      <c r="AW36" s="248" t="n">
        <v>0.0</v>
      </c>
      <c r="AX36" s="248" t="n">
        <v>0.0</v>
      </c>
      <c r="AY36" s="248" t="n">
        <v>0.0</v>
      </c>
      <c r="AZ36" s="248" t="n">
        <v>0.0</v>
      </c>
      <c r="BA36" s="248" t="n">
        <v>0.0</v>
      </c>
      <c r="BB36" s="248" t="n">
        <v>701.82</v>
      </c>
      <c r="BC36" s="248" t="n">
        <v>0.0</v>
      </c>
      <c r="BD36" s="248" t="n">
        <v>1432.94</v>
      </c>
      <c r="BE36" s="248" t="inlineStr">
        <is>
          <t>settled</t>
        </is>
      </c>
      <c r="BF36" s="248" t="inlineStr">
        <is>
          <t>2025-12-17 05:30:00</t>
        </is>
      </c>
      <c r="BG36" s="248" t="inlineStr">
        <is>
          <t>CITIN25671235852</t>
        </is>
      </c>
      <c r="BH36" s="248" t="n">
        <v>0.0</v>
      </c>
      <c r="BI36" s="248" t="inlineStr">
        <is>
          <t>cf1e78049a84cb3bac297ad6f8676113c1541353702e0c4fd80dab532e5c439c</t>
        </is>
      </c>
    </row>
    <row r="37">
      <c r="A37" s="248" t="inlineStr">
        <is>
          <t>29</t>
        </is>
      </c>
      <c r="B37" s="248" t="inlineStr">
        <is>
          <t>7569554802</t>
        </is>
      </c>
      <c r="C37" s="248" t="inlineStr">
        <is>
          <t>2025-12-10 20:11:55</t>
        </is>
      </c>
      <c r="D37" s="248" t="inlineStr">
        <is>
          <t>50</t>
        </is>
      </c>
      <c r="E37" s="248" t="inlineStr">
        <is>
          <t>Bawarchi Baba- By Posh Foods</t>
        </is>
      </c>
      <c r="F37" s="248" t="inlineStr">
        <is>
          <t>20415473</t>
        </is>
      </c>
      <c r="G37" s="248" t="inlineStr">
        <is>
          <t>NA</t>
        </is>
      </c>
      <c r="H37" s="248" t="inlineStr">
        <is>
          <t>ONLINE</t>
        </is>
      </c>
      <c r="I37" s="248" t="inlineStr">
        <is>
          <t>DELIVERED</t>
        </is>
      </c>
      <c r="J37" s="248" t="inlineStr">
        <is>
          <t>NA</t>
        </is>
      </c>
      <c r="K37" s="248" t="inlineStr">
        <is>
          <t>NA</t>
        </is>
      </c>
      <c r="L37" s="248" t="inlineStr">
        <is>
          <t>NA</t>
        </is>
      </c>
      <c r="M37" s="248" t="inlineStr">
        <is>
          <t>O2</t>
        </is>
      </c>
      <c r="N37" s="248" t="inlineStr">
        <is>
          <t>7</t>
        </is>
      </c>
      <c r="O37" s="248" t="n">
        <v>432.0</v>
      </c>
      <c r="P37" s="248" t="n">
        <v>0.0</v>
      </c>
      <c r="Q37" s="248" t="n">
        <v>0.0</v>
      </c>
      <c r="R37" s="248" t="n">
        <v>0.0</v>
      </c>
      <c r="S37" s="248" t="n">
        <v>43.2</v>
      </c>
      <c r="T37" s="248" t="n">
        <v>0.0</v>
      </c>
      <c r="U37" s="248" t="n">
        <v>0.0</v>
      </c>
      <c r="V37" s="248" t="n">
        <v>19.44</v>
      </c>
      <c r="W37" s="248" t="n">
        <v>408.24</v>
      </c>
      <c r="X37" s="248" t="n">
        <v>388.8</v>
      </c>
      <c r="Y37" s="248" t="n">
        <v>0.0</v>
      </c>
      <c r="Z37" s="248" t="n">
        <v>0.0</v>
      </c>
      <c r="AA37" s="248" t="n">
        <v>388.8</v>
      </c>
      <c r="AB37" s="248" t="n">
        <v>23.0</v>
      </c>
      <c r="AC37" s="248" t="n">
        <v>89.42</v>
      </c>
      <c r="AD37" s="248" t="n">
        <v>7.84</v>
      </c>
      <c r="AE37" s="248" t="n">
        <v>40.0</v>
      </c>
      <c r="AF37" s="248" t="n">
        <v>0.0</v>
      </c>
      <c r="AG37" s="248" t="n">
        <v>12.78</v>
      </c>
      <c r="AH37" s="248" t="n">
        <v>7.51</v>
      </c>
      <c r="AI37" s="248" t="n">
        <v>124.15</v>
      </c>
      <c r="AJ37" s="248" t="n">
        <v>22.35</v>
      </c>
      <c r="AK37" s="248" t="n">
        <v>0.0</v>
      </c>
      <c r="AL37" s="248" t="n">
        <v>388.8</v>
      </c>
      <c r="AM37" s="248" t="n">
        <v>0.0</v>
      </c>
      <c r="AN37" s="248" t="n">
        <v>0.0</v>
      </c>
      <c r="AO37" s="248" t="n">
        <v>0.39</v>
      </c>
      <c r="AP37" s="248" t="n">
        <v>19.44</v>
      </c>
      <c r="AQ37" s="248" t="n">
        <v>0.0</v>
      </c>
      <c r="AR37" s="248" t="n">
        <v>42.18</v>
      </c>
      <c r="AS37" s="248" t="n">
        <v>0.0</v>
      </c>
      <c r="AT37" s="248" t="n">
        <v>0.0</v>
      </c>
      <c r="AU37" s="248" t="n">
        <v>0.0</v>
      </c>
      <c r="AV37" s="248" t="n">
        <v>0.0</v>
      </c>
      <c r="AW37" s="248" t="n">
        <v>0.0</v>
      </c>
      <c r="AX37" s="248" t="n">
        <v>0.0</v>
      </c>
      <c r="AY37" s="248" t="n">
        <v>0.0</v>
      </c>
      <c r="AZ37" s="248" t="n">
        <v>0.0</v>
      </c>
      <c r="BA37" s="248" t="n">
        <v>0.0</v>
      </c>
      <c r="BB37" s="248" t="n">
        <v>166.33</v>
      </c>
      <c r="BC37" s="248" t="n">
        <v>0.0</v>
      </c>
      <c r="BD37" s="248" t="n">
        <v>241.91</v>
      </c>
      <c r="BE37" s="248" t="inlineStr">
        <is>
          <t>settled</t>
        </is>
      </c>
      <c r="BF37" s="248" t="inlineStr">
        <is>
          <t>2025-12-17 05:30:00</t>
        </is>
      </c>
      <c r="BG37" s="248" t="inlineStr">
        <is>
          <t>CITIN25671235852</t>
        </is>
      </c>
      <c r="BH37" s="248" t="n">
        <v>0.0</v>
      </c>
      <c r="BI37" s="248" t="inlineStr">
        <is>
          <t>d0aed37ddda2a2bc23fcd5aee3e160cd0c4465d6f6b1254c828c23d44116fc34</t>
        </is>
      </c>
    </row>
    <row r="38">
      <c r="A38" s="248" t="inlineStr">
        <is>
          <t>30</t>
        </is>
      </c>
      <c r="B38" s="248" t="inlineStr">
        <is>
          <t>7557386192</t>
        </is>
      </c>
      <c r="C38" s="248" t="inlineStr">
        <is>
          <t>2025-12-10 20:54:16</t>
        </is>
      </c>
      <c r="D38" s="248" t="inlineStr">
        <is>
          <t>50</t>
        </is>
      </c>
      <c r="E38" s="248" t="inlineStr">
        <is>
          <t>Bawarchi Baba- By Posh Foods</t>
        </is>
      </c>
      <c r="F38" s="248" t="inlineStr">
        <is>
          <t>20415473</t>
        </is>
      </c>
      <c r="G38" s="248" t="inlineStr">
        <is>
          <t>NA</t>
        </is>
      </c>
      <c r="H38" s="248" t="inlineStr">
        <is>
          <t>ONLINE</t>
        </is>
      </c>
      <c r="I38" s="248" t="inlineStr">
        <is>
          <t>DELIVERED</t>
        </is>
      </c>
      <c r="J38" s="248" t="inlineStr">
        <is>
          <t>NA</t>
        </is>
      </c>
      <c r="K38" s="248" t="inlineStr">
        <is>
          <t>NA</t>
        </is>
      </c>
      <c r="L38" s="248" t="inlineStr">
        <is>
          <t>NA</t>
        </is>
      </c>
      <c r="M38" s="248" t="inlineStr">
        <is>
          <t>O2</t>
        </is>
      </c>
      <c r="N38" s="248" t="inlineStr">
        <is>
          <t>9</t>
        </is>
      </c>
      <c r="O38" s="248" t="n">
        <v>320.0</v>
      </c>
      <c r="P38" s="248" t="n">
        <v>0.0</v>
      </c>
      <c r="Q38" s="248" t="n">
        <v>0.0</v>
      </c>
      <c r="R38" s="248" t="n">
        <v>0.0</v>
      </c>
      <c r="S38" s="248" t="n">
        <v>32.0</v>
      </c>
      <c r="T38" s="248" t="n">
        <v>0.0</v>
      </c>
      <c r="U38" s="248" t="n">
        <v>0.0</v>
      </c>
      <c r="V38" s="248" t="n">
        <v>14.4</v>
      </c>
      <c r="W38" s="248" t="n">
        <v>302.4</v>
      </c>
      <c r="X38" s="248" t="n">
        <v>288.0</v>
      </c>
      <c r="Y38" s="248" t="n">
        <v>0.0</v>
      </c>
      <c r="Z38" s="248" t="n">
        <v>0.0</v>
      </c>
      <c r="AA38" s="248" t="n">
        <v>288.0</v>
      </c>
      <c r="AB38" s="248" t="n">
        <v>23.0</v>
      </c>
      <c r="AC38" s="248" t="n">
        <v>66.24</v>
      </c>
      <c r="AD38" s="248" t="n">
        <v>1.75</v>
      </c>
      <c r="AE38" s="248" t="n">
        <v>0.0</v>
      </c>
      <c r="AF38" s="248" t="n">
        <v>0.0</v>
      </c>
      <c r="AG38" s="248" t="n">
        <v>0.0</v>
      </c>
      <c r="AH38" s="248" t="n">
        <v>5.56</v>
      </c>
      <c r="AI38" s="248" t="n">
        <v>71.8</v>
      </c>
      <c r="AJ38" s="248" t="n">
        <v>12.92</v>
      </c>
      <c r="AK38" s="248" t="n">
        <v>0.0</v>
      </c>
      <c r="AL38" s="248" t="n">
        <v>288.0</v>
      </c>
      <c r="AM38" s="248" t="n">
        <v>0.0</v>
      </c>
      <c r="AN38" s="248" t="n">
        <v>0.0</v>
      </c>
      <c r="AO38" s="248" t="n">
        <v>0.29</v>
      </c>
      <c r="AP38" s="248" t="n">
        <v>14.4</v>
      </c>
      <c r="AQ38" s="248" t="n">
        <v>0.0</v>
      </c>
      <c r="AR38" s="248" t="n">
        <v>27.61</v>
      </c>
      <c r="AS38" s="248" t="n">
        <v>0.0</v>
      </c>
      <c r="AT38" s="248" t="n">
        <v>0.0</v>
      </c>
      <c r="AU38" s="248" t="n">
        <v>0.0</v>
      </c>
      <c r="AV38" s="248" t="n">
        <v>0.0</v>
      </c>
      <c r="AW38" s="248" t="n">
        <v>0.0</v>
      </c>
      <c r="AX38" s="248" t="n">
        <v>0.0</v>
      </c>
      <c r="AY38" s="248" t="n">
        <v>0.0</v>
      </c>
      <c r="AZ38" s="248" t="n">
        <v>0.0</v>
      </c>
      <c r="BA38" s="248" t="n">
        <v>0.0</v>
      </c>
      <c r="BB38" s="248" t="n">
        <v>99.41</v>
      </c>
      <c r="BC38" s="248" t="n">
        <v>0.0</v>
      </c>
      <c r="BD38" s="248" t="n">
        <v>202.99</v>
      </c>
      <c r="BE38" s="248" t="inlineStr">
        <is>
          <t>settled</t>
        </is>
      </c>
      <c r="BF38" s="248" t="inlineStr">
        <is>
          <t>2025-12-17 05:30:00</t>
        </is>
      </c>
      <c r="BG38" s="248" t="inlineStr">
        <is>
          <t>CITIN25671235852</t>
        </is>
      </c>
      <c r="BH38" s="248" t="n">
        <v>0.0</v>
      </c>
      <c r="BI38" s="248" t="inlineStr">
        <is>
          <t>c73f10ba00c18fc3f76f31fee3efcd1875d15acba2559c272fe7c7dfbadf46ee</t>
        </is>
      </c>
    </row>
    <row r="39">
      <c r="A39" s="248" t="inlineStr">
        <is>
          <t>31</t>
        </is>
      </c>
      <c r="B39" s="248" t="inlineStr">
        <is>
          <t>7560149172</t>
        </is>
      </c>
      <c r="C39" s="248" t="inlineStr">
        <is>
          <t>2025-12-10 21:06:57</t>
        </is>
      </c>
      <c r="D39" s="248" t="inlineStr">
        <is>
          <t>50</t>
        </is>
      </c>
      <c r="E39" s="248" t="inlineStr">
        <is>
          <t>Bawarchi Baba- By Posh Foods</t>
        </is>
      </c>
      <c r="F39" s="248" t="inlineStr">
        <is>
          <t>20415473</t>
        </is>
      </c>
      <c r="G39" s="248" t="inlineStr">
        <is>
          <t>NA</t>
        </is>
      </c>
      <c r="H39" s="248" t="inlineStr">
        <is>
          <t>ONLINE</t>
        </is>
      </c>
      <c r="I39" s="248" t="inlineStr">
        <is>
          <t>DELIVERED</t>
        </is>
      </c>
      <c r="J39" s="248" t="inlineStr">
        <is>
          <t>NA</t>
        </is>
      </c>
      <c r="K39" s="248" t="inlineStr">
        <is>
          <t>NA</t>
        </is>
      </c>
      <c r="L39" s="248" t="inlineStr">
        <is>
          <t>NA</t>
        </is>
      </c>
      <c r="M39" s="248" t="inlineStr">
        <is>
          <t>O2</t>
        </is>
      </c>
      <c r="N39" s="248" t="inlineStr">
        <is>
          <t>9</t>
        </is>
      </c>
      <c r="O39" s="248" t="n">
        <v>700.0</v>
      </c>
      <c r="P39" s="248" t="n">
        <v>0.0</v>
      </c>
      <c r="Q39" s="248" t="n">
        <v>0.0</v>
      </c>
      <c r="R39" s="248" t="n">
        <v>0.0</v>
      </c>
      <c r="S39" s="248" t="n">
        <v>70.0</v>
      </c>
      <c r="T39" s="248" t="n">
        <v>0.0</v>
      </c>
      <c r="U39" s="248" t="n">
        <v>0.0</v>
      </c>
      <c r="V39" s="248" t="n">
        <v>31.5</v>
      </c>
      <c r="W39" s="248" t="n">
        <v>661.5</v>
      </c>
      <c r="X39" s="248" t="n">
        <v>630.0</v>
      </c>
      <c r="Y39" s="248" t="n">
        <v>0.0</v>
      </c>
      <c r="Z39" s="248" t="n">
        <v>0.0</v>
      </c>
      <c r="AA39" s="248" t="n">
        <v>630.0</v>
      </c>
      <c r="AB39" s="248" t="n">
        <v>23.0</v>
      </c>
      <c r="AC39" s="248" t="n">
        <v>144.9</v>
      </c>
      <c r="AD39" s="248" t="n">
        <v>6.02</v>
      </c>
      <c r="AE39" s="248" t="n">
        <v>40.0</v>
      </c>
      <c r="AF39" s="248" t="n">
        <v>0.0</v>
      </c>
      <c r="AG39" s="248" t="n">
        <v>0.0</v>
      </c>
      <c r="AH39" s="248" t="n">
        <v>12.17</v>
      </c>
      <c r="AI39" s="248" t="n">
        <v>197.07</v>
      </c>
      <c r="AJ39" s="248" t="n">
        <v>35.47</v>
      </c>
      <c r="AK39" s="248" t="n">
        <v>0.0</v>
      </c>
      <c r="AL39" s="248" t="n">
        <v>630.0</v>
      </c>
      <c r="AM39" s="248" t="n">
        <v>0.0</v>
      </c>
      <c r="AN39" s="248" t="n">
        <v>0.0</v>
      </c>
      <c r="AO39" s="248" t="n">
        <v>0.63</v>
      </c>
      <c r="AP39" s="248" t="n">
        <v>31.5</v>
      </c>
      <c r="AQ39" s="248" t="n">
        <v>0.0</v>
      </c>
      <c r="AR39" s="248" t="n">
        <v>67.6</v>
      </c>
      <c r="AS39" s="248" t="n">
        <v>0.0</v>
      </c>
      <c r="AT39" s="248" t="n">
        <v>0.0</v>
      </c>
      <c r="AU39" s="248" t="n">
        <v>0.0</v>
      </c>
      <c r="AV39" s="248" t="n">
        <v>0.0</v>
      </c>
      <c r="AW39" s="248" t="n">
        <v>0.0</v>
      </c>
      <c r="AX39" s="248" t="n">
        <v>0.0</v>
      </c>
      <c r="AY39" s="248" t="n">
        <v>0.0</v>
      </c>
      <c r="AZ39" s="248" t="n">
        <v>0.0</v>
      </c>
      <c r="BA39" s="248" t="n">
        <v>0.0</v>
      </c>
      <c r="BB39" s="248" t="n">
        <v>264.67</v>
      </c>
      <c r="BC39" s="248" t="n">
        <v>0.0</v>
      </c>
      <c r="BD39" s="248" t="n">
        <v>396.83</v>
      </c>
      <c r="BE39" s="248" t="inlineStr">
        <is>
          <t>settled</t>
        </is>
      </c>
      <c r="BF39" s="248" t="inlineStr">
        <is>
          <t>2025-12-17 05:30:00</t>
        </is>
      </c>
      <c r="BG39" s="248" t="inlineStr">
        <is>
          <t>CITIN25671235852</t>
        </is>
      </c>
      <c r="BH39" s="248" t="n">
        <v>0.0</v>
      </c>
      <c r="BI39" s="248" t="inlineStr">
        <is>
          <t>1f7c592ccc03028fee07d8cc2877b1e79097162be2c2b6bd6ce5dc235887e071</t>
        </is>
      </c>
    </row>
    <row r="40">
      <c r="A40" s="248" t="inlineStr">
        <is>
          <t>32</t>
        </is>
      </c>
      <c r="B40" s="248" t="inlineStr">
        <is>
          <t>7551208391</t>
        </is>
      </c>
      <c r="C40" s="248" t="inlineStr">
        <is>
          <t>2025-12-10 21:09:06</t>
        </is>
      </c>
      <c r="D40" s="248" t="inlineStr">
        <is>
          <t>50</t>
        </is>
      </c>
      <c r="E40" s="248" t="inlineStr">
        <is>
          <t>Bawarchi Baba- By Posh Foods</t>
        </is>
      </c>
      <c r="F40" s="248" t="inlineStr">
        <is>
          <t>20415473</t>
        </is>
      </c>
      <c r="G40" s="248" t="inlineStr">
        <is>
          <t>NA</t>
        </is>
      </c>
      <c r="H40" s="248" t="inlineStr">
        <is>
          <t>ONLINE</t>
        </is>
      </c>
      <c r="I40" s="248" t="inlineStr">
        <is>
          <t>DELIVERED</t>
        </is>
      </c>
      <c r="J40" s="248" t="inlineStr">
        <is>
          <t>NA</t>
        </is>
      </c>
      <c r="K40" s="248" t="inlineStr">
        <is>
          <t>NA</t>
        </is>
      </c>
      <c r="L40" s="248" t="inlineStr">
        <is>
          <t>NA</t>
        </is>
      </c>
      <c r="M40" s="248" t="inlineStr">
        <is>
          <t>O2</t>
        </is>
      </c>
      <c r="N40" s="248" t="inlineStr">
        <is>
          <t>9</t>
        </is>
      </c>
      <c r="O40" s="248" t="n">
        <v>768.0</v>
      </c>
      <c r="P40" s="248" t="n">
        <v>0.0</v>
      </c>
      <c r="Q40" s="248" t="n">
        <v>0.0</v>
      </c>
      <c r="R40" s="248" t="n">
        <v>0.0</v>
      </c>
      <c r="S40" s="248" t="n">
        <v>76.8</v>
      </c>
      <c r="T40" s="248" t="n">
        <v>0.0</v>
      </c>
      <c r="U40" s="248" t="n">
        <v>0.0</v>
      </c>
      <c r="V40" s="248" t="n">
        <v>34.56</v>
      </c>
      <c r="W40" s="248" t="n">
        <v>725.76</v>
      </c>
      <c r="X40" s="248" t="n">
        <v>691.2</v>
      </c>
      <c r="Y40" s="248" t="n">
        <v>0.0</v>
      </c>
      <c r="Z40" s="248" t="n">
        <v>0.0</v>
      </c>
      <c r="AA40" s="248" t="n">
        <v>691.2</v>
      </c>
      <c r="AB40" s="248" t="n">
        <v>23.0</v>
      </c>
      <c r="AC40" s="248" t="n">
        <v>158.98</v>
      </c>
      <c r="AD40" s="248" t="n">
        <v>9.07</v>
      </c>
      <c r="AE40" s="248" t="n">
        <v>40.0</v>
      </c>
      <c r="AF40" s="248" t="n">
        <v>0.0</v>
      </c>
      <c r="AG40" s="248" t="n">
        <v>0.0</v>
      </c>
      <c r="AH40" s="248" t="n">
        <v>13.35</v>
      </c>
      <c r="AI40" s="248" t="n">
        <v>212.33</v>
      </c>
      <c r="AJ40" s="248" t="n">
        <v>38.22</v>
      </c>
      <c r="AK40" s="248" t="n">
        <v>0.0</v>
      </c>
      <c r="AL40" s="248" t="n">
        <v>691.2</v>
      </c>
      <c r="AM40" s="248" t="n">
        <v>0.0</v>
      </c>
      <c r="AN40" s="248" t="n">
        <v>0.0</v>
      </c>
      <c r="AO40" s="248" t="n">
        <v>0.69</v>
      </c>
      <c r="AP40" s="248" t="n">
        <v>34.56</v>
      </c>
      <c r="AQ40" s="248" t="n">
        <v>0.0</v>
      </c>
      <c r="AR40" s="248" t="n">
        <v>73.47</v>
      </c>
      <c r="AS40" s="248" t="n">
        <v>0.0</v>
      </c>
      <c r="AT40" s="248" t="n">
        <v>0.0</v>
      </c>
      <c r="AU40" s="248" t="n">
        <v>0.0</v>
      </c>
      <c r="AV40" s="248" t="n">
        <v>0.0</v>
      </c>
      <c r="AW40" s="248" t="n">
        <v>0.0</v>
      </c>
      <c r="AX40" s="248" t="n">
        <v>0.0</v>
      </c>
      <c r="AY40" s="248" t="n">
        <v>0.0</v>
      </c>
      <c r="AZ40" s="248" t="n">
        <v>0.0</v>
      </c>
      <c r="BA40" s="248" t="n">
        <v>0.0</v>
      </c>
      <c r="BB40" s="248" t="n">
        <v>285.8</v>
      </c>
      <c r="BC40" s="248" t="n">
        <v>0.0</v>
      </c>
      <c r="BD40" s="248" t="n">
        <v>439.96</v>
      </c>
      <c r="BE40" s="248" t="inlineStr">
        <is>
          <t>settled</t>
        </is>
      </c>
      <c r="BF40" s="248" t="inlineStr">
        <is>
          <t>2025-12-17 05:30:00</t>
        </is>
      </c>
      <c r="BG40" s="248" t="inlineStr">
        <is>
          <t>CITIN25671235852</t>
        </is>
      </c>
      <c r="BH40" s="248" t="n">
        <v>0.0</v>
      </c>
      <c r="BI40" s="248" t="inlineStr">
        <is>
          <t>2987b17621a389e6364af0a01d37876ad6256196c13ca7a029b31cb95272fbee</t>
        </is>
      </c>
    </row>
    <row r="41">
      <c r="A41" s="248" t="inlineStr">
        <is>
          <t>33</t>
        </is>
      </c>
      <c r="B41" s="248" t="inlineStr">
        <is>
          <t>7555845580</t>
        </is>
      </c>
      <c r="C41" s="248" t="inlineStr">
        <is>
          <t>2025-12-10 21:56:50</t>
        </is>
      </c>
      <c r="D41" s="248" t="inlineStr">
        <is>
          <t>50</t>
        </is>
      </c>
      <c r="E41" s="248" t="inlineStr">
        <is>
          <t>Bawarchi Baba- By Posh Foods</t>
        </is>
      </c>
      <c r="F41" s="248" t="inlineStr">
        <is>
          <t>20415473</t>
        </is>
      </c>
      <c r="G41" s="248" t="inlineStr">
        <is>
          <t>NA</t>
        </is>
      </c>
      <c r="H41" s="248" t="inlineStr">
        <is>
          <t>ONLINE</t>
        </is>
      </c>
      <c r="I41" s="248" t="inlineStr">
        <is>
          <t>DELIVERED</t>
        </is>
      </c>
      <c r="J41" s="248" t="inlineStr">
        <is>
          <t>NA</t>
        </is>
      </c>
      <c r="K41" s="248" t="inlineStr">
        <is>
          <t>NA</t>
        </is>
      </c>
      <c r="L41" s="248" t="inlineStr">
        <is>
          <t>NA</t>
        </is>
      </c>
      <c r="M41" s="248" t="inlineStr">
        <is>
          <t>O2</t>
        </is>
      </c>
      <c r="N41" s="248" t="inlineStr">
        <is>
          <t>9</t>
        </is>
      </c>
      <c r="O41" s="248" t="n">
        <v>252.0</v>
      </c>
      <c r="P41" s="248" t="n">
        <v>0.0</v>
      </c>
      <c r="Q41" s="248" t="n">
        <v>0.0</v>
      </c>
      <c r="R41" s="248" t="n">
        <v>0.0</v>
      </c>
      <c r="S41" s="248" t="n">
        <v>25.2</v>
      </c>
      <c r="T41" s="248" t="n">
        <v>0.0</v>
      </c>
      <c r="U41" s="248" t="n">
        <v>0.0</v>
      </c>
      <c r="V41" s="248" t="n">
        <v>11.34</v>
      </c>
      <c r="W41" s="248" t="n">
        <v>238.14</v>
      </c>
      <c r="X41" s="248" t="n">
        <v>226.8</v>
      </c>
      <c r="Y41" s="248" t="n">
        <v>0.0</v>
      </c>
      <c r="Z41" s="248" t="n">
        <v>0.0</v>
      </c>
      <c r="AA41" s="248" t="n">
        <v>226.8</v>
      </c>
      <c r="AB41" s="248" t="n">
        <v>23.0</v>
      </c>
      <c r="AC41" s="248" t="n">
        <v>52.16</v>
      </c>
      <c r="AD41" s="248" t="n">
        <v>4.85</v>
      </c>
      <c r="AE41" s="248" t="n">
        <v>20.0</v>
      </c>
      <c r="AF41" s="248" t="n">
        <v>0.0</v>
      </c>
      <c r="AG41" s="248" t="n">
        <v>4.12</v>
      </c>
      <c r="AH41" s="248" t="n">
        <v>4.38</v>
      </c>
      <c r="AI41" s="248" t="n">
        <v>72.42</v>
      </c>
      <c r="AJ41" s="248" t="n">
        <v>13.04</v>
      </c>
      <c r="AK41" s="248" t="n">
        <v>0.0</v>
      </c>
      <c r="AL41" s="248" t="n">
        <v>226.8</v>
      </c>
      <c r="AM41" s="248" t="n">
        <v>0.0</v>
      </c>
      <c r="AN41" s="248" t="n">
        <v>0.0</v>
      </c>
      <c r="AO41" s="248" t="n">
        <v>0.23</v>
      </c>
      <c r="AP41" s="248" t="n">
        <v>11.34</v>
      </c>
      <c r="AQ41" s="248" t="n">
        <v>0.0</v>
      </c>
      <c r="AR41" s="248" t="n">
        <v>24.61</v>
      </c>
      <c r="AS41" s="248" t="n">
        <v>0.0</v>
      </c>
      <c r="AT41" s="248" t="n">
        <v>0.0</v>
      </c>
      <c r="AU41" s="248" t="n">
        <v>0.0</v>
      </c>
      <c r="AV41" s="248" t="n">
        <v>0.0</v>
      </c>
      <c r="AW41" s="248" t="n">
        <v>0.0</v>
      </c>
      <c r="AX41" s="248" t="n">
        <v>0.0</v>
      </c>
      <c r="AY41" s="248" t="n">
        <v>0.0</v>
      </c>
      <c r="AZ41" s="248" t="n">
        <v>0.0</v>
      </c>
      <c r="BA41" s="248" t="n">
        <v>0.0</v>
      </c>
      <c r="BB41" s="248" t="n">
        <v>97.03</v>
      </c>
      <c r="BC41" s="248" t="n">
        <v>0.0</v>
      </c>
      <c r="BD41" s="248" t="n">
        <v>141.11</v>
      </c>
      <c r="BE41" s="248" t="inlineStr">
        <is>
          <t>settled</t>
        </is>
      </c>
      <c r="BF41" s="248" t="inlineStr">
        <is>
          <t>2025-12-17 05:30:00</t>
        </is>
      </c>
      <c r="BG41" s="248" t="inlineStr">
        <is>
          <t>CITIN25671235852</t>
        </is>
      </c>
      <c r="BH41" s="248" t="n">
        <v>0.0</v>
      </c>
      <c r="BI41" s="248" t="inlineStr">
        <is>
          <t>94f5c58e298e5d6bb02632fe8faab9e5e21ecf04a3f8512e2675386bad71ba42</t>
        </is>
      </c>
    </row>
    <row r="42">
      <c r="A42" s="248" t="inlineStr">
        <is>
          <t>34</t>
        </is>
      </c>
      <c r="B42" s="248" t="inlineStr">
        <is>
          <t>7569240183</t>
        </is>
      </c>
      <c r="C42" s="248" t="inlineStr">
        <is>
          <t>2025-12-10 21:57:42</t>
        </is>
      </c>
      <c r="D42" s="248" t="inlineStr">
        <is>
          <t>50</t>
        </is>
      </c>
      <c r="E42" s="248" t="inlineStr">
        <is>
          <t>Bawarchi Baba- By Posh Foods</t>
        </is>
      </c>
      <c r="F42" s="248" t="inlineStr">
        <is>
          <t>20415473</t>
        </is>
      </c>
      <c r="G42" s="248" t="inlineStr">
        <is>
          <t>NA</t>
        </is>
      </c>
      <c r="H42" s="248" t="inlineStr">
        <is>
          <t>ONLINE</t>
        </is>
      </c>
      <c r="I42" s="248" t="inlineStr">
        <is>
          <t>DELIVERED</t>
        </is>
      </c>
      <c r="J42" s="248" t="inlineStr">
        <is>
          <t>NA</t>
        </is>
      </c>
      <c r="K42" s="248" t="inlineStr">
        <is>
          <t>NA</t>
        </is>
      </c>
      <c r="L42" s="248" t="inlineStr">
        <is>
          <t>NA</t>
        </is>
      </c>
      <c r="M42" s="248" t="inlineStr">
        <is>
          <t>O2</t>
        </is>
      </c>
      <c r="N42" s="248" t="inlineStr">
        <is>
          <t>9</t>
        </is>
      </c>
      <c r="O42" s="248" t="n">
        <v>1309.0</v>
      </c>
      <c r="P42" s="248" t="n">
        <v>0.0</v>
      </c>
      <c r="Q42" s="248" t="n">
        <v>0.0</v>
      </c>
      <c r="R42" s="248" t="n">
        <v>0.0</v>
      </c>
      <c r="S42" s="248" t="n">
        <v>130.9</v>
      </c>
      <c r="T42" s="248" t="n">
        <v>0.0</v>
      </c>
      <c r="U42" s="248" t="n">
        <v>0.0</v>
      </c>
      <c r="V42" s="248" t="n">
        <v>58.91</v>
      </c>
      <c r="W42" s="248" t="n">
        <v>1237.01</v>
      </c>
      <c r="X42" s="248" t="n">
        <v>1178.1</v>
      </c>
      <c r="Y42" s="248" t="n">
        <v>0.0</v>
      </c>
      <c r="Z42" s="248" t="n">
        <v>0.0</v>
      </c>
      <c r="AA42" s="248" t="n">
        <v>1178.1</v>
      </c>
      <c r="AB42" s="248" t="n">
        <v>23.0</v>
      </c>
      <c r="AC42" s="248" t="n">
        <v>270.96</v>
      </c>
      <c r="AD42" s="248" t="n">
        <v>3.31</v>
      </c>
      <c r="AE42" s="248" t="n">
        <v>0.0</v>
      </c>
      <c r="AF42" s="248" t="n">
        <v>0.0</v>
      </c>
      <c r="AG42" s="248" t="n">
        <v>0.0</v>
      </c>
      <c r="AH42" s="248" t="n">
        <v>22.76</v>
      </c>
      <c r="AI42" s="248" t="n">
        <v>293.72</v>
      </c>
      <c r="AJ42" s="248" t="n">
        <v>52.87</v>
      </c>
      <c r="AK42" s="248" t="n">
        <v>0.0</v>
      </c>
      <c r="AL42" s="248" t="n">
        <v>1178.1</v>
      </c>
      <c r="AM42" s="248" t="n">
        <v>0.0</v>
      </c>
      <c r="AN42" s="248" t="n">
        <v>0.0</v>
      </c>
      <c r="AO42" s="248" t="n">
        <v>1.18</v>
      </c>
      <c r="AP42" s="248" t="n">
        <v>58.91</v>
      </c>
      <c r="AQ42" s="248" t="n">
        <v>0.0</v>
      </c>
      <c r="AR42" s="248" t="n">
        <v>112.96</v>
      </c>
      <c r="AS42" s="248" t="n">
        <v>0.0</v>
      </c>
      <c r="AT42" s="248" t="n">
        <v>0.0</v>
      </c>
      <c r="AU42" s="248" t="n">
        <v>0.0</v>
      </c>
      <c r="AV42" s="248" t="n">
        <v>0.0</v>
      </c>
      <c r="AW42" s="248" t="n">
        <v>0.0</v>
      </c>
      <c r="AX42" s="248" t="n">
        <v>0.0</v>
      </c>
      <c r="AY42" s="248" t="n">
        <v>0.0</v>
      </c>
      <c r="AZ42" s="248" t="n">
        <v>0.0</v>
      </c>
      <c r="BA42" s="248" t="n">
        <v>0.0</v>
      </c>
      <c r="BB42" s="248" t="n">
        <v>406.68</v>
      </c>
      <c r="BC42" s="248" t="n">
        <v>0.0</v>
      </c>
      <c r="BD42" s="248" t="n">
        <v>830.33</v>
      </c>
      <c r="BE42" s="248" t="inlineStr">
        <is>
          <t>settled</t>
        </is>
      </c>
      <c r="BF42" s="248" t="inlineStr">
        <is>
          <t>2025-12-17 05:30:00</t>
        </is>
      </c>
      <c r="BG42" s="248" t="inlineStr">
        <is>
          <t>CITIN25671235852</t>
        </is>
      </c>
      <c r="BH42" s="248" t="n">
        <v>0.0</v>
      </c>
      <c r="BI42" s="248" t="inlineStr">
        <is>
          <t>a3e0e9c65a3b30650146edc93aebf9fa2e7b1516b6e4635e1516bbae000b8fe8</t>
        </is>
      </c>
    </row>
    <row r="43">
      <c r="A43" s="248" t="inlineStr">
        <is>
          <t>35</t>
        </is>
      </c>
      <c r="B43" s="248" t="inlineStr">
        <is>
          <t>7568276307</t>
        </is>
      </c>
      <c r="C43" s="248" t="inlineStr">
        <is>
          <t>2025-12-10 22:06:51</t>
        </is>
      </c>
      <c r="D43" s="248" t="inlineStr">
        <is>
          <t>50</t>
        </is>
      </c>
      <c r="E43" s="248" t="inlineStr">
        <is>
          <t>Bawarchi Baba- By Posh Foods</t>
        </is>
      </c>
      <c r="F43" s="248" t="inlineStr">
        <is>
          <t>20415473</t>
        </is>
      </c>
      <c r="G43" s="248" t="inlineStr">
        <is>
          <t>NA</t>
        </is>
      </c>
      <c r="H43" s="248" t="inlineStr">
        <is>
          <t>ONLINE</t>
        </is>
      </c>
      <c r="I43" s="248" t="inlineStr">
        <is>
          <t>DELIVERED</t>
        </is>
      </c>
      <c r="J43" s="248" t="inlineStr">
        <is>
          <t>NA</t>
        </is>
      </c>
      <c r="K43" s="248" t="inlineStr">
        <is>
          <t>NA</t>
        </is>
      </c>
      <c r="L43" s="248" t="inlineStr">
        <is>
          <t>NA</t>
        </is>
      </c>
      <c r="M43" s="248" t="inlineStr">
        <is>
          <t>O2</t>
        </is>
      </c>
      <c r="N43" s="248" t="inlineStr">
        <is>
          <t>9</t>
        </is>
      </c>
      <c r="O43" s="248" t="n">
        <v>175.0</v>
      </c>
      <c r="P43" s="248" t="n">
        <v>0.0</v>
      </c>
      <c r="Q43" s="248" t="n">
        <v>0.0</v>
      </c>
      <c r="R43" s="248" t="n">
        <v>0.0</v>
      </c>
      <c r="S43" s="248" t="n">
        <v>17.5</v>
      </c>
      <c r="T43" s="248" t="n">
        <v>0.0</v>
      </c>
      <c r="U43" s="248" t="n">
        <v>0.0</v>
      </c>
      <c r="V43" s="248" t="n">
        <v>7.88</v>
      </c>
      <c r="W43" s="248" t="n">
        <v>165.38</v>
      </c>
      <c r="X43" s="248" t="n">
        <v>157.5</v>
      </c>
      <c r="Y43" s="248" t="n">
        <v>0.0</v>
      </c>
      <c r="Z43" s="248" t="n">
        <v>0.0</v>
      </c>
      <c r="AA43" s="248" t="n">
        <v>157.5</v>
      </c>
      <c r="AB43" s="248" t="n">
        <v>23.0</v>
      </c>
      <c r="AC43" s="248" t="n">
        <v>36.22</v>
      </c>
      <c r="AD43" s="248" t="n">
        <v>3.52</v>
      </c>
      <c r="AE43" s="248" t="n">
        <v>0.0</v>
      </c>
      <c r="AF43" s="248" t="n">
        <v>0.0</v>
      </c>
      <c r="AG43" s="248" t="n">
        <v>0.0</v>
      </c>
      <c r="AH43" s="248" t="n">
        <v>3.04</v>
      </c>
      <c r="AI43" s="248" t="n">
        <v>39.26</v>
      </c>
      <c r="AJ43" s="248" t="n">
        <v>7.07</v>
      </c>
      <c r="AK43" s="248" t="n">
        <v>0.0</v>
      </c>
      <c r="AL43" s="248" t="n">
        <v>157.5</v>
      </c>
      <c r="AM43" s="248" t="n">
        <v>0.0</v>
      </c>
      <c r="AN43" s="248" t="n">
        <v>0.0</v>
      </c>
      <c r="AO43" s="248" t="n">
        <v>0.16</v>
      </c>
      <c r="AP43" s="248" t="n">
        <v>7.88</v>
      </c>
      <c r="AQ43" s="248" t="n">
        <v>0.0</v>
      </c>
      <c r="AR43" s="248" t="n">
        <v>15.11</v>
      </c>
      <c r="AS43" s="248" t="n">
        <v>0.0</v>
      </c>
      <c r="AT43" s="248" t="n">
        <v>0.0</v>
      </c>
      <c r="AU43" s="248" t="n">
        <v>0.0</v>
      </c>
      <c r="AV43" s="248" t="n">
        <v>0.0</v>
      </c>
      <c r="AW43" s="248" t="n">
        <v>0.0</v>
      </c>
      <c r="AX43" s="248" t="n">
        <v>0.0</v>
      </c>
      <c r="AY43" s="248" t="n">
        <v>0.0</v>
      </c>
      <c r="AZ43" s="248" t="n">
        <v>0.0</v>
      </c>
      <c r="BA43" s="248" t="n">
        <v>0.0</v>
      </c>
      <c r="BB43" s="248" t="n">
        <v>54.37</v>
      </c>
      <c r="BC43" s="248" t="n">
        <v>0.0</v>
      </c>
      <c r="BD43" s="248" t="n">
        <v>111.01</v>
      </c>
      <c r="BE43" s="248" t="inlineStr">
        <is>
          <t>settled</t>
        </is>
      </c>
      <c r="BF43" s="248" t="inlineStr">
        <is>
          <t>2025-12-17 05:30:00</t>
        </is>
      </c>
      <c r="BG43" s="248" t="inlineStr">
        <is>
          <t>CITIN25671235852</t>
        </is>
      </c>
      <c r="BH43" s="248" t="n">
        <v>0.0</v>
      </c>
      <c r="BI43" s="248" t="inlineStr">
        <is>
          <t>2da9221765f6eea44812b07b21f9ca291b2c66fe472f76648644813d926298aa</t>
        </is>
      </c>
    </row>
    <row r="44">
      <c r="A44" s="248" t="inlineStr">
        <is>
          <t>36</t>
        </is>
      </c>
      <c r="B44" s="248" t="inlineStr">
        <is>
          <t>7566647096</t>
        </is>
      </c>
      <c r="C44" s="248" t="inlineStr">
        <is>
          <t>2025-12-10 22:26:16</t>
        </is>
      </c>
      <c r="D44" s="248" t="inlineStr">
        <is>
          <t>50</t>
        </is>
      </c>
      <c r="E44" s="248" t="inlineStr">
        <is>
          <t>Bawarchi Baba- By Posh Foods</t>
        </is>
      </c>
      <c r="F44" s="248" t="inlineStr">
        <is>
          <t>20415473</t>
        </is>
      </c>
      <c r="G44" s="248" t="inlineStr">
        <is>
          <t>NA</t>
        </is>
      </c>
      <c r="H44" s="248" t="inlineStr">
        <is>
          <t>ONLINE</t>
        </is>
      </c>
      <c r="I44" s="248" t="inlineStr">
        <is>
          <t>DELIVERED</t>
        </is>
      </c>
      <c r="J44" s="248" t="inlineStr">
        <is>
          <t>NA</t>
        </is>
      </c>
      <c r="K44" s="248" t="inlineStr">
        <is>
          <t>NA</t>
        </is>
      </c>
      <c r="L44" s="248" t="inlineStr">
        <is>
          <t>NA</t>
        </is>
      </c>
      <c r="M44" s="248" t="inlineStr">
        <is>
          <t>O2</t>
        </is>
      </c>
      <c r="N44" s="248" t="inlineStr">
        <is>
          <t>9</t>
        </is>
      </c>
      <c r="O44" s="248" t="n">
        <v>550.0</v>
      </c>
      <c r="P44" s="248" t="n">
        <v>0.0</v>
      </c>
      <c r="Q44" s="248" t="n">
        <v>0.0</v>
      </c>
      <c r="R44" s="248" t="n">
        <v>0.0</v>
      </c>
      <c r="S44" s="248" t="n">
        <v>55.0</v>
      </c>
      <c r="T44" s="248" t="n">
        <v>0.0</v>
      </c>
      <c r="U44" s="248" t="n">
        <v>0.0</v>
      </c>
      <c r="V44" s="248" t="n">
        <v>24.75</v>
      </c>
      <c r="W44" s="248" t="n">
        <v>519.75</v>
      </c>
      <c r="X44" s="248" t="n">
        <v>495.0</v>
      </c>
      <c r="Y44" s="248" t="n">
        <v>0.0</v>
      </c>
      <c r="Z44" s="248" t="n">
        <v>0.0</v>
      </c>
      <c r="AA44" s="248" t="n">
        <v>495.0</v>
      </c>
      <c r="AB44" s="248" t="n">
        <v>23.0</v>
      </c>
      <c r="AC44" s="248" t="n">
        <v>113.85</v>
      </c>
      <c r="AD44" s="248" t="n">
        <v>2.28</v>
      </c>
      <c r="AE44" s="248" t="n">
        <v>0.0</v>
      </c>
      <c r="AF44" s="248" t="n">
        <v>0.0</v>
      </c>
      <c r="AG44" s="248" t="n">
        <v>0.0</v>
      </c>
      <c r="AH44" s="248" t="n">
        <v>9.56</v>
      </c>
      <c r="AI44" s="248" t="n">
        <v>123.41</v>
      </c>
      <c r="AJ44" s="248" t="n">
        <v>22.21</v>
      </c>
      <c r="AK44" s="248" t="n">
        <v>0.0</v>
      </c>
      <c r="AL44" s="248" t="n">
        <v>495.0</v>
      </c>
      <c r="AM44" s="248" t="n">
        <v>0.0</v>
      </c>
      <c r="AN44" s="248" t="n">
        <v>0.0</v>
      </c>
      <c r="AO44" s="248" t="n">
        <v>0.5</v>
      </c>
      <c r="AP44" s="248" t="n">
        <v>24.75</v>
      </c>
      <c r="AQ44" s="248" t="n">
        <v>0.0</v>
      </c>
      <c r="AR44" s="248" t="n">
        <v>47.46</v>
      </c>
      <c r="AS44" s="248" t="n">
        <v>0.0</v>
      </c>
      <c r="AT44" s="248" t="n">
        <v>0.0</v>
      </c>
      <c r="AU44" s="248" t="n">
        <v>0.0</v>
      </c>
      <c r="AV44" s="248" t="n">
        <v>0.0</v>
      </c>
      <c r="AW44" s="248" t="n">
        <v>0.0</v>
      </c>
      <c r="AX44" s="248" t="n">
        <v>0.0</v>
      </c>
      <c r="AY44" s="248" t="n">
        <v>0.0</v>
      </c>
      <c r="AZ44" s="248" t="n">
        <v>0.0</v>
      </c>
      <c r="BA44" s="248" t="n">
        <v>0.0</v>
      </c>
      <c r="BB44" s="248" t="n">
        <v>170.87</v>
      </c>
      <c r="BC44" s="248" t="n">
        <v>0.0</v>
      </c>
      <c r="BD44" s="248" t="n">
        <v>348.88</v>
      </c>
      <c r="BE44" s="248" t="inlineStr">
        <is>
          <t>settled</t>
        </is>
      </c>
      <c r="BF44" s="248" t="inlineStr">
        <is>
          <t>2025-12-17 05:30:00</t>
        </is>
      </c>
      <c r="BG44" s="248" t="inlineStr">
        <is>
          <t>CITIN25671235852</t>
        </is>
      </c>
      <c r="BH44" s="248" t="n">
        <v>0.0</v>
      </c>
      <c r="BI44" s="248" t="inlineStr">
        <is>
          <t>7a746334140a743fb442aed96efe77f764808202585b81b8b437e3bb760718a6</t>
        </is>
      </c>
    </row>
    <row r="45">
      <c r="A45" s="248" t="inlineStr">
        <is>
          <t>37</t>
        </is>
      </c>
      <c r="B45" s="248" t="inlineStr">
        <is>
          <t>7548506632</t>
        </is>
      </c>
      <c r="C45" s="248" t="inlineStr">
        <is>
          <t>2025-12-10 22:53:06</t>
        </is>
      </c>
      <c r="D45" s="248" t="inlineStr">
        <is>
          <t>50</t>
        </is>
      </c>
      <c r="E45" s="248" t="inlineStr">
        <is>
          <t>Bawarchi Baba- By Posh Foods</t>
        </is>
      </c>
      <c r="F45" s="248" t="inlineStr">
        <is>
          <t>20415473</t>
        </is>
      </c>
      <c r="G45" s="248" t="inlineStr">
        <is>
          <t>NA</t>
        </is>
      </c>
      <c r="H45" s="248" t="inlineStr">
        <is>
          <t>ONLINE</t>
        </is>
      </c>
      <c r="I45" s="248" t="inlineStr">
        <is>
          <t>DELIVERED</t>
        </is>
      </c>
      <c r="J45" s="248" t="inlineStr">
        <is>
          <t>NA</t>
        </is>
      </c>
      <c r="K45" s="248" t="inlineStr">
        <is>
          <t>NA</t>
        </is>
      </c>
      <c r="L45" s="248" t="inlineStr">
        <is>
          <t>NA</t>
        </is>
      </c>
      <c r="M45" s="248" t="inlineStr">
        <is>
          <t>O2</t>
        </is>
      </c>
      <c r="N45" s="248" t="inlineStr">
        <is>
          <t>9</t>
        </is>
      </c>
      <c r="O45" s="248" t="n">
        <v>625.0</v>
      </c>
      <c r="P45" s="248" t="n">
        <v>0.0</v>
      </c>
      <c r="Q45" s="248" t="n">
        <v>0.0</v>
      </c>
      <c r="R45" s="248" t="n">
        <v>0.0</v>
      </c>
      <c r="S45" s="248" t="n">
        <v>62.5</v>
      </c>
      <c r="T45" s="248" t="n">
        <v>0.0</v>
      </c>
      <c r="U45" s="248" t="n">
        <v>0.0</v>
      </c>
      <c r="V45" s="248" t="n">
        <v>28.13</v>
      </c>
      <c r="W45" s="248" t="n">
        <v>590.63</v>
      </c>
      <c r="X45" s="248" t="n">
        <v>562.5</v>
      </c>
      <c r="Y45" s="248" t="n">
        <v>0.0</v>
      </c>
      <c r="Z45" s="248" t="n">
        <v>0.0</v>
      </c>
      <c r="AA45" s="248" t="n">
        <v>562.5</v>
      </c>
      <c r="AB45" s="248" t="n">
        <v>23.0</v>
      </c>
      <c r="AC45" s="248" t="n">
        <v>129.38</v>
      </c>
      <c r="AD45" s="248" t="n">
        <v>2.3</v>
      </c>
      <c r="AE45" s="248" t="n">
        <v>0.0</v>
      </c>
      <c r="AF45" s="248" t="n">
        <v>0.0</v>
      </c>
      <c r="AG45" s="248" t="n">
        <v>0.0</v>
      </c>
      <c r="AH45" s="248" t="n">
        <v>10.87</v>
      </c>
      <c r="AI45" s="248" t="n">
        <v>140.25</v>
      </c>
      <c r="AJ45" s="248" t="n">
        <v>25.25</v>
      </c>
      <c r="AK45" s="248" t="n">
        <v>0.0</v>
      </c>
      <c r="AL45" s="248" t="n">
        <v>562.5</v>
      </c>
      <c r="AM45" s="248" t="n">
        <v>0.0</v>
      </c>
      <c r="AN45" s="248" t="n">
        <v>0.0</v>
      </c>
      <c r="AO45" s="248" t="n">
        <v>0.56</v>
      </c>
      <c r="AP45" s="248" t="n">
        <v>28.13</v>
      </c>
      <c r="AQ45" s="248" t="n">
        <v>0.0</v>
      </c>
      <c r="AR45" s="248" t="n">
        <v>53.94</v>
      </c>
      <c r="AS45" s="248" t="n">
        <v>0.0</v>
      </c>
      <c r="AT45" s="248" t="n">
        <v>0.0</v>
      </c>
      <c r="AU45" s="248" t="n">
        <v>0.0</v>
      </c>
      <c r="AV45" s="248" t="n">
        <v>0.0</v>
      </c>
      <c r="AW45" s="248" t="n">
        <v>0.0</v>
      </c>
      <c r="AX45" s="248" t="n">
        <v>0.0</v>
      </c>
      <c r="AY45" s="248" t="n">
        <v>0.0</v>
      </c>
      <c r="AZ45" s="248" t="n">
        <v>0.0</v>
      </c>
      <c r="BA45" s="248" t="n">
        <v>0.0</v>
      </c>
      <c r="BB45" s="248" t="n">
        <v>194.19</v>
      </c>
      <c r="BC45" s="248" t="n">
        <v>0.0</v>
      </c>
      <c r="BD45" s="248" t="n">
        <v>396.44</v>
      </c>
      <c r="BE45" s="248" t="inlineStr">
        <is>
          <t>settled</t>
        </is>
      </c>
      <c r="BF45" s="248" t="inlineStr">
        <is>
          <t>2025-12-17 05:30:00</t>
        </is>
      </c>
      <c r="BG45" s="248" t="inlineStr">
        <is>
          <t>CITIN25671235852</t>
        </is>
      </c>
      <c r="BH45" s="248" t="n">
        <v>0.0</v>
      </c>
      <c r="BI45" s="248" t="inlineStr">
        <is>
          <t>6ff08e224158a28dd348ba254e191885345e4010239c94ba529ad46095258d7a</t>
        </is>
      </c>
    </row>
    <row r="46">
      <c r="A46" s="248" t="inlineStr">
        <is>
          <t>38</t>
        </is>
      </c>
      <c r="B46" s="248" t="inlineStr">
        <is>
          <t>7561650172</t>
        </is>
      </c>
      <c r="C46" s="248" t="inlineStr">
        <is>
          <t>2025-12-10 22:55:13</t>
        </is>
      </c>
      <c r="D46" s="248" t="inlineStr">
        <is>
          <t>50</t>
        </is>
      </c>
      <c r="E46" s="248" t="inlineStr">
        <is>
          <t>Bawarchi Baba- By Posh Foods</t>
        </is>
      </c>
      <c r="F46" s="248" t="inlineStr">
        <is>
          <t>20415473</t>
        </is>
      </c>
      <c r="G46" s="248" t="inlineStr">
        <is>
          <t>NA</t>
        </is>
      </c>
      <c r="H46" s="248" t="inlineStr">
        <is>
          <t>ONLINE</t>
        </is>
      </c>
      <c r="I46" s="248" t="inlineStr">
        <is>
          <t>DELIVERED</t>
        </is>
      </c>
      <c r="J46" s="248" t="inlineStr">
        <is>
          <t>NA</t>
        </is>
      </c>
      <c r="K46" s="248" t="inlineStr">
        <is>
          <t>NA</t>
        </is>
      </c>
      <c r="L46" s="248" t="inlineStr">
        <is>
          <t>NA</t>
        </is>
      </c>
      <c r="M46" s="248" t="inlineStr">
        <is>
          <t>O2</t>
        </is>
      </c>
      <c r="N46" s="248" t="inlineStr">
        <is>
          <t>9</t>
        </is>
      </c>
      <c r="O46" s="248" t="n">
        <v>625.0</v>
      </c>
      <c r="P46" s="248" t="n">
        <v>0.0</v>
      </c>
      <c r="Q46" s="248" t="n">
        <v>0.0</v>
      </c>
      <c r="R46" s="248" t="n">
        <v>0.0</v>
      </c>
      <c r="S46" s="248" t="n">
        <v>62.5</v>
      </c>
      <c r="T46" s="248" t="n">
        <v>0.0</v>
      </c>
      <c r="U46" s="248" t="n">
        <v>0.0</v>
      </c>
      <c r="V46" s="248" t="n">
        <v>28.13</v>
      </c>
      <c r="W46" s="248" t="n">
        <v>590.63</v>
      </c>
      <c r="X46" s="248" t="n">
        <v>562.5</v>
      </c>
      <c r="Y46" s="248" t="n">
        <v>0.0</v>
      </c>
      <c r="Z46" s="248" t="n">
        <v>0.0</v>
      </c>
      <c r="AA46" s="248" t="n">
        <v>562.5</v>
      </c>
      <c r="AB46" s="248" t="n">
        <v>23.0</v>
      </c>
      <c r="AC46" s="248" t="n">
        <v>129.38</v>
      </c>
      <c r="AD46" s="248" t="n">
        <v>7.2</v>
      </c>
      <c r="AE46" s="248" t="n">
        <v>40.0</v>
      </c>
      <c r="AF46" s="248" t="n">
        <v>0.0</v>
      </c>
      <c r="AG46" s="248" t="n">
        <v>0.63</v>
      </c>
      <c r="AH46" s="248" t="n">
        <v>10.87</v>
      </c>
      <c r="AI46" s="248" t="n">
        <v>179.62</v>
      </c>
      <c r="AJ46" s="248" t="n">
        <v>32.34</v>
      </c>
      <c r="AK46" s="248" t="n">
        <v>0.0</v>
      </c>
      <c r="AL46" s="248" t="n">
        <v>562.5</v>
      </c>
      <c r="AM46" s="248" t="n">
        <v>0.0</v>
      </c>
      <c r="AN46" s="248" t="n">
        <v>0.0</v>
      </c>
      <c r="AO46" s="248" t="n">
        <v>0.56</v>
      </c>
      <c r="AP46" s="248" t="n">
        <v>28.13</v>
      </c>
      <c r="AQ46" s="248" t="n">
        <v>0.0</v>
      </c>
      <c r="AR46" s="248" t="n">
        <v>61.03</v>
      </c>
      <c r="AS46" s="248" t="n">
        <v>0.0</v>
      </c>
      <c r="AT46" s="248" t="n">
        <v>0.0</v>
      </c>
      <c r="AU46" s="248" t="n">
        <v>0.0</v>
      </c>
      <c r="AV46" s="248" t="n">
        <v>0.0</v>
      </c>
      <c r="AW46" s="248" t="n">
        <v>0.0</v>
      </c>
      <c r="AX46" s="248" t="n">
        <v>0.0</v>
      </c>
      <c r="AY46" s="248" t="n">
        <v>0.0</v>
      </c>
      <c r="AZ46" s="248" t="n">
        <v>0.0</v>
      </c>
      <c r="BA46" s="248" t="n">
        <v>0.0</v>
      </c>
      <c r="BB46" s="248" t="n">
        <v>240.65</v>
      </c>
      <c r="BC46" s="248" t="n">
        <v>0.0</v>
      </c>
      <c r="BD46" s="248" t="n">
        <v>349.98</v>
      </c>
      <c r="BE46" s="248" t="inlineStr">
        <is>
          <t>settled</t>
        </is>
      </c>
      <c r="BF46" s="248" t="inlineStr">
        <is>
          <t>2025-12-17 05:30:00</t>
        </is>
      </c>
      <c r="BG46" s="248" t="inlineStr">
        <is>
          <t>CITIN25671235852</t>
        </is>
      </c>
      <c r="BH46" s="248" t="n">
        <v>0.0</v>
      </c>
      <c r="BI46" s="248" t="inlineStr">
        <is>
          <t>24ada59eb9e516ae815f509a1d95c5c12828626377defa7d956a141157c7ff19</t>
        </is>
      </c>
    </row>
    <row r="47">
      <c r="A47" s="248" t="inlineStr">
        <is>
          <t>39</t>
        </is>
      </c>
      <c r="B47" s="248" t="inlineStr">
        <is>
          <t>7566215240</t>
        </is>
      </c>
      <c r="C47" s="248" t="inlineStr">
        <is>
          <t>2025-12-10 23:54:52</t>
        </is>
      </c>
      <c r="D47" s="248" t="inlineStr">
        <is>
          <t>50</t>
        </is>
      </c>
      <c r="E47" s="248" t="inlineStr">
        <is>
          <t>Bawarchi Baba- By Posh Foods</t>
        </is>
      </c>
      <c r="F47" s="248" t="inlineStr">
        <is>
          <t>20415473</t>
        </is>
      </c>
      <c r="G47" s="248" t="inlineStr">
        <is>
          <t>Flat ₹100 off (2025-12-08 - 2031-01-01)</t>
        </is>
      </c>
      <c r="H47" s="248" t="inlineStr">
        <is>
          <t>ONLINE</t>
        </is>
      </c>
      <c r="I47" s="248" t="inlineStr">
        <is>
          <t>DELIVERED</t>
        </is>
      </c>
      <c r="J47" s="248" t="inlineStr">
        <is>
          <t>NA</t>
        </is>
      </c>
      <c r="K47" s="248" t="inlineStr">
        <is>
          <t>NA</t>
        </is>
      </c>
      <c r="L47" s="248" t="inlineStr">
        <is>
          <t>NA</t>
        </is>
      </c>
      <c r="M47" s="248" t="inlineStr">
        <is>
          <t>O2</t>
        </is>
      </c>
      <c r="N47" s="248" t="inlineStr">
        <is>
          <t>9</t>
        </is>
      </c>
      <c r="O47" s="248" t="n">
        <v>309.0</v>
      </c>
      <c r="P47" s="248" t="n">
        <v>0.0</v>
      </c>
      <c r="Q47" s="248" t="n">
        <v>0.0</v>
      </c>
      <c r="R47" s="248" t="n">
        <v>70.0</v>
      </c>
      <c r="S47" s="248" t="n">
        <v>0.0</v>
      </c>
      <c r="T47" s="248" t="n">
        <v>0.0</v>
      </c>
      <c r="U47" s="248" t="n">
        <v>0.0</v>
      </c>
      <c r="V47" s="248" t="n">
        <v>11.95</v>
      </c>
      <c r="W47" s="248" t="n">
        <v>250.95</v>
      </c>
      <c r="X47" s="248" t="n">
        <v>239.0</v>
      </c>
      <c r="Y47" s="248" t="n">
        <v>0.0</v>
      </c>
      <c r="Z47" s="248" t="n">
        <v>0.0</v>
      </c>
      <c r="AA47" s="248" t="n">
        <v>239.0</v>
      </c>
      <c r="AB47" s="248" t="n">
        <v>23.0</v>
      </c>
      <c r="AC47" s="248" t="n">
        <v>54.97</v>
      </c>
      <c r="AD47" s="248" t="n">
        <v>3.54</v>
      </c>
      <c r="AE47" s="248" t="n">
        <v>0.0</v>
      </c>
      <c r="AF47" s="248" t="n">
        <v>0.0</v>
      </c>
      <c r="AG47" s="248" t="n">
        <v>0.0</v>
      </c>
      <c r="AH47" s="248" t="n">
        <v>4.62</v>
      </c>
      <c r="AI47" s="248" t="n">
        <v>59.59</v>
      </c>
      <c r="AJ47" s="248" t="n">
        <v>10.72</v>
      </c>
      <c r="AK47" s="248" t="n">
        <v>0.0</v>
      </c>
      <c r="AL47" s="248" t="n">
        <v>239.0</v>
      </c>
      <c r="AM47" s="248" t="n">
        <v>0.0</v>
      </c>
      <c r="AN47" s="248" t="n">
        <v>0.0</v>
      </c>
      <c r="AO47" s="248" t="n">
        <v>0.24</v>
      </c>
      <c r="AP47" s="248" t="n">
        <v>11.95</v>
      </c>
      <c r="AQ47" s="248" t="n">
        <v>0.0</v>
      </c>
      <c r="AR47" s="248" t="n">
        <v>22.91</v>
      </c>
      <c r="AS47" s="248" t="n">
        <v>0.0</v>
      </c>
      <c r="AT47" s="248" t="n">
        <v>0.0</v>
      </c>
      <c r="AU47" s="248" t="n">
        <v>0.0</v>
      </c>
      <c r="AV47" s="248" t="n">
        <v>0.0</v>
      </c>
      <c r="AW47" s="248" t="n">
        <v>0.0</v>
      </c>
      <c r="AX47" s="248" t="n">
        <v>0.0</v>
      </c>
      <c r="AY47" s="248" t="n">
        <v>0.0</v>
      </c>
      <c r="AZ47" s="248" t="n">
        <v>0.0</v>
      </c>
      <c r="BA47" s="248" t="n">
        <v>0.0</v>
      </c>
      <c r="BB47" s="248" t="n">
        <v>82.5</v>
      </c>
      <c r="BC47" s="248" t="n">
        <v>0.0</v>
      </c>
      <c r="BD47" s="248" t="n">
        <v>168.45</v>
      </c>
      <c r="BE47" s="248" t="inlineStr">
        <is>
          <t>settled</t>
        </is>
      </c>
      <c r="BF47" s="248" t="inlineStr">
        <is>
          <t>2025-12-17 05:30:00</t>
        </is>
      </c>
      <c r="BG47" s="248" t="inlineStr">
        <is>
          <t>CITIN25671235852</t>
        </is>
      </c>
      <c r="BH47" s="248" t="n">
        <v>0.0</v>
      </c>
      <c r="BI47" s="248" t="inlineStr">
        <is>
          <t>e2c3615f1871bfe2851925ccf0d63cd3a12082a67caa92cea52e2641b60ca04f</t>
        </is>
      </c>
    </row>
    <row r="48">
      <c r="A48" s="248" t="inlineStr">
        <is>
          <t>40</t>
        </is>
      </c>
      <c r="B48" s="248" t="inlineStr">
        <is>
          <t>7560084964</t>
        </is>
      </c>
      <c r="C48" s="248" t="inlineStr">
        <is>
          <t>2025-12-10 23:55:31</t>
        </is>
      </c>
      <c r="D48" s="248" t="inlineStr">
        <is>
          <t>50</t>
        </is>
      </c>
      <c r="E48" s="248" t="inlineStr">
        <is>
          <t>Bawarchi Baba- By Posh Foods</t>
        </is>
      </c>
      <c r="F48" s="248" t="inlineStr">
        <is>
          <t>20415473</t>
        </is>
      </c>
      <c r="G48" s="248" t="inlineStr">
        <is>
          <t>Flat 30% off (2025-10-17 - 2031-01-01)</t>
        </is>
      </c>
      <c r="H48" s="248" t="inlineStr">
        <is>
          <t>ONLINE</t>
        </is>
      </c>
      <c r="I48" s="248" t="inlineStr">
        <is>
          <t>CANCELLED</t>
        </is>
      </c>
      <c r="J48" s="248" t="inlineStr">
        <is>
          <t>100%</t>
        </is>
      </c>
      <c r="K48" s="248" t="inlineStr">
        <is>
          <t>Customer not responding</t>
        </is>
      </c>
      <c r="L48" s="248" t="inlineStr">
        <is>
          <t>Order picked up by rider</t>
        </is>
      </c>
      <c r="M48" s="248" t="inlineStr">
        <is>
          <t>O2</t>
        </is>
      </c>
      <c r="N48" s="248" t="inlineStr">
        <is>
          <t>NA</t>
        </is>
      </c>
      <c r="O48" s="248" t="n">
        <v>1087.0</v>
      </c>
      <c r="P48" s="248" t="n">
        <v>0.0</v>
      </c>
      <c r="Q48" s="248" t="n">
        <v>0.0</v>
      </c>
      <c r="R48" s="248" t="n">
        <v>0.0</v>
      </c>
      <c r="S48" s="248" t="n">
        <v>0.0</v>
      </c>
      <c r="T48" s="248" t="n">
        <v>0.0</v>
      </c>
      <c r="U48" s="248" t="n">
        <v>0.0</v>
      </c>
      <c r="V48" s="248" t="n">
        <v>0.0</v>
      </c>
      <c r="W48" s="248" t="n">
        <v>1087.0</v>
      </c>
      <c r="X48" s="248" t="n">
        <v>0.0</v>
      </c>
      <c r="Y48" s="248" t="n">
        <v>0.0</v>
      </c>
      <c r="Z48" s="248" t="n">
        <v>0.0</v>
      </c>
      <c r="AA48" s="248" t="n">
        <v>0.0</v>
      </c>
      <c r="AB48" s="248" t="n">
        <v>0.0</v>
      </c>
      <c r="AC48" s="248" t="n">
        <v>0.0</v>
      </c>
      <c r="AD48" s="248" t="n">
        <v>0.0</v>
      </c>
      <c r="AE48" s="248" t="n">
        <v>0.0</v>
      </c>
      <c r="AF48" s="248" t="n">
        <v>0.0</v>
      </c>
      <c r="AG48" s="248" t="n">
        <v>0.0</v>
      </c>
      <c r="AH48" s="248" t="n">
        <v>0.0</v>
      </c>
      <c r="AI48" s="248" t="n">
        <v>0.0</v>
      </c>
      <c r="AJ48" s="248" t="n">
        <v>0.0</v>
      </c>
      <c r="AK48" s="248" t="n">
        <v>0.0</v>
      </c>
      <c r="AL48" s="248" t="n">
        <v>0.0</v>
      </c>
      <c r="AM48" s="248" t="n">
        <v>0.0</v>
      </c>
      <c r="AN48" s="248" t="n">
        <v>0.0</v>
      </c>
      <c r="AO48" s="248" t="n">
        <v>0.0</v>
      </c>
      <c r="AP48" s="248" t="n">
        <v>0.0</v>
      </c>
      <c r="AQ48" s="248" t="n">
        <v>0.0</v>
      </c>
      <c r="AR48" s="248" t="n">
        <v>0.0</v>
      </c>
      <c r="AS48" s="248" t="n">
        <v>0.0</v>
      </c>
      <c r="AT48" s="248" t="n">
        <v>0.0</v>
      </c>
      <c r="AU48" s="248" t="n">
        <v>0.0</v>
      </c>
      <c r="AV48" s="248" t="n">
        <v>0.0</v>
      </c>
      <c r="AW48" s="248" t="n">
        <v>0.0</v>
      </c>
      <c r="AX48" s="248" t="n">
        <v>0.0</v>
      </c>
      <c r="AY48" s="248" t="n">
        <v>0.0</v>
      </c>
      <c r="AZ48" s="248" t="n">
        <v>0.0</v>
      </c>
      <c r="BA48" s="248" t="n">
        <v>0.0</v>
      </c>
      <c r="BB48" s="248" t="n">
        <v>0.0</v>
      </c>
      <c r="BC48" s="248" t="n">
        <v>582.25</v>
      </c>
      <c r="BD48" s="248" t="n">
        <v>582.25</v>
      </c>
      <c r="BE48" s="248" t="inlineStr">
        <is>
          <t>settled</t>
        </is>
      </c>
      <c r="BF48" s="248" t="inlineStr">
        <is>
          <t>2025-12-17 05:30:00</t>
        </is>
      </c>
      <c r="BG48" s="248" t="inlineStr">
        <is>
          <t>CITIN25671235852</t>
        </is>
      </c>
      <c r="BH48" s="248" t="n">
        <v>0.0</v>
      </c>
      <c r="BI48" s="248" t="inlineStr">
        <is>
          <t>NA</t>
        </is>
      </c>
    </row>
    <row r="49">
      <c r="A49" s="248" t="inlineStr">
        <is>
          <t>41</t>
        </is>
      </c>
      <c r="B49" s="248" t="inlineStr">
        <is>
          <t>7570251817</t>
        </is>
      </c>
      <c r="C49" s="248" t="inlineStr">
        <is>
          <t>2025-12-11 00:40:47</t>
        </is>
      </c>
      <c r="D49" s="248" t="inlineStr">
        <is>
          <t>50</t>
        </is>
      </c>
      <c r="E49" s="248" t="inlineStr">
        <is>
          <t>Bawarchi Baba- By Posh Foods</t>
        </is>
      </c>
      <c r="F49" s="248" t="inlineStr">
        <is>
          <t>20415473</t>
        </is>
      </c>
      <c r="G49" s="248" t="inlineStr">
        <is>
          <t>NA</t>
        </is>
      </c>
      <c r="H49" s="248" t="inlineStr">
        <is>
          <t>ONLINE</t>
        </is>
      </c>
      <c r="I49" s="248" t="inlineStr">
        <is>
          <t>DELIVERED</t>
        </is>
      </c>
      <c r="J49" s="248" t="inlineStr">
        <is>
          <t>NA</t>
        </is>
      </c>
      <c r="K49" s="248" t="inlineStr">
        <is>
          <t>NA</t>
        </is>
      </c>
      <c r="L49" s="248" t="inlineStr">
        <is>
          <t>NA</t>
        </is>
      </c>
      <c r="M49" s="248" t="inlineStr">
        <is>
          <t>RELISTING</t>
        </is>
      </c>
      <c r="N49" s="248" t="inlineStr">
        <is>
          <t>9</t>
        </is>
      </c>
      <c r="O49" s="248" t="n">
        <v>1087.0</v>
      </c>
      <c r="P49" s="248" t="n">
        <v>0.0</v>
      </c>
      <c r="Q49" s="248" t="n">
        <v>0.0</v>
      </c>
      <c r="R49" s="248" t="n">
        <v>0.0</v>
      </c>
      <c r="S49" s="248" t="n">
        <v>0.0</v>
      </c>
      <c r="T49" s="248" t="n">
        <v>0.0</v>
      </c>
      <c r="U49" s="248" t="n">
        <v>760.9</v>
      </c>
      <c r="V49" s="248" t="n">
        <v>16.31</v>
      </c>
      <c r="W49" s="248" t="n">
        <v>342.41</v>
      </c>
      <c r="X49" s="248" t="n">
        <v>326.1</v>
      </c>
      <c r="Y49" s="248" t="n">
        <v>0.0</v>
      </c>
      <c r="Z49" s="248" t="n">
        <v>0.0</v>
      </c>
      <c r="AA49" s="248" t="n">
        <v>326.1</v>
      </c>
      <c r="AB49" s="248" t="n">
        <v>74.34</v>
      </c>
      <c r="AC49" s="248" t="n">
        <v>242.42</v>
      </c>
      <c r="AD49" s="248" t="n">
        <v>2.54</v>
      </c>
      <c r="AE49" s="248" t="n">
        <v>0.0</v>
      </c>
      <c r="AF49" s="248" t="n">
        <v>0.0</v>
      </c>
      <c r="AG49" s="248" t="n">
        <v>0.0</v>
      </c>
      <c r="AH49" s="248" t="n">
        <v>6.3</v>
      </c>
      <c r="AI49" s="248" t="n">
        <v>248.72</v>
      </c>
      <c r="AJ49" s="248" t="n">
        <v>44.77</v>
      </c>
      <c r="AK49" s="248" t="n">
        <v>0.0</v>
      </c>
      <c r="AL49" s="248" t="n">
        <v>326.1</v>
      </c>
      <c r="AM49" s="248" t="n">
        <v>0.0</v>
      </c>
      <c r="AN49" s="248" t="n">
        <v>0.0</v>
      </c>
      <c r="AO49" s="248" t="n">
        <v>0.33</v>
      </c>
      <c r="AP49" s="248" t="n">
        <v>16.31</v>
      </c>
      <c r="AQ49" s="248" t="n">
        <v>0.0</v>
      </c>
      <c r="AR49" s="248" t="n">
        <v>61.41</v>
      </c>
      <c r="AS49" s="248" t="n">
        <v>0.0</v>
      </c>
      <c r="AT49" s="248" t="n">
        <v>0.0</v>
      </c>
      <c r="AU49" s="248" t="n">
        <v>0.0</v>
      </c>
      <c r="AV49" s="248" t="n">
        <v>0.0</v>
      </c>
      <c r="AW49" s="248" t="n">
        <v>0.0</v>
      </c>
      <c r="AX49" s="248" t="n">
        <v>0.0</v>
      </c>
      <c r="AY49" s="248" t="n">
        <v>0.0</v>
      </c>
      <c r="AZ49" s="248" t="n">
        <v>0.0</v>
      </c>
      <c r="BA49" s="248" t="n">
        <v>0.0</v>
      </c>
      <c r="BB49" s="248" t="n">
        <v>310.13</v>
      </c>
      <c r="BC49" s="248" t="n">
        <v>0.0</v>
      </c>
      <c r="BD49" s="248" t="n">
        <v>32.28</v>
      </c>
      <c r="BE49" s="248" t="inlineStr">
        <is>
          <t>settled</t>
        </is>
      </c>
      <c r="BF49" s="248" t="inlineStr">
        <is>
          <t>2025-12-17 05:30:00</t>
        </is>
      </c>
      <c r="BG49" s="248" t="inlineStr">
        <is>
          <t>CITIN25671235852</t>
        </is>
      </c>
      <c r="BH49" s="248" t="n">
        <v>0.0</v>
      </c>
      <c r="BI49" s="248" t="inlineStr">
        <is>
          <t>e8905113ce94409184bd0c0bcade8463c665ef90b92a132211dd6d955dfe5a14</t>
        </is>
      </c>
    </row>
    <row r="50">
      <c r="A50" s="248" t="inlineStr">
        <is>
          <t>42</t>
        </is>
      </c>
      <c r="B50" s="248" t="inlineStr">
        <is>
          <t>7567746327</t>
        </is>
      </c>
      <c r="C50" s="248" t="inlineStr">
        <is>
          <t>2025-12-11 11:41:55</t>
        </is>
      </c>
      <c r="D50" s="248" t="inlineStr">
        <is>
          <t>50</t>
        </is>
      </c>
      <c r="E50" s="248" t="inlineStr">
        <is>
          <t>Bawarchi Baba- By Posh Foods</t>
        </is>
      </c>
      <c r="F50" s="248" t="inlineStr">
        <is>
          <t>20415473</t>
        </is>
      </c>
      <c r="G50" s="248" t="inlineStr">
        <is>
          <t>Flat ₹100 off (2025-12-08 - 2031-01-01)</t>
        </is>
      </c>
      <c r="H50" s="248" t="inlineStr">
        <is>
          <t>ONLINE</t>
        </is>
      </c>
      <c r="I50" s="248" t="inlineStr">
        <is>
          <t>DELIVERED</t>
        </is>
      </c>
      <c r="J50" s="248" t="inlineStr">
        <is>
          <t>NA</t>
        </is>
      </c>
      <c r="K50" s="248" t="inlineStr">
        <is>
          <t>NA</t>
        </is>
      </c>
      <c r="L50" s="248" t="inlineStr">
        <is>
          <t>NA</t>
        </is>
      </c>
      <c r="M50" s="248" t="inlineStr">
        <is>
          <t>O2</t>
        </is>
      </c>
      <c r="N50" s="248" t="inlineStr">
        <is>
          <t>7</t>
        </is>
      </c>
      <c r="O50" s="248" t="n">
        <v>315.0</v>
      </c>
      <c r="P50" s="248" t="n">
        <v>0.0</v>
      </c>
      <c r="Q50" s="248" t="n">
        <v>0.0</v>
      </c>
      <c r="R50" s="248" t="n">
        <v>70.0</v>
      </c>
      <c r="S50" s="248" t="n">
        <v>0.0</v>
      </c>
      <c r="T50" s="248" t="n">
        <v>0.0</v>
      </c>
      <c r="U50" s="248" t="n">
        <v>0.0</v>
      </c>
      <c r="V50" s="248" t="n">
        <v>12.25</v>
      </c>
      <c r="W50" s="248" t="n">
        <v>257.25</v>
      </c>
      <c r="X50" s="248" t="n">
        <v>245.0</v>
      </c>
      <c r="Y50" s="248" t="n">
        <v>0.0</v>
      </c>
      <c r="Z50" s="248" t="n">
        <v>0.0</v>
      </c>
      <c r="AA50" s="248" t="n">
        <v>245.0</v>
      </c>
      <c r="AB50" s="248" t="n">
        <v>23.0</v>
      </c>
      <c r="AC50" s="248" t="n">
        <v>56.35</v>
      </c>
      <c r="AD50" s="248" t="n">
        <v>6.91</v>
      </c>
      <c r="AE50" s="248" t="n">
        <v>40.0</v>
      </c>
      <c r="AF50" s="248" t="n">
        <v>0.0</v>
      </c>
      <c r="AG50" s="248" t="n">
        <v>22.85</v>
      </c>
      <c r="AH50" s="248" t="n">
        <v>4.73</v>
      </c>
      <c r="AI50" s="248" t="n">
        <v>78.23</v>
      </c>
      <c r="AJ50" s="248" t="n">
        <v>14.08</v>
      </c>
      <c r="AK50" s="248" t="n">
        <v>0.0</v>
      </c>
      <c r="AL50" s="248" t="n">
        <v>245.0</v>
      </c>
      <c r="AM50" s="248" t="n">
        <v>0.0</v>
      </c>
      <c r="AN50" s="248" t="n">
        <v>0.0</v>
      </c>
      <c r="AO50" s="248" t="n">
        <v>0.24</v>
      </c>
      <c r="AP50" s="248" t="n">
        <v>12.25</v>
      </c>
      <c r="AQ50" s="248" t="n">
        <v>0.0</v>
      </c>
      <c r="AR50" s="248" t="n">
        <v>26.57</v>
      </c>
      <c r="AS50" s="248" t="n">
        <v>0.0</v>
      </c>
      <c r="AT50" s="248" t="n">
        <v>0.0</v>
      </c>
      <c r="AU50" s="248" t="n">
        <v>0.0</v>
      </c>
      <c r="AV50" s="248" t="n">
        <v>0.0</v>
      </c>
      <c r="AW50" s="248" t="n">
        <v>0.0</v>
      </c>
      <c r="AX50" s="248" t="n">
        <v>0.0</v>
      </c>
      <c r="AY50" s="248" t="n">
        <v>0.0</v>
      </c>
      <c r="AZ50" s="248" t="n">
        <v>0.0</v>
      </c>
      <c r="BA50" s="248" t="n">
        <v>0.0</v>
      </c>
      <c r="BB50" s="248" t="n">
        <v>104.8</v>
      </c>
      <c r="BC50" s="248" t="n">
        <v>0.0</v>
      </c>
      <c r="BD50" s="248" t="n">
        <v>152.45</v>
      </c>
      <c r="BE50" s="248" t="inlineStr">
        <is>
          <t>settled</t>
        </is>
      </c>
      <c r="BF50" s="248" t="inlineStr">
        <is>
          <t>2025-12-17 05:30:00</t>
        </is>
      </c>
      <c r="BG50" s="248" t="inlineStr">
        <is>
          <t>CITIN25671235852</t>
        </is>
      </c>
      <c r="BH50" s="248" t="n">
        <v>0.0</v>
      </c>
      <c r="BI50" s="248" t="inlineStr">
        <is>
          <t>51931897afbc19045d3a985e5d69f7894f75cdc013e9868a16f836f27da6b9ae</t>
        </is>
      </c>
    </row>
    <row r="51">
      <c r="A51" s="248" t="inlineStr">
        <is>
          <t>43</t>
        </is>
      </c>
      <c r="B51" s="248" t="inlineStr">
        <is>
          <t>7556471350</t>
        </is>
      </c>
      <c r="C51" s="248" t="inlineStr">
        <is>
          <t>2025-12-11 13:51:07</t>
        </is>
      </c>
      <c r="D51" s="248" t="inlineStr">
        <is>
          <t>50</t>
        </is>
      </c>
      <c r="E51" s="248" t="inlineStr">
        <is>
          <t>Bawarchi Baba- By Posh Foods</t>
        </is>
      </c>
      <c r="F51" s="248" t="inlineStr">
        <is>
          <t>20415473</t>
        </is>
      </c>
      <c r="G51" s="248" t="inlineStr">
        <is>
          <t>Flat ₹80 off (2025-12-08 - 2031-01-01)</t>
        </is>
      </c>
      <c r="H51" s="248" t="inlineStr">
        <is>
          <t>ONLINE</t>
        </is>
      </c>
      <c r="I51" s="248" t="inlineStr">
        <is>
          <t>DELIVERED</t>
        </is>
      </c>
      <c r="J51" s="248" t="inlineStr">
        <is>
          <t>NA</t>
        </is>
      </c>
      <c r="K51" s="248" t="inlineStr">
        <is>
          <t>NA</t>
        </is>
      </c>
      <c r="L51" s="248" t="inlineStr">
        <is>
          <t>NA</t>
        </is>
      </c>
      <c r="M51" s="248" t="inlineStr">
        <is>
          <t>O2</t>
        </is>
      </c>
      <c r="N51" s="248" t="inlineStr">
        <is>
          <t>9</t>
        </is>
      </c>
      <c r="O51" s="248" t="n">
        <v>320.0</v>
      </c>
      <c r="P51" s="248" t="n">
        <v>0.0</v>
      </c>
      <c r="Q51" s="248" t="n">
        <v>0.0</v>
      </c>
      <c r="R51" s="248" t="n">
        <v>56.0</v>
      </c>
      <c r="S51" s="248" t="n">
        <v>0.0</v>
      </c>
      <c r="T51" s="248" t="n">
        <v>0.0</v>
      </c>
      <c r="U51" s="248" t="n">
        <v>0.0</v>
      </c>
      <c r="V51" s="248" t="n">
        <v>13.2</v>
      </c>
      <c r="W51" s="248" t="n">
        <v>277.2</v>
      </c>
      <c r="X51" s="248" t="n">
        <v>264.0</v>
      </c>
      <c r="Y51" s="248" t="n">
        <v>0.0</v>
      </c>
      <c r="Z51" s="248" t="n">
        <v>0.0</v>
      </c>
      <c r="AA51" s="248" t="n">
        <v>264.0</v>
      </c>
      <c r="AB51" s="248" t="n">
        <v>23.0</v>
      </c>
      <c r="AC51" s="248" t="n">
        <v>60.72</v>
      </c>
      <c r="AD51" s="248" t="n">
        <v>1.74</v>
      </c>
      <c r="AE51" s="248" t="n">
        <v>0.0</v>
      </c>
      <c r="AF51" s="248" t="n">
        <v>0.0</v>
      </c>
      <c r="AG51" s="248" t="n">
        <v>0.0</v>
      </c>
      <c r="AH51" s="248" t="n">
        <v>5.1</v>
      </c>
      <c r="AI51" s="248" t="n">
        <v>65.82</v>
      </c>
      <c r="AJ51" s="248" t="n">
        <v>11.85</v>
      </c>
      <c r="AK51" s="248" t="n">
        <v>0.0</v>
      </c>
      <c r="AL51" s="248" t="n">
        <v>264.0</v>
      </c>
      <c r="AM51" s="248" t="n">
        <v>0.0</v>
      </c>
      <c r="AN51" s="248" t="n">
        <v>0.0</v>
      </c>
      <c r="AO51" s="248" t="n">
        <v>0.26</v>
      </c>
      <c r="AP51" s="248" t="n">
        <v>13.2</v>
      </c>
      <c r="AQ51" s="248" t="n">
        <v>0.0</v>
      </c>
      <c r="AR51" s="248" t="n">
        <v>25.31</v>
      </c>
      <c r="AS51" s="248" t="n">
        <v>0.0</v>
      </c>
      <c r="AT51" s="248" t="n">
        <v>0.0</v>
      </c>
      <c r="AU51" s="248" t="n">
        <v>0.0</v>
      </c>
      <c r="AV51" s="248" t="n">
        <v>0.0</v>
      </c>
      <c r="AW51" s="248" t="n">
        <v>0.0</v>
      </c>
      <c r="AX51" s="248" t="n">
        <v>0.0</v>
      </c>
      <c r="AY51" s="248" t="n">
        <v>0.0</v>
      </c>
      <c r="AZ51" s="248" t="n">
        <v>0.0</v>
      </c>
      <c r="BA51" s="248" t="n">
        <v>0.0</v>
      </c>
      <c r="BB51" s="248" t="n">
        <v>91.13</v>
      </c>
      <c r="BC51" s="248" t="n">
        <v>0.0</v>
      </c>
      <c r="BD51" s="248" t="n">
        <v>186.07</v>
      </c>
      <c r="BE51" s="248" t="inlineStr">
        <is>
          <t>settled</t>
        </is>
      </c>
      <c r="BF51" s="248" t="inlineStr">
        <is>
          <t>2025-12-17 05:30:00</t>
        </is>
      </c>
      <c r="BG51" s="248" t="inlineStr">
        <is>
          <t>CITIN25671235852</t>
        </is>
      </c>
      <c r="BH51" s="248" t="n">
        <v>0.0</v>
      </c>
      <c r="BI51" s="248" t="inlineStr">
        <is>
          <t>c73f10ba00c18fc3f76f31fee3efcd1875d15acba2559c272fe7c7dfbadf46ee</t>
        </is>
      </c>
    </row>
    <row r="52">
      <c r="A52" s="248" t="inlineStr">
        <is>
          <t>44</t>
        </is>
      </c>
      <c r="B52" s="248" t="inlineStr">
        <is>
          <t>7548965133</t>
        </is>
      </c>
      <c r="C52" s="248" t="inlineStr">
        <is>
          <t>2025-12-11 14:10:42</t>
        </is>
      </c>
      <c r="D52" s="248" t="inlineStr">
        <is>
          <t>50</t>
        </is>
      </c>
      <c r="E52" s="248" t="inlineStr">
        <is>
          <t>Bawarchi Baba- By Posh Foods</t>
        </is>
      </c>
      <c r="F52" s="248" t="inlineStr">
        <is>
          <t>20415473</t>
        </is>
      </c>
      <c r="G52" s="248" t="inlineStr">
        <is>
          <t>NA</t>
        </is>
      </c>
      <c r="H52" s="248" t="inlineStr">
        <is>
          <t>ONLINE</t>
        </is>
      </c>
      <c r="I52" s="248" t="inlineStr">
        <is>
          <t>DELIVERED</t>
        </is>
      </c>
      <c r="J52" s="248" t="inlineStr">
        <is>
          <t>NA</t>
        </is>
      </c>
      <c r="K52" s="248" t="inlineStr">
        <is>
          <t>NA</t>
        </is>
      </c>
      <c r="L52" s="248" t="inlineStr">
        <is>
          <t>NA</t>
        </is>
      </c>
      <c r="M52" s="248" t="inlineStr">
        <is>
          <t>O2</t>
        </is>
      </c>
      <c r="N52" s="248" t="inlineStr">
        <is>
          <t>9</t>
        </is>
      </c>
      <c r="O52" s="248" t="n">
        <v>170.0</v>
      </c>
      <c r="P52" s="248" t="n">
        <v>0.0</v>
      </c>
      <c r="Q52" s="248" t="n">
        <v>0.0</v>
      </c>
      <c r="R52" s="248" t="n">
        <v>0.0</v>
      </c>
      <c r="S52" s="248" t="n">
        <v>0.0</v>
      </c>
      <c r="T52" s="248" t="n">
        <v>0.0</v>
      </c>
      <c r="U52" s="248" t="n">
        <v>0.0</v>
      </c>
      <c r="V52" s="248" t="n">
        <v>8.5</v>
      </c>
      <c r="W52" s="248" t="n">
        <v>178.5</v>
      </c>
      <c r="X52" s="248" t="n">
        <v>170.0</v>
      </c>
      <c r="Y52" s="248" t="n">
        <v>0.0</v>
      </c>
      <c r="Z52" s="248" t="n">
        <v>0.0</v>
      </c>
      <c r="AA52" s="248" t="n">
        <v>170.0</v>
      </c>
      <c r="AB52" s="248" t="n">
        <v>23.0</v>
      </c>
      <c r="AC52" s="248" t="n">
        <v>39.1</v>
      </c>
      <c r="AD52" s="248" t="n">
        <v>1.74</v>
      </c>
      <c r="AE52" s="248" t="n">
        <v>0.0</v>
      </c>
      <c r="AF52" s="248" t="n">
        <v>0.0</v>
      </c>
      <c r="AG52" s="248" t="n">
        <v>0.0</v>
      </c>
      <c r="AH52" s="248" t="n">
        <v>3.28</v>
      </c>
      <c r="AI52" s="248" t="n">
        <v>42.38</v>
      </c>
      <c r="AJ52" s="248" t="n">
        <v>7.63</v>
      </c>
      <c r="AK52" s="248" t="n">
        <v>0.0</v>
      </c>
      <c r="AL52" s="248" t="n">
        <v>170.0</v>
      </c>
      <c r="AM52" s="248" t="n">
        <v>0.0</v>
      </c>
      <c r="AN52" s="248" t="n">
        <v>0.0</v>
      </c>
      <c r="AO52" s="248" t="n">
        <v>0.17</v>
      </c>
      <c r="AP52" s="248" t="n">
        <v>8.5</v>
      </c>
      <c r="AQ52" s="248" t="n">
        <v>0.0</v>
      </c>
      <c r="AR52" s="248" t="n">
        <v>16.3</v>
      </c>
      <c r="AS52" s="248" t="n">
        <v>0.0</v>
      </c>
      <c r="AT52" s="248" t="n">
        <v>0.0</v>
      </c>
      <c r="AU52" s="248" t="n">
        <v>0.0</v>
      </c>
      <c r="AV52" s="248" t="n">
        <v>0.0</v>
      </c>
      <c r="AW52" s="248" t="n">
        <v>0.0</v>
      </c>
      <c r="AX52" s="248" t="n">
        <v>0.0</v>
      </c>
      <c r="AY52" s="248" t="n">
        <v>0.0</v>
      </c>
      <c r="AZ52" s="248" t="n">
        <v>0.0</v>
      </c>
      <c r="BA52" s="248" t="n">
        <v>0.0</v>
      </c>
      <c r="BB52" s="248" t="n">
        <v>58.68</v>
      </c>
      <c r="BC52" s="248" t="n">
        <v>0.0</v>
      </c>
      <c r="BD52" s="248" t="n">
        <v>119.82</v>
      </c>
      <c r="BE52" s="248" t="inlineStr">
        <is>
          <t>settled</t>
        </is>
      </c>
      <c r="BF52" s="248" t="inlineStr">
        <is>
          <t>2025-12-17 05:30:00</t>
        </is>
      </c>
      <c r="BG52" s="248" t="inlineStr">
        <is>
          <t>CITIN25671235852</t>
        </is>
      </c>
      <c r="BH52" s="248" t="n">
        <v>0.0</v>
      </c>
      <c r="BI52" s="248" t="inlineStr">
        <is>
          <t>c90aad40a4ebaf4ae0336f7da5e1f38ac1f2433566e1f26f2b6b6d608789079f</t>
        </is>
      </c>
    </row>
    <row r="53">
      <c r="A53" s="248" t="inlineStr">
        <is>
          <t>45</t>
        </is>
      </c>
      <c r="B53" s="248" t="inlineStr">
        <is>
          <t>7568480325</t>
        </is>
      </c>
      <c r="C53" s="248" t="inlineStr">
        <is>
          <t>2025-12-11 19:31:41</t>
        </is>
      </c>
      <c r="D53" s="248" t="inlineStr">
        <is>
          <t>50</t>
        </is>
      </c>
      <c r="E53" s="248" t="inlineStr">
        <is>
          <t>Bawarchi Baba- By Posh Foods</t>
        </is>
      </c>
      <c r="F53" s="248" t="inlineStr">
        <is>
          <t>20415473</t>
        </is>
      </c>
      <c r="G53" s="248" t="inlineStr">
        <is>
          <t>NA</t>
        </is>
      </c>
      <c r="H53" s="248" t="inlineStr">
        <is>
          <t>ONLINE</t>
        </is>
      </c>
      <c r="I53" s="248" t="inlineStr">
        <is>
          <t>DELIVERED</t>
        </is>
      </c>
      <c r="J53" s="248" t="inlineStr">
        <is>
          <t>NA</t>
        </is>
      </c>
      <c r="K53" s="248" t="inlineStr">
        <is>
          <t>NA</t>
        </is>
      </c>
      <c r="L53" s="248" t="inlineStr">
        <is>
          <t>NA</t>
        </is>
      </c>
      <c r="M53" s="248" t="inlineStr">
        <is>
          <t>O2</t>
        </is>
      </c>
      <c r="N53" s="248" t="inlineStr">
        <is>
          <t>9</t>
        </is>
      </c>
      <c r="O53" s="248" t="n">
        <v>334.0</v>
      </c>
      <c r="P53" s="248" t="n">
        <v>0.0</v>
      </c>
      <c r="Q53" s="248" t="n">
        <v>0.0</v>
      </c>
      <c r="R53" s="248" t="n">
        <v>0.0</v>
      </c>
      <c r="S53" s="248" t="n">
        <v>33.4</v>
      </c>
      <c r="T53" s="248" t="n">
        <v>0.0</v>
      </c>
      <c r="U53" s="248" t="n">
        <v>0.0</v>
      </c>
      <c r="V53" s="248" t="n">
        <v>15.03</v>
      </c>
      <c r="W53" s="248" t="n">
        <v>315.63</v>
      </c>
      <c r="X53" s="248" t="n">
        <v>300.6</v>
      </c>
      <c r="Y53" s="248" t="n">
        <v>0.0</v>
      </c>
      <c r="Z53" s="248" t="n">
        <v>0.0</v>
      </c>
      <c r="AA53" s="248" t="n">
        <v>300.6</v>
      </c>
      <c r="AB53" s="248" t="n">
        <v>23.0</v>
      </c>
      <c r="AC53" s="248" t="n">
        <v>69.14</v>
      </c>
      <c r="AD53" s="248" t="n">
        <v>1.95</v>
      </c>
      <c r="AE53" s="248" t="n">
        <v>0.0</v>
      </c>
      <c r="AF53" s="248" t="n">
        <v>0.0</v>
      </c>
      <c r="AG53" s="248" t="n">
        <v>0.0</v>
      </c>
      <c r="AH53" s="248" t="n">
        <v>5.81</v>
      </c>
      <c r="AI53" s="248" t="n">
        <v>74.95</v>
      </c>
      <c r="AJ53" s="248" t="n">
        <v>13.5</v>
      </c>
      <c r="AK53" s="248" t="n">
        <v>0.0</v>
      </c>
      <c r="AL53" s="248" t="n">
        <v>300.6</v>
      </c>
      <c r="AM53" s="248" t="n">
        <v>0.0</v>
      </c>
      <c r="AN53" s="248" t="n">
        <v>0.0</v>
      </c>
      <c r="AO53" s="248" t="n">
        <v>0.3</v>
      </c>
      <c r="AP53" s="248" t="n">
        <v>15.03</v>
      </c>
      <c r="AQ53" s="248" t="n">
        <v>0.0</v>
      </c>
      <c r="AR53" s="248" t="n">
        <v>28.83</v>
      </c>
      <c r="AS53" s="248" t="n">
        <v>0.0</v>
      </c>
      <c r="AT53" s="248" t="n">
        <v>0.0</v>
      </c>
      <c r="AU53" s="248" t="n">
        <v>0.0</v>
      </c>
      <c r="AV53" s="248" t="n">
        <v>0.0</v>
      </c>
      <c r="AW53" s="248" t="n">
        <v>0.0</v>
      </c>
      <c r="AX53" s="248" t="n">
        <v>0.0</v>
      </c>
      <c r="AY53" s="248" t="n">
        <v>0.0</v>
      </c>
      <c r="AZ53" s="248" t="n">
        <v>0.0</v>
      </c>
      <c r="BA53" s="248" t="n">
        <v>0.0</v>
      </c>
      <c r="BB53" s="248" t="n">
        <v>103.78</v>
      </c>
      <c r="BC53" s="248" t="n">
        <v>0.0</v>
      </c>
      <c r="BD53" s="248" t="n">
        <v>211.85</v>
      </c>
      <c r="BE53" s="248" t="inlineStr">
        <is>
          <t>settled</t>
        </is>
      </c>
      <c r="BF53" s="248" t="inlineStr">
        <is>
          <t>2025-12-17 05:30:00</t>
        </is>
      </c>
      <c r="BG53" s="248" t="inlineStr">
        <is>
          <t>CITIN25671235852</t>
        </is>
      </c>
      <c r="BH53" s="248" t="n">
        <v>0.0</v>
      </c>
      <c r="BI53" s="248" t="inlineStr">
        <is>
          <t>127e58efe0fbacc45ec5f30031677e079cad7c6ebf033dcb074ad0f3dbe95c26</t>
        </is>
      </c>
    </row>
    <row r="54">
      <c r="A54" s="248" t="inlineStr">
        <is>
          <t>46</t>
        </is>
      </c>
      <c r="B54" s="248" t="inlineStr">
        <is>
          <t>7556747724</t>
        </is>
      </c>
      <c r="C54" s="248" t="inlineStr">
        <is>
          <t>2025-12-11 19:37:12</t>
        </is>
      </c>
      <c r="D54" s="248" t="inlineStr">
        <is>
          <t>50</t>
        </is>
      </c>
      <c r="E54" s="248" t="inlineStr">
        <is>
          <t>Bawarchi Baba- By Posh Foods</t>
        </is>
      </c>
      <c r="F54" s="248" t="inlineStr">
        <is>
          <t>20415473</t>
        </is>
      </c>
      <c r="G54" s="248" t="inlineStr">
        <is>
          <t>NA</t>
        </is>
      </c>
      <c r="H54" s="248" t="inlineStr">
        <is>
          <t>ONLINE</t>
        </is>
      </c>
      <c r="I54" s="248" t="inlineStr">
        <is>
          <t>DELIVERED</t>
        </is>
      </c>
      <c r="J54" s="248" t="inlineStr">
        <is>
          <t>NA</t>
        </is>
      </c>
      <c r="K54" s="248" t="inlineStr">
        <is>
          <t>NA</t>
        </is>
      </c>
      <c r="L54" s="248" t="inlineStr">
        <is>
          <t>NA</t>
        </is>
      </c>
      <c r="M54" s="248" t="inlineStr">
        <is>
          <t>O2</t>
        </is>
      </c>
      <c r="N54" s="248" t="inlineStr">
        <is>
          <t>9</t>
        </is>
      </c>
      <c r="O54" s="248" t="n">
        <v>340.0</v>
      </c>
      <c r="P54" s="248" t="n">
        <v>0.0</v>
      </c>
      <c r="Q54" s="248" t="n">
        <v>0.0</v>
      </c>
      <c r="R54" s="248" t="n">
        <v>0.0</v>
      </c>
      <c r="S54" s="248" t="n">
        <v>34.0</v>
      </c>
      <c r="T54" s="248" t="n">
        <v>0.0</v>
      </c>
      <c r="U54" s="248" t="n">
        <v>0.0</v>
      </c>
      <c r="V54" s="248" t="n">
        <v>15.3</v>
      </c>
      <c r="W54" s="248" t="n">
        <v>321.3</v>
      </c>
      <c r="X54" s="248" t="n">
        <v>306.0</v>
      </c>
      <c r="Y54" s="248" t="n">
        <v>0.0</v>
      </c>
      <c r="Z54" s="248" t="n">
        <v>0.0</v>
      </c>
      <c r="AA54" s="248" t="n">
        <v>306.0</v>
      </c>
      <c r="AB54" s="248" t="n">
        <v>23.0</v>
      </c>
      <c r="AC54" s="248" t="n">
        <v>70.38</v>
      </c>
      <c r="AD54" s="248" t="n">
        <v>7.44</v>
      </c>
      <c r="AE54" s="248" t="n">
        <v>40.0</v>
      </c>
      <c r="AF54" s="248" t="n">
        <v>0.0</v>
      </c>
      <c r="AG54" s="248" t="n">
        <v>18.58</v>
      </c>
      <c r="AH54" s="248" t="n">
        <v>5.91</v>
      </c>
      <c r="AI54" s="248" t="n">
        <v>97.71</v>
      </c>
      <c r="AJ54" s="248" t="n">
        <v>17.59</v>
      </c>
      <c r="AK54" s="248" t="n">
        <v>0.0</v>
      </c>
      <c r="AL54" s="248" t="n">
        <v>306.0</v>
      </c>
      <c r="AM54" s="248" t="n">
        <v>0.0</v>
      </c>
      <c r="AN54" s="248" t="n">
        <v>0.0</v>
      </c>
      <c r="AO54" s="248" t="n">
        <v>0.31</v>
      </c>
      <c r="AP54" s="248" t="n">
        <v>15.3</v>
      </c>
      <c r="AQ54" s="248" t="n">
        <v>0.0</v>
      </c>
      <c r="AR54" s="248" t="n">
        <v>33.2</v>
      </c>
      <c r="AS54" s="248" t="n">
        <v>0.0</v>
      </c>
      <c r="AT54" s="248" t="n">
        <v>0.0</v>
      </c>
      <c r="AU54" s="248" t="n">
        <v>0.0</v>
      </c>
      <c r="AV54" s="248" t="n">
        <v>0.0</v>
      </c>
      <c r="AW54" s="248" t="n">
        <v>0.0</v>
      </c>
      <c r="AX54" s="248" t="n">
        <v>0.0</v>
      </c>
      <c r="AY54" s="248" t="n">
        <v>0.0</v>
      </c>
      <c r="AZ54" s="248" t="n">
        <v>0.0</v>
      </c>
      <c r="BA54" s="248" t="n">
        <v>0.0</v>
      </c>
      <c r="BB54" s="248" t="n">
        <v>130.91</v>
      </c>
      <c r="BC54" s="248" t="n">
        <v>0.0</v>
      </c>
      <c r="BD54" s="248" t="n">
        <v>190.39</v>
      </c>
      <c r="BE54" s="248" t="inlineStr">
        <is>
          <t>settled</t>
        </is>
      </c>
      <c r="BF54" s="248" t="inlineStr">
        <is>
          <t>2025-12-17 05:30:00</t>
        </is>
      </c>
      <c r="BG54" s="248" t="inlineStr">
        <is>
          <t>CITIN25671235852</t>
        </is>
      </c>
      <c r="BH54" s="248" t="n">
        <v>0.0</v>
      </c>
      <c r="BI54" s="248" t="inlineStr">
        <is>
          <t>e5737e1fa32aea5babb5d760e5914de4ef3f74f2fa338dc01082f80484682475</t>
        </is>
      </c>
    </row>
    <row r="55">
      <c r="A55" s="248" t="inlineStr">
        <is>
          <t>47</t>
        </is>
      </c>
      <c r="B55" s="248" t="inlineStr">
        <is>
          <t>7567919068</t>
        </is>
      </c>
      <c r="C55" s="248" t="inlineStr">
        <is>
          <t>2025-12-11 20:05:53</t>
        </is>
      </c>
      <c r="D55" s="248" t="inlineStr">
        <is>
          <t>50</t>
        </is>
      </c>
      <c r="E55" s="248" t="inlineStr">
        <is>
          <t>Bawarchi Baba- By Posh Foods</t>
        </is>
      </c>
      <c r="F55" s="248" t="inlineStr">
        <is>
          <t>20415473</t>
        </is>
      </c>
      <c r="G55" s="248" t="inlineStr">
        <is>
          <t>NA</t>
        </is>
      </c>
      <c r="H55" s="248" t="inlineStr">
        <is>
          <t>ONLINE</t>
        </is>
      </c>
      <c r="I55" s="248" t="inlineStr">
        <is>
          <t>DELIVERED</t>
        </is>
      </c>
      <c r="J55" s="248" t="inlineStr">
        <is>
          <t>NA</t>
        </is>
      </c>
      <c r="K55" s="248" t="inlineStr">
        <is>
          <t>NA</t>
        </is>
      </c>
      <c r="L55" s="248" t="inlineStr">
        <is>
          <t>NA</t>
        </is>
      </c>
      <c r="M55" s="248" t="inlineStr">
        <is>
          <t>O2</t>
        </is>
      </c>
      <c r="N55" s="248" t="inlineStr">
        <is>
          <t>9</t>
        </is>
      </c>
      <c r="O55" s="248" t="n">
        <v>720.0</v>
      </c>
      <c r="P55" s="248" t="n">
        <v>0.0</v>
      </c>
      <c r="Q55" s="248" t="n">
        <v>0.0</v>
      </c>
      <c r="R55" s="248" t="n">
        <v>0.0</v>
      </c>
      <c r="S55" s="248" t="n">
        <v>72.0</v>
      </c>
      <c r="T55" s="248" t="n">
        <v>0.0</v>
      </c>
      <c r="U55" s="248" t="n">
        <v>0.0</v>
      </c>
      <c r="V55" s="248" t="n">
        <v>32.4</v>
      </c>
      <c r="W55" s="248" t="n">
        <v>680.4</v>
      </c>
      <c r="X55" s="248" t="n">
        <v>648.0</v>
      </c>
      <c r="Y55" s="248" t="n">
        <v>0.0</v>
      </c>
      <c r="Z55" s="248" t="n">
        <v>0.0</v>
      </c>
      <c r="AA55" s="248" t="n">
        <v>648.0</v>
      </c>
      <c r="AB55" s="248" t="n">
        <v>23.0</v>
      </c>
      <c r="AC55" s="248" t="n">
        <v>149.04</v>
      </c>
      <c r="AD55" s="248" t="n">
        <v>2.51</v>
      </c>
      <c r="AE55" s="248" t="n">
        <v>0.0</v>
      </c>
      <c r="AF55" s="248" t="n">
        <v>0.0</v>
      </c>
      <c r="AG55" s="248" t="n">
        <v>0.0</v>
      </c>
      <c r="AH55" s="248" t="n">
        <v>12.52</v>
      </c>
      <c r="AI55" s="248" t="n">
        <v>161.56</v>
      </c>
      <c r="AJ55" s="248" t="n">
        <v>29.08</v>
      </c>
      <c r="AK55" s="248" t="n">
        <v>0.0</v>
      </c>
      <c r="AL55" s="248" t="n">
        <v>648.0</v>
      </c>
      <c r="AM55" s="248" t="n">
        <v>0.0</v>
      </c>
      <c r="AN55" s="248" t="n">
        <v>0.0</v>
      </c>
      <c r="AO55" s="248" t="n">
        <v>0.65</v>
      </c>
      <c r="AP55" s="248" t="n">
        <v>32.4</v>
      </c>
      <c r="AQ55" s="248" t="n">
        <v>0.0</v>
      </c>
      <c r="AR55" s="248" t="n">
        <v>62.13</v>
      </c>
      <c r="AS55" s="248" t="n">
        <v>0.0</v>
      </c>
      <c r="AT55" s="248" t="n">
        <v>0.0</v>
      </c>
      <c r="AU55" s="248" t="n">
        <v>0.0</v>
      </c>
      <c r="AV55" s="248" t="n">
        <v>0.0</v>
      </c>
      <c r="AW55" s="248" t="n">
        <v>0.0</v>
      </c>
      <c r="AX55" s="248" t="n">
        <v>0.0</v>
      </c>
      <c r="AY55" s="248" t="n">
        <v>0.0</v>
      </c>
      <c r="AZ55" s="248" t="n">
        <v>0.0</v>
      </c>
      <c r="BA55" s="248" t="n">
        <v>0.0</v>
      </c>
      <c r="BB55" s="248" t="n">
        <v>223.69</v>
      </c>
      <c r="BC55" s="248" t="n">
        <v>0.0</v>
      </c>
      <c r="BD55" s="248" t="n">
        <v>456.71</v>
      </c>
      <c r="BE55" s="248" t="inlineStr">
        <is>
          <t>settled</t>
        </is>
      </c>
      <c r="BF55" s="248" t="inlineStr">
        <is>
          <t>2025-12-17 05:30:00</t>
        </is>
      </c>
      <c r="BG55" s="248" t="inlineStr">
        <is>
          <t>CITIN25671235852</t>
        </is>
      </c>
      <c r="BH55" s="248" t="n">
        <v>0.0</v>
      </c>
      <c r="BI55" s="248" t="inlineStr">
        <is>
          <t>194fcd6448de3f2c2ab836e76983e1fc7d67bd6f208980458411213d1d529a43</t>
        </is>
      </c>
    </row>
    <row r="56">
      <c r="A56" s="248" t="inlineStr">
        <is>
          <t>48</t>
        </is>
      </c>
      <c r="B56" s="248" t="inlineStr">
        <is>
          <t>7565018720</t>
        </is>
      </c>
      <c r="C56" s="248" t="inlineStr">
        <is>
          <t>2025-12-11 20:21:00</t>
        </is>
      </c>
      <c r="D56" s="248" t="inlineStr">
        <is>
          <t>50</t>
        </is>
      </c>
      <c r="E56" s="248" t="inlineStr">
        <is>
          <t>Bawarchi Baba- By Posh Foods</t>
        </is>
      </c>
      <c r="F56" s="248" t="inlineStr">
        <is>
          <t>20415473</t>
        </is>
      </c>
      <c r="G56" s="248" t="inlineStr">
        <is>
          <t>NA</t>
        </is>
      </c>
      <c r="H56" s="248" t="inlineStr">
        <is>
          <t>ONLINE</t>
        </is>
      </c>
      <c r="I56" s="248" t="inlineStr">
        <is>
          <t>DELIVERED</t>
        </is>
      </c>
      <c r="J56" s="248" t="inlineStr">
        <is>
          <t>NA</t>
        </is>
      </c>
      <c r="K56" s="248" t="inlineStr">
        <is>
          <t>NA</t>
        </is>
      </c>
      <c r="L56" s="248" t="inlineStr">
        <is>
          <t>NA</t>
        </is>
      </c>
      <c r="M56" s="248" t="inlineStr">
        <is>
          <t>O2</t>
        </is>
      </c>
      <c r="N56" s="248" t="inlineStr">
        <is>
          <t>9</t>
        </is>
      </c>
      <c r="O56" s="248" t="n">
        <v>740.0</v>
      </c>
      <c r="P56" s="248" t="n">
        <v>0.0</v>
      </c>
      <c r="Q56" s="248" t="n">
        <v>0.0</v>
      </c>
      <c r="R56" s="248" t="n">
        <v>0.0</v>
      </c>
      <c r="S56" s="248" t="n">
        <v>74.0</v>
      </c>
      <c r="T56" s="248" t="n">
        <v>0.0</v>
      </c>
      <c r="U56" s="248" t="n">
        <v>0.0</v>
      </c>
      <c r="V56" s="248" t="n">
        <v>33.3</v>
      </c>
      <c r="W56" s="248" t="n">
        <v>699.3</v>
      </c>
      <c r="X56" s="248" t="n">
        <v>666.0</v>
      </c>
      <c r="Y56" s="248" t="n">
        <v>0.0</v>
      </c>
      <c r="Z56" s="248" t="n">
        <v>0.0</v>
      </c>
      <c r="AA56" s="248" t="n">
        <v>666.0</v>
      </c>
      <c r="AB56" s="248" t="n">
        <v>23.0</v>
      </c>
      <c r="AC56" s="248" t="n">
        <v>153.18</v>
      </c>
      <c r="AD56" s="248" t="n">
        <v>0.79</v>
      </c>
      <c r="AE56" s="248" t="n">
        <v>0.0</v>
      </c>
      <c r="AF56" s="248" t="n">
        <v>0.0</v>
      </c>
      <c r="AG56" s="248" t="n">
        <v>0.0</v>
      </c>
      <c r="AH56" s="248" t="n">
        <v>12.87</v>
      </c>
      <c r="AI56" s="248" t="n">
        <v>166.05</v>
      </c>
      <c r="AJ56" s="248" t="n">
        <v>29.89</v>
      </c>
      <c r="AK56" s="248" t="n">
        <v>0.0</v>
      </c>
      <c r="AL56" s="248" t="n">
        <v>666.0</v>
      </c>
      <c r="AM56" s="248" t="n">
        <v>0.0</v>
      </c>
      <c r="AN56" s="248" t="n">
        <v>0.0</v>
      </c>
      <c r="AO56" s="248" t="n">
        <v>0.67</v>
      </c>
      <c r="AP56" s="248" t="n">
        <v>33.3</v>
      </c>
      <c r="AQ56" s="248" t="n">
        <v>0.0</v>
      </c>
      <c r="AR56" s="248" t="n">
        <v>63.86</v>
      </c>
      <c r="AS56" s="248" t="n">
        <v>0.0</v>
      </c>
      <c r="AT56" s="248" t="n">
        <v>0.0</v>
      </c>
      <c r="AU56" s="248" t="n">
        <v>0.0</v>
      </c>
      <c r="AV56" s="248" t="n">
        <v>0.0</v>
      </c>
      <c r="AW56" s="248" t="n">
        <v>0.0</v>
      </c>
      <c r="AX56" s="248" t="n">
        <v>0.0</v>
      </c>
      <c r="AY56" s="248" t="n">
        <v>0.0</v>
      </c>
      <c r="AZ56" s="248" t="n">
        <v>0.0</v>
      </c>
      <c r="BA56" s="248" t="n">
        <v>0.0</v>
      </c>
      <c r="BB56" s="248" t="n">
        <v>229.91</v>
      </c>
      <c r="BC56" s="248" t="n">
        <v>0.0</v>
      </c>
      <c r="BD56" s="248" t="n">
        <v>469.39</v>
      </c>
      <c r="BE56" s="248" t="inlineStr">
        <is>
          <t>settled</t>
        </is>
      </c>
      <c r="BF56" s="248" t="inlineStr">
        <is>
          <t>2025-12-17 05:30:00</t>
        </is>
      </c>
      <c r="BG56" s="248" t="inlineStr">
        <is>
          <t>CITIN25671235852</t>
        </is>
      </c>
      <c r="BH56" s="248" t="n">
        <v>0.0</v>
      </c>
      <c r="BI56" s="248" t="inlineStr">
        <is>
          <t>486666e8341cef7d03de686383f72469932a625365e7f535ff22ef41e5f2cc23</t>
        </is>
      </c>
    </row>
    <row r="57">
      <c r="A57" s="248" t="inlineStr">
        <is>
          <t>49</t>
        </is>
      </c>
      <c r="B57" s="248" t="inlineStr">
        <is>
          <t>7570575328</t>
        </is>
      </c>
      <c r="C57" s="248" t="inlineStr">
        <is>
          <t>2025-12-11 20:29:15</t>
        </is>
      </c>
      <c r="D57" s="248" t="inlineStr">
        <is>
          <t>50</t>
        </is>
      </c>
      <c r="E57" s="248" t="inlineStr">
        <is>
          <t>Bawarchi Baba- By Posh Foods</t>
        </is>
      </c>
      <c r="F57" s="248" t="inlineStr">
        <is>
          <t>20415473</t>
        </is>
      </c>
      <c r="G57" s="248" t="inlineStr">
        <is>
          <t>NA</t>
        </is>
      </c>
      <c r="H57" s="248" t="inlineStr">
        <is>
          <t>ONLINE</t>
        </is>
      </c>
      <c r="I57" s="248" t="inlineStr">
        <is>
          <t>DELIVERED</t>
        </is>
      </c>
      <c r="J57" s="248" t="inlineStr">
        <is>
          <t>NA</t>
        </is>
      </c>
      <c r="K57" s="248" t="inlineStr">
        <is>
          <t>NA</t>
        </is>
      </c>
      <c r="L57" s="248" t="inlineStr">
        <is>
          <t>NA</t>
        </is>
      </c>
      <c r="M57" s="248" t="inlineStr">
        <is>
          <t>O2</t>
        </is>
      </c>
      <c r="N57" s="248" t="inlineStr">
        <is>
          <t>9</t>
        </is>
      </c>
      <c r="O57" s="248" t="n">
        <v>112.0</v>
      </c>
      <c r="P57" s="248" t="n">
        <v>0.0</v>
      </c>
      <c r="Q57" s="248" t="n">
        <v>0.0</v>
      </c>
      <c r="R57" s="248" t="n">
        <v>0.0</v>
      </c>
      <c r="S57" s="248" t="n">
        <v>11.2</v>
      </c>
      <c r="T57" s="248" t="n">
        <v>0.0</v>
      </c>
      <c r="U57" s="248" t="n">
        <v>0.0</v>
      </c>
      <c r="V57" s="248" t="n">
        <v>5.04</v>
      </c>
      <c r="W57" s="248" t="n">
        <v>105.84</v>
      </c>
      <c r="X57" s="248" t="n">
        <v>100.8</v>
      </c>
      <c r="Y57" s="248" t="n">
        <v>0.0</v>
      </c>
      <c r="Z57" s="248" t="n">
        <v>0.0</v>
      </c>
      <c r="AA57" s="248" t="n">
        <v>100.8</v>
      </c>
      <c r="AB57" s="248" t="n">
        <v>23.0</v>
      </c>
      <c r="AC57" s="248" t="n">
        <v>23.18</v>
      </c>
      <c r="AD57" s="248" t="n">
        <v>0.69</v>
      </c>
      <c r="AE57" s="248" t="n">
        <v>0.0</v>
      </c>
      <c r="AF57" s="248" t="n">
        <v>0.0</v>
      </c>
      <c r="AG57" s="248" t="n">
        <v>0.0</v>
      </c>
      <c r="AH57" s="248" t="n">
        <v>1.95</v>
      </c>
      <c r="AI57" s="248" t="n">
        <v>25.13</v>
      </c>
      <c r="AJ57" s="248" t="n">
        <v>4.52</v>
      </c>
      <c r="AK57" s="248" t="n">
        <v>0.0</v>
      </c>
      <c r="AL57" s="248" t="n">
        <v>100.8</v>
      </c>
      <c r="AM57" s="248" t="n">
        <v>0.0</v>
      </c>
      <c r="AN57" s="248" t="n">
        <v>0.0</v>
      </c>
      <c r="AO57" s="248" t="n">
        <v>0.1</v>
      </c>
      <c r="AP57" s="248" t="n">
        <v>5.04</v>
      </c>
      <c r="AQ57" s="248" t="n">
        <v>0.0</v>
      </c>
      <c r="AR57" s="248" t="n">
        <v>9.66</v>
      </c>
      <c r="AS57" s="248" t="n">
        <v>0.0</v>
      </c>
      <c r="AT57" s="248" t="n">
        <v>0.0</v>
      </c>
      <c r="AU57" s="248" t="n">
        <v>0.0</v>
      </c>
      <c r="AV57" s="248" t="n">
        <v>0.0</v>
      </c>
      <c r="AW57" s="248" t="n">
        <v>0.0</v>
      </c>
      <c r="AX57" s="248" t="n">
        <v>0.0</v>
      </c>
      <c r="AY57" s="248" t="n">
        <v>0.0</v>
      </c>
      <c r="AZ57" s="248" t="n">
        <v>0.0</v>
      </c>
      <c r="BA57" s="248" t="n">
        <v>0.0</v>
      </c>
      <c r="BB57" s="248" t="n">
        <v>34.79</v>
      </c>
      <c r="BC57" s="248" t="n">
        <v>0.0</v>
      </c>
      <c r="BD57" s="248" t="n">
        <v>71.05</v>
      </c>
      <c r="BE57" s="248" t="inlineStr">
        <is>
          <t>settled</t>
        </is>
      </c>
      <c r="BF57" s="248" t="inlineStr">
        <is>
          <t>2025-12-17 05:30:00</t>
        </is>
      </c>
      <c r="BG57" s="248" t="inlineStr">
        <is>
          <t>CITIN25671235852</t>
        </is>
      </c>
      <c r="BH57" s="248" t="n">
        <v>0.0</v>
      </c>
      <c r="BI57" s="248" t="inlineStr">
        <is>
          <t>82823bb4ed3244ca3823f824d511c4fc75b837bb6d6e3da40de84f7394f067f1</t>
        </is>
      </c>
    </row>
    <row r="58">
      <c r="A58" s="248" t="inlineStr">
        <is>
          <t>50</t>
        </is>
      </c>
      <c r="B58" s="248" t="inlineStr">
        <is>
          <t>7571301597</t>
        </is>
      </c>
      <c r="C58" s="248" t="inlineStr">
        <is>
          <t>2025-12-11 20:43:23</t>
        </is>
      </c>
      <c r="D58" s="248" t="inlineStr">
        <is>
          <t>50</t>
        </is>
      </c>
      <c r="E58" s="248" t="inlineStr">
        <is>
          <t>Bawarchi Baba- By Posh Foods</t>
        </is>
      </c>
      <c r="F58" s="248" t="inlineStr">
        <is>
          <t>20415473</t>
        </is>
      </c>
      <c r="G58" s="248" t="inlineStr">
        <is>
          <t>NA</t>
        </is>
      </c>
      <c r="H58" s="248" t="inlineStr">
        <is>
          <t>ONLINE</t>
        </is>
      </c>
      <c r="I58" s="248" t="inlineStr">
        <is>
          <t>DELIVERED</t>
        </is>
      </c>
      <c r="J58" s="248" t="inlineStr">
        <is>
          <t>NA</t>
        </is>
      </c>
      <c r="K58" s="248" t="inlineStr">
        <is>
          <t>NA</t>
        </is>
      </c>
      <c r="L58" s="248" t="inlineStr">
        <is>
          <t>NA</t>
        </is>
      </c>
      <c r="M58" s="248" t="inlineStr">
        <is>
          <t>O2</t>
        </is>
      </c>
      <c r="N58" s="248" t="inlineStr">
        <is>
          <t>7</t>
        </is>
      </c>
      <c r="O58" s="248" t="n">
        <v>710.0</v>
      </c>
      <c r="P58" s="248" t="n">
        <v>0.0</v>
      </c>
      <c r="Q58" s="248" t="n">
        <v>0.0</v>
      </c>
      <c r="R58" s="248" t="n">
        <v>0.0</v>
      </c>
      <c r="S58" s="248" t="n">
        <v>71.0</v>
      </c>
      <c r="T58" s="248" t="n">
        <v>0.0</v>
      </c>
      <c r="U58" s="248" t="n">
        <v>0.0</v>
      </c>
      <c r="V58" s="248" t="n">
        <v>31.95</v>
      </c>
      <c r="W58" s="248" t="n">
        <v>670.95</v>
      </c>
      <c r="X58" s="248" t="n">
        <v>639.0</v>
      </c>
      <c r="Y58" s="248" t="n">
        <v>0.0</v>
      </c>
      <c r="Z58" s="248" t="n">
        <v>0.0</v>
      </c>
      <c r="AA58" s="248" t="n">
        <v>639.0</v>
      </c>
      <c r="AB58" s="248" t="n">
        <v>23.0</v>
      </c>
      <c r="AC58" s="248" t="n">
        <v>146.97</v>
      </c>
      <c r="AD58" s="248" t="n">
        <v>6.11</v>
      </c>
      <c r="AE58" s="248" t="n">
        <v>40.0</v>
      </c>
      <c r="AF58" s="248" t="n">
        <v>0.0</v>
      </c>
      <c r="AG58" s="248" t="n">
        <v>0.0</v>
      </c>
      <c r="AH58" s="248" t="n">
        <v>12.35</v>
      </c>
      <c r="AI58" s="248" t="n">
        <v>199.32</v>
      </c>
      <c r="AJ58" s="248" t="n">
        <v>35.87</v>
      </c>
      <c r="AK58" s="248" t="n">
        <v>0.0</v>
      </c>
      <c r="AL58" s="248" t="n">
        <v>639.0</v>
      </c>
      <c r="AM58" s="248" t="n">
        <v>0.0</v>
      </c>
      <c r="AN58" s="248" t="n">
        <v>0.0</v>
      </c>
      <c r="AO58" s="248" t="n">
        <v>0.64</v>
      </c>
      <c r="AP58" s="248" t="n">
        <v>31.95</v>
      </c>
      <c r="AQ58" s="248" t="n">
        <v>0.0</v>
      </c>
      <c r="AR58" s="248" t="n">
        <v>68.46</v>
      </c>
      <c r="AS58" s="248" t="n">
        <v>0.0</v>
      </c>
      <c r="AT58" s="248" t="n">
        <v>0.0</v>
      </c>
      <c r="AU58" s="248" t="n">
        <v>0.0</v>
      </c>
      <c r="AV58" s="248" t="n">
        <v>0.0</v>
      </c>
      <c r="AW58" s="248" t="n">
        <v>0.0</v>
      </c>
      <c r="AX58" s="248" t="n">
        <v>0.0</v>
      </c>
      <c r="AY58" s="248" t="n">
        <v>0.0</v>
      </c>
      <c r="AZ58" s="248" t="n">
        <v>0.0</v>
      </c>
      <c r="BA58" s="248" t="n">
        <v>0.0</v>
      </c>
      <c r="BB58" s="248" t="n">
        <v>267.78</v>
      </c>
      <c r="BC58" s="248" t="n">
        <v>0.0</v>
      </c>
      <c r="BD58" s="248" t="n">
        <v>403.17</v>
      </c>
      <c r="BE58" s="248" t="inlineStr">
        <is>
          <t>settled</t>
        </is>
      </c>
      <c r="BF58" s="248" t="inlineStr">
        <is>
          <t>2025-12-17 05:30:00</t>
        </is>
      </c>
      <c r="BG58" s="248" t="inlineStr">
        <is>
          <t>CITIN25671235852</t>
        </is>
      </c>
      <c r="BH58" s="248" t="n">
        <v>0.0</v>
      </c>
      <c r="BI58" s="248" t="inlineStr">
        <is>
          <t>ff8a26403c5f15ebd4022d79725ed095334854d9a003983f66f210bdaeed7eac</t>
        </is>
      </c>
    </row>
    <row r="59">
      <c r="A59" s="248" t="inlineStr">
        <is>
          <t>51</t>
        </is>
      </c>
      <c r="B59" s="248" t="inlineStr">
        <is>
          <t>7573083016</t>
        </is>
      </c>
      <c r="C59" s="248" t="inlineStr">
        <is>
          <t>2025-12-11 21:13:40</t>
        </is>
      </c>
      <c r="D59" s="248" t="inlineStr">
        <is>
          <t>50</t>
        </is>
      </c>
      <c r="E59" s="248" t="inlineStr">
        <is>
          <t>Bawarchi Baba- By Posh Foods</t>
        </is>
      </c>
      <c r="F59" s="248" t="inlineStr">
        <is>
          <t>20415473</t>
        </is>
      </c>
      <c r="G59" s="248" t="inlineStr">
        <is>
          <t>NA</t>
        </is>
      </c>
      <c r="H59" s="248" t="inlineStr">
        <is>
          <t>ONLINE</t>
        </is>
      </c>
      <c r="I59" s="248" t="inlineStr">
        <is>
          <t>DELIVERED</t>
        </is>
      </c>
      <c r="J59" s="248" t="inlineStr">
        <is>
          <t>NA</t>
        </is>
      </c>
      <c r="K59" s="248" t="inlineStr">
        <is>
          <t>NA</t>
        </is>
      </c>
      <c r="L59" s="248" t="inlineStr">
        <is>
          <t>NA</t>
        </is>
      </c>
      <c r="M59" s="248" t="inlineStr">
        <is>
          <t>O2</t>
        </is>
      </c>
      <c r="N59" s="248" t="inlineStr">
        <is>
          <t>7</t>
        </is>
      </c>
      <c r="O59" s="248" t="n">
        <v>315.0</v>
      </c>
      <c r="P59" s="248" t="n">
        <v>0.0</v>
      </c>
      <c r="Q59" s="248" t="n">
        <v>0.0</v>
      </c>
      <c r="R59" s="248" t="n">
        <v>0.0</v>
      </c>
      <c r="S59" s="248" t="n">
        <v>31.5</v>
      </c>
      <c r="T59" s="248" t="n">
        <v>0.0</v>
      </c>
      <c r="U59" s="248" t="n">
        <v>0.0</v>
      </c>
      <c r="V59" s="248" t="n">
        <v>14.18</v>
      </c>
      <c r="W59" s="248" t="n">
        <v>297.68</v>
      </c>
      <c r="X59" s="248" t="n">
        <v>283.5</v>
      </c>
      <c r="Y59" s="248" t="n">
        <v>0.0</v>
      </c>
      <c r="Z59" s="248" t="n">
        <v>0.0</v>
      </c>
      <c r="AA59" s="248" t="n">
        <v>283.5</v>
      </c>
      <c r="AB59" s="248" t="n">
        <v>23.0</v>
      </c>
      <c r="AC59" s="248" t="n">
        <v>65.2</v>
      </c>
      <c r="AD59" s="248" t="n">
        <v>6.91</v>
      </c>
      <c r="AE59" s="248" t="n">
        <v>40.0</v>
      </c>
      <c r="AF59" s="248" t="n">
        <v>0.0</v>
      </c>
      <c r="AG59" s="248" t="n">
        <v>20.15</v>
      </c>
      <c r="AH59" s="248" t="n">
        <v>5.48</v>
      </c>
      <c r="AI59" s="248" t="n">
        <v>90.53</v>
      </c>
      <c r="AJ59" s="248" t="n">
        <v>16.3</v>
      </c>
      <c r="AK59" s="248" t="n">
        <v>0.0</v>
      </c>
      <c r="AL59" s="248" t="n">
        <v>283.5</v>
      </c>
      <c r="AM59" s="248" t="n">
        <v>0.0</v>
      </c>
      <c r="AN59" s="248" t="n">
        <v>0.0</v>
      </c>
      <c r="AO59" s="248" t="n">
        <v>0.28</v>
      </c>
      <c r="AP59" s="248" t="n">
        <v>14.18</v>
      </c>
      <c r="AQ59" s="248" t="n">
        <v>0.0</v>
      </c>
      <c r="AR59" s="248" t="n">
        <v>30.76</v>
      </c>
      <c r="AS59" s="248" t="n">
        <v>0.0</v>
      </c>
      <c r="AT59" s="248" t="n">
        <v>0.0</v>
      </c>
      <c r="AU59" s="248" t="n">
        <v>0.0</v>
      </c>
      <c r="AV59" s="248" t="n">
        <v>0.0</v>
      </c>
      <c r="AW59" s="248" t="n">
        <v>0.0</v>
      </c>
      <c r="AX59" s="248" t="n">
        <v>0.0</v>
      </c>
      <c r="AY59" s="248" t="n">
        <v>0.0</v>
      </c>
      <c r="AZ59" s="248" t="n">
        <v>0.0</v>
      </c>
      <c r="BA59" s="248" t="n">
        <v>0.0</v>
      </c>
      <c r="BB59" s="248" t="n">
        <v>121.29</v>
      </c>
      <c r="BC59" s="248" t="n">
        <v>0.0</v>
      </c>
      <c r="BD59" s="248" t="n">
        <v>176.39</v>
      </c>
      <c r="BE59" s="248" t="inlineStr">
        <is>
          <t>settled</t>
        </is>
      </c>
      <c r="BF59" s="248" t="inlineStr">
        <is>
          <t>2025-12-17 05:30:00</t>
        </is>
      </c>
      <c r="BG59" s="248" t="inlineStr">
        <is>
          <t>CITIN25671235852</t>
        </is>
      </c>
      <c r="BH59" s="248" t="n">
        <v>0.0</v>
      </c>
      <c r="BI59" s="248" t="inlineStr">
        <is>
          <t>51931897afbc19045d3a985e5d69f7894f75cdc013e9868a16f836f27da6b9ae</t>
        </is>
      </c>
    </row>
    <row r="60">
      <c r="A60" s="248" t="inlineStr">
        <is>
          <t>52</t>
        </is>
      </c>
      <c r="B60" s="248" t="inlineStr">
        <is>
          <t>7552983182</t>
        </is>
      </c>
      <c r="C60" s="248" t="inlineStr">
        <is>
          <t>2025-12-11 21:22:14</t>
        </is>
      </c>
      <c r="D60" s="248" t="inlineStr">
        <is>
          <t>50</t>
        </is>
      </c>
      <c r="E60" s="248" t="inlineStr">
        <is>
          <t>Bawarchi Baba- By Posh Foods</t>
        </is>
      </c>
      <c r="F60" s="248" t="inlineStr">
        <is>
          <t>20415473</t>
        </is>
      </c>
      <c r="G60" s="248" t="inlineStr">
        <is>
          <t>NA</t>
        </is>
      </c>
      <c r="H60" s="248" t="inlineStr">
        <is>
          <t>ONLINE</t>
        </is>
      </c>
      <c r="I60" s="248" t="inlineStr">
        <is>
          <t>DELIVERED</t>
        </is>
      </c>
      <c r="J60" s="248" t="inlineStr">
        <is>
          <t>NA</t>
        </is>
      </c>
      <c r="K60" s="248" t="inlineStr">
        <is>
          <t>NA</t>
        </is>
      </c>
      <c r="L60" s="248" t="inlineStr">
        <is>
          <t>NA</t>
        </is>
      </c>
      <c r="M60" s="248" t="inlineStr">
        <is>
          <t>O2</t>
        </is>
      </c>
      <c r="N60" s="248" t="inlineStr">
        <is>
          <t>9</t>
        </is>
      </c>
      <c r="O60" s="248" t="n">
        <v>299.0</v>
      </c>
      <c r="P60" s="248" t="n">
        <v>0.0</v>
      </c>
      <c r="Q60" s="248" t="n">
        <v>0.0</v>
      </c>
      <c r="R60" s="248" t="n">
        <v>0.0</v>
      </c>
      <c r="S60" s="248" t="n">
        <v>29.9</v>
      </c>
      <c r="T60" s="248" t="n">
        <v>0.0</v>
      </c>
      <c r="U60" s="248" t="n">
        <v>0.0</v>
      </c>
      <c r="V60" s="248" t="n">
        <v>13.46</v>
      </c>
      <c r="W60" s="248" t="n">
        <v>282.56</v>
      </c>
      <c r="X60" s="248" t="n">
        <v>269.1</v>
      </c>
      <c r="Y60" s="248" t="n">
        <v>0.0</v>
      </c>
      <c r="Z60" s="248" t="n">
        <v>0.0</v>
      </c>
      <c r="AA60" s="248" t="n">
        <v>269.1</v>
      </c>
      <c r="AB60" s="248" t="n">
        <v>23.0</v>
      </c>
      <c r="AC60" s="248" t="n">
        <v>61.89</v>
      </c>
      <c r="AD60" s="248" t="n">
        <v>1.99</v>
      </c>
      <c r="AE60" s="248" t="n">
        <v>0.0</v>
      </c>
      <c r="AF60" s="248" t="n">
        <v>0.0</v>
      </c>
      <c r="AG60" s="248" t="n">
        <v>0.0</v>
      </c>
      <c r="AH60" s="248" t="n">
        <v>5.2</v>
      </c>
      <c r="AI60" s="248" t="n">
        <v>67.09</v>
      </c>
      <c r="AJ60" s="248" t="n">
        <v>12.08</v>
      </c>
      <c r="AK60" s="248" t="n">
        <v>0.0</v>
      </c>
      <c r="AL60" s="248" t="n">
        <v>269.1</v>
      </c>
      <c r="AM60" s="248" t="n">
        <v>0.0</v>
      </c>
      <c r="AN60" s="248" t="n">
        <v>0.0</v>
      </c>
      <c r="AO60" s="248" t="n">
        <v>0.27</v>
      </c>
      <c r="AP60" s="248" t="n">
        <v>13.46</v>
      </c>
      <c r="AQ60" s="248" t="n">
        <v>0.0</v>
      </c>
      <c r="AR60" s="248" t="n">
        <v>25.81</v>
      </c>
      <c r="AS60" s="248" t="n">
        <v>0.0</v>
      </c>
      <c r="AT60" s="248" t="n">
        <v>0.0</v>
      </c>
      <c r="AU60" s="248" t="n">
        <v>0.0</v>
      </c>
      <c r="AV60" s="248" t="n">
        <v>0.0</v>
      </c>
      <c r="AW60" s="248" t="n">
        <v>0.0</v>
      </c>
      <c r="AX60" s="248" t="n">
        <v>0.0</v>
      </c>
      <c r="AY60" s="248" t="n">
        <v>0.0</v>
      </c>
      <c r="AZ60" s="248" t="n">
        <v>0.0</v>
      </c>
      <c r="BA60" s="248" t="n">
        <v>0.0</v>
      </c>
      <c r="BB60" s="248" t="n">
        <v>92.9</v>
      </c>
      <c r="BC60" s="248" t="n">
        <v>0.0</v>
      </c>
      <c r="BD60" s="248" t="n">
        <v>189.66</v>
      </c>
      <c r="BE60" s="248" t="inlineStr">
        <is>
          <t>settled</t>
        </is>
      </c>
      <c r="BF60" s="248" t="inlineStr">
        <is>
          <t>2025-12-17 05:30:00</t>
        </is>
      </c>
      <c r="BG60" s="248" t="inlineStr">
        <is>
          <t>CITIN25671235852</t>
        </is>
      </c>
      <c r="BH60" s="248" t="n">
        <v>0.0</v>
      </c>
      <c r="BI60" s="248" t="inlineStr">
        <is>
          <t>054eda7d9a1fd02d80b442c4f566bece2ca3648e202cfe3c24b8b01010f3e7e1</t>
        </is>
      </c>
    </row>
    <row r="61">
      <c r="A61" s="248" t="inlineStr">
        <is>
          <t>53</t>
        </is>
      </c>
      <c r="B61" s="248" t="inlineStr">
        <is>
          <t>7570144314</t>
        </is>
      </c>
      <c r="C61" s="248" t="inlineStr">
        <is>
          <t>2025-12-11 21:38:35</t>
        </is>
      </c>
      <c r="D61" s="248" t="inlineStr">
        <is>
          <t>50</t>
        </is>
      </c>
      <c r="E61" s="248" t="inlineStr">
        <is>
          <t>Bawarchi Baba- By Posh Foods</t>
        </is>
      </c>
      <c r="F61" s="248" t="inlineStr">
        <is>
          <t>20415473</t>
        </is>
      </c>
      <c r="G61" s="248" t="inlineStr">
        <is>
          <t>NA</t>
        </is>
      </c>
      <c r="H61" s="248" t="inlineStr">
        <is>
          <t>ONLINE</t>
        </is>
      </c>
      <c r="I61" s="248" t="inlineStr">
        <is>
          <t>DELIVERED</t>
        </is>
      </c>
      <c r="J61" s="248" t="inlineStr">
        <is>
          <t>NA</t>
        </is>
      </c>
      <c r="K61" s="248" t="inlineStr">
        <is>
          <t>NA</t>
        </is>
      </c>
      <c r="L61" s="248" t="inlineStr">
        <is>
          <t>NA</t>
        </is>
      </c>
      <c r="M61" s="248" t="inlineStr">
        <is>
          <t>O2</t>
        </is>
      </c>
      <c r="N61" s="248" t="inlineStr">
        <is>
          <t>9</t>
        </is>
      </c>
      <c r="O61" s="248" t="n">
        <v>598.0</v>
      </c>
      <c r="P61" s="248" t="n">
        <v>0.0</v>
      </c>
      <c r="Q61" s="248" t="n">
        <v>0.0</v>
      </c>
      <c r="R61" s="248" t="n">
        <v>0.0</v>
      </c>
      <c r="S61" s="248" t="n">
        <v>59.8</v>
      </c>
      <c r="T61" s="248" t="n">
        <v>0.0</v>
      </c>
      <c r="U61" s="248" t="n">
        <v>0.0</v>
      </c>
      <c r="V61" s="248" t="n">
        <v>26.91</v>
      </c>
      <c r="W61" s="248" t="n">
        <v>565.11</v>
      </c>
      <c r="X61" s="248" t="n">
        <v>538.2</v>
      </c>
      <c r="Y61" s="248" t="n">
        <v>0.0</v>
      </c>
      <c r="Z61" s="248" t="n">
        <v>0.0</v>
      </c>
      <c r="AA61" s="248" t="n">
        <v>538.2</v>
      </c>
      <c r="AB61" s="248" t="n">
        <v>23.0</v>
      </c>
      <c r="AC61" s="248" t="n">
        <v>123.79</v>
      </c>
      <c r="AD61" s="248" t="n">
        <v>5.51</v>
      </c>
      <c r="AE61" s="248" t="n">
        <v>20.0</v>
      </c>
      <c r="AF61" s="248" t="n">
        <v>0.0</v>
      </c>
      <c r="AG61" s="248" t="n">
        <v>0.0</v>
      </c>
      <c r="AH61" s="248" t="n">
        <v>10.4</v>
      </c>
      <c r="AI61" s="248" t="n">
        <v>154.19</v>
      </c>
      <c r="AJ61" s="248" t="n">
        <v>27.75</v>
      </c>
      <c r="AK61" s="248" t="n">
        <v>0.0</v>
      </c>
      <c r="AL61" s="248" t="n">
        <v>538.2</v>
      </c>
      <c r="AM61" s="248" t="n">
        <v>0.0</v>
      </c>
      <c r="AN61" s="248" t="n">
        <v>0.0</v>
      </c>
      <c r="AO61" s="248" t="n">
        <v>0.54</v>
      </c>
      <c r="AP61" s="248" t="n">
        <v>26.91</v>
      </c>
      <c r="AQ61" s="248" t="n">
        <v>0.0</v>
      </c>
      <c r="AR61" s="248" t="n">
        <v>55.2</v>
      </c>
      <c r="AS61" s="248" t="n">
        <v>0.0</v>
      </c>
      <c r="AT61" s="248" t="n">
        <v>0.0</v>
      </c>
      <c r="AU61" s="248" t="n">
        <v>0.0</v>
      </c>
      <c r="AV61" s="248" t="n">
        <v>0.0</v>
      </c>
      <c r="AW61" s="248" t="n">
        <v>0.0</v>
      </c>
      <c r="AX61" s="248" t="n">
        <v>0.0</v>
      </c>
      <c r="AY61" s="248" t="n">
        <v>0.0</v>
      </c>
      <c r="AZ61" s="248" t="n">
        <v>0.0</v>
      </c>
      <c r="BA61" s="248" t="n">
        <v>0.0</v>
      </c>
      <c r="BB61" s="248" t="n">
        <v>209.39</v>
      </c>
      <c r="BC61" s="248" t="n">
        <v>0.0</v>
      </c>
      <c r="BD61" s="248" t="n">
        <v>355.72</v>
      </c>
      <c r="BE61" s="248" t="inlineStr">
        <is>
          <t>settled</t>
        </is>
      </c>
      <c r="BF61" s="248" t="inlineStr">
        <is>
          <t>2025-12-17 05:30:00</t>
        </is>
      </c>
      <c r="BG61" s="248" t="inlineStr">
        <is>
          <t>CITIN25671235852</t>
        </is>
      </c>
      <c r="BH61" s="248" t="n">
        <v>0.0</v>
      </c>
      <c r="BI61" s="248" t="inlineStr">
        <is>
          <t>1b1504b35df88d9fc9e18af46a767ee70178a979c1e9aeed9f3ef688944b045d</t>
        </is>
      </c>
    </row>
    <row r="62">
      <c r="A62" s="248" t="inlineStr">
        <is>
          <t>54</t>
        </is>
      </c>
      <c r="B62" s="248" t="inlineStr">
        <is>
          <t>7572083650</t>
        </is>
      </c>
      <c r="C62" s="248" t="inlineStr">
        <is>
          <t>2025-12-11 22:44:39</t>
        </is>
      </c>
      <c r="D62" s="248" t="inlineStr">
        <is>
          <t>50</t>
        </is>
      </c>
      <c r="E62" s="248" t="inlineStr">
        <is>
          <t>Bawarchi Baba- By Posh Foods</t>
        </is>
      </c>
      <c r="F62" s="248" t="inlineStr">
        <is>
          <t>20415473</t>
        </is>
      </c>
      <c r="G62" s="248" t="inlineStr">
        <is>
          <t>NA</t>
        </is>
      </c>
      <c r="H62" s="248" t="inlineStr">
        <is>
          <t>ONLINE</t>
        </is>
      </c>
      <c r="I62" s="248" t="inlineStr">
        <is>
          <t>DELIVERED</t>
        </is>
      </c>
      <c r="J62" s="248" t="inlineStr">
        <is>
          <t>NA</t>
        </is>
      </c>
      <c r="K62" s="248" t="inlineStr">
        <is>
          <t>NA</t>
        </is>
      </c>
      <c r="L62" s="248" t="inlineStr">
        <is>
          <t>NA</t>
        </is>
      </c>
      <c r="M62" s="248" t="inlineStr">
        <is>
          <t>O2</t>
        </is>
      </c>
      <c r="N62" s="248" t="inlineStr">
        <is>
          <t>9</t>
        </is>
      </c>
      <c r="O62" s="248" t="n">
        <v>445.0</v>
      </c>
      <c r="P62" s="248" t="n">
        <v>0.0</v>
      </c>
      <c r="Q62" s="248" t="n">
        <v>0.0</v>
      </c>
      <c r="R62" s="248" t="n">
        <v>0.0</v>
      </c>
      <c r="S62" s="248" t="n">
        <v>44.5</v>
      </c>
      <c r="T62" s="248" t="n">
        <v>0.0</v>
      </c>
      <c r="U62" s="248" t="n">
        <v>0.0</v>
      </c>
      <c r="V62" s="248" t="n">
        <v>20.03</v>
      </c>
      <c r="W62" s="248" t="n">
        <v>420.53</v>
      </c>
      <c r="X62" s="248" t="n">
        <v>400.5</v>
      </c>
      <c r="Y62" s="248" t="n">
        <v>0.0</v>
      </c>
      <c r="Z62" s="248" t="n">
        <v>0.0</v>
      </c>
      <c r="AA62" s="248" t="n">
        <v>400.5</v>
      </c>
      <c r="AB62" s="248" t="n">
        <v>23.0</v>
      </c>
      <c r="AC62" s="248" t="n">
        <v>92.12</v>
      </c>
      <c r="AD62" s="248" t="n">
        <v>9.84</v>
      </c>
      <c r="AE62" s="248" t="n">
        <v>40.0</v>
      </c>
      <c r="AF62" s="248" t="n">
        <v>0.0</v>
      </c>
      <c r="AG62" s="248" t="n">
        <v>11.97</v>
      </c>
      <c r="AH62" s="248" t="n">
        <v>7.74</v>
      </c>
      <c r="AI62" s="248" t="n">
        <v>127.89</v>
      </c>
      <c r="AJ62" s="248" t="n">
        <v>23.02</v>
      </c>
      <c r="AK62" s="248" t="n">
        <v>0.0</v>
      </c>
      <c r="AL62" s="248" t="n">
        <v>400.5</v>
      </c>
      <c r="AM62" s="248" t="n">
        <v>0.0</v>
      </c>
      <c r="AN62" s="248" t="n">
        <v>0.0</v>
      </c>
      <c r="AO62" s="248" t="n">
        <v>0.4</v>
      </c>
      <c r="AP62" s="248" t="n">
        <v>20.03</v>
      </c>
      <c r="AQ62" s="248" t="n">
        <v>0.0</v>
      </c>
      <c r="AR62" s="248" t="n">
        <v>43.45</v>
      </c>
      <c r="AS62" s="248" t="n">
        <v>0.0</v>
      </c>
      <c r="AT62" s="248" t="n">
        <v>0.0</v>
      </c>
      <c r="AU62" s="248" t="n">
        <v>0.0</v>
      </c>
      <c r="AV62" s="248" t="n">
        <v>0.0</v>
      </c>
      <c r="AW62" s="248" t="n">
        <v>0.0</v>
      </c>
      <c r="AX62" s="248" t="n">
        <v>0.0</v>
      </c>
      <c r="AY62" s="248" t="n">
        <v>0.0</v>
      </c>
      <c r="AZ62" s="248" t="n">
        <v>0.0</v>
      </c>
      <c r="BA62" s="248" t="n">
        <v>0.0</v>
      </c>
      <c r="BB62" s="248" t="n">
        <v>171.34</v>
      </c>
      <c r="BC62" s="248" t="n">
        <v>0.0</v>
      </c>
      <c r="BD62" s="248" t="n">
        <v>249.19</v>
      </c>
      <c r="BE62" s="248" t="inlineStr">
        <is>
          <t>settled</t>
        </is>
      </c>
      <c r="BF62" s="248" t="inlineStr">
        <is>
          <t>2025-12-17 05:30:00</t>
        </is>
      </c>
      <c r="BG62" s="248" t="inlineStr">
        <is>
          <t>CITIN25671235852</t>
        </is>
      </c>
      <c r="BH62" s="248" t="n">
        <v>0.0</v>
      </c>
      <c r="BI62" s="248" t="inlineStr">
        <is>
          <t>36d71e94e34e032df211a360a9db10631051360928db7dd1d58c2108398187f7</t>
        </is>
      </c>
    </row>
    <row r="63">
      <c r="A63" s="248" t="inlineStr">
        <is>
          <t>55</t>
        </is>
      </c>
      <c r="B63" s="248" t="inlineStr">
        <is>
          <t>7566626351</t>
        </is>
      </c>
      <c r="C63" s="248" t="inlineStr">
        <is>
          <t>2025-12-11 22:59:26</t>
        </is>
      </c>
      <c r="D63" s="248" t="inlineStr">
        <is>
          <t>50</t>
        </is>
      </c>
      <c r="E63" s="248" t="inlineStr">
        <is>
          <t>Bawarchi Baba- By Posh Foods</t>
        </is>
      </c>
      <c r="F63" s="248" t="inlineStr">
        <is>
          <t>20415473</t>
        </is>
      </c>
      <c r="G63" s="248" t="inlineStr">
        <is>
          <t>NA</t>
        </is>
      </c>
      <c r="H63" s="248" t="inlineStr">
        <is>
          <t>ONLINE</t>
        </is>
      </c>
      <c r="I63" s="248" t="inlineStr">
        <is>
          <t>DELIVERED</t>
        </is>
      </c>
      <c r="J63" s="248" t="inlineStr">
        <is>
          <t>NA</t>
        </is>
      </c>
      <c r="K63" s="248" t="inlineStr">
        <is>
          <t>NA</t>
        </is>
      </c>
      <c r="L63" s="248" t="inlineStr">
        <is>
          <t>NA</t>
        </is>
      </c>
      <c r="M63" s="248" t="inlineStr">
        <is>
          <t>O2</t>
        </is>
      </c>
      <c r="N63" s="248" t="inlineStr">
        <is>
          <t>9</t>
        </is>
      </c>
      <c r="O63" s="248" t="n">
        <v>230.0</v>
      </c>
      <c r="P63" s="248" t="n">
        <v>0.0</v>
      </c>
      <c r="Q63" s="248" t="n">
        <v>0.0</v>
      </c>
      <c r="R63" s="248" t="n">
        <v>0.0</v>
      </c>
      <c r="S63" s="248" t="n">
        <v>23.0</v>
      </c>
      <c r="T63" s="248" t="n">
        <v>0.0</v>
      </c>
      <c r="U63" s="248" t="n">
        <v>0.0</v>
      </c>
      <c r="V63" s="248" t="n">
        <v>10.35</v>
      </c>
      <c r="W63" s="248" t="n">
        <v>217.35</v>
      </c>
      <c r="X63" s="248" t="n">
        <v>207.0</v>
      </c>
      <c r="Y63" s="248" t="n">
        <v>0.0</v>
      </c>
      <c r="Z63" s="248" t="n">
        <v>0.0</v>
      </c>
      <c r="AA63" s="248" t="n">
        <v>207.0</v>
      </c>
      <c r="AB63" s="248" t="n">
        <v>23.0</v>
      </c>
      <c r="AC63" s="248" t="n">
        <v>47.61</v>
      </c>
      <c r="AD63" s="248" t="n">
        <v>1.33</v>
      </c>
      <c r="AE63" s="248" t="n">
        <v>0.0</v>
      </c>
      <c r="AF63" s="248" t="n">
        <v>0.0</v>
      </c>
      <c r="AG63" s="248" t="n">
        <v>0.0</v>
      </c>
      <c r="AH63" s="248" t="n">
        <v>4.0</v>
      </c>
      <c r="AI63" s="248" t="n">
        <v>51.61</v>
      </c>
      <c r="AJ63" s="248" t="n">
        <v>9.29</v>
      </c>
      <c r="AK63" s="248" t="n">
        <v>0.0</v>
      </c>
      <c r="AL63" s="248" t="n">
        <v>207.0</v>
      </c>
      <c r="AM63" s="248" t="n">
        <v>0.0</v>
      </c>
      <c r="AN63" s="248" t="n">
        <v>0.0</v>
      </c>
      <c r="AO63" s="248" t="n">
        <v>0.21</v>
      </c>
      <c r="AP63" s="248" t="n">
        <v>10.35</v>
      </c>
      <c r="AQ63" s="248" t="n">
        <v>0.0</v>
      </c>
      <c r="AR63" s="248" t="n">
        <v>19.85</v>
      </c>
      <c r="AS63" s="248" t="n">
        <v>0.0</v>
      </c>
      <c r="AT63" s="248" t="n">
        <v>0.0</v>
      </c>
      <c r="AU63" s="248" t="n">
        <v>0.0</v>
      </c>
      <c r="AV63" s="248" t="n">
        <v>0.0</v>
      </c>
      <c r="AW63" s="248" t="n">
        <v>0.0</v>
      </c>
      <c r="AX63" s="248" t="n">
        <v>0.0</v>
      </c>
      <c r="AY63" s="248" t="n">
        <v>0.0</v>
      </c>
      <c r="AZ63" s="248" t="n">
        <v>0.0</v>
      </c>
      <c r="BA63" s="248" t="n">
        <v>0.0</v>
      </c>
      <c r="BB63" s="248" t="n">
        <v>71.46</v>
      </c>
      <c r="BC63" s="248" t="n">
        <v>0.0</v>
      </c>
      <c r="BD63" s="248" t="n">
        <v>145.89</v>
      </c>
      <c r="BE63" s="248" t="inlineStr">
        <is>
          <t>settled</t>
        </is>
      </c>
      <c r="BF63" s="248" t="inlineStr">
        <is>
          <t>2025-12-17 05:30:00</t>
        </is>
      </c>
      <c r="BG63" s="248" t="inlineStr">
        <is>
          <t>CITIN25671235852</t>
        </is>
      </c>
      <c r="BH63" s="248" t="n">
        <v>0.0</v>
      </c>
      <c r="BI63" s="248" t="inlineStr">
        <is>
          <t>56acd0d726835e0cd46a0d6361fb1733634973576afd48b558934f44fc9692e7</t>
        </is>
      </c>
    </row>
    <row r="64">
      <c r="A64" s="248" t="inlineStr">
        <is>
          <t>56</t>
        </is>
      </c>
      <c r="B64" s="248" t="inlineStr">
        <is>
          <t>7563671678</t>
        </is>
      </c>
      <c r="C64" s="248" t="inlineStr">
        <is>
          <t>2025-12-11 23:59:45</t>
        </is>
      </c>
      <c r="D64" s="248" t="inlineStr">
        <is>
          <t>50</t>
        </is>
      </c>
      <c r="E64" s="248" t="inlineStr">
        <is>
          <t>Bawarchi Baba- By Posh Foods</t>
        </is>
      </c>
      <c r="F64" s="248" t="inlineStr">
        <is>
          <t>20415473</t>
        </is>
      </c>
      <c r="G64" s="248" t="inlineStr">
        <is>
          <t>NA</t>
        </is>
      </c>
      <c r="H64" s="248" t="inlineStr">
        <is>
          <t>ONLINE</t>
        </is>
      </c>
      <c r="I64" s="248" t="inlineStr">
        <is>
          <t>DELIVERED</t>
        </is>
      </c>
      <c r="J64" s="248" t="inlineStr">
        <is>
          <t>NA</t>
        </is>
      </c>
      <c r="K64" s="248" t="inlineStr">
        <is>
          <t>NA</t>
        </is>
      </c>
      <c r="L64" s="248" t="inlineStr">
        <is>
          <t>NA</t>
        </is>
      </c>
      <c r="M64" s="248" t="inlineStr">
        <is>
          <t>O2</t>
        </is>
      </c>
      <c r="N64" s="248" t="inlineStr">
        <is>
          <t>7</t>
        </is>
      </c>
      <c r="O64" s="248" t="n">
        <v>450.0</v>
      </c>
      <c r="P64" s="248" t="n">
        <v>0.0</v>
      </c>
      <c r="Q64" s="248" t="n">
        <v>0.0</v>
      </c>
      <c r="R64" s="248" t="n">
        <v>0.0</v>
      </c>
      <c r="S64" s="248" t="n">
        <v>0.0</v>
      </c>
      <c r="T64" s="248" t="n">
        <v>0.0</v>
      </c>
      <c r="U64" s="248" t="n">
        <v>0.0</v>
      </c>
      <c r="V64" s="248" t="n">
        <v>22.5</v>
      </c>
      <c r="W64" s="248" t="n">
        <v>472.5</v>
      </c>
      <c r="X64" s="248" t="n">
        <v>450.0</v>
      </c>
      <c r="Y64" s="248" t="n">
        <v>0.0</v>
      </c>
      <c r="Z64" s="248" t="n">
        <v>0.0</v>
      </c>
      <c r="AA64" s="248" t="n">
        <v>450.0</v>
      </c>
      <c r="AB64" s="248" t="n">
        <v>23.0</v>
      </c>
      <c r="AC64" s="248" t="n">
        <v>103.5</v>
      </c>
      <c r="AD64" s="248" t="n">
        <v>8.96</v>
      </c>
      <c r="AE64" s="248" t="n">
        <v>40.0</v>
      </c>
      <c r="AF64" s="248" t="n">
        <v>0.0</v>
      </c>
      <c r="AG64" s="248" t="n">
        <v>8.5</v>
      </c>
      <c r="AH64" s="248" t="n">
        <v>8.69</v>
      </c>
      <c r="AI64" s="248" t="n">
        <v>143.69</v>
      </c>
      <c r="AJ64" s="248" t="n">
        <v>25.86</v>
      </c>
      <c r="AK64" s="248" t="n">
        <v>0.0</v>
      </c>
      <c r="AL64" s="248" t="n">
        <v>450.0</v>
      </c>
      <c r="AM64" s="248" t="n">
        <v>0.0</v>
      </c>
      <c r="AN64" s="248" t="n">
        <v>0.0</v>
      </c>
      <c r="AO64" s="248" t="n">
        <v>0.45</v>
      </c>
      <c r="AP64" s="248" t="n">
        <v>22.5</v>
      </c>
      <c r="AQ64" s="248" t="n">
        <v>0.0</v>
      </c>
      <c r="AR64" s="248" t="n">
        <v>48.81</v>
      </c>
      <c r="AS64" s="248" t="n">
        <v>0.0</v>
      </c>
      <c r="AT64" s="248" t="n">
        <v>0.0</v>
      </c>
      <c r="AU64" s="248" t="n">
        <v>0.0</v>
      </c>
      <c r="AV64" s="248" t="n">
        <v>0.0</v>
      </c>
      <c r="AW64" s="248" t="n">
        <v>0.0</v>
      </c>
      <c r="AX64" s="248" t="n">
        <v>0.0</v>
      </c>
      <c r="AY64" s="248" t="n">
        <v>0.0</v>
      </c>
      <c r="AZ64" s="248" t="n">
        <v>0.0</v>
      </c>
      <c r="BA64" s="248" t="n">
        <v>0.0</v>
      </c>
      <c r="BB64" s="248" t="n">
        <v>192.5</v>
      </c>
      <c r="BC64" s="248" t="n">
        <v>0.0</v>
      </c>
      <c r="BD64" s="248" t="n">
        <v>280.0</v>
      </c>
      <c r="BE64" s="248" t="inlineStr">
        <is>
          <t>settled</t>
        </is>
      </c>
      <c r="BF64" s="248" t="inlineStr">
        <is>
          <t>2025-12-17 05:30:00</t>
        </is>
      </c>
      <c r="BG64" s="248" t="inlineStr">
        <is>
          <t>CITIN25671235852</t>
        </is>
      </c>
      <c r="BH64" s="248" t="n">
        <v>0.0</v>
      </c>
      <c r="BI64" s="248" t="inlineStr">
        <is>
          <t>f5a79666619d07cff34397d232a398b4a53d3141a330fbb62ec5996e5932cd5e</t>
        </is>
      </c>
    </row>
    <row r="65">
      <c r="A65" s="248" t="inlineStr">
        <is>
          <t>57</t>
        </is>
      </c>
      <c r="B65" s="248" t="inlineStr">
        <is>
          <t>7573916161</t>
        </is>
      </c>
      <c r="C65" s="248" t="inlineStr">
        <is>
          <t>2025-12-12 11:43:00</t>
        </is>
      </c>
      <c r="D65" s="248" t="inlineStr">
        <is>
          <t>50</t>
        </is>
      </c>
      <c r="E65" s="248" t="inlineStr">
        <is>
          <t>Bawarchi Baba- By Posh Foods</t>
        </is>
      </c>
      <c r="F65" s="248" t="inlineStr">
        <is>
          <t>20415473</t>
        </is>
      </c>
      <c r="G65" s="248" t="inlineStr">
        <is>
          <t>Flat ₹125 off (2025-12-08 - 2031-01-01)</t>
        </is>
      </c>
      <c r="H65" s="248" t="inlineStr">
        <is>
          <t>ONLINE</t>
        </is>
      </c>
      <c r="I65" s="248" t="inlineStr">
        <is>
          <t>DELIVERED</t>
        </is>
      </c>
      <c r="J65" s="248" t="inlineStr">
        <is>
          <t>NA</t>
        </is>
      </c>
      <c r="K65" s="248" t="inlineStr">
        <is>
          <t>NA</t>
        </is>
      </c>
      <c r="L65" s="248" t="inlineStr">
        <is>
          <t>NA</t>
        </is>
      </c>
      <c r="M65" s="248" t="inlineStr">
        <is>
          <t>O2</t>
        </is>
      </c>
      <c r="N65" s="248" t="inlineStr">
        <is>
          <t>9</t>
        </is>
      </c>
      <c r="O65" s="248" t="n">
        <v>650.0</v>
      </c>
      <c r="P65" s="248" t="n">
        <v>0.0</v>
      </c>
      <c r="Q65" s="248" t="n">
        <v>0.0</v>
      </c>
      <c r="R65" s="248" t="n">
        <v>125.0</v>
      </c>
      <c r="S65" s="248" t="n">
        <v>0.0</v>
      </c>
      <c r="T65" s="248" t="n">
        <v>0.0</v>
      </c>
      <c r="U65" s="248" t="n">
        <v>0.0</v>
      </c>
      <c r="V65" s="248" t="n">
        <v>26.25</v>
      </c>
      <c r="W65" s="248" t="n">
        <v>551.25</v>
      </c>
      <c r="X65" s="248" t="n">
        <v>525.0</v>
      </c>
      <c r="Y65" s="248" t="n">
        <v>0.0</v>
      </c>
      <c r="Z65" s="248" t="n">
        <v>0.0</v>
      </c>
      <c r="AA65" s="248" t="n">
        <v>525.0</v>
      </c>
      <c r="AB65" s="248" t="n">
        <v>23.0</v>
      </c>
      <c r="AC65" s="248" t="n">
        <v>120.75</v>
      </c>
      <c r="AD65" s="248" t="n">
        <v>0.76</v>
      </c>
      <c r="AE65" s="248" t="n">
        <v>0.0</v>
      </c>
      <c r="AF65" s="248" t="n">
        <v>0.0</v>
      </c>
      <c r="AG65" s="248" t="n">
        <v>0.0</v>
      </c>
      <c r="AH65" s="248" t="n">
        <v>10.14</v>
      </c>
      <c r="AI65" s="248" t="n">
        <v>130.89</v>
      </c>
      <c r="AJ65" s="248" t="n">
        <v>23.57</v>
      </c>
      <c r="AK65" s="248" t="n">
        <v>0.0</v>
      </c>
      <c r="AL65" s="248" t="n">
        <v>525.0</v>
      </c>
      <c r="AM65" s="248" t="n">
        <v>0.0</v>
      </c>
      <c r="AN65" s="248" t="n">
        <v>0.0</v>
      </c>
      <c r="AO65" s="248" t="n">
        <v>0.52</v>
      </c>
      <c r="AP65" s="248" t="n">
        <v>26.25</v>
      </c>
      <c r="AQ65" s="248" t="n">
        <v>0.0</v>
      </c>
      <c r="AR65" s="248" t="n">
        <v>50.34</v>
      </c>
      <c r="AS65" s="248" t="n">
        <v>0.0</v>
      </c>
      <c r="AT65" s="248" t="n">
        <v>0.0</v>
      </c>
      <c r="AU65" s="248" t="n">
        <v>0.0</v>
      </c>
      <c r="AV65" s="248" t="n">
        <v>0.0</v>
      </c>
      <c r="AW65" s="248" t="n">
        <v>0.0</v>
      </c>
      <c r="AX65" s="248" t="n">
        <v>0.0</v>
      </c>
      <c r="AY65" s="248" t="n">
        <v>0.0</v>
      </c>
      <c r="AZ65" s="248" t="n">
        <v>0.0</v>
      </c>
      <c r="BA65" s="248" t="n">
        <v>0.0</v>
      </c>
      <c r="BB65" s="248" t="n">
        <v>181.23</v>
      </c>
      <c r="BC65" s="248" t="n">
        <v>0.0</v>
      </c>
      <c r="BD65" s="248" t="n">
        <v>370.02</v>
      </c>
      <c r="BE65" s="248" t="inlineStr">
        <is>
          <t>settled</t>
        </is>
      </c>
      <c r="BF65" s="248" t="inlineStr">
        <is>
          <t>2025-12-17 05:30:00</t>
        </is>
      </c>
      <c r="BG65" s="248" t="inlineStr">
        <is>
          <t>CITIN25671235852</t>
        </is>
      </c>
      <c r="BH65" s="248" t="n">
        <v>0.0</v>
      </c>
      <c r="BI65" s="248" t="inlineStr">
        <is>
          <t>8dcac0748ec614b8c3d9eb41a107783313cfc3d5513d49dd7fb3d4052834f9d2</t>
        </is>
      </c>
    </row>
    <row r="66">
      <c r="A66" s="248" t="inlineStr">
        <is>
          <t>58</t>
        </is>
      </c>
      <c r="B66" s="248" t="inlineStr">
        <is>
          <t>7567563759</t>
        </is>
      </c>
      <c r="C66" s="248" t="inlineStr">
        <is>
          <t>2025-12-12 12:21:01</t>
        </is>
      </c>
      <c r="D66" s="248" t="inlineStr">
        <is>
          <t>50</t>
        </is>
      </c>
      <c r="E66" s="248" t="inlineStr">
        <is>
          <t>Bawarchi Baba- By Posh Foods</t>
        </is>
      </c>
      <c r="F66" s="248" t="inlineStr">
        <is>
          <t>20415473</t>
        </is>
      </c>
      <c r="G66" s="248" t="inlineStr">
        <is>
          <t>Flat ₹125 off (2025-12-08 - 2031-01-01)</t>
        </is>
      </c>
      <c r="H66" s="248" t="inlineStr">
        <is>
          <t>ONLINE</t>
        </is>
      </c>
      <c r="I66" s="248" t="inlineStr">
        <is>
          <t>DELIVERED</t>
        </is>
      </c>
      <c r="J66" s="248" t="inlineStr">
        <is>
          <t>NA</t>
        </is>
      </c>
      <c r="K66" s="248" t="inlineStr">
        <is>
          <t>NA</t>
        </is>
      </c>
      <c r="L66" s="248" t="inlineStr">
        <is>
          <t>NA</t>
        </is>
      </c>
      <c r="M66" s="248" t="inlineStr">
        <is>
          <t>O2</t>
        </is>
      </c>
      <c r="N66" s="248" t="inlineStr">
        <is>
          <t>9</t>
        </is>
      </c>
      <c r="O66" s="248" t="n">
        <v>420.0</v>
      </c>
      <c r="P66" s="248" t="n">
        <v>0.0</v>
      </c>
      <c r="Q66" s="248" t="n">
        <v>0.0</v>
      </c>
      <c r="R66" s="248" t="n">
        <v>125.0</v>
      </c>
      <c r="S66" s="248" t="n">
        <v>0.0</v>
      </c>
      <c r="T66" s="248" t="n">
        <v>0.0</v>
      </c>
      <c r="U66" s="248" t="n">
        <v>0.0</v>
      </c>
      <c r="V66" s="248" t="n">
        <v>14.75</v>
      </c>
      <c r="W66" s="248" t="n">
        <v>309.75</v>
      </c>
      <c r="X66" s="248" t="n">
        <v>295.0</v>
      </c>
      <c r="Y66" s="248" t="n">
        <v>0.0</v>
      </c>
      <c r="Z66" s="248" t="n">
        <v>0.0</v>
      </c>
      <c r="AA66" s="248" t="n">
        <v>295.0</v>
      </c>
      <c r="AB66" s="248" t="n">
        <v>23.0</v>
      </c>
      <c r="AC66" s="248" t="n">
        <v>67.85</v>
      </c>
      <c r="AD66" s="248" t="n">
        <v>0.62</v>
      </c>
      <c r="AE66" s="248" t="n">
        <v>0.0</v>
      </c>
      <c r="AF66" s="248" t="n">
        <v>0.0</v>
      </c>
      <c r="AG66" s="248" t="n">
        <v>0.0</v>
      </c>
      <c r="AH66" s="248" t="n">
        <v>5.7</v>
      </c>
      <c r="AI66" s="248" t="n">
        <v>73.55</v>
      </c>
      <c r="AJ66" s="248" t="n">
        <v>13.24</v>
      </c>
      <c r="AK66" s="248" t="n">
        <v>0.0</v>
      </c>
      <c r="AL66" s="248" t="n">
        <v>295.0</v>
      </c>
      <c r="AM66" s="248" t="n">
        <v>0.0</v>
      </c>
      <c r="AN66" s="248" t="n">
        <v>0.0</v>
      </c>
      <c r="AO66" s="248" t="n">
        <v>0.3</v>
      </c>
      <c r="AP66" s="248" t="n">
        <v>14.75</v>
      </c>
      <c r="AQ66" s="248" t="n">
        <v>0.0</v>
      </c>
      <c r="AR66" s="248" t="n">
        <v>28.29</v>
      </c>
      <c r="AS66" s="248" t="n">
        <v>0.0</v>
      </c>
      <c r="AT66" s="248" t="n">
        <v>0.0</v>
      </c>
      <c r="AU66" s="248" t="n">
        <v>0.0</v>
      </c>
      <c r="AV66" s="248" t="n">
        <v>0.0</v>
      </c>
      <c r="AW66" s="248" t="n">
        <v>0.0</v>
      </c>
      <c r="AX66" s="248" t="n">
        <v>0.0</v>
      </c>
      <c r="AY66" s="248" t="n">
        <v>0.0</v>
      </c>
      <c r="AZ66" s="248" t="n">
        <v>0.0</v>
      </c>
      <c r="BA66" s="248" t="n">
        <v>0.0</v>
      </c>
      <c r="BB66" s="248" t="n">
        <v>101.84</v>
      </c>
      <c r="BC66" s="248" t="n">
        <v>0.0</v>
      </c>
      <c r="BD66" s="248" t="n">
        <v>207.91</v>
      </c>
      <c r="BE66" s="248" t="inlineStr">
        <is>
          <t>settled</t>
        </is>
      </c>
      <c r="BF66" s="248" t="inlineStr">
        <is>
          <t>2025-12-17 05:30:00</t>
        </is>
      </c>
      <c r="BG66" s="248" t="inlineStr">
        <is>
          <t>CITIN25671235852</t>
        </is>
      </c>
      <c r="BH66" s="248" t="n">
        <v>0.0</v>
      </c>
      <c r="BI66" s="248" t="inlineStr">
        <is>
          <t>1fcdc5fec29ae34930d634e98bc564a5e4a5f416d8c5bc6462e2459212272e2a</t>
        </is>
      </c>
    </row>
    <row r="67">
      <c r="A67" s="248" t="inlineStr">
        <is>
          <t>59</t>
        </is>
      </c>
      <c r="B67" s="248" t="inlineStr">
        <is>
          <t>7572328336</t>
        </is>
      </c>
      <c r="C67" s="248" t="inlineStr">
        <is>
          <t>2025-12-12 12:50:50</t>
        </is>
      </c>
      <c r="D67" s="248" t="inlineStr">
        <is>
          <t>50</t>
        </is>
      </c>
      <c r="E67" s="248" t="inlineStr">
        <is>
          <t>Bawarchi Baba- By Posh Foods</t>
        </is>
      </c>
      <c r="F67" s="248" t="inlineStr">
        <is>
          <t>20415473</t>
        </is>
      </c>
      <c r="G67" s="248" t="inlineStr">
        <is>
          <t>Flat ₹125 off (2025-12-08 - 2031-01-01)</t>
        </is>
      </c>
      <c r="H67" s="248" t="inlineStr">
        <is>
          <t>ONLINE</t>
        </is>
      </c>
      <c r="I67" s="248" t="inlineStr">
        <is>
          <t>DELIVERED</t>
        </is>
      </c>
      <c r="J67" s="248" t="inlineStr">
        <is>
          <t>NA</t>
        </is>
      </c>
      <c r="K67" s="248" t="inlineStr">
        <is>
          <t>NA</t>
        </is>
      </c>
      <c r="L67" s="248" t="inlineStr">
        <is>
          <t>NA</t>
        </is>
      </c>
      <c r="M67" s="248" t="inlineStr">
        <is>
          <t>O2</t>
        </is>
      </c>
      <c r="N67" s="248" t="inlineStr">
        <is>
          <t>9</t>
        </is>
      </c>
      <c r="O67" s="248" t="n">
        <v>589.0</v>
      </c>
      <c r="P67" s="248" t="n">
        <v>0.0</v>
      </c>
      <c r="Q67" s="248" t="n">
        <v>0.0</v>
      </c>
      <c r="R67" s="248" t="n">
        <v>125.0</v>
      </c>
      <c r="S67" s="248" t="n">
        <v>0.0</v>
      </c>
      <c r="T67" s="248" t="n">
        <v>0.0</v>
      </c>
      <c r="U67" s="248" t="n">
        <v>0.0</v>
      </c>
      <c r="V67" s="248" t="n">
        <v>23.2</v>
      </c>
      <c r="W67" s="248" t="n">
        <v>487.2</v>
      </c>
      <c r="X67" s="248" t="n">
        <v>464.0</v>
      </c>
      <c r="Y67" s="248" t="n">
        <v>0.0</v>
      </c>
      <c r="Z67" s="248" t="n">
        <v>0.0</v>
      </c>
      <c r="AA67" s="248" t="n">
        <v>464.0</v>
      </c>
      <c r="AB67" s="248" t="n">
        <v>23.0</v>
      </c>
      <c r="AC67" s="248" t="n">
        <v>106.72</v>
      </c>
      <c r="AD67" s="248" t="n">
        <v>6.02</v>
      </c>
      <c r="AE67" s="248" t="n">
        <v>40.0</v>
      </c>
      <c r="AF67" s="248" t="n">
        <v>0.0</v>
      </c>
      <c r="AG67" s="248" t="n">
        <v>7.52</v>
      </c>
      <c r="AH67" s="248" t="n">
        <v>8.96</v>
      </c>
      <c r="AI67" s="248" t="n">
        <v>148.16</v>
      </c>
      <c r="AJ67" s="248" t="n">
        <v>26.67</v>
      </c>
      <c r="AK67" s="248" t="n">
        <v>0.0</v>
      </c>
      <c r="AL67" s="248" t="n">
        <v>464.0</v>
      </c>
      <c r="AM67" s="248" t="n">
        <v>0.0</v>
      </c>
      <c r="AN67" s="248" t="n">
        <v>0.0</v>
      </c>
      <c r="AO67" s="248" t="n">
        <v>0.46</v>
      </c>
      <c r="AP67" s="248" t="n">
        <v>23.2</v>
      </c>
      <c r="AQ67" s="248" t="n">
        <v>0.0</v>
      </c>
      <c r="AR67" s="248" t="n">
        <v>50.33</v>
      </c>
      <c r="AS67" s="248" t="n">
        <v>0.0</v>
      </c>
      <c r="AT67" s="248" t="n">
        <v>0.0</v>
      </c>
      <c r="AU67" s="248" t="n">
        <v>0.0</v>
      </c>
      <c r="AV67" s="248" t="n">
        <v>0.0</v>
      </c>
      <c r="AW67" s="248" t="n">
        <v>0.0</v>
      </c>
      <c r="AX67" s="248" t="n">
        <v>0.0</v>
      </c>
      <c r="AY67" s="248" t="n">
        <v>0.0</v>
      </c>
      <c r="AZ67" s="248" t="n">
        <v>0.0</v>
      </c>
      <c r="BA67" s="248" t="n">
        <v>0.0</v>
      </c>
      <c r="BB67" s="248" t="n">
        <v>198.49</v>
      </c>
      <c r="BC67" s="248" t="n">
        <v>0.0</v>
      </c>
      <c r="BD67" s="248" t="n">
        <v>288.71</v>
      </c>
      <c r="BE67" s="248" t="inlineStr">
        <is>
          <t>settled</t>
        </is>
      </c>
      <c r="BF67" s="248" t="inlineStr">
        <is>
          <t>2025-12-17 05:30:00</t>
        </is>
      </c>
      <c r="BG67" s="248" t="inlineStr">
        <is>
          <t>CITIN25671235852</t>
        </is>
      </c>
      <c r="BH67" s="248" t="n">
        <v>0.0</v>
      </c>
      <c r="BI67" s="248" t="inlineStr">
        <is>
          <t>186938201ba211e7aad3c2e5540f636ed9765686f56c944c389bf94da9de49b7</t>
        </is>
      </c>
    </row>
    <row r="68">
      <c r="A68" s="248" t="inlineStr">
        <is>
          <t>60</t>
        </is>
      </c>
      <c r="B68" s="248" t="inlineStr">
        <is>
          <t>7565936647</t>
        </is>
      </c>
      <c r="C68" s="248" t="inlineStr">
        <is>
          <t>2025-12-12 12:54:21</t>
        </is>
      </c>
      <c r="D68" s="248" t="inlineStr">
        <is>
          <t>50</t>
        </is>
      </c>
      <c r="E68" s="248" t="inlineStr">
        <is>
          <t>Bawarchi Baba- By Posh Foods</t>
        </is>
      </c>
      <c r="F68" s="248" t="inlineStr">
        <is>
          <t>20415473</t>
        </is>
      </c>
      <c r="G68" s="248" t="inlineStr">
        <is>
          <t>Flat ₹100 off (2025-12-08 - 2031-01-01)</t>
        </is>
      </c>
      <c r="H68" s="248" t="inlineStr">
        <is>
          <t>ONLINE</t>
        </is>
      </c>
      <c r="I68" s="248" t="inlineStr">
        <is>
          <t>DELIVERED</t>
        </is>
      </c>
      <c r="J68" s="248" t="inlineStr">
        <is>
          <t>NA</t>
        </is>
      </c>
      <c r="K68" s="248" t="inlineStr">
        <is>
          <t>NA</t>
        </is>
      </c>
      <c r="L68" s="248" t="inlineStr">
        <is>
          <t>NA</t>
        </is>
      </c>
      <c r="M68" s="248" t="inlineStr">
        <is>
          <t>O2</t>
        </is>
      </c>
      <c r="N68" s="248" t="inlineStr">
        <is>
          <t>9</t>
        </is>
      </c>
      <c r="O68" s="248" t="n">
        <v>281.0</v>
      </c>
      <c r="P68" s="248" t="n">
        <v>0.0</v>
      </c>
      <c r="Q68" s="248" t="n">
        <v>0.0</v>
      </c>
      <c r="R68" s="248" t="n">
        <v>70.0</v>
      </c>
      <c r="S68" s="248" t="n">
        <v>0.0</v>
      </c>
      <c r="T68" s="248" t="n">
        <v>0.0</v>
      </c>
      <c r="U68" s="248" t="n">
        <v>0.0</v>
      </c>
      <c r="V68" s="248" t="n">
        <v>10.55</v>
      </c>
      <c r="W68" s="248" t="n">
        <v>221.55</v>
      </c>
      <c r="X68" s="248" t="n">
        <v>211.0</v>
      </c>
      <c r="Y68" s="248" t="n">
        <v>0.0</v>
      </c>
      <c r="Z68" s="248" t="n">
        <v>0.0</v>
      </c>
      <c r="AA68" s="248" t="n">
        <v>211.0</v>
      </c>
      <c r="AB68" s="248" t="n">
        <v>23.0</v>
      </c>
      <c r="AC68" s="248" t="n">
        <v>48.53</v>
      </c>
      <c r="AD68" s="248" t="n">
        <v>4.42</v>
      </c>
      <c r="AE68" s="248" t="n">
        <v>20.0</v>
      </c>
      <c r="AF68" s="248" t="n">
        <v>0.0</v>
      </c>
      <c r="AG68" s="248" t="n">
        <v>5.23</v>
      </c>
      <c r="AH68" s="248" t="n">
        <v>4.08</v>
      </c>
      <c r="AI68" s="248" t="n">
        <v>67.38</v>
      </c>
      <c r="AJ68" s="248" t="n">
        <v>12.13</v>
      </c>
      <c r="AK68" s="248" t="n">
        <v>0.0</v>
      </c>
      <c r="AL68" s="248" t="n">
        <v>211.0</v>
      </c>
      <c r="AM68" s="248" t="n">
        <v>0.0</v>
      </c>
      <c r="AN68" s="248" t="n">
        <v>0.0</v>
      </c>
      <c r="AO68" s="248" t="n">
        <v>0.21</v>
      </c>
      <c r="AP68" s="248" t="n">
        <v>10.55</v>
      </c>
      <c r="AQ68" s="248" t="n">
        <v>0.0</v>
      </c>
      <c r="AR68" s="248" t="n">
        <v>22.89</v>
      </c>
      <c r="AS68" s="248" t="n">
        <v>0.0</v>
      </c>
      <c r="AT68" s="248" t="n">
        <v>0.0</v>
      </c>
      <c r="AU68" s="248" t="n">
        <v>0.0</v>
      </c>
      <c r="AV68" s="248" t="n">
        <v>0.0</v>
      </c>
      <c r="AW68" s="248" t="n">
        <v>0.0</v>
      </c>
      <c r="AX68" s="248" t="n">
        <v>0.0</v>
      </c>
      <c r="AY68" s="248" t="n">
        <v>0.0</v>
      </c>
      <c r="AZ68" s="248" t="n">
        <v>0.0</v>
      </c>
      <c r="BA68" s="248" t="n">
        <v>0.0</v>
      </c>
      <c r="BB68" s="248" t="n">
        <v>90.27</v>
      </c>
      <c r="BC68" s="248" t="n">
        <v>0.0</v>
      </c>
      <c r="BD68" s="248" t="n">
        <v>131.28</v>
      </c>
      <c r="BE68" s="248" t="inlineStr">
        <is>
          <t>settled</t>
        </is>
      </c>
      <c r="BF68" s="248" t="inlineStr">
        <is>
          <t>2025-12-17 05:30:00</t>
        </is>
      </c>
      <c r="BG68" s="248" t="inlineStr">
        <is>
          <t>CITIN25671235852</t>
        </is>
      </c>
      <c r="BH68" s="248" t="n">
        <v>0.0</v>
      </c>
      <c r="BI68" s="248" t="inlineStr">
        <is>
          <t>e879ae28e7fde6072d5cfb8898872a298b007660628eb3f7e3c76d44b09f1488</t>
        </is>
      </c>
    </row>
    <row r="69">
      <c r="A69" s="248" t="inlineStr">
        <is>
          <t>61</t>
        </is>
      </c>
      <c r="B69" s="248" t="inlineStr">
        <is>
          <t>7574327354</t>
        </is>
      </c>
      <c r="C69" s="248" t="inlineStr">
        <is>
          <t>2025-12-12 13:02:06</t>
        </is>
      </c>
      <c r="D69" s="248" t="inlineStr">
        <is>
          <t>50</t>
        </is>
      </c>
      <c r="E69" s="248" t="inlineStr">
        <is>
          <t>Bawarchi Baba- By Posh Foods</t>
        </is>
      </c>
      <c r="F69" s="248" t="inlineStr">
        <is>
          <t>20415473</t>
        </is>
      </c>
      <c r="G69" s="248" t="inlineStr">
        <is>
          <t>Flat ₹150 off (2025-12-08 - 2031-01-01)</t>
        </is>
      </c>
      <c r="H69" s="248" t="inlineStr">
        <is>
          <t>ONLINE</t>
        </is>
      </c>
      <c r="I69" s="248" t="inlineStr">
        <is>
          <t>DELIVERED</t>
        </is>
      </c>
      <c r="J69" s="248" t="inlineStr">
        <is>
          <t>NA</t>
        </is>
      </c>
      <c r="K69" s="248" t="inlineStr">
        <is>
          <t>NA</t>
        </is>
      </c>
      <c r="L69" s="248" t="inlineStr">
        <is>
          <t>NA</t>
        </is>
      </c>
      <c r="M69" s="248" t="inlineStr">
        <is>
          <t>O2</t>
        </is>
      </c>
      <c r="N69" s="248" t="inlineStr">
        <is>
          <t>9</t>
        </is>
      </c>
      <c r="O69" s="248" t="n">
        <v>628.0</v>
      </c>
      <c r="P69" s="248" t="n">
        <v>0.0</v>
      </c>
      <c r="Q69" s="248" t="n">
        <v>0.0</v>
      </c>
      <c r="R69" s="248" t="n">
        <v>150.0</v>
      </c>
      <c r="S69" s="248" t="n">
        <v>0.0</v>
      </c>
      <c r="T69" s="248" t="n">
        <v>0.0</v>
      </c>
      <c r="U69" s="248" t="n">
        <v>0.0</v>
      </c>
      <c r="V69" s="248" t="n">
        <v>23.9</v>
      </c>
      <c r="W69" s="248" t="n">
        <v>501.9</v>
      </c>
      <c r="X69" s="248" t="n">
        <v>478.0</v>
      </c>
      <c r="Y69" s="248" t="n">
        <v>0.0</v>
      </c>
      <c r="Z69" s="248" t="n">
        <v>0.0</v>
      </c>
      <c r="AA69" s="248" t="n">
        <v>478.0</v>
      </c>
      <c r="AB69" s="248" t="n">
        <v>23.0</v>
      </c>
      <c r="AC69" s="248" t="n">
        <v>109.94</v>
      </c>
      <c r="AD69" s="248" t="n">
        <v>5.68</v>
      </c>
      <c r="AE69" s="248" t="n">
        <v>20.0</v>
      </c>
      <c r="AF69" s="248" t="n">
        <v>0.0</v>
      </c>
      <c r="AG69" s="248" t="n">
        <v>0.0</v>
      </c>
      <c r="AH69" s="248" t="n">
        <v>9.23</v>
      </c>
      <c r="AI69" s="248" t="n">
        <v>139.17</v>
      </c>
      <c r="AJ69" s="248" t="n">
        <v>25.05</v>
      </c>
      <c r="AK69" s="248" t="n">
        <v>0.0</v>
      </c>
      <c r="AL69" s="248" t="n">
        <v>478.0</v>
      </c>
      <c r="AM69" s="248" t="n">
        <v>0.0</v>
      </c>
      <c r="AN69" s="248" t="n">
        <v>0.0</v>
      </c>
      <c r="AO69" s="248" t="n">
        <v>0.48</v>
      </c>
      <c r="AP69" s="248" t="n">
        <v>23.9</v>
      </c>
      <c r="AQ69" s="248" t="n">
        <v>0.0</v>
      </c>
      <c r="AR69" s="248" t="n">
        <v>49.43</v>
      </c>
      <c r="AS69" s="248" t="n">
        <v>0.0</v>
      </c>
      <c r="AT69" s="248" t="n">
        <v>0.0</v>
      </c>
      <c r="AU69" s="248" t="n">
        <v>0.0</v>
      </c>
      <c r="AV69" s="248" t="n">
        <v>0.0</v>
      </c>
      <c r="AW69" s="248" t="n">
        <v>0.0</v>
      </c>
      <c r="AX69" s="248" t="n">
        <v>0.0</v>
      </c>
      <c r="AY69" s="248" t="n">
        <v>0.0</v>
      </c>
      <c r="AZ69" s="248" t="n">
        <v>0.0</v>
      </c>
      <c r="BA69" s="248" t="n">
        <v>0.0</v>
      </c>
      <c r="BB69" s="248" t="n">
        <v>188.6</v>
      </c>
      <c r="BC69" s="248" t="n">
        <v>0.0</v>
      </c>
      <c r="BD69" s="248" t="n">
        <v>313.3</v>
      </c>
      <c r="BE69" s="248" t="inlineStr">
        <is>
          <t>settled</t>
        </is>
      </c>
      <c r="BF69" s="248" t="inlineStr">
        <is>
          <t>2025-12-17 05:30:00</t>
        </is>
      </c>
      <c r="BG69" s="248" t="inlineStr">
        <is>
          <t>CITIN25671235852</t>
        </is>
      </c>
      <c r="BH69" s="248" t="n">
        <v>0.0</v>
      </c>
      <c r="BI69" s="248" t="inlineStr">
        <is>
          <t>bacb4db75e5b1eecb2e2b32487d74f50929f0bc94012587c11a7fd5a6c109e27</t>
        </is>
      </c>
    </row>
    <row r="70">
      <c r="A70" s="248" t="inlineStr">
        <is>
          <t>62</t>
        </is>
      </c>
      <c r="B70" s="248" t="inlineStr">
        <is>
          <t>7571755386</t>
        </is>
      </c>
      <c r="C70" s="248" t="inlineStr">
        <is>
          <t>2025-12-12 13:32:05</t>
        </is>
      </c>
      <c r="D70" s="248" t="inlineStr">
        <is>
          <t>50</t>
        </is>
      </c>
      <c r="E70" s="248" t="inlineStr">
        <is>
          <t>Bawarchi Baba- By Posh Foods</t>
        </is>
      </c>
      <c r="F70" s="248" t="inlineStr">
        <is>
          <t>20415473</t>
        </is>
      </c>
      <c r="G70" s="248" t="inlineStr">
        <is>
          <t>Flat ₹150 off (2025-12-08 - 2031-01-01)</t>
        </is>
      </c>
      <c r="H70" s="248" t="inlineStr">
        <is>
          <t>ONLINE</t>
        </is>
      </c>
      <c r="I70" s="248" t="inlineStr">
        <is>
          <t>DELIVERED</t>
        </is>
      </c>
      <c r="J70" s="248" t="inlineStr">
        <is>
          <t>NA</t>
        </is>
      </c>
      <c r="K70" s="248" t="inlineStr">
        <is>
          <t>NA</t>
        </is>
      </c>
      <c r="L70" s="248" t="inlineStr">
        <is>
          <t>NA</t>
        </is>
      </c>
      <c r="M70" s="248" t="inlineStr">
        <is>
          <t>O2</t>
        </is>
      </c>
      <c r="N70" s="248" t="inlineStr">
        <is>
          <t>9</t>
        </is>
      </c>
      <c r="O70" s="248" t="n">
        <v>589.0</v>
      </c>
      <c r="P70" s="248" t="n">
        <v>0.0</v>
      </c>
      <c r="Q70" s="248" t="n">
        <v>0.0</v>
      </c>
      <c r="R70" s="248" t="n">
        <v>105.0</v>
      </c>
      <c r="S70" s="248" t="n">
        <v>0.0</v>
      </c>
      <c r="T70" s="248" t="n">
        <v>0.0</v>
      </c>
      <c r="U70" s="248" t="n">
        <v>0.0</v>
      </c>
      <c r="V70" s="248" t="n">
        <v>24.2</v>
      </c>
      <c r="W70" s="248" t="n">
        <v>508.2</v>
      </c>
      <c r="X70" s="248" t="n">
        <v>484.0</v>
      </c>
      <c r="Y70" s="248" t="n">
        <v>0.0</v>
      </c>
      <c r="Z70" s="248" t="n">
        <v>0.0</v>
      </c>
      <c r="AA70" s="248" t="n">
        <v>484.0</v>
      </c>
      <c r="AB70" s="248" t="n">
        <v>23.0</v>
      </c>
      <c r="AC70" s="248" t="n">
        <v>111.32</v>
      </c>
      <c r="AD70" s="248" t="n">
        <v>4.12</v>
      </c>
      <c r="AE70" s="248" t="n">
        <v>20.0</v>
      </c>
      <c r="AF70" s="248" t="n">
        <v>0.0</v>
      </c>
      <c r="AG70" s="248" t="n">
        <v>0.0</v>
      </c>
      <c r="AH70" s="248" t="n">
        <v>9.35</v>
      </c>
      <c r="AI70" s="248" t="n">
        <v>140.67</v>
      </c>
      <c r="AJ70" s="248" t="n">
        <v>25.32</v>
      </c>
      <c r="AK70" s="248" t="n">
        <v>0.0</v>
      </c>
      <c r="AL70" s="248" t="n">
        <v>484.0</v>
      </c>
      <c r="AM70" s="248" t="n">
        <v>0.0</v>
      </c>
      <c r="AN70" s="248" t="n">
        <v>0.0</v>
      </c>
      <c r="AO70" s="248" t="n">
        <v>0.48</v>
      </c>
      <c r="AP70" s="248" t="n">
        <v>24.2</v>
      </c>
      <c r="AQ70" s="248" t="n">
        <v>0.0</v>
      </c>
      <c r="AR70" s="248" t="n">
        <v>50.0</v>
      </c>
      <c r="AS70" s="248" t="n">
        <v>0.0</v>
      </c>
      <c r="AT70" s="248" t="n">
        <v>0.0</v>
      </c>
      <c r="AU70" s="248" t="n">
        <v>0.0</v>
      </c>
      <c r="AV70" s="248" t="n">
        <v>0.0</v>
      </c>
      <c r="AW70" s="248" t="n">
        <v>0.0</v>
      </c>
      <c r="AX70" s="248" t="n">
        <v>0.0</v>
      </c>
      <c r="AY70" s="248" t="n">
        <v>0.0</v>
      </c>
      <c r="AZ70" s="248" t="n">
        <v>0.0</v>
      </c>
      <c r="BA70" s="248" t="n">
        <v>0.0</v>
      </c>
      <c r="BB70" s="248" t="n">
        <v>190.67</v>
      </c>
      <c r="BC70" s="248" t="n">
        <v>0.0</v>
      </c>
      <c r="BD70" s="248" t="n">
        <v>317.53</v>
      </c>
      <c r="BE70" s="248" t="inlineStr">
        <is>
          <t>settled</t>
        </is>
      </c>
      <c r="BF70" s="248" t="inlineStr">
        <is>
          <t>2025-12-17 05:30:00</t>
        </is>
      </c>
      <c r="BG70" s="248" t="inlineStr">
        <is>
          <t>CITIN25671235852</t>
        </is>
      </c>
      <c r="BH70" s="248" t="n">
        <v>0.0</v>
      </c>
      <c r="BI70" s="248" t="inlineStr">
        <is>
          <t>7cddeaca15f70afccfa61b2a2477f8355ec7a282a79a3adbb8ec490e0b352e8c</t>
        </is>
      </c>
    </row>
    <row r="71">
      <c r="A71" s="248" t="inlineStr">
        <is>
          <t>63</t>
        </is>
      </c>
      <c r="B71" s="248" t="inlineStr">
        <is>
          <t>7563572000</t>
        </is>
      </c>
      <c r="C71" s="248" t="inlineStr">
        <is>
          <t>2025-12-12 14:25:29</t>
        </is>
      </c>
      <c r="D71" s="248" t="inlineStr">
        <is>
          <t>50</t>
        </is>
      </c>
      <c r="E71" s="248" t="inlineStr">
        <is>
          <t>Bawarchi Baba- By Posh Foods</t>
        </is>
      </c>
      <c r="F71" s="248" t="inlineStr">
        <is>
          <t>20415473</t>
        </is>
      </c>
      <c r="G71" s="248" t="inlineStr">
        <is>
          <t>NA</t>
        </is>
      </c>
      <c r="H71" s="248" t="inlineStr">
        <is>
          <t>ONLINE</t>
        </is>
      </c>
      <c r="I71" s="248" t="inlineStr">
        <is>
          <t>DELIVERED</t>
        </is>
      </c>
      <c r="J71" s="248" t="inlineStr">
        <is>
          <t>NA</t>
        </is>
      </c>
      <c r="K71" s="248" t="inlineStr">
        <is>
          <t>NA</t>
        </is>
      </c>
      <c r="L71" s="248" t="inlineStr">
        <is>
          <t>NA</t>
        </is>
      </c>
      <c r="M71" s="248" t="inlineStr">
        <is>
          <t>O2</t>
        </is>
      </c>
      <c r="N71" s="248" t="inlineStr">
        <is>
          <t>9</t>
        </is>
      </c>
      <c r="O71" s="248" t="n">
        <v>464.0</v>
      </c>
      <c r="P71" s="248" t="n">
        <v>0.0</v>
      </c>
      <c r="Q71" s="248" t="n">
        <v>0.0</v>
      </c>
      <c r="R71" s="248" t="n">
        <v>0.0</v>
      </c>
      <c r="S71" s="248" t="n">
        <v>0.0</v>
      </c>
      <c r="T71" s="248" t="n">
        <v>0.0</v>
      </c>
      <c r="U71" s="248" t="n">
        <v>0.0</v>
      </c>
      <c r="V71" s="248" t="n">
        <v>23.2</v>
      </c>
      <c r="W71" s="248" t="n">
        <v>487.2</v>
      </c>
      <c r="X71" s="248" t="n">
        <v>464.0</v>
      </c>
      <c r="Y71" s="248" t="n">
        <v>0.0</v>
      </c>
      <c r="Z71" s="248" t="n">
        <v>0.0</v>
      </c>
      <c r="AA71" s="248" t="n">
        <v>464.0</v>
      </c>
      <c r="AB71" s="248" t="n">
        <v>23.0</v>
      </c>
      <c r="AC71" s="248" t="n">
        <v>106.72</v>
      </c>
      <c r="AD71" s="248" t="n">
        <v>3.29</v>
      </c>
      <c r="AE71" s="248" t="n">
        <v>0.0</v>
      </c>
      <c r="AF71" s="248" t="n">
        <v>0.0</v>
      </c>
      <c r="AG71" s="248" t="n">
        <v>0.0</v>
      </c>
      <c r="AH71" s="248" t="n">
        <v>8.96</v>
      </c>
      <c r="AI71" s="248" t="n">
        <v>115.68</v>
      </c>
      <c r="AJ71" s="248" t="n">
        <v>20.82</v>
      </c>
      <c r="AK71" s="248" t="n">
        <v>0.0</v>
      </c>
      <c r="AL71" s="248" t="n">
        <v>464.0</v>
      </c>
      <c r="AM71" s="248" t="n">
        <v>0.0</v>
      </c>
      <c r="AN71" s="248" t="n">
        <v>0.0</v>
      </c>
      <c r="AO71" s="248" t="n">
        <v>0.46</v>
      </c>
      <c r="AP71" s="248" t="n">
        <v>23.2</v>
      </c>
      <c r="AQ71" s="248" t="n">
        <v>0.0</v>
      </c>
      <c r="AR71" s="248" t="n">
        <v>44.48</v>
      </c>
      <c r="AS71" s="248" t="n">
        <v>0.0</v>
      </c>
      <c r="AT71" s="248" t="n">
        <v>0.0</v>
      </c>
      <c r="AU71" s="248" t="n">
        <v>0.0</v>
      </c>
      <c r="AV71" s="248" t="n">
        <v>0.0</v>
      </c>
      <c r="AW71" s="248" t="n">
        <v>0.0</v>
      </c>
      <c r="AX71" s="248" t="n">
        <v>0.0</v>
      </c>
      <c r="AY71" s="248" t="n">
        <v>0.0</v>
      </c>
      <c r="AZ71" s="248" t="n">
        <v>0.0</v>
      </c>
      <c r="BA71" s="248" t="n">
        <v>0.0</v>
      </c>
      <c r="BB71" s="248" t="n">
        <v>160.16</v>
      </c>
      <c r="BC71" s="248" t="n">
        <v>0.0</v>
      </c>
      <c r="BD71" s="248" t="n">
        <v>327.04</v>
      </c>
      <c r="BE71" s="248" t="inlineStr">
        <is>
          <t>settled</t>
        </is>
      </c>
      <c r="BF71" s="248" t="inlineStr">
        <is>
          <t>2025-12-17 05:30:00</t>
        </is>
      </c>
      <c r="BG71" s="248" t="inlineStr">
        <is>
          <t>CITIN25671235852</t>
        </is>
      </c>
      <c r="BH71" s="248" t="n">
        <v>0.0</v>
      </c>
      <c r="BI71" s="248" t="inlineStr">
        <is>
          <t>87d8c7a719c2dd44b2bf858b66b94a18e1fc0e9b5c4ac4810a6d3a01a93f16e3</t>
        </is>
      </c>
    </row>
    <row r="72">
      <c r="A72" s="248" t="inlineStr">
        <is>
          <t>64</t>
        </is>
      </c>
      <c r="B72" s="248" t="inlineStr">
        <is>
          <t>7568054946</t>
        </is>
      </c>
      <c r="C72" s="248" t="inlineStr">
        <is>
          <t>2025-12-12 14:40:58</t>
        </is>
      </c>
      <c r="D72" s="248" t="inlineStr">
        <is>
          <t>50</t>
        </is>
      </c>
      <c r="E72" s="248" t="inlineStr">
        <is>
          <t>Bawarchi Baba- By Posh Foods</t>
        </is>
      </c>
      <c r="F72" s="248" t="inlineStr">
        <is>
          <t>20415473</t>
        </is>
      </c>
      <c r="G72" s="248" t="inlineStr">
        <is>
          <t>Flat ₹100 off (2025-12-08 - 2031-01-01)</t>
        </is>
      </c>
      <c r="H72" s="248" t="inlineStr">
        <is>
          <t>ONLINE</t>
        </is>
      </c>
      <c r="I72" s="248" t="inlineStr">
        <is>
          <t>DELIVERED</t>
        </is>
      </c>
      <c r="J72" s="248" t="inlineStr">
        <is>
          <t>NA</t>
        </is>
      </c>
      <c r="K72" s="248" t="inlineStr">
        <is>
          <t>NA</t>
        </is>
      </c>
      <c r="L72" s="248" t="inlineStr">
        <is>
          <t>NA</t>
        </is>
      </c>
      <c r="M72" s="248" t="inlineStr">
        <is>
          <t>O2</t>
        </is>
      </c>
      <c r="N72" s="248" t="inlineStr">
        <is>
          <t>9</t>
        </is>
      </c>
      <c r="O72" s="248" t="n">
        <v>225.0</v>
      </c>
      <c r="P72" s="248" t="n">
        <v>0.0</v>
      </c>
      <c r="Q72" s="248" t="n">
        <v>0.0</v>
      </c>
      <c r="R72" s="248" t="n">
        <v>70.0</v>
      </c>
      <c r="S72" s="248" t="n">
        <v>0.0</v>
      </c>
      <c r="T72" s="248" t="n">
        <v>0.0</v>
      </c>
      <c r="U72" s="248" t="n">
        <v>0.0</v>
      </c>
      <c r="V72" s="248" t="n">
        <v>7.75</v>
      </c>
      <c r="W72" s="248" t="n">
        <v>162.75</v>
      </c>
      <c r="X72" s="248" t="n">
        <v>155.0</v>
      </c>
      <c r="Y72" s="248" t="n">
        <v>0.0</v>
      </c>
      <c r="Z72" s="248" t="n">
        <v>0.0</v>
      </c>
      <c r="AA72" s="248" t="n">
        <v>155.0</v>
      </c>
      <c r="AB72" s="248" t="n">
        <v>23.0</v>
      </c>
      <c r="AC72" s="248" t="n">
        <v>35.65</v>
      </c>
      <c r="AD72" s="248" t="n">
        <v>6.41</v>
      </c>
      <c r="AE72" s="248" t="n">
        <v>40.0</v>
      </c>
      <c r="AF72" s="248" t="n">
        <v>0.0</v>
      </c>
      <c r="AG72" s="248" t="n">
        <v>29.15</v>
      </c>
      <c r="AH72" s="248" t="n">
        <v>2.99</v>
      </c>
      <c r="AI72" s="248" t="n">
        <v>49.49</v>
      </c>
      <c r="AJ72" s="248" t="n">
        <v>8.91</v>
      </c>
      <c r="AK72" s="248" t="n">
        <v>0.0</v>
      </c>
      <c r="AL72" s="248" t="n">
        <v>155.0</v>
      </c>
      <c r="AM72" s="248" t="n">
        <v>0.0</v>
      </c>
      <c r="AN72" s="248" t="n">
        <v>0.0</v>
      </c>
      <c r="AO72" s="248" t="n">
        <v>0.16</v>
      </c>
      <c r="AP72" s="248" t="n">
        <v>7.75</v>
      </c>
      <c r="AQ72" s="248" t="n">
        <v>0.0</v>
      </c>
      <c r="AR72" s="248" t="n">
        <v>16.82</v>
      </c>
      <c r="AS72" s="248" t="n">
        <v>0.0</v>
      </c>
      <c r="AT72" s="248" t="n">
        <v>0.0</v>
      </c>
      <c r="AU72" s="248" t="n">
        <v>0.0</v>
      </c>
      <c r="AV72" s="248" t="n">
        <v>0.0</v>
      </c>
      <c r="AW72" s="248" t="n">
        <v>0.0</v>
      </c>
      <c r="AX72" s="248" t="n">
        <v>0.0</v>
      </c>
      <c r="AY72" s="248" t="n">
        <v>0.0</v>
      </c>
      <c r="AZ72" s="248" t="n">
        <v>0.0</v>
      </c>
      <c r="BA72" s="248" t="n">
        <v>0.0</v>
      </c>
      <c r="BB72" s="248" t="n">
        <v>66.31</v>
      </c>
      <c r="BC72" s="248" t="n">
        <v>0.0</v>
      </c>
      <c r="BD72" s="248" t="n">
        <v>96.44</v>
      </c>
      <c r="BE72" s="248" t="inlineStr">
        <is>
          <t>settled</t>
        </is>
      </c>
      <c r="BF72" s="248" t="inlineStr">
        <is>
          <t>2025-12-17 05:30:00</t>
        </is>
      </c>
      <c r="BG72" s="248" t="inlineStr">
        <is>
          <t>CITIN25671235852</t>
        </is>
      </c>
      <c r="BH72" s="248" t="n">
        <v>0.0</v>
      </c>
      <c r="BI72" s="248" t="inlineStr">
        <is>
          <t>ca79aa9c8ade267124b9a9acee359f2f4a93ff97351b0c8a8a672f8f3cd8e5ba</t>
        </is>
      </c>
    </row>
    <row r="73">
      <c r="A73" s="248" t="inlineStr">
        <is>
          <t>65</t>
        </is>
      </c>
      <c r="B73" s="248" t="inlineStr">
        <is>
          <t>7571961781</t>
        </is>
      </c>
      <c r="C73" s="248" t="inlineStr">
        <is>
          <t>2025-12-12 17:23:02</t>
        </is>
      </c>
      <c r="D73" s="248" t="inlineStr">
        <is>
          <t>50</t>
        </is>
      </c>
      <c r="E73" s="248" t="inlineStr">
        <is>
          <t>Bawarchi Baba- By Posh Foods</t>
        </is>
      </c>
      <c r="F73" s="248" t="inlineStr">
        <is>
          <t>20415473</t>
        </is>
      </c>
      <c r="G73" s="248" t="inlineStr">
        <is>
          <t>NA</t>
        </is>
      </c>
      <c r="H73" s="248" t="inlineStr">
        <is>
          <t>ONLINE</t>
        </is>
      </c>
      <c r="I73" s="248" t="inlineStr">
        <is>
          <t>DELIVERED</t>
        </is>
      </c>
      <c r="J73" s="248" t="inlineStr">
        <is>
          <t>NA</t>
        </is>
      </c>
      <c r="K73" s="248" t="inlineStr">
        <is>
          <t>NA</t>
        </is>
      </c>
      <c r="L73" s="248" t="inlineStr">
        <is>
          <t>NA</t>
        </is>
      </c>
      <c r="M73" s="248" t="inlineStr">
        <is>
          <t>O2</t>
        </is>
      </c>
      <c r="N73" s="248" t="inlineStr">
        <is>
          <t>9</t>
        </is>
      </c>
      <c r="O73" s="248" t="n">
        <v>315.0</v>
      </c>
      <c r="P73" s="248" t="n">
        <v>0.0</v>
      </c>
      <c r="Q73" s="248" t="n">
        <v>0.0</v>
      </c>
      <c r="R73" s="248" t="n">
        <v>0.0</v>
      </c>
      <c r="S73" s="248" t="n">
        <v>0.0</v>
      </c>
      <c r="T73" s="248" t="n">
        <v>0.0</v>
      </c>
      <c r="U73" s="248" t="n">
        <v>0.0</v>
      </c>
      <c r="V73" s="248" t="n">
        <v>15.75</v>
      </c>
      <c r="W73" s="248" t="n">
        <v>330.75</v>
      </c>
      <c r="X73" s="248" t="n">
        <v>315.0</v>
      </c>
      <c r="Y73" s="248" t="n">
        <v>0.0</v>
      </c>
      <c r="Z73" s="248" t="n">
        <v>0.0</v>
      </c>
      <c r="AA73" s="248" t="n">
        <v>315.0</v>
      </c>
      <c r="AB73" s="248" t="n">
        <v>23.0</v>
      </c>
      <c r="AC73" s="248" t="n">
        <v>72.45</v>
      </c>
      <c r="AD73" s="248" t="n">
        <v>4.89</v>
      </c>
      <c r="AE73" s="248" t="n">
        <v>20.0</v>
      </c>
      <c r="AF73" s="248" t="n">
        <v>0.0</v>
      </c>
      <c r="AG73" s="248" t="n">
        <v>0.0</v>
      </c>
      <c r="AH73" s="248" t="n">
        <v>6.09</v>
      </c>
      <c r="AI73" s="248" t="n">
        <v>98.54</v>
      </c>
      <c r="AJ73" s="248" t="n">
        <v>17.74</v>
      </c>
      <c r="AK73" s="248" t="n">
        <v>0.0</v>
      </c>
      <c r="AL73" s="248" t="n">
        <v>315.0</v>
      </c>
      <c r="AM73" s="248" t="n">
        <v>0.0</v>
      </c>
      <c r="AN73" s="248" t="n">
        <v>0.0</v>
      </c>
      <c r="AO73" s="248" t="n">
        <v>0.32</v>
      </c>
      <c r="AP73" s="248" t="n">
        <v>15.75</v>
      </c>
      <c r="AQ73" s="248" t="n">
        <v>0.0</v>
      </c>
      <c r="AR73" s="248" t="n">
        <v>33.81</v>
      </c>
      <c r="AS73" s="248" t="n">
        <v>0.0</v>
      </c>
      <c r="AT73" s="248" t="n">
        <v>0.0</v>
      </c>
      <c r="AU73" s="248" t="n">
        <v>0.0</v>
      </c>
      <c r="AV73" s="248" t="n">
        <v>0.0</v>
      </c>
      <c r="AW73" s="248" t="n">
        <v>0.0</v>
      </c>
      <c r="AX73" s="248" t="n">
        <v>0.0</v>
      </c>
      <c r="AY73" s="248" t="n">
        <v>0.0</v>
      </c>
      <c r="AZ73" s="248" t="n">
        <v>0.0</v>
      </c>
      <c r="BA73" s="248" t="n">
        <v>0.0</v>
      </c>
      <c r="BB73" s="248" t="n">
        <v>132.35</v>
      </c>
      <c r="BC73" s="248" t="n">
        <v>0.0</v>
      </c>
      <c r="BD73" s="248" t="n">
        <v>198.4</v>
      </c>
      <c r="BE73" s="248" t="inlineStr">
        <is>
          <t>settled</t>
        </is>
      </c>
      <c r="BF73" s="248" t="inlineStr">
        <is>
          <t>2025-12-17 05:30:00</t>
        </is>
      </c>
      <c r="BG73" s="248" t="inlineStr">
        <is>
          <t>CITIN25671235852</t>
        </is>
      </c>
      <c r="BH73" s="248" t="n">
        <v>0.0</v>
      </c>
      <c r="BI73" s="248" t="inlineStr">
        <is>
          <t>7829946aee38943b6e1ca4c1bce1ed171d5f0c212a01165cabd732bdf6f98b31</t>
        </is>
      </c>
    </row>
    <row r="74">
      <c r="A74" s="248" t="inlineStr">
        <is>
          <t>66</t>
        </is>
      </c>
      <c r="B74" s="248" t="inlineStr">
        <is>
          <t>7573238568</t>
        </is>
      </c>
      <c r="C74" s="248" t="inlineStr">
        <is>
          <t>2025-12-12 20:04:43</t>
        </is>
      </c>
      <c r="D74" s="248" t="inlineStr">
        <is>
          <t>50</t>
        </is>
      </c>
      <c r="E74" s="248" t="inlineStr">
        <is>
          <t>Bawarchi Baba- By Posh Foods</t>
        </is>
      </c>
      <c r="F74" s="248" t="inlineStr">
        <is>
          <t>20415473</t>
        </is>
      </c>
      <c r="G74" s="248" t="inlineStr">
        <is>
          <t>NA</t>
        </is>
      </c>
      <c r="H74" s="248" t="inlineStr">
        <is>
          <t>ONLINE</t>
        </is>
      </c>
      <c r="I74" s="248" t="inlineStr">
        <is>
          <t>DELIVERED</t>
        </is>
      </c>
      <c r="J74" s="248" t="inlineStr">
        <is>
          <t>NA</t>
        </is>
      </c>
      <c r="K74" s="248" t="inlineStr">
        <is>
          <t>NA</t>
        </is>
      </c>
      <c r="L74" s="248" t="inlineStr">
        <is>
          <t>NA</t>
        </is>
      </c>
      <c r="M74" s="248" t="inlineStr">
        <is>
          <t>O2</t>
        </is>
      </c>
      <c r="N74" s="248" t="inlineStr">
        <is>
          <t>9</t>
        </is>
      </c>
      <c r="O74" s="248" t="n">
        <v>1275.0</v>
      </c>
      <c r="P74" s="248" t="n">
        <v>0.0</v>
      </c>
      <c r="Q74" s="248" t="n">
        <v>0.0</v>
      </c>
      <c r="R74" s="248" t="n">
        <v>0.0</v>
      </c>
      <c r="S74" s="248" t="n">
        <v>127.5</v>
      </c>
      <c r="T74" s="248" t="n">
        <v>0.0</v>
      </c>
      <c r="U74" s="248" t="n">
        <v>0.0</v>
      </c>
      <c r="V74" s="248" t="n">
        <v>57.38</v>
      </c>
      <c r="W74" s="248" t="n">
        <v>1204.88</v>
      </c>
      <c r="X74" s="248" t="n">
        <v>1147.5</v>
      </c>
      <c r="Y74" s="248" t="n">
        <v>0.0</v>
      </c>
      <c r="Z74" s="248" t="n">
        <v>0.0</v>
      </c>
      <c r="AA74" s="248" t="n">
        <v>1147.5</v>
      </c>
      <c r="AB74" s="248" t="n">
        <v>23.0</v>
      </c>
      <c r="AC74" s="248" t="n">
        <v>263.92</v>
      </c>
      <c r="AD74" s="248" t="n">
        <v>7.4</v>
      </c>
      <c r="AE74" s="248" t="n">
        <v>40.0</v>
      </c>
      <c r="AF74" s="248" t="n">
        <v>0.0</v>
      </c>
      <c r="AG74" s="248" t="n">
        <v>0.0</v>
      </c>
      <c r="AH74" s="248" t="n">
        <v>22.17</v>
      </c>
      <c r="AI74" s="248" t="n">
        <v>326.09</v>
      </c>
      <c r="AJ74" s="248" t="n">
        <v>58.7</v>
      </c>
      <c r="AK74" s="248" t="n">
        <v>0.0</v>
      </c>
      <c r="AL74" s="248" t="n">
        <v>1147.5</v>
      </c>
      <c r="AM74" s="248" t="n">
        <v>0.0</v>
      </c>
      <c r="AN74" s="248" t="n">
        <v>0.0</v>
      </c>
      <c r="AO74" s="248" t="n">
        <v>1.15</v>
      </c>
      <c r="AP74" s="248" t="n">
        <v>57.38</v>
      </c>
      <c r="AQ74" s="248" t="n">
        <v>0.0</v>
      </c>
      <c r="AR74" s="248" t="n">
        <v>117.23</v>
      </c>
      <c r="AS74" s="248" t="n">
        <v>0.0</v>
      </c>
      <c r="AT74" s="248" t="n">
        <v>0.0</v>
      </c>
      <c r="AU74" s="248" t="n">
        <v>0.0</v>
      </c>
      <c r="AV74" s="248" t="n">
        <v>0.0</v>
      </c>
      <c r="AW74" s="248" t="n">
        <v>0.0</v>
      </c>
      <c r="AX74" s="248" t="n">
        <v>0.0</v>
      </c>
      <c r="AY74" s="248" t="n">
        <v>0.0</v>
      </c>
      <c r="AZ74" s="248" t="n">
        <v>0.0</v>
      </c>
      <c r="BA74" s="248" t="n">
        <v>0.0</v>
      </c>
      <c r="BB74" s="248" t="n">
        <v>443.32</v>
      </c>
      <c r="BC74" s="248" t="n">
        <v>0.0</v>
      </c>
      <c r="BD74" s="248" t="n">
        <v>761.56</v>
      </c>
      <c r="BE74" s="248" t="inlineStr">
        <is>
          <t>settled</t>
        </is>
      </c>
      <c r="BF74" s="248" t="inlineStr">
        <is>
          <t>2025-12-17 05:30:00</t>
        </is>
      </c>
      <c r="BG74" s="248" t="inlineStr">
        <is>
          <t>CITIN25671235852</t>
        </is>
      </c>
      <c r="BH74" s="248" t="n">
        <v>0.0</v>
      </c>
      <c r="BI74" s="248" t="inlineStr">
        <is>
          <t>15e52119d79ee77706e460b77cb45b9281f41584b40b75c2232975f72d087a4e</t>
        </is>
      </c>
    </row>
    <row r="75">
      <c r="A75" s="248" t="inlineStr">
        <is>
          <t>67</t>
        </is>
      </c>
      <c r="B75" s="248" t="inlineStr">
        <is>
          <t>7565281008</t>
        </is>
      </c>
      <c r="C75" s="248" t="inlineStr">
        <is>
          <t>2025-12-12 20:37:15</t>
        </is>
      </c>
      <c r="D75" s="248" t="inlineStr">
        <is>
          <t>50</t>
        </is>
      </c>
      <c r="E75" s="248" t="inlineStr">
        <is>
          <t>Bawarchi Baba- By Posh Foods</t>
        </is>
      </c>
      <c r="F75" s="248" t="inlineStr">
        <is>
          <t>20415473</t>
        </is>
      </c>
      <c r="G75" s="248" t="inlineStr">
        <is>
          <t>NA</t>
        </is>
      </c>
      <c r="H75" s="248" t="inlineStr">
        <is>
          <t>ONLINE</t>
        </is>
      </c>
      <c r="I75" s="248" t="inlineStr">
        <is>
          <t>DELIVERED</t>
        </is>
      </c>
      <c r="J75" s="248" t="inlineStr">
        <is>
          <t>NA</t>
        </is>
      </c>
      <c r="K75" s="248" t="inlineStr">
        <is>
          <t>NA</t>
        </is>
      </c>
      <c r="L75" s="248" t="inlineStr">
        <is>
          <t>NA</t>
        </is>
      </c>
      <c r="M75" s="248" t="inlineStr">
        <is>
          <t>O2</t>
        </is>
      </c>
      <c r="N75" s="248" t="inlineStr">
        <is>
          <t>9</t>
        </is>
      </c>
      <c r="O75" s="248" t="n">
        <v>518.0</v>
      </c>
      <c r="P75" s="248" t="n">
        <v>0.0</v>
      </c>
      <c r="Q75" s="248" t="n">
        <v>0.0</v>
      </c>
      <c r="R75" s="248" t="n">
        <v>0.0</v>
      </c>
      <c r="S75" s="248" t="n">
        <v>51.8</v>
      </c>
      <c r="T75" s="248" t="n">
        <v>0.0</v>
      </c>
      <c r="U75" s="248" t="n">
        <v>0.0</v>
      </c>
      <c r="V75" s="248" t="n">
        <v>23.31</v>
      </c>
      <c r="W75" s="248" t="n">
        <v>489.51</v>
      </c>
      <c r="X75" s="248" t="n">
        <v>466.2</v>
      </c>
      <c r="Y75" s="248" t="n">
        <v>0.0</v>
      </c>
      <c r="Z75" s="248" t="n">
        <v>0.0</v>
      </c>
      <c r="AA75" s="248" t="n">
        <v>466.2</v>
      </c>
      <c r="AB75" s="248" t="n">
        <v>23.0</v>
      </c>
      <c r="AC75" s="248" t="n">
        <v>107.23</v>
      </c>
      <c r="AD75" s="248" t="n">
        <v>1.74</v>
      </c>
      <c r="AE75" s="248" t="n">
        <v>0.0</v>
      </c>
      <c r="AF75" s="248" t="n">
        <v>0.0</v>
      </c>
      <c r="AG75" s="248" t="n">
        <v>0.0</v>
      </c>
      <c r="AH75" s="248" t="n">
        <v>9.01</v>
      </c>
      <c r="AI75" s="248" t="n">
        <v>116.24</v>
      </c>
      <c r="AJ75" s="248" t="n">
        <v>20.92</v>
      </c>
      <c r="AK75" s="248" t="n">
        <v>0.0</v>
      </c>
      <c r="AL75" s="248" t="n">
        <v>466.2</v>
      </c>
      <c r="AM75" s="248" t="n">
        <v>0.0</v>
      </c>
      <c r="AN75" s="248" t="n">
        <v>0.0</v>
      </c>
      <c r="AO75" s="248" t="n">
        <v>0.47</v>
      </c>
      <c r="AP75" s="248" t="n">
        <v>23.31</v>
      </c>
      <c r="AQ75" s="248" t="n">
        <v>0.0</v>
      </c>
      <c r="AR75" s="248" t="n">
        <v>44.7</v>
      </c>
      <c r="AS75" s="248" t="n">
        <v>0.0</v>
      </c>
      <c r="AT75" s="248" t="n">
        <v>0.0</v>
      </c>
      <c r="AU75" s="248" t="n">
        <v>0.0</v>
      </c>
      <c r="AV75" s="248" t="n">
        <v>0.0</v>
      </c>
      <c r="AW75" s="248" t="n">
        <v>0.0</v>
      </c>
      <c r="AX75" s="248" t="n">
        <v>0.0</v>
      </c>
      <c r="AY75" s="248" t="n">
        <v>0.0</v>
      </c>
      <c r="AZ75" s="248" t="n">
        <v>0.0</v>
      </c>
      <c r="BA75" s="248" t="n">
        <v>0.0</v>
      </c>
      <c r="BB75" s="248" t="n">
        <v>160.94</v>
      </c>
      <c r="BC75" s="248" t="n">
        <v>0.0</v>
      </c>
      <c r="BD75" s="248" t="n">
        <v>328.57</v>
      </c>
      <c r="BE75" s="248" t="inlineStr">
        <is>
          <t>settled</t>
        </is>
      </c>
      <c r="BF75" s="248" t="inlineStr">
        <is>
          <t>2025-12-17 05:30:00</t>
        </is>
      </c>
      <c r="BG75" s="248" t="inlineStr">
        <is>
          <t>CITIN25671235852</t>
        </is>
      </c>
      <c r="BH75" s="248" t="n">
        <v>0.0</v>
      </c>
      <c r="BI75" s="248" t="inlineStr">
        <is>
          <t>c73f10ba00c18fc3f76f31fee3efcd1875d15acba2559c272fe7c7dfbadf46ee</t>
        </is>
      </c>
    </row>
    <row r="76">
      <c r="A76" s="248" t="inlineStr">
        <is>
          <t>68</t>
        </is>
      </c>
      <c r="B76" s="248" t="inlineStr">
        <is>
          <t>7575686939</t>
        </is>
      </c>
      <c r="C76" s="248" t="inlineStr">
        <is>
          <t>2025-12-12 20:41:35</t>
        </is>
      </c>
      <c r="D76" s="248" t="inlineStr">
        <is>
          <t>50</t>
        </is>
      </c>
      <c r="E76" s="248" t="inlineStr">
        <is>
          <t>Bawarchi Baba- By Posh Foods</t>
        </is>
      </c>
      <c r="F76" s="248" t="inlineStr">
        <is>
          <t>20415473</t>
        </is>
      </c>
      <c r="G76" s="248" t="inlineStr">
        <is>
          <t>NA</t>
        </is>
      </c>
      <c r="H76" s="248" t="inlineStr">
        <is>
          <t>ONLINE</t>
        </is>
      </c>
      <c r="I76" s="248" t="inlineStr">
        <is>
          <t>DELIVERED</t>
        </is>
      </c>
      <c r="J76" s="248" t="inlineStr">
        <is>
          <t>NA</t>
        </is>
      </c>
      <c r="K76" s="248" t="inlineStr">
        <is>
          <t>NA</t>
        </is>
      </c>
      <c r="L76" s="248" t="inlineStr">
        <is>
          <t>NA</t>
        </is>
      </c>
      <c r="M76" s="248" t="inlineStr">
        <is>
          <t>O2</t>
        </is>
      </c>
      <c r="N76" s="248" t="inlineStr">
        <is>
          <t>7</t>
        </is>
      </c>
      <c r="O76" s="248" t="n">
        <v>1120.0</v>
      </c>
      <c r="P76" s="248" t="n">
        <v>0.0</v>
      </c>
      <c r="Q76" s="248" t="n">
        <v>0.0</v>
      </c>
      <c r="R76" s="248" t="n">
        <v>0.0</v>
      </c>
      <c r="S76" s="248" t="n">
        <v>112.0</v>
      </c>
      <c r="T76" s="248" t="n">
        <v>0.0</v>
      </c>
      <c r="U76" s="248" t="n">
        <v>0.0</v>
      </c>
      <c r="V76" s="248" t="n">
        <v>50.4</v>
      </c>
      <c r="W76" s="248" t="n">
        <v>1058.4</v>
      </c>
      <c r="X76" s="248" t="n">
        <v>1008.0</v>
      </c>
      <c r="Y76" s="248" t="n">
        <v>0.0</v>
      </c>
      <c r="Z76" s="248" t="n">
        <v>0.0</v>
      </c>
      <c r="AA76" s="248" t="n">
        <v>1008.0</v>
      </c>
      <c r="AB76" s="248" t="n">
        <v>23.0</v>
      </c>
      <c r="AC76" s="248" t="n">
        <v>231.84</v>
      </c>
      <c r="AD76" s="248" t="n">
        <v>6.21</v>
      </c>
      <c r="AE76" s="248" t="n">
        <v>40.0</v>
      </c>
      <c r="AF76" s="248" t="n">
        <v>0.0</v>
      </c>
      <c r="AG76" s="248" t="n">
        <v>0.0</v>
      </c>
      <c r="AH76" s="248" t="n">
        <v>19.47</v>
      </c>
      <c r="AI76" s="248" t="n">
        <v>291.31</v>
      </c>
      <c r="AJ76" s="248" t="n">
        <v>52.43</v>
      </c>
      <c r="AK76" s="248" t="n">
        <v>0.0</v>
      </c>
      <c r="AL76" s="248" t="n">
        <v>1008.0</v>
      </c>
      <c r="AM76" s="248" t="n">
        <v>0.0</v>
      </c>
      <c r="AN76" s="248" t="n">
        <v>0.0</v>
      </c>
      <c r="AO76" s="248" t="n">
        <v>1.01</v>
      </c>
      <c r="AP76" s="248" t="n">
        <v>50.4</v>
      </c>
      <c r="AQ76" s="248" t="n">
        <v>0.0</v>
      </c>
      <c r="AR76" s="248" t="n">
        <v>103.84</v>
      </c>
      <c r="AS76" s="248" t="n">
        <v>0.0</v>
      </c>
      <c r="AT76" s="248" t="n">
        <v>0.0</v>
      </c>
      <c r="AU76" s="248" t="n">
        <v>0.0</v>
      </c>
      <c r="AV76" s="248" t="n">
        <v>0.0</v>
      </c>
      <c r="AW76" s="248" t="n">
        <v>0.0</v>
      </c>
      <c r="AX76" s="248" t="n">
        <v>0.0</v>
      </c>
      <c r="AY76" s="248" t="n">
        <v>0.0</v>
      </c>
      <c r="AZ76" s="248" t="n">
        <v>0.0</v>
      </c>
      <c r="BA76" s="248" t="n">
        <v>0.0</v>
      </c>
      <c r="BB76" s="248" t="n">
        <v>395.15</v>
      </c>
      <c r="BC76" s="248" t="n">
        <v>0.0</v>
      </c>
      <c r="BD76" s="248" t="n">
        <v>663.25</v>
      </c>
      <c r="BE76" s="248" t="inlineStr">
        <is>
          <t>settled</t>
        </is>
      </c>
      <c r="BF76" s="248" t="inlineStr">
        <is>
          <t>2025-12-17 05:30:00</t>
        </is>
      </c>
      <c r="BG76" s="248" t="inlineStr">
        <is>
          <t>CITIN25671235852</t>
        </is>
      </c>
      <c r="BH76" s="248" t="n">
        <v>0.0</v>
      </c>
      <c r="BI76" s="248" t="inlineStr">
        <is>
          <t>e3c41644eb515432daea42e18ef5c14e23402df9792e33a38290f61beac16f80</t>
        </is>
      </c>
    </row>
    <row r="77">
      <c r="A77" s="248" t="inlineStr">
        <is>
          <t>69</t>
        </is>
      </c>
      <c r="B77" s="248" t="inlineStr">
        <is>
          <t>7575548445</t>
        </is>
      </c>
      <c r="C77" s="248" t="inlineStr">
        <is>
          <t>2025-12-12 21:05:45</t>
        </is>
      </c>
      <c r="D77" s="248" t="inlineStr">
        <is>
          <t>50</t>
        </is>
      </c>
      <c r="E77" s="248" t="inlineStr">
        <is>
          <t>Bawarchi Baba- By Posh Foods</t>
        </is>
      </c>
      <c r="F77" s="248" t="inlineStr">
        <is>
          <t>20415473</t>
        </is>
      </c>
      <c r="G77" s="248" t="inlineStr">
        <is>
          <t>NA</t>
        </is>
      </c>
      <c r="H77" s="248" t="inlineStr">
        <is>
          <t>ONLINE</t>
        </is>
      </c>
      <c r="I77" s="248" t="inlineStr">
        <is>
          <t>DELIVERED</t>
        </is>
      </c>
      <c r="J77" s="248" t="inlineStr">
        <is>
          <t>NA</t>
        </is>
      </c>
      <c r="K77" s="248" t="inlineStr">
        <is>
          <t>NA</t>
        </is>
      </c>
      <c r="L77" s="248" t="inlineStr">
        <is>
          <t>NA</t>
        </is>
      </c>
      <c r="M77" s="248" t="inlineStr">
        <is>
          <t>O2</t>
        </is>
      </c>
      <c r="N77" s="248" t="inlineStr">
        <is>
          <t>9</t>
        </is>
      </c>
      <c r="O77" s="248" t="n">
        <v>1083.0</v>
      </c>
      <c r="P77" s="248" t="n">
        <v>0.0</v>
      </c>
      <c r="Q77" s="248" t="n">
        <v>0.0</v>
      </c>
      <c r="R77" s="248" t="n">
        <v>0.0</v>
      </c>
      <c r="S77" s="248" t="n">
        <v>108.3</v>
      </c>
      <c r="T77" s="248" t="n">
        <v>0.0</v>
      </c>
      <c r="U77" s="248" t="n">
        <v>0.0</v>
      </c>
      <c r="V77" s="248" t="n">
        <v>48.74</v>
      </c>
      <c r="W77" s="248" t="n">
        <v>1023.44</v>
      </c>
      <c r="X77" s="248" t="n">
        <v>974.7</v>
      </c>
      <c r="Y77" s="248" t="n">
        <v>0.0</v>
      </c>
      <c r="Z77" s="248" t="n">
        <v>0.0</v>
      </c>
      <c r="AA77" s="248" t="n">
        <v>974.7</v>
      </c>
      <c r="AB77" s="248" t="n">
        <v>23.0</v>
      </c>
      <c r="AC77" s="248" t="n">
        <v>224.18</v>
      </c>
      <c r="AD77" s="248" t="n">
        <v>7.16</v>
      </c>
      <c r="AE77" s="248" t="n">
        <v>40.0</v>
      </c>
      <c r="AF77" s="248" t="n">
        <v>0.0</v>
      </c>
      <c r="AG77" s="248" t="n">
        <v>0.0</v>
      </c>
      <c r="AH77" s="248" t="n">
        <v>18.83</v>
      </c>
      <c r="AI77" s="248" t="n">
        <v>283.01</v>
      </c>
      <c r="AJ77" s="248" t="n">
        <v>50.94</v>
      </c>
      <c r="AK77" s="248" t="n">
        <v>0.0</v>
      </c>
      <c r="AL77" s="248" t="n">
        <v>974.7</v>
      </c>
      <c r="AM77" s="248" t="n">
        <v>0.0</v>
      </c>
      <c r="AN77" s="248" t="n">
        <v>0.0</v>
      </c>
      <c r="AO77" s="248" t="n">
        <v>0.97</v>
      </c>
      <c r="AP77" s="248" t="n">
        <v>48.74</v>
      </c>
      <c r="AQ77" s="248" t="n">
        <v>0.0</v>
      </c>
      <c r="AR77" s="248" t="n">
        <v>100.65</v>
      </c>
      <c r="AS77" s="248" t="n">
        <v>0.0</v>
      </c>
      <c r="AT77" s="248" t="n">
        <v>0.0</v>
      </c>
      <c r="AU77" s="248" t="n">
        <v>0.0</v>
      </c>
      <c r="AV77" s="248" t="n">
        <v>0.0</v>
      </c>
      <c r="AW77" s="248" t="n">
        <v>0.0</v>
      </c>
      <c r="AX77" s="248" t="n">
        <v>0.0</v>
      </c>
      <c r="AY77" s="248" t="n">
        <v>0.0</v>
      </c>
      <c r="AZ77" s="248" t="n">
        <v>0.0</v>
      </c>
      <c r="BA77" s="248" t="n">
        <v>0.0</v>
      </c>
      <c r="BB77" s="248" t="n">
        <v>383.66</v>
      </c>
      <c r="BC77" s="248" t="n">
        <v>0.0</v>
      </c>
      <c r="BD77" s="248" t="n">
        <v>639.78</v>
      </c>
      <c r="BE77" s="248" t="inlineStr">
        <is>
          <t>settled</t>
        </is>
      </c>
      <c r="BF77" s="248" t="inlineStr">
        <is>
          <t>2025-12-17 05:30:00</t>
        </is>
      </c>
      <c r="BG77" s="248" t="inlineStr">
        <is>
          <t>CITIN25671235852</t>
        </is>
      </c>
      <c r="BH77" s="248" t="n">
        <v>0.0</v>
      </c>
      <c r="BI77" s="248" t="inlineStr">
        <is>
          <t>f08b7be3a22c1e517e495850bf048f27565ca5ad39d489205307ccebe9867bce</t>
        </is>
      </c>
    </row>
    <row r="78">
      <c r="A78" s="248" t="inlineStr">
        <is>
          <t>70</t>
        </is>
      </c>
      <c r="B78" s="248" t="inlineStr">
        <is>
          <t>7575906638</t>
        </is>
      </c>
      <c r="C78" s="248" t="inlineStr">
        <is>
          <t>2025-12-12 21:32:04</t>
        </is>
      </c>
      <c r="D78" s="248" t="inlineStr">
        <is>
          <t>50</t>
        </is>
      </c>
      <c r="E78" s="248" t="inlineStr">
        <is>
          <t>Bawarchi Baba- By Posh Foods</t>
        </is>
      </c>
      <c r="F78" s="248" t="inlineStr">
        <is>
          <t>20415473</t>
        </is>
      </c>
      <c r="G78" s="248" t="inlineStr">
        <is>
          <t>NA</t>
        </is>
      </c>
      <c r="H78" s="248" t="inlineStr">
        <is>
          <t>ONLINE</t>
        </is>
      </c>
      <c r="I78" s="248" t="inlineStr">
        <is>
          <t>DELIVERED</t>
        </is>
      </c>
      <c r="J78" s="248" t="inlineStr">
        <is>
          <t>NA</t>
        </is>
      </c>
      <c r="K78" s="248" t="inlineStr">
        <is>
          <t>NA</t>
        </is>
      </c>
      <c r="L78" s="248" t="inlineStr">
        <is>
          <t>NA</t>
        </is>
      </c>
      <c r="M78" s="248" t="inlineStr">
        <is>
          <t>O2</t>
        </is>
      </c>
      <c r="N78" s="248" t="inlineStr">
        <is>
          <t>9</t>
        </is>
      </c>
      <c r="O78" s="248" t="n">
        <v>530.0</v>
      </c>
      <c r="P78" s="248" t="n">
        <v>0.0</v>
      </c>
      <c r="Q78" s="248" t="n">
        <v>0.0</v>
      </c>
      <c r="R78" s="248" t="n">
        <v>0.0</v>
      </c>
      <c r="S78" s="248" t="n">
        <v>53.0</v>
      </c>
      <c r="T78" s="248" t="n">
        <v>0.0</v>
      </c>
      <c r="U78" s="248" t="n">
        <v>0.0</v>
      </c>
      <c r="V78" s="248" t="n">
        <v>23.85</v>
      </c>
      <c r="W78" s="248" t="n">
        <v>500.85</v>
      </c>
      <c r="X78" s="248" t="n">
        <v>477.0</v>
      </c>
      <c r="Y78" s="248" t="n">
        <v>0.0</v>
      </c>
      <c r="Z78" s="248" t="n">
        <v>0.0</v>
      </c>
      <c r="AA78" s="248" t="n">
        <v>477.0</v>
      </c>
      <c r="AB78" s="248" t="n">
        <v>23.0</v>
      </c>
      <c r="AC78" s="248" t="n">
        <v>109.71</v>
      </c>
      <c r="AD78" s="248" t="n">
        <v>3.89</v>
      </c>
      <c r="AE78" s="248" t="n">
        <v>0.0</v>
      </c>
      <c r="AF78" s="248" t="n">
        <v>0.0</v>
      </c>
      <c r="AG78" s="248" t="n">
        <v>0.0</v>
      </c>
      <c r="AH78" s="248" t="n">
        <v>9.22</v>
      </c>
      <c r="AI78" s="248" t="n">
        <v>118.93</v>
      </c>
      <c r="AJ78" s="248" t="n">
        <v>21.41</v>
      </c>
      <c r="AK78" s="248" t="n">
        <v>0.0</v>
      </c>
      <c r="AL78" s="248" t="n">
        <v>477.0</v>
      </c>
      <c r="AM78" s="248" t="n">
        <v>0.0</v>
      </c>
      <c r="AN78" s="248" t="n">
        <v>0.0</v>
      </c>
      <c r="AO78" s="248" t="n">
        <v>0.48</v>
      </c>
      <c r="AP78" s="248" t="n">
        <v>23.85</v>
      </c>
      <c r="AQ78" s="248" t="n">
        <v>0.0</v>
      </c>
      <c r="AR78" s="248" t="n">
        <v>45.74</v>
      </c>
      <c r="AS78" s="248" t="n">
        <v>0.0</v>
      </c>
      <c r="AT78" s="248" t="n">
        <v>0.0</v>
      </c>
      <c r="AU78" s="248" t="n">
        <v>0.0</v>
      </c>
      <c r="AV78" s="248" t="n">
        <v>0.0</v>
      </c>
      <c r="AW78" s="248" t="n">
        <v>0.0</v>
      </c>
      <c r="AX78" s="248" t="n">
        <v>0.0</v>
      </c>
      <c r="AY78" s="248" t="n">
        <v>0.0</v>
      </c>
      <c r="AZ78" s="248" t="n">
        <v>0.0</v>
      </c>
      <c r="BA78" s="248" t="n">
        <v>0.0</v>
      </c>
      <c r="BB78" s="248" t="n">
        <v>164.67</v>
      </c>
      <c r="BC78" s="248" t="n">
        <v>0.0</v>
      </c>
      <c r="BD78" s="248" t="n">
        <v>336.18</v>
      </c>
      <c r="BE78" s="248" t="inlineStr">
        <is>
          <t>settled</t>
        </is>
      </c>
      <c r="BF78" s="248" t="inlineStr">
        <is>
          <t>2025-12-17 05:30:00</t>
        </is>
      </c>
      <c r="BG78" s="248" t="inlineStr">
        <is>
          <t>CITIN25671235852</t>
        </is>
      </c>
      <c r="BH78" s="248" t="n">
        <v>0.0</v>
      </c>
      <c r="BI78" s="248" t="inlineStr">
        <is>
          <t>34d1698599684e82751830b727c083bf244ff8ab60cde10456fb52074c473092</t>
        </is>
      </c>
    </row>
    <row r="79">
      <c r="A79" s="248" t="inlineStr">
        <is>
          <t>71</t>
        </is>
      </c>
      <c r="B79" s="248" t="inlineStr">
        <is>
          <t>7573975915</t>
        </is>
      </c>
      <c r="C79" s="248" t="inlineStr">
        <is>
          <t>2025-12-12 21:52:36</t>
        </is>
      </c>
      <c r="D79" s="248" t="inlineStr">
        <is>
          <t>50</t>
        </is>
      </c>
      <c r="E79" s="248" t="inlineStr">
        <is>
          <t>Bawarchi Baba- By Posh Foods</t>
        </is>
      </c>
      <c r="F79" s="248" t="inlineStr">
        <is>
          <t>20415473</t>
        </is>
      </c>
      <c r="G79" s="248" t="inlineStr">
        <is>
          <t>NA</t>
        </is>
      </c>
      <c r="H79" s="248" t="inlineStr">
        <is>
          <t>ONLINE</t>
        </is>
      </c>
      <c r="I79" s="248" t="inlineStr">
        <is>
          <t>DELIVERED</t>
        </is>
      </c>
      <c r="J79" s="248" t="inlineStr">
        <is>
          <t>NA</t>
        </is>
      </c>
      <c r="K79" s="248" t="inlineStr">
        <is>
          <t>NA</t>
        </is>
      </c>
      <c r="L79" s="248" t="inlineStr">
        <is>
          <t>NA</t>
        </is>
      </c>
      <c r="M79" s="248" t="inlineStr">
        <is>
          <t>O2</t>
        </is>
      </c>
      <c r="N79" s="248" t="inlineStr">
        <is>
          <t>9</t>
        </is>
      </c>
      <c r="O79" s="248" t="n">
        <v>125.0</v>
      </c>
      <c r="P79" s="248" t="n">
        <v>0.0</v>
      </c>
      <c r="Q79" s="248" t="n">
        <v>0.0</v>
      </c>
      <c r="R79" s="248" t="n">
        <v>0.0</v>
      </c>
      <c r="S79" s="248" t="n">
        <v>12.5</v>
      </c>
      <c r="T79" s="248" t="n">
        <v>0.0</v>
      </c>
      <c r="U79" s="248" t="n">
        <v>0.0</v>
      </c>
      <c r="V79" s="248" t="n">
        <v>5.63</v>
      </c>
      <c r="W79" s="248" t="n">
        <v>118.13</v>
      </c>
      <c r="X79" s="248" t="n">
        <v>112.5</v>
      </c>
      <c r="Y79" s="248" t="n">
        <v>0.0</v>
      </c>
      <c r="Z79" s="248" t="n">
        <v>0.0</v>
      </c>
      <c r="AA79" s="248" t="n">
        <v>112.5</v>
      </c>
      <c r="AB79" s="248" t="n">
        <v>23.0</v>
      </c>
      <c r="AC79" s="248" t="n">
        <v>25.88</v>
      </c>
      <c r="AD79" s="248" t="n">
        <v>1.38</v>
      </c>
      <c r="AE79" s="248" t="n">
        <v>0.0</v>
      </c>
      <c r="AF79" s="248" t="n">
        <v>0.0</v>
      </c>
      <c r="AG79" s="248" t="n">
        <v>0.0</v>
      </c>
      <c r="AH79" s="248" t="n">
        <v>2.17</v>
      </c>
      <c r="AI79" s="248" t="n">
        <v>28.05</v>
      </c>
      <c r="AJ79" s="248" t="n">
        <v>5.05</v>
      </c>
      <c r="AK79" s="248" t="n">
        <v>0.0</v>
      </c>
      <c r="AL79" s="248" t="n">
        <v>112.5</v>
      </c>
      <c r="AM79" s="248" t="n">
        <v>0.0</v>
      </c>
      <c r="AN79" s="248" t="n">
        <v>0.0</v>
      </c>
      <c r="AO79" s="248" t="n">
        <v>0.11</v>
      </c>
      <c r="AP79" s="248" t="n">
        <v>5.63</v>
      </c>
      <c r="AQ79" s="248" t="n">
        <v>0.0</v>
      </c>
      <c r="AR79" s="248" t="n">
        <v>10.79</v>
      </c>
      <c r="AS79" s="248" t="n">
        <v>0.0</v>
      </c>
      <c r="AT79" s="248" t="n">
        <v>0.0</v>
      </c>
      <c r="AU79" s="248" t="n">
        <v>0.0</v>
      </c>
      <c r="AV79" s="248" t="n">
        <v>0.0</v>
      </c>
      <c r="AW79" s="248" t="n">
        <v>0.0</v>
      </c>
      <c r="AX79" s="248" t="n">
        <v>0.0</v>
      </c>
      <c r="AY79" s="248" t="n">
        <v>0.0</v>
      </c>
      <c r="AZ79" s="248" t="n">
        <v>0.0</v>
      </c>
      <c r="BA79" s="248" t="n">
        <v>0.0</v>
      </c>
      <c r="BB79" s="248" t="n">
        <v>38.84</v>
      </c>
      <c r="BC79" s="248" t="n">
        <v>0.0</v>
      </c>
      <c r="BD79" s="248" t="n">
        <v>79.29</v>
      </c>
      <c r="BE79" s="248" t="inlineStr">
        <is>
          <t>settled</t>
        </is>
      </c>
      <c r="BF79" s="248" t="inlineStr">
        <is>
          <t>2025-12-17 05:30:00</t>
        </is>
      </c>
      <c r="BG79" s="248" t="inlineStr">
        <is>
          <t>CITIN25671235852</t>
        </is>
      </c>
      <c r="BH79" s="248" t="n">
        <v>0.0</v>
      </c>
      <c r="BI79" s="248" t="inlineStr">
        <is>
          <t>aad496f2dcdea4eb1b3e42d7ec20fb6c80650e3c704113802cfc3b82d1999848</t>
        </is>
      </c>
    </row>
    <row r="80">
      <c r="A80" s="248" t="inlineStr">
        <is>
          <t>72</t>
        </is>
      </c>
      <c r="B80" s="248" t="inlineStr">
        <is>
          <t>7573183070</t>
        </is>
      </c>
      <c r="C80" s="248" t="inlineStr">
        <is>
          <t>2025-12-12 22:03:35</t>
        </is>
      </c>
      <c r="D80" s="248" t="inlineStr">
        <is>
          <t>50</t>
        </is>
      </c>
      <c r="E80" s="248" t="inlineStr">
        <is>
          <t>Bawarchi Baba- By Posh Foods</t>
        </is>
      </c>
      <c r="F80" s="248" t="inlineStr">
        <is>
          <t>20415473</t>
        </is>
      </c>
      <c r="G80" s="248" t="inlineStr">
        <is>
          <t>NA</t>
        </is>
      </c>
      <c r="H80" s="248" t="inlineStr">
        <is>
          <t>ONLINE</t>
        </is>
      </c>
      <c r="I80" s="248" t="inlineStr">
        <is>
          <t>DELIVERED</t>
        </is>
      </c>
      <c r="J80" s="248" t="inlineStr">
        <is>
          <t>NA</t>
        </is>
      </c>
      <c r="K80" s="248" t="inlineStr">
        <is>
          <t>NA</t>
        </is>
      </c>
      <c r="L80" s="248" t="inlineStr">
        <is>
          <t>NA</t>
        </is>
      </c>
      <c r="M80" s="248" t="inlineStr">
        <is>
          <t>O2</t>
        </is>
      </c>
      <c r="N80" s="248" t="inlineStr">
        <is>
          <t>9</t>
        </is>
      </c>
      <c r="O80" s="248" t="n">
        <v>115.0</v>
      </c>
      <c r="P80" s="248" t="n">
        <v>0.0</v>
      </c>
      <c r="Q80" s="248" t="n">
        <v>0.0</v>
      </c>
      <c r="R80" s="248" t="n">
        <v>0.0</v>
      </c>
      <c r="S80" s="248" t="n">
        <v>11.5</v>
      </c>
      <c r="T80" s="248" t="n">
        <v>0.0</v>
      </c>
      <c r="U80" s="248" t="n">
        <v>0.0</v>
      </c>
      <c r="V80" s="248" t="n">
        <v>5.18</v>
      </c>
      <c r="W80" s="248" t="n">
        <v>108.68</v>
      </c>
      <c r="X80" s="248" t="n">
        <v>103.5</v>
      </c>
      <c r="Y80" s="248" t="n">
        <v>0.0</v>
      </c>
      <c r="Z80" s="248" t="n">
        <v>0.0</v>
      </c>
      <c r="AA80" s="248" t="n">
        <v>103.5</v>
      </c>
      <c r="AB80" s="248" t="n">
        <v>23.0</v>
      </c>
      <c r="AC80" s="248" t="n">
        <v>23.8</v>
      </c>
      <c r="AD80" s="248" t="n">
        <v>3.17</v>
      </c>
      <c r="AE80" s="248" t="n">
        <v>0.0</v>
      </c>
      <c r="AF80" s="248" t="n">
        <v>0.0</v>
      </c>
      <c r="AG80" s="248" t="n">
        <v>0.0</v>
      </c>
      <c r="AH80" s="248" t="n">
        <v>2.0</v>
      </c>
      <c r="AI80" s="248" t="n">
        <v>25.8</v>
      </c>
      <c r="AJ80" s="248" t="n">
        <v>4.64</v>
      </c>
      <c r="AK80" s="248" t="n">
        <v>0.0</v>
      </c>
      <c r="AL80" s="248" t="n">
        <v>103.5</v>
      </c>
      <c r="AM80" s="248" t="n">
        <v>0.0</v>
      </c>
      <c r="AN80" s="248" t="n">
        <v>0.0</v>
      </c>
      <c r="AO80" s="248" t="n">
        <v>0.1</v>
      </c>
      <c r="AP80" s="248" t="n">
        <v>5.18</v>
      </c>
      <c r="AQ80" s="248" t="n">
        <v>0.0</v>
      </c>
      <c r="AR80" s="248" t="n">
        <v>9.92</v>
      </c>
      <c r="AS80" s="248" t="n">
        <v>0.0</v>
      </c>
      <c r="AT80" s="248" t="n">
        <v>0.0</v>
      </c>
      <c r="AU80" s="248" t="n">
        <v>0.0</v>
      </c>
      <c r="AV80" s="248" t="n">
        <v>0.0</v>
      </c>
      <c r="AW80" s="248" t="n">
        <v>0.0</v>
      </c>
      <c r="AX80" s="248" t="n">
        <v>0.0</v>
      </c>
      <c r="AY80" s="248" t="n">
        <v>0.0</v>
      </c>
      <c r="AZ80" s="248" t="n">
        <v>0.0</v>
      </c>
      <c r="BA80" s="248" t="n">
        <v>0.0</v>
      </c>
      <c r="BB80" s="248" t="n">
        <v>35.72</v>
      </c>
      <c r="BC80" s="248" t="n">
        <v>0.0</v>
      </c>
      <c r="BD80" s="248" t="n">
        <v>72.96</v>
      </c>
      <c r="BE80" s="248" t="inlineStr">
        <is>
          <t>settled</t>
        </is>
      </c>
      <c r="BF80" s="248" t="inlineStr">
        <is>
          <t>2025-12-17 05:30:00</t>
        </is>
      </c>
      <c r="BG80" s="248" t="inlineStr">
        <is>
          <t>CITIN25671235852</t>
        </is>
      </c>
      <c r="BH80" s="248" t="n">
        <v>0.0</v>
      </c>
      <c r="BI80" s="248" t="inlineStr">
        <is>
          <t>d4ac384bbc38f22034b473e02e6d13454f1e0865755b190b0e411580c949b26f</t>
        </is>
      </c>
    </row>
    <row r="81">
      <c r="A81" s="248" t="inlineStr">
        <is>
          <t>73</t>
        </is>
      </c>
      <c r="B81" s="248" t="inlineStr">
        <is>
          <t>7572707666</t>
        </is>
      </c>
      <c r="C81" s="248" t="inlineStr">
        <is>
          <t>2025-12-12 22:11:08</t>
        </is>
      </c>
      <c r="D81" s="248" t="inlineStr">
        <is>
          <t>50</t>
        </is>
      </c>
      <c r="E81" s="248" t="inlineStr">
        <is>
          <t>Bawarchi Baba- By Posh Foods</t>
        </is>
      </c>
      <c r="F81" s="248" t="inlineStr">
        <is>
          <t>20415473</t>
        </is>
      </c>
      <c r="G81" s="248" t="inlineStr">
        <is>
          <t>NA</t>
        </is>
      </c>
      <c r="H81" s="248" t="inlineStr">
        <is>
          <t>ONLINE</t>
        </is>
      </c>
      <c r="I81" s="248" t="inlineStr">
        <is>
          <t>DELIVERED</t>
        </is>
      </c>
      <c r="J81" s="248" t="inlineStr">
        <is>
          <t>NA</t>
        </is>
      </c>
      <c r="K81" s="248" t="inlineStr">
        <is>
          <t>NA</t>
        </is>
      </c>
      <c r="L81" s="248" t="inlineStr">
        <is>
          <t>NA</t>
        </is>
      </c>
      <c r="M81" s="248" t="inlineStr">
        <is>
          <t>O2</t>
        </is>
      </c>
      <c r="N81" s="248" t="inlineStr">
        <is>
          <t>9</t>
        </is>
      </c>
      <c r="O81" s="248" t="n">
        <v>1099.0</v>
      </c>
      <c r="P81" s="248" t="n">
        <v>0.0</v>
      </c>
      <c r="Q81" s="248" t="n">
        <v>0.0</v>
      </c>
      <c r="R81" s="248" t="n">
        <v>0.0</v>
      </c>
      <c r="S81" s="248" t="n">
        <v>109.9</v>
      </c>
      <c r="T81" s="248" t="n">
        <v>0.0</v>
      </c>
      <c r="U81" s="248" t="n">
        <v>0.0</v>
      </c>
      <c r="V81" s="248" t="n">
        <v>49.46</v>
      </c>
      <c r="W81" s="248" t="n">
        <v>1038.56</v>
      </c>
      <c r="X81" s="248" t="n">
        <v>989.1</v>
      </c>
      <c r="Y81" s="248" t="n">
        <v>0.0</v>
      </c>
      <c r="Z81" s="248" t="n">
        <v>0.0</v>
      </c>
      <c r="AA81" s="248" t="n">
        <v>989.1</v>
      </c>
      <c r="AB81" s="248" t="n">
        <v>23.0</v>
      </c>
      <c r="AC81" s="248" t="n">
        <v>227.49</v>
      </c>
      <c r="AD81" s="248" t="n">
        <v>5.76</v>
      </c>
      <c r="AE81" s="248" t="n">
        <v>20.0</v>
      </c>
      <c r="AF81" s="248" t="n">
        <v>0.0</v>
      </c>
      <c r="AG81" s="248" t="n">
        <v>0.0</v>
      </c>
      <c r="AH81" s="248" t="n">
        <v>19.11</v>
      </c>
      <c r="AI81" s="248" t="n">
        <v>266.6</v>
      </c>
      <c r="AJ81" s="248" t="n">
        <v>47.99</v>
      </c>
      <c r="AK81" s="248" t="n">
        <v>0.0</v>
      </c>
      <c r="AL81" s="248" t="n">
        <v>989.1</v>
      </c>
      <c r="AM81" s="248" t="n">
        <v>0.0</v>
      </c>
      <c r="AN81" s="248" t="n">
        <v>0.0</v>
      </c>
      <c r="AO81" s="248" t="n">
        <v>0.99</v>
      </c>
      <c r="AP81" s="248" t="n">
        <v>49.46</v>
      </c>
      <c r="AQ81" s="248" t="n">
        <v>0.0</v>
      </c>
      <c r="AR81" s="248" t="n">
        <v>98.44</v>
      </c>
      <c r="AS81" s="248" t="n">
        <v>0.0</v>
      </c>
      <c r="AT81" s="248" t="n">
        <v>0.0</v>
      </c>
      <c r="AU81" s="248" t="n">
        <v>0.0</v>
      </c>
      <c r="AV81" s="248" t="n">
        <v>0.0</v>
      </c>
      <c r="AW81" s="248" t="n">
        <v>0.0</v>
      </c>
      <c r="AX81" s="248" t="n">
        <v>0.0</v>
      </c>
      <c r="AY81" s="248" t="n">
        <v>0.0</v>
      </c>
      <c r="AZ81" s="248" t="n">
        <v>0.0</v>
      </c>
      <c r="BA81" s="248" t="n">
        <v>0.0</v>
      </c>
      <c r="BB81" s="248" t="n">
        <v>365.04</v>
      </c>
      <c r="BC81" s="248" t="n">
        <v>0.0</v>
      </c>
      <c r="BD81" s="248" t="n">
        <v>673.52</v>
      </c>
      <c r="BE81" s="248" t="inlineStr">
        <is>
          <t>settled</t>
        </is>
      </c>
      <c r="BF81" s="248" t="inlineStr">
        <is>
          <t>2025-12-17 05:30:00</t>
        </is>
      </c>
      <c r="BG81" s="248" t="inlineStr">
        <is>
          <t>CITIN25671235852</t>
        </is>
      </c>
      <c r="BH81" s="248" t="n">
        <v>0.0</v>
      </c>
      <c r="BI81" s="248" t="inlineStr">
        <is>
          <t>d63e63a18dbabfe169632784deff1cf9cfca681dce07a17a73a85551d6b619f7</t>
        </is>
      </c>
    </row>
    <row r="82">
      <c r="A82" s="248" t="inlineStr">
        <is>
          <t>74</t>
        </is>
      </c>
      <c r="B82" s="248" t="inlineStr">
        <is>
          <t>7575543916</t>
        </is>
      </c>
      <c r="C82" s="248" t="inlineStr">
        <is>
          <t>2025-12-12 22:33:01</t>
        </is>
      </c>
      <c r="D82" s="248" t="inlineStr">
        <is>
          <t>50</t>
        </is>
      </c>
      <c r="E82" s="248" t="inlineStr">
        <is>
          <t>Bawarchi Baba- By Posh Foods</t>
        </is>
      </c>
      <c r="F82" s="248" t="inlineStr">
        <is>
          <t>20415473</t>
        </is>
      </c>
      <c r="G82" s="248" t="inlineStr">
        <is>
          <t>NA</t>
        </is>
      </c>
      <c r="H82" s="248" t="inlineStr">
        <is>
          <t>ONLINE</t>
        </is>
      </c>
      <c r="I82" s="248" t="inlineStr">
        <is>
          <t>DELIVERED</t>
        </is>
      </c>
      <c r="J82" s="248" t="inlineStr">
        <is>
          <t>NA</t>
        </is>
      </c>
      <c r="K82" s="248" t="inlineStr">
        <is>
          <t>NA</t>
        </is>
      </c>
      <c r="L82" s="248" t="inlineStr">
        <is>
          <t>NA</t>
        </is>
      </c>
      <c r="M82" s="248" t="inlineStr">
        <is>
          <t>O2</t>
        </is>
      </c>
      <c r="N82" s="248" t="inlineStr">
        <is>
          <t>9</t>
        </is>
      </c>
      <c r="O82" s="248" t="n">
        <v>604.0</v>
      </c>
      <c r="P82" s="248" t="n">
        <v>0.0</v>
      </c>
      <c r="Q82" s="248" t="n">
        <v>0.0</v>
      </c>
      <c r="R82" s="248" t="n">
        <v>0.0</v>
      </c>
      <c r="S82" s="248" t="n">
        <v>60.4</v>
      </c>
      <c r="T82" s="248" t="n">
        <v>0.0</v>
      </c>
      <c r="U82" s="248" t="n">
        <v>0.0</v>
      </c>
      <c r="V82" s="248" t="n">
        <v>27.18</v>
      </c>
      <c r="W82" s="248" t="n">
        <v>570.78</v>
      </c>
      <c r="X82" s="248" t="n">
        <v>543.6</v>
      </c>
      <c r="Y82" s="248" t="n">
        <v>0.0</v>
      </c>
      <c r="Z82" s="248" t="n">
        <v>0.0</v>
      </c>
      <c r="AA82" s="248" t="n">
        <v>543.6</v>
      </c>
      <c r="AB82" s="248" t="n">
        <v>23.0</v>
      </c>
      <c r="AC82" s="248" t="n">
        <v>125.03</v>
      </c>
      <c r="AD82" s="248" t="n">
        <v>5.95</v>
      </c>
      <c r="AE82" s="248" t="n">
        <v>20.0</v>
      </c>
      <c r="AF82" s="248" t="n">
        <v>0.0</v>
      </c>
      <c r="AG82" s="248" t="n">
        <v>0.0</v>
      </c>
      <c r="AH82" s="248" t="n">
        <v>10.5</v>
      </c>
      <c r="AI82" s="248" t="n">
        <v>155.53</v>
      </c>
      <c r="AJ82" s="248" t="n">
        <v>28.0</v>
      </c>
      <c r="AK82" s="248" t="n">
        <v>0.0</v>
      </c>
      <c r="AL82" s="248" t="n">
        <v>543.6</v>
      </c>
      <c r="AM82" s="248" t="n">
        <v>0.0</v>
      </c>
      <c r="AN82" s="248" t="n">
        <v>0.0</v>
      </c>
      <c r="AO82" s="248" t="n">
        <v>0.54</v>
      </c>
      <c r="AP82" s="248" t="n">
        <v>27.18</v>
      </c>
      <c r="AQ82" s="248" t="n">
        <v>0.0</v>
      </c>
      <c r="AR82" s="248" t="n">
        <v>55.72</v>
      </c>
      <c r="AS82" s="248" t="n">
        <v>0.0</v>
      </c>
      <c r="AT82" s="248" t="n">
        <v>0.0</v>
      </c>
      <c r="AU82" s="248" t="n">
        <v>0.0</v>
      </c>
      <c r="AV82" s="248" t="n">
        <v>0.0</v>
      </c>
      <c r="AW82" s="248" t="n">
        <v>0.0</v>
      </c>
      <c r="AX82" s="248" t="n">
        <v>0.0</v>
      </c>
      <c r="AY82" s="248" t="n">
        <v>0.0</v>
      </c>
      <c r="AZ82" s="248" t="n">
        <v>0.0</v>
      </c>
      <c r="BA82" s="248" t="n">
        <v>0.0</v>
      </c>
      <c r="BB82" s="248" t="n">
        <v>211.25</v>
      </c>
      <c r="BC82" s="248" t="n">
        <v>0.0</v>
      </c>
      <c r="BD82" s="248" t="n">
        <v>359.53</v>
      </c>
      <c r="BE82" s="248" t="inlineStr">
        <is>
          <t>settled</t>
        </is>
      </c>
      <c r="BF82" s="248" t="inlineStr">
        <is>
          <t>2025-12-17 05:30:00</t>
        </is>
      </c>
      <c r="BG82" s="248" t="inlineStr">
        <is>
          <t>CITIN25671235852</t>
        </is>
      </c>
      <c r="BH82" s="248" t="n">
        <v>0.0</v>
      </c>
      <c r="BI82" s="248" t="inlineStr">
        <is>
          <t>5c2a4e5a1ba197401be272852bc18b10928adc8c76febc60fa71ebcec2814ebe</t>
        </is>
      </c>
    </row>
    <row r="83">
      <c r="A83" s="248" t="inlineStr">
        <is>
          <t>75</t>
        </is>
      </c>
      <c r="B83" s="248" t="inlineStr">
        <is>
          <t>7576557938</t>
        </is>
      </c>
      <c r="C83" s="248" t="inlineStr">
        <is>
          <t>2025-12-12 22:34:51</t>
        </is>
      </c>
      <c r="D83" s="248" t="inlineStr">
        <is>
          <t>50</t>
        </is>
      </c>
      <c r="E83" s="248" t="inlineStr">
        <is>
          <t>Bawarchi Baba- By Posh Foods</t>
        </is>
      </c>
      <c r="F83" s="248" t="inlineStr">
        <is>
          <t>20415473</t>
        </is>
      </c>
      <c r="G83" s="248" t="inlineStr">
        <is>
          <t>NA</t>
        </is>
      </c>
      <c r="H83" s="248" t="inlineStr">
        <is>
          <t>ONLINE</t>
        </is>
      </c>
      <c r="I83" s="248" t="inlineStr">
        <is>
          <t>DELIVERED</t>
        </is>
      </c>
      <c r="J83" s="248" t="inlineStr">
        <is>
          <t>NA</t>
        </is>
      </c>
      <c r="K83" s="248" t="inlineStr">
        <is>
          <t>NA</t>
        </is>
      </c>
      <c r="L83" s="248" t="inlineStr">
        <is>
          <t>NA</t>
        </is>
      </c>
      <c r="M83" s="248" t="inlineStr">
        <is>
          <t>O2</t>
        </is>
      </c>
      <c r="N83" s="248" t="inlineStr">
        <is>
          <t>9</t>
        </is>
      </c>
      <c r="O83" s="248" t="n">
        <v>115.0</v>
      </c>
      <c r="P83" s="248" t="n">
        <v>0.0</v>
      </c>
      <c r="Q83" s="248" t="n">
        <v>0.0</v>
      </c>
      <c r="R83" s="248" t="n">
        <v>0.0</v>
      </c>
      <c r="S83" s="248" t="n">
        <v>11.5</v>
      </c>
      <c r="T83" s="248" t="n">
        <v>0.0</v>
      </c>
      <c r="U83" s="248" t="n">
        <v>0.0</v>
      </c>
      <c r="V83" s="248" t="n">
        <v>5.18</v>
      </c>
      <c r="W83" s="248" t="n">
        <v>108.68</v>
      </c>
      <c r="X83" s="248" t="n">
        <v>103.5</v>
      </c>
      <c r="Y83" s="248" t="n">
        <v>0.0</v>
      </c>
      <c r="Z83" s="248" t="n">
        <v>0.0</v>
      </c>
      <c r="AA83" s="248" t="n">
        <v>103.5</v>
      </c>
      <c r="AB83" s="248" t="n">
        <v>23.0</v>
      </c>
      <c r="AC83" s="248" t="n">
        <v>23.8</v>
      </c>
      <c r="AD83" s="248" t="n">
        <v>1.58</v>
      </c>
      <c r="AE83" s="248" t="n">
        <v>0.0</v>
      </c>
      <c r="AF83" s="248" t="n">
        <v>0.0</v>
      </c>
      <c r="AG83" s="248" t="n">
        <v>0.0</v>
      </c>
      <c r="AH83" s="248" t="n">
        <v>2.0</v>
      </c>
      <c r="AI83" s="248" t="n">
        <v>25.8</v>
      </c>
      <c r="AJ83" s="248" t="n">
        <v>4.64</v>
      </c>
      <c r="AK83" s="248" t="n">
        <v>0.0</v>
      </c>
      <c r="AL83" s="248" t="n">
        <v>103.5</v>
      </c>
      <c r="AM83" s="248" t="n">
        <v>0.0</v>
      </c>
      <c r="AN83" s="248" t="n">
        <v>0.0</v>
      </c>
      <c r="AO83" s="248" t="n">
        <v>0.1</v>
      </c>
      <c r="AP83" s="248" t="n">
        <v>5.18</v>
      </c>
      <c r="AQ83" s="248" t="n">
        <v>0.0</v>
      </c>
      <c r="AR83" s="248" t="n">
        <v>9.92</v>
      </c>
      <c r="AS83" s="248" t="n">
        <v>0.0</v>
      </c>
      <c r="AT83" s="248" t="n">
        <v>0.0</v>
      </c>
      <c r="AU83" s="248" t="n">
        <v>0.0</v>
      </c>
      <c r="AV83" s="248" t="n">
        <v>0.0</v>
      </c>
      <c r="AW83" s="248" t="n">
        <v>0.0</v>
      </c>
      <c r="AX83" s="248" t="n">
        <v>0.0</v>
      </c>
      <c r="AY83" s="248" t="n">
        <v>0.0</v>
      </c>
      <c r="AZ83" s="248" t="n">
        <v>0.0</v>
      </c>
      <c r="BA83" s="248" t="n">
        <v>0.0</v>
      </c>
      <c r="BB83" s="248" t="n">
        <v>35.72</v>
      </c>
      <c r="BC83" s="248" t="n">
        <v>0.0</v>
      </c>
      <c r="BD83" s="248" t="n">
        <v>72.96</v>
      </c>
      <c r="BE83" s="248" t="inlineStr">
        <is>
          <t>settled</t>
        </is>
      </c>
      <c r="BF83" s="248" t="inlineStr">
        <is>
          <t>2025-12-17 05:30:00</t>
        </is>
      </c>
      <c r="BG83" s="248" t="inlineStr">
        <is>
          <t>CITIN25671235852</t>
        </is>
      </c>
      <c r="BH83" s="248" t="n">
        <v>0.0</v>
      </c>
      <c r="BI83" s="248" t="inlineStr">
        <is>
          <t>c861ba7b73ab131e6b0d3d9bbfac6553575790851da6810eb9b10b59226c1923</t>
        </is>
      </c>
    </row>
    <row r="84">
      <c r="A84" s="248" t="inlineStr">
        <is>
          <t>76</t>
        </is>
      </c>
      <c r="B84" s="248" t="inlineStr">
        <is>
          <t>7575746098</t>
        </is>
      </c>
      <c r="C84" s="248" t="inlineStr">
        <is>
          <t>2025-12-12 22:58:19</t>
        </is>
      </c>
      <c r="D84" s="248" t="inlineStr">
        <is>
          <t>50</t>
        </is>
      </c>
      <c r="E84" s="248" t="inlineStr">
        <is>
          <t>Bawarchi Baba- By Posh Foods</t>
        </is>
      </c>
      <c r="F84" s="248" t="inlineStr">
        <is>
          <t>20415473</t>
        </is>
      </c>
      <c r="G84" s="248" t="inlineStr">
        <is>
          <t>NA</t>
        </is>
      </c>
      <c r="H84" s="248" t="inlineStr">
        <is>
          <t>ONLINE</t>
        </is>
      </c>
      <c r="I84" s="248" t="inlineStr">
        <is>
          <t>DELIVERED</t>
        </is>
      </c>
      <c r="J84" s="248" t="inlineStr">
        <is>
          <t>NA</t>
        </is>
      </c>
      <c r="K84" s="248" t="inlineStr">
        <is>
          <t>NA</t>
        </is>
      </c>
      <c r="L84" s="248" t="inlineStr">
        <is>
          <t>NA</t>
        </is>
      </c>
      <c r="M84" s="248" t="inlineStr">
        <is>
          <t>O2</t>
        </is>
      </c>
      <c r="N84" s="248" t="inlineStr">
        <is>
          <t>9</t>
        </is>
      </c>
      <c r="O84" s="248" t="n">
        <v>135.0</v>
      </c>
      <c r="P84" s="248" t="n">
        <v>0.0</v>
      </c>
      <c r="Q84" s="248" t="n">
        <v>0.0</v>
      </c>
      <c r="R84" s="248" t="n">
        <v>0.0</v>
      </c>
      <c r="S84" s="248" t="n">
        <v>13.5</v>
      </c>
      <c r="T84" s="248" t="n">
        <v>0.0</v>
      </c>
      <c r="U84" s="248" t="n">
        <v>0.0</v>
      </c>
      <c r="V84" s="248" t="n">
        <v>6.08</v>
      </c>
      <c r="W84" s="248" t="n">
        <v>127.58</v>
      </c>
      <c r="X84" s="248" t="n">
        <v>121.5</v>
      </c>
      <c r="Y84" s="248" t="n">
        <v>0.0</v>
      </c>
      <c r="Z84" s="248" t="n">
        <v>0.0</v>
      </c>
      <c r="AA84" s="248" t="n">
        <v>121.5</v>
      </c>
      <c r="AB84" s="248" t="n">
        <v>23.0</v>
      </c>
      <c r="AC84" s="248" t="n">
        <v>27.94</v>
      </c>
      <c r="AD84" s="248" t="n">
        <v>1.6</v>
      </c>
      <c r="AE84" s="248" t="n">
        <v>0.0</v>
      </c>
      <c r="AF84" s="248" t="n">
        <v>0.0</v>
      </c>
      <c r="AG84" s="248" t="n">
        <v>0.0</v>
      </c>
      <c r="AH84" s="248" t="n">
        <v>2.35</v>
      </c>
      <c r="AI84" s="248" t="n">
        <v>30.29</v>
      </c>
      <c r="AJ84" s="248" t="n">
        <v>5.45</v>
      </c>
      <c r="AK84" s="248" t="n">
        <v>0.0</v>
      </c>
      <c r="AL84" s="248" t="n">
        <v>121.5</v>
      </c>
      <c r="AM84" s="248" t="n">
        <v>0.0</v>
      </c>
      <c r="AN84" s="248" t="n">
        <v>0.0</v>
      </c>
      <c r="AO84" s="248" t="n">
        <v>0.12</v>
      </c>
      <c r="AP84" s="248" t="n">
        <v>6.08</v>
      </c>
      <c r="AQ84" s="248" t="n">
        <v>0.0</v>
      </c>
      <c r="AR84" s="248" t="n">
        <v>11.65</v>
      </c>
      <c r="AS84" s="248" t="n">
        <v>0.0</v>
      </c>
      <c r="AT84" s="248" t="n">
        <v>0.0</v>
      </c>
      <c r="AU84" s="248" t="n">
        <v>0.0</v>
      </c>
      <c r="AV84" s="248" t="n">
        <v>0.0</v>
      </c>
      <c r="AW84" s="248" t="n">
        <v>0.0</v>
      </c>
      <c r="AX84" s="248" t="n">
        <v>0.0</v>
      </c>
      <c r="AY84" s="248" t="n">
        <v>0.0</v>
      </c>
      <c r="AZ84" s="248" t="n">
        <v>0.0</v>
      </c>
      <c r="BA84" s="248" t="n">
        <v>0.0</v>
      </c>
      <c r="BB84" s="248" t="n">
        <v>41.94</v>
      </c>
      <c r="BC84" s="248" t="n">
        <v>0.0</v>
      </c>
      <c r="BD84" s="248" t="n">
        <v>85.64</v>
      </c>
      <c r="BE84" s="248" t="inlineStr">
        <is>
          <t>settled</t>
        </is>
      </c>
      <c r="BF84" s="248" t="inlineStr">
        <is>
          <t>2025-12-17 05:30:00</t>
        </is>
      </c>
      <c r="BG84" s="248" t="inlineStr">
        <is>
          <t>CITIN25671235852</t>
        </is>
      </c>
      <c r="BH84" s="248" t="n">
        <v>0.0</v>
      </c>
      <c r="BI84" s="248" t="inlineStr">
        <is>
          <t>09eab2cf18fe3f4c8245d4439057ff97d61ce40cf254f49fe4d0f3df62252e19</t>
        </is>
      </c>
    </row>
    <row r="85">
      <c r="A85" s="248" t="inlineStr">
        <is>
          <t>77</t>
        </is>
      </c>
      <c r="B85" s="248" t="inlineStr">
        <is>
          <t>7573017655</t>
        </is>
      </c>
      <c r="C85" s="248" t="inlineStr">
        <is>
          <t>2025-12-13 11:28:13</t>
        </is>
      </c>
      <c r="D85" s="248" t="inlineStr">
        <is>
          <t>50</t>
        </is>
      </c>
      <c r="E85" s="248" t="inlineStr">
        <is>
          <t>Bawarchi Baba- By Posh Foods</t>
        </is>
      </c>
      <c r="F85" s="248" t="inlineStr">
        <is>
          <t>20415473</t>
        </is>
      </c>
      <c r="G85" s="248" t="inlineStr">
        <is>
          <t>Flat ₹125 off (2025-12-08 - 2031-01-01)</t>
        </is>
      </c>
      <c r="H85" s="248" t="inlineStr">
        <is>
          <t>ONLINE</t>
        </is>
      </c>
      <c r="I85" s="248" t="inlineStr">
        <is>
          <t>DELIVERED</t>
        </is>
      </c>
      <c r="J85" s="248" t="inlineStr">
        <is>
          <t>NA</t>
        </is>
      </c>
      <c r="K85" s="248" t="inlineStr">
        <is>
          <t>NA</t>
        </is>
      </c>
      <c r="L85" s="248" t="inlineStr">
        <is>
          <t>NA</t>
        </is>
      </c>
      <c r="M85" s="248" t="inlineStr">
        <is>
          <t>O2</t>
        </is>
      </c>
      <c r="N85" s="248" t="inlineStr">
        <is>
          <t>9</t>
        </is>
      </c>
      <c r="O85" s="248" t="n">
        <v>423.0</v>
      </c>
      <c r="P85" s="248" t="n">
        <v>0.0</v>
      </c>
      <c r="Q85" s="248" t="n">
        <v>0.0</v>
      </c>
      <c r="R85" s="248" t="n">
        <v>87.0</v>
      </c>
      <c r="S85" s="248" t="n">
        <v>0.0</v>
      </c>
      <c r="T85" s="248" t="n">
        <v>0.0</v>
      </c>
      <c r="U85" s="248" t="n">
        <v>0.0</v>
      </c>
      <c r="V85" s="248" t="n">
        <v>16.8</v>
      </c>
      <c r="W85" s="248" t="n">
        <v>352.8</v>
      </c>
      <c r="X85" s="248" t="n">
        <v>336.0</v>
      </c>
      <c r="Y85" s="248" t="n">
        <v>0.0</v>
      </c>
      <c r="Z85" s="248" t="n">
        <v>0.0</v>
      </c>
      <c r="AA85" s="248" t="n">
        <v>336.0</v>
      </c>
      <c r="AB85" s="248" t="n">
        <v>23.0</v>
      </c>
      <c r="AC85" s="248" t="n">
        <v>77.28</v>
      </c>
      <c r="AD85" s="248" t="n">
        <v>1.73</v>
      </c>
      <c r="AE85" s="248" t="n">
        <v>0.0</v>
      </c>
      <c r="AF85" s="248" t="n">
        <v>0.0</v>
      </c>
      <c r="AG85" s="248" t="n">
        <v>0.0</v>
      </c>
      <c r="AH85" s="248" t="n">
        <v>6.49</v>
      </c>
      <c r="AI85" s="248" t="n">
        <v>83.77</v>
      </c>
      <c r="AJ85" s="248" t="n">
        <v>15.08</v>
      </c>
      <c r="AK85" s="248" t="n">
        <v>0.0</v>
      </c>
      <c r="AL85" s="248" t="n">
        <v>336.0</v>
      </c>
      <c r="AM85" s="248" t="n">
        <v>0.0</v>
      </c>
      <c r="AN85" s="248" t="n">
        <v>0.0</v>
      </c>
      <c r="AO85" s="248" t="n">
        <v>0.34</v>
      </c>
      <c r="AP85" s="248" t="n">
        <v>16.8</v>
      </c>
      <c r="AQ85" s="248" t="n">
        <v>0.0</v>
      </c>
      <c r="AR85" s="248" t="n">
        <v>32.22</v>
      </c>
      <c r="AS85" s="248" t="n">
        <v>0.0</v>
      </c>
      <c r="AT85" s="248" t="n">
        <v>0.0</v>
      </c>
      <c r="AU85" s="248" t="n">
        <v>0.0</v>
      </c>
      <c r="AV85" s="248" t="n">
        <v>0.0</v>
      </c>
      <c r="AW85" s="248" t="n">
        <v>0.0</v>
      </c>
      <c r="AX85" s="248" t="n">
        <v>0.0</v>
      </c>
      <c r="AY85" s="248" t="n">
        <v>0.0</v>
      </c>
      <c r="AZ85" s="248" t="n">
        <v>0.0</v>
      </c>
      <c r="BA85" s="248" t="n">
        <v>0.0</v>
      </c>
      <c r="BB85" s="248" t="n">
        <v>115.99</v>
      </c>
      <c r="BC85" s="248" t="n">
        <v>0.0</v>
      </c>
      <c r="BD85" s="248" t="n">
        <v>236.81</v>
      </c>
      <c r="BE85" s="248" t="inlineStr">
        <is>
          <t>settled</t>
        </is>
      </c>
      <c r="BF85" s="248" t="inlineStr">
        <is>
          <t>2025-12-17 05:30:00</t>
        </is>
      </c>
      <c r="BG85" s="248" t="inlineStr">
        <is>
          <t>CITIN25671235852</t>
        </is>
      </c>
      <c r="BH85" s="248" t="n">
        <v>0.0</v>
      </c>
      <c r="BI85" s="248" t="inlineStr">
        <is>
          <t>fd124a7c0a09a9e30808262a12b0328e272273e7b7908f02df52dcc76a366f8c</t>
        </is>
      </c>
    </row>
    <row r="86">
      <c r="A86" s="248" t="inlineStr">
        <is>
          <t>78</t>
        </is>
      </c>
      <c r="B86" s="248" t="inlineStr">
        <is>
          <t>7577301314</t>
        </is>
      </c>
      <c r="C86" s="248" t="inlineStr">
        <is>
          <t>2025-12-13 14:09:34</t>
        </is>
      </c>
      <c r="D86" s="248" t="inlineStr">
        <is>
          <t>50</t>
        </is>
      </c>
      <c r="E86" s="248" t="inlineStr">
        <is>
          <t>Bawarchi Baba- By Posh Foods</t>
        </is>
      </c>
      <c r="F86" s="248" t="inlineStr">
        <is>
          <t>20415473</t>
        </is>
      </c>
      <c r="G86" s="248" t="inlineStr">
        <is>
          <t>Flat ₹100 off (2025-12-08 - 2031-01-01)</t>
        </is>
      </c>
      <c r="H86" s="248" t="inlineStr">
        <is>
          <t>ONLINE</t>
        </is>
      </c>
      <c r="I86" s="248" t="inlineStr">
        <is>
          <t>DELIVERED</t>
        </is>
      </c>
      <c r="J86" s="248" t="inlineStr">
        <is>
          <t>NA</t>
        </is>
      </c>
      <c r="K86" s="248" t="inlineStr">
        <is>
          <t>NA</t>
        </is>
      </c>
      <c r="L86" s="248" t="inlineStr">
        <is>
          <t>NA</t>
        </is>
      </c>
      <c r="M86" s="248" t="inlineStr">
        <is>
          <t>O2</t>
        </is>
      </c>
      <c r="N86" s="248" t="inlineStr">
        <is>
          <t>9</t>
        </is>
      </c>
      <c r="O86" s="248" t="n">
        <v>225.0</v>
      </c>
      <c r="P86" s="248" t="n">
        <v>0.0</v>
      </c>
      <c r="Q86" s="248" t="n">
        <v>0.0</v>
      </c>
      <c r="R86" s="248" t="n">
        <v>70.0</v>
      </c>
      <c r="S86" s="248" t="n">
        <v>0.0</v>
      </c>
      <c r="T86" s="248" t="n">
        <v>0.0</v>
      </c>
      <c r="U86" s="248" t="n">
        <v>0.0</v>
      </c>
      <c r="V86" s="248" t="n">
        <v>7.75</v>
      </c>
      <c r="W86" s="248" t="n">
        <v>162.75</v>
      </c>
      <c r="X86" s="248" t="n">
        <v>155.0</v>
      </c>
      <c r="Y86" s="248" t="n">
        <v>0.0</v>
      </c>
      <c r="Z86" s="248" t="n">
        <v>0.0</v>
      </c>
      <c r="AA86" s="248" t="n">
        <v>155.0</v>
      </c>
      <c r="AB86" s="248" t="n">
        <v>23.0</v>
      </c>
      <c r="AC86" s="248" t="n">
        <v>35.65</v>
      </c>
      <c r="AD86" s="248" t="n">
        <v>3.52</v>
      </c>
      <c r="AE86" s="248" t="n">
        <v>0.0</v>
      </c>
      <c r="AF86" s="248" t="n">
        <v>0.0</v>
      </c>
      <c r="AG86" s="248" t="n">
        <v>0.0</v>
      </c>
      <c r="AH86" s="248" t="n">
        <v>2.99</v>
      </c>
      <c r="AI86" s="248" t="n">
        <v>38.64</v>
      </c>
      <c r="AJ86" s="248" t="n">
        <v>6.96</v>
      </c>
      <c r="AK86" s="248" t="n">
        <v>0.0</v>
      </c>
      <c r="AL86" s="248" t="n">
        <v>155.0</v>
      </c>
      <c r="AM86" s="248" t="n">
        <v>0.0</v>
      </c>
      <c r="AN86" s="248" t="n">
        <v>0.0</v>
      </c>
      <c r="AO86" s="248" t="n">
        <v>0.16</v>
      </c>
      <c r="AP86" s="248" t="n">
        <v>7.75</v>
      </c>
      <c r="AQ86" s="248" t="n">
        <v>0.0</v>
      </c>
      <c r="AR86" s="248" t="n">
        <v>14.87</v>
      </c>
      <c r="AS86" s="248" t="n">
        <v>0.0</v>
      </c>
      <c r="AT86" s="248" t="n">
        <v>0.0</v>
      </c>
      <c r="AU86" s="248" t="n">
        <v>0.0</v>
      </c>
      <c r="AV86" s="248" t="n">
        <v>0.0</v>
      </c>
      <c r="AW86" s="248" t="n">
        <v>0.0</v>
      </c>
      <c r="AX86" s="248" t="n">
        <v>0.0</v>
      </c>
      <c r="AY86" s="248" t="n">
        <v>0.0</v>
      </c>
      <c r="AZ86" s="248" t="n">
        <v>0.0</v>
      </c>
      <c r="BA86" s="248" t="n">
        <v>0.0</v>
      </c>
      <c r="BB86" s="248" t="n">
        <v>53.51</v>
      </c>
      <c r="BC86" s="248" t="n">
        <v>0.0</v>
      </c>
      <c r="BD86" s="248" t="n">
        <v>109.24</v>
      </c>
      <c r="BE86" s="248" t="inlineStr">
        <is>
          <t>settled</t>
        </is>
      </c>
      <c r="BF86" s="248" t="inlineStr">
        <is>
          <t>2025-12-17 05:30:00</t>
        </is>
      </c>
      <c r="BG86" s="248" t="inlineStr">
        <is>
          <t>CITIN25671235852</t>
        </is>
      </c>
      <c r="BH86" s="248" t="n">
        <v>0.0</v>
      </c>
      <c r="BI86" s="248" t="inlineStr">
        <is>
          <t>01412ccbe9ad070a04745a5727b9e17e80d4b25bbf40fff8c36a81388bad1882</t>
        </is>
      </c>
    </row>
    <row r="87">
      <c r="A87" s="248" t="inlineStr">
        <is>
          <t>79</t>
        </is>
      </c>
      <c r="B87" s="248" t="inlineStr">
        <is>
          <t>7578397522</t>
        </is>
      </c>
      <c r="C87" s="248" t="inlineStr">
        <is>
          <t>2025-12-13 15:43:19</t>
        </is>
      </c>
      <c r="D87" s="248" t="inlineStr">
        <is>
          <t>50</t>
        </is>
      </c>
      <c r="E87" s="248" t="inlineStr">
        <is>
          <t>Bawarchi Baba- By Posh Foods</t>
        </is>
      </c>
      <c r="F87" s="248" t="inlineStr">
        <is>
          <t>20415473</t>
        </is>
      </c>
      <c r="G87" s="248" t="inlineStr">
        <is>
          <t>NA</t>
        </is>
      </c>
      <c r="H87" s="248" t="inlineStr">
        <is>
          <t>ONLINE</t>
        </is>
      </c>
      <c r="I87" s="248" t="inlineStr">
        <is>
          <t>DELIVERED</t>
        </is>
      </c>
      <c r="J87" s="248" t="inlineStr">
        <is>
          <t>NA</t>
        </is>
      </c>
      <c r="K87" s="248" t="inlineStr">
        <is>
          <t>NA</t>
        </is>
      </c>
      <c r="L87" s="248" t="inlineStr">
        <is>
          <t>NA</t>
        </is>
      </c>
      <c r="M87" s="248" t="inlineStr">
        <is>
          <t>O2</t>
        </is>
      </c>
      <c r="N87" s="248" t="inlineStr">
        <is>
          <t>7</t>
        </is>
      </c>
      <c r="O87" s="248" t="n">
        <v>115.0</v>
      </c>
      <c r="P87" s="248" t="n">
        <v>0.0</v>
      </c>
      <c r="Q87" s="248" t="n">
        <v>0.0</v>
      </c>
      <c r="R87" s="248" t="n">
        <v>0.0</v>
      </c>
      <c r="S87" s="248" t="n">
        <v>0.0</v>
      </c>
      <c r="T87" s="248" t="n">
        <v>0.0</v>
      </c>
      <c r="U87" s="248" t="n">
        <v>0.0</v>
      </c>
      <c r="V87" s="248" t="n">
        <v>5.75</v>
      </c>
      <c r="W87" s="248" t="n">
        <v>120.75</v>
      </c>
      <c r="X87" s="248" t="n">
        <v>115.0</v>
      </c>
      <c r="Y87" s="248" t="n">
        <v>0.0</v>
      </c>
      <c r="Z87" s="248" t="n">
        <v>0.0</v>
      </c>
      <c r="AA87" s="248" t="n">
        <v>115.0</v>
      </c>
      <c r="AB87" s="248" t="n">
        <v>23.0</v>
      </c>
      <c r="AC87" s="248" t="n">
        <v>26.45</v>
      </c>
      <c r="AD87" s="248" t="n">
        <v>6.19</v>
      </c>
      <c r="AE87" s="248" t="n">
        <v>0.0</v>
      </c>
      <c r="AF87" s="248" t="n">
        <v>0.0</v>
      </c>
      <c r="AG87" s="248" t="n">
        <v>0.0</v>
      </c>
      <c r="AH87" s="248" t="n">
        <v>2.22</v>
      </c>
      <c r="AI87" s="248" t="n">
        <v>28.67</v>
      </c>
      <c r="AJ87" s="248" t="n">
        <v>5.16</v>
      </c>
      <c r="AK87" s="248" t="n">
        <v>0.0</v>
      </c>
      <c r="AL87" s="248" t="n">
        <v>115.0</v>
      </c>
      <c r="AM87" s="248" t="n">
        <v>0.0</v>
      </c>
      <c r="AN87" s="248" t="n">
        <v>0.0</v>
      </c>
      <c r="AO87" s="248" t="n">
        <v>0.12</v>
      </c>
      <c r="AP87" s="248" t="n">
        <v>5.75</v>
      </c>
      <c r="AQ87" s="248" t="n">
        <v>0.0</v>
      </c>
      <c r="AR87" s="248" t="n">
        <v>11.03</v>
      </c>
      <c r="AS87" s="248" t="n">
        <v>0.0</v>
      </c>
      <c r="AT87" s="248" t="n">
        <v>0.0</v>
      </c>
      <c r="AU87" s="248" t="n">
        <v>0.0</v>
      </c>
      <c r="AV87" s="248" t="n">
        <v>0.0</v>
      </c>
      <c r="AW87" s="248" t="n">
        <v>0.0</v>
      </c>
      <c r="AX87" s="248" t="n">
        <v>0.0</v>
      </c>
      <c r="AY87" s="248" t="n">
        <v>0.0</v>
      </c>
      <c r="AZ87" s="248" t="n">
        <v>0.0</v>
      </c>
      <c r="BA87" s="248" t="n">
        <v>0.0</v>
      </c>
      <c r="BB87" s="248" t="n">
        <v>39.7</v>
      </c>
      <c r="BC87" s="248" t="n">
        <v>0.0</v>
      </c>
      <c r="BD87" s="248" t="n">
        <v>81.05</v>
      </c>
      <c r="BE87" s="248" t="inlineStr">
        <is>
          <t>settled</t>
        </is>
      </c>
      <c r="BF87" s="248" t="inlineStr">
        <is>
          <t>2025-12-17 05:30:00</t>
        </is>
      </c>
      <c r="BG87" s="248" t="inlineStr">
        <is>
          <t>CITIN25671235852</t>
        </is>
      </c>
      <c r="BH87" s="248" t="n">
        <v>0.0</v>
      </c>
      <c r="BI87" s="248" t="inlineStr">
        <is>
          <t>df4593868843e9bae9ff1db4600cf1467112a335f7e5335fc516496c1c292646</t>
        </is>
      </c>
    </row>
    <row r="88">
      <c r="A88" s="248" t="inlineStr">
        <is>
          <t>80</t>
        </is>
      </c>
      <c r="B88" s="248" t="inlineStr">
        <is>
          <t>7575371607</t>
        </is>
      </c>
      <c r="C88" s="248" t="inlineStr">
        <is>
          <t>2025-12-13 16:12:32</t>
        </is>
      </c>
      <c r="D88" s="248" t="inlineStr">
        <is>
          <t>50</t>
        </is>
      </c>
      <c r="E88" s="248" t="inlineStr">
        <is>
          <t>Bawarchi Baba- By Posh Foods</t>
        </is>
      </c>
      <c r="F88" s="248" t="inlineStr">
        <is>
          <t>20415473</t>
        </is>
      </c>
      <c r="G88" s="248" t="inlineStr">
        <is>
          <t>Flat ₹150 off (2025-12-08 - 2031-01-01)</t>
        </is>
      </c>
      <c r="H88" s="248" t="inlineStr">
        <is>
          <t>ONLINE</t>
        </is>
      </c>
      <c r="I88" s="248" t="inlineStr">
        <is>
          <t>DELIVERED</t>
        </is>
      </c>
      <c r="J88" s="248" t="inlineStr">
        <is>
          <t>NA</t>
        </is>
      </c>
      <c r="K88" s="248" t="inlineStr">
        <is>
          <t>NA</t>
        </is>
      </c>
      <c r="L88" s="248" t="inlineStr">
        <is>
          <t>NA</t>
        </is>
      </c>
      <c r="M88" s="248" t="inlineStr">
        <is>
          <t>O2</t>
        </is>
      </c>
      <c r="N88" s="248" t="inlineStr">
        <is>
          <t>7</t>
        </is>
      </c>
      <c r="O88" s="248" t="n">
        <v>670.0</v>
      </c>
      <c r="P88" s="248" t="n">
        <v>0.0</v>
      </c>
      <c r="Q88" s="248" t="n">
        <v>0.0</v>
      </c>
      <c r="R88" s="248" t="n">
        <v>150.0</v>
      </c>
      <c r="S88" s="248" t="n">
        <v>0.0</v>
      </c>
      <c r="T88" s="248" t="n">
        <v>0.0</v>
      </c>
      <c r="U88" s="248" t="n">
        <v>0.0</v>
      </c>
      <c r="V88" s="248" t="n">
        <v>26.0</v>
      </c>
      <c r="W88" s="248" t="n">
        <v>546.0</v>
      </c>
      <c r="X88" s="248" t="n">
        <v>520.0</v>
      </c>
      <c r="Y88" s="248" t="n">
        <v>0.0</v>
      </c>
      <c r="Z88" s="248" t="n">
        <v>0.0</v>
      </c>
      <c r="AA88" s="248" t="n">
        <v>520.0</v>
      </c>
      <c r="AB88" s="248" t="n">
        <v>23.0</v>
      </c>
      <c r="AC88" s="248" t="n">
        <v>119.6</v>
      </c>
      <c r="AD88" s="248" t="n">
        <v>6.11</v>
      </c>
      <c r="AE88" s="248" t="n">
        <v>40.0</v>
      </c>
      <c r="AF88" s="248" t="n">
        <v>0.0</v>
      </c>
      <c r="AG88" s="248" t="n">
        <v>3.6</v>
      </c>
      <c r="AH88" s="248" t="n">
        <v>10.05</v>
      </c>
      <c r="AI88" s="248" t="n">
        <v>166.05</v>
      </c>
      <c r="AJ88" s="248" t="n">
        <v>29.89</v>
      </c>
      <c r="AK88" s="248" t="n">
        <v>0.0</v>
      </c>
      <c r="AL88" s="248" t="n">
        <v>520.0</v>
      </c>
      <c r="AM88" s="248" t="n">
        <v>0.0</v>
      </c>
      <c r="AN88" s="248" t="n">
        <v>0.0</v>
      </c>
      <c r="AO88" s="248" t="n">
        <v>0.52</v>
      </c>
      <c r="AP88" s="248" t="n">
        <v>26.0</v>
      </c>
      <c r="AQ88" s="248" t="n">
        <v>0.0</v>
      </c>
      <c r="AR88" s="248" t="n">
        <v>56.41</v>
      </c>
      <c r="AS88" s="248" t="n">
        <v>0.0</v>
      </c>
      <c r="AT88" s="248" t="n">
        <v>0.0</v>
      </c>
      <c r="AU88" s="248" t="n">
        <v>0.0</v>
      </c>
      <c r="AV88" s="248" t="n">
        <v>0.0</v>
      </c>
      <c r="AW88" s="248" t="n">
        <v>0.0</v>
      </c>
      <c r="AX88" s="248" t="n">
        <v>0.0</v>
      </c>
      <c r="AY88" s="248" t="n">
        <v>0.0</v>
      </c>
      <c r="AZ88" s="248" t="n">
        <v>0.0</v>
      </c>
      <c r="BA88" s="248" t="n">
        <v>0.0</v>
      </c>
      <c r="BB88" s="248" t="n">
        <v>222.46</v>
      </c>
      <c r="BC88" s="248" t="n">
        <v>0.0</v>
      </c>
      <c r="BD88" s="248" t="n">
        <v>323.54</v>
      </c>
      <c r="BE88" s="248" t="inlineStr">
        <is>
          <t>settled</t>
        </is>
      </c>
      <c r="BF88" s="248" t="inlineStr">
        <is>
          <t>2025-12-17 05:30:00</t>
        </is>
      </c>
      <c r="BG88" s="248" t="inlineStr">
        <is>
          <t>CITIN25671235852</t>
        </is>
      </c>
      <c r="BH88" s="248" t="n">
        <v>0.0</v>
      </c>
      <c r="BI88" s="248" t="inlineStr">
        <is>
          <t>ced0cfc2a4d86a9a09aff68e423cb883a1ea268feb893005eae7bf956b67abfa</t>
        </is>
      </c>
    </row>
    <row r="89">
      <c r="A89" s="248" t="inlineStr">
        <is>
          <t>81</t>
        </is>
      </c>
      <c r="B89" s="248" t="inlineStr">
        <is>
          <t>7576118556</t>
        </is>
      </c>
      <c r="C89" s="248" t="inlineStr">
        <is>
          <t>2025-12-13 17:06:13</t>
        </is>
      </c>
      <c r="D89" s="248" t="inlineStr">
        <is>
          <t>50</t>
        </is>
      </c>
      <c r="E89" s="248" t="inlineStr">
        <is>
          <t>Bawarchi Baba- By Posh Foods</t>
        </is>
      </c>
      <c r="F89" s="248" t="inlineStr">
        <is>
          <t>20415473</t>
        </is>
      </c>
      <c r="G89" s="248" t="inlineStr">
        <is>
          <t>Flat ₹125 off (2025-12-08 - 2031-01-01)</t>
        </is>
      </c>
      <c r="H89" s="248" t="inlineStr">
        <is>
          <t>ONLINE</t>
        </is>
      </c>
      <c r="I89" s="248" t="inlineStr">
        <is>
          <t>DELIVERED</t>
        </is>
      </c>
      <c r="J89" s="248" t="inlineStr">
        <is>
          <t>NA</t>
        </is>
      </c>
      <c r="K89" s="248" t="inlineStr">
        <is>
          <t>NA</t>
        </is>
      </c>
      <c r="L89" s="248" t="inlineStr">
        <is>
          <t>NA</t>
        </is>
      </c>
      <c r="M89" s="248" t="inlineStr">
        <is>
          <t>O2</t>
        </is>
      </c>
      <c r="N89" s="248" t="inlineStr">
        <is>
          <t>9</t>
        </is>
      </c>
      <c r="O89" s="248" t="n">
        <v>483.0</v>
      </c>
      <c r="P89" s="248" t="n">
        <v>0.0</v>
      </c>
      <c r="Q89" s="248" t="n">
        <v>0.0</v>
      </c>
      <c r="R89" s="248" t="n">
        <v>125.0</v>
      </c>
      <c r="S89" s="248" t="n">
        <v>0.0</v>
      </c>
      <c r="T89" s="248" t="n">
        <v>0.0</v>
      </c>
      <c r="U89" s="248" t="n">
        <v>0.0</v>
      </c>
      <c r="V89" s="248" t="n">
        <v>17.9</v>
      </c>
      <c r="W89" s="248" t="n">
        <v>375.9</v>
      </c>
      <c r="X89" s="248" t="n">
        <v>358.0</v>
      </c>
      <c r="Y89" s="248" t="n">
        <v>0.0</v>
      </c>
      <c r="Z89" s="248" t="n">
        <v>0.0</v>
      </c>
      <c r="AA89" s="248" t="n">
        <v>358.0</v>
      </c>
      <c r="AB89" s="248" t="n">
        <v>23.0</v>
      </c>
      <c r="AC89" s="248" t="n">
        <v>82.34</v>
      </c>
      <c r="AD89" s="248" t="n">
        <v>5.68</v>
      </c>
      <c r="AE89" s="248" t="n">
        <v>20.0</v>
      </c>
      <c r="AF89" s="248" t="n">
        <v>0.0</v>
      </c>
      <c r="AG89" s="248" t="n">
        <v>0.0</v>
      </c>
      <c r="AH89" s="248" t="n">
        <v>6.92</v>
      </c>
      <c r="AI89" s="248" t="n">
        <v>109.26</v>
      </c>
      <c r="AJ89" s="248" t="n">
        <v>19.67</v>
      </c>
      <c r="AK89" s="248" t="n">
        <v>0.0</v>
      </c>
      <c r="AL89" s="248" t="n">
        <v>358.0</v>
      </c>
      <c r="AM89" s="248" t="n">
        <v>0.0</v>
      </c>
      <c r="AN89" s="248" t="n">
        <v>0.0</v>
      </c>
      <c r="AO89" s="248" t="n">
        <v>0.36</v>
      </c>
      <c r="AP89" s="248" t="n">
        <v>17.9</v>
      </c>
      <c r="AQ89" s="248" t="n">
        <v>0.0</v>
      </c>
      <c r="AR89" s="248" t="n">
        <v>37.93</v>
      </c>
      <c r="AS89" s="248" t="n">
        <v>0.0</v>
      </c>
      <c r="AT89" s="248" t="n">
        <v>0.0</v>
      </c>
      <c r="AU89" s="248" t="n">
        <v>0.0</v>
      </c>
      <c r="AV89" s="248" t="n">
        <v>0.0</v>
      </c>
      <c r="AW89" s="248" t="n">
        <v>0.0</v>
      </c>
      <c r="AX89" s="248" t="n">
        <v>0.0</v>
      </c>
      <c r="AY89" s="248" t="n">
        <v>0.0</v>
      </c>
      <c r="AZ89" s="248" t="n">
        <v>0.0</v>
      </c>
      <c r="BA89" s="248" t="n">
        <v>0.0</v>
      </c>
      <c r="BB89" s="248" t="n">
        <v>147.19</v>
      </c>
      <c r="BC89" s="248" t="n">
        <v>0.0</v>
      </c>
      <c r="BD89" s="248" t="n">
        <v>228.71</v>
      </c>
      <c r="BE89" s="248" t="inlineStr">
        <is>
          <t>settled</t>
        </is>
      </c>
      <c r="BF89" s="248" t="inlineStr">
        <is>
          <t>2025-12-17 05:30:00</t>
        </is>
      </c>
      <c r="BG89" s="248" t="inlineStr">
        <is>
          <t>CITIN25671235852</t>
        </is>
      </c>
      <c r="BH89" s="248" t="n">
        <v>0.0</v>
      </c>
      <c r="BI89" s="248" t="inlineStr">
        <is>
          <t>9756c6a5d1e0155028925f86decc14b796228b122a7515b24ad67b04856db3fe</t>
        </is>
      </c>
    </row>
    <row r="90">
      <c r="A90" s="248" t="inlineStr">
        <is>
          <t>82</t>
        </is>
      </c>
      <c r="B90" s="248" t="inlineStr">
        <is>
          <t>7556137568</t>
        </is>
      </c>
      <c r="C90" s="248" t="inlineStr">
        <is>
          <t>2025-12-13 17:09:09</t>
        </is>
      </c>
      <c r="D90" s="248" t="inlineStr">
        <is>
          <t>50</t>
        </is>
      </c>
      <c r="E90" s="248" t="inlineStr">
        <is>
          <t>Bawarchi Baba- By Posh Foods</t>
        </is>
      </c>
      <c r="F90" s="248" t="inlineStr">
        <is>
          <t>20415473</t>
        </is>
      </c>
      <c r="G90" s="248" t="inlineStr">
        <is>
          <t>NA</t>
        </is>
      </c>
      <c r="H90" s="248" t="inlineStr">
        <is>
          <t>ONLINE</t>
        </is>
      </c>
      <c r="I90" s="248" t="inlineStr">
        <is>
          <t>DELIVERED</t>
        </is>
      </c>
      <c r="J90" s="248" t="inlineStr">
        <is>
          <t>NA</t>
        </is>
      </c>
      <c r="K90" s="248" t="inlineStr">
        <is>
          <t>NA</t>
        </is>
      </c>
      <c r="L90" s="248" t="inlineStr">
        <is>
          <t>NA</t>
        </is>
      </c>
      <c r="M90" s="248" t="inlineStr">
        <is>
          <t>O2</t>
        </is>
      </c>
      <c r="N90" s="248" t="inlineStr">
        <is>
          <t>9</t>
        </is>
      </c>
      <c r="O90" s="248" t="n">
        <v>435.0</v>
      </c>
      <c r="P90" s="248" t="n">
        <v>0.0</v>
      </c>
      <c r="Q90" s="248" t="n">
        <v>0.0</v>
      </c>
      <c r="R90" s="248" t="n">
        <v>0.0</v>
      </c>
      <c r="S90" s="248" t="n">
        <v>0.0</v>
      </c>
      <c r="T90" s="248" t="n">
        <v>0.0</v>
      </c>
      <c r="U90" s="248" t="n">
        <v>0.0</v>
      </c>
      <c r="V90" s="248" t="n">
        <v>21.75</v>
      </c>
      <c r="W90" s="248" t="n">
        <v>456.75</v>
      </c>
      <c r="X90" s="248" t="n">
        <v>435.0</v>
      </c>
      <c r="Y90" s="248" t="n">
        <v>0.0</v>
      </c>
      <c r="Z90" s="248" t="n">
        <v>0.0</v>
      </c>
      <c r="AA90" s="248" t="n">
        <v>435.0</v>
      </c>
      <c r="AB90" s="248" t="n">
        <v>23.0</v>
      </c>
      <c r="AC90" s="248" t="n">
        <v>100.05</v>
      </c>
      <c r="AD90" s="248" t="n">
        <v>5.98</v>
      </c>
      <c r="AE90" s="248" t="n">
        <v>20.0</v>
      </c>
      <c r="AF90" s="248" t="n">
        <v>0.0</v>
      </c>
      <c r="AG90" s="248" t="n">
        <v>0.0</v>
      </c>
      <c r="AH90" s="248" t="n">
        <v>8.4</v>
      </c>
      <c r="AI90" s="248" t="n">
        <v>128.45</v>
      </c>
      <c r="AJ90" s="248" t="n">
        <v>23.12</v>
      </c>
      <c r="AK90" s="248" t="n">
        <v>0.0</v>
      </c>
      <c r="AL90" s="248" t="n">
        <v>435.0</v>
      </c>
      <c r="AM90" s="248" t="n">
        <v>0.0</v>
      </c>
      <c r="AN90" s="248" t="n">
        <v>0.0</v>
      </c>
      <c r="AO90" s="248" t="n">
        <v>0.44</v>
      </c>
      <c r="AP90" s="248" t="n">
        <v>21.75</v>
      </c>
      <c r="AQ90" s="248" t="n">
        <v>0.0</v>
      </c>
      <c r="AR90" s="248" t="n">
        <v>45.31</v>
      </c>
      <c r="AS90" s="248" t="n">
        <v>0.0</v>
      </c>
      <c r="AT90" s="248" t="n">
        <v>0.0</v>
      </c>
      <c r="AU90" s="248" t="n">
        <v>0.0</v>
      </c>
      <c r="AV90" s="248" t="n">
        <v>0.0</v>
      </c>
      <c r="AW90" s="248" t="n">
        <v>0.0</v>
      </c>
      <c r="AX90" s="248" t="n">
        <v>0.0</v>
      </c>
      <c r="AY90" s="248" t="n">
        <v>0.0</v>
      </c>
      <c r="AZ90" s="248" t="n">
        <v>0.0</v>
      </c>
      <c r="BA90" s="248" t="n">
        <v>0.0</v>
      </c>
      <c r="BB90" s="248" t="n">
        <v>173.76</v>
      </c>
      <c r="BC90" s="248" t="n">
        <v>0.0</v>
      </c>
      <c r="BD90" s="248" t="n">
        <v>282.99</v>
      </c>
      <c r="BE90" s="248" t="inlineStr">
        <is>
          <t>settled</t>
        </is>
      </c>
      <c r="BF90" s="248" t="inlineStr">
        <is>
          <t>2025-12-17 05:30:00</t>
        </is>
      </c>
      <c r="BG90" s="248" t="inlineStr">
        <is>
          <t>CITIN25671235852</t>
        </is>
      </c>
      <c r="BH90" s="248" t="n">
        <v>0.0</v>
      </c>
      <c r="BI90" s="248" t="inlineStr">
        <is>
          <t>421f6e8c6d6caa1a6b4b21b71c8e4f2038ce0ceab25a487c687984ec175bfba5</t>
        </is>
      </c>
    </row>
    <row r="91">
      <c r="A91" s="248" t="inlineStr">
        <is>
          <t>83</t>
        </is>
      </c>
      <c r="B91" s="248" t="inlineStr">
        <is>
          <t>7576342924</t>
        </is>
      </c>
      <c r="C91" s="248" t="inlineStr">
        <is>
          <t>2025-12-13 17:25:42</t>
        </is>
      </c>
      <c r="D91" s="248" t="inlineStr">
        <is>
          <t>50</t>
        </is>
      </c>
      <c r="E91" s="248" t="inlineStr">
        <is>
          <t>Bawarchi Baba- By Posh Foods</t>
        </is>
      </c>
      <c r="F91" s="248" t="inlineStr">
        <is>
          <t>20415473</t>
        </is>
      </c>
      <c r="G91" s="248" t="inlineStr">
        <is>
          <t>Flat ₹125 off (2025-12-08 - 2031-01-01)</t>
        </is>
      </c>
      <c r="H91" s="248" t="inlineStr">
        <is>
          <t>ONLINE</t>
        </is>
      </c>
      <c r="I91" s="248" t="inlineStr">
        <is>
          <t>DELIVERED</t>
        </is>
      </c>
      <c r="J91" s="248" t="inlineStr">
        <is>
          <t>NA</t>
        </is>
      </c>
      <c r="K91" s="248" t="inlineStr">
        <is>
          <t>NA</t>
        </is>
      </c>
      <c r="L91" s="248" t="inlineStr">
        <is>
          <t>NA</t>
        </is>
      </c>
      <c r="M91" s="248" t="inlineStr">
        <is>
          <t>O2</t>
        </is>
      </c>
      <c r="N91" s="248" t="inlineStr">
        <is>
          <t>9</t>
        </is>
      </c>
      <c r="O91" s="248" t="n">
        <v>589.0</v>
      </c>
      <c r="P91" s="248" t="n">
        <v>0.0</v>
      </c>
      <c r="Q91" s="248" t="n">
        <v>0.0</v>
      </c>
      <c r="R91" s="248" t="n">
        <v>125.0</v>
      </c>
      <c r="S91" s="248" t="n">
        <v>0.0</v>
      </c>
      <c r="T91" s="248" t="n">
        <v>0.0</v>
      </c>
      <c r="U91" s="248" t="n">
        <v>0.0</v>
      </c>
      <c r="V91" s="248" t="n">
        <v>23.2</v>
      </c>
      <c r="W91" s="248" t="n">
        <v>487.2</v>
      </c>
      <c r="X91" s="248" t="n">
        <v>464.0</v>
      </c>
      <c r="Y91" s="248" t="n">
        <v>0.0</v>
      </c>
      <c r="Z91" s="248" t="n">
        <v>0.0</v>
      </c>
      <c r="AA91" s="248" t="n">
        <v>464.0</v>
      </c>
      <c r="AB91" s="248" t="n">
        <v>23.0</v>
      </c>
      <c r="AC91" s="248" t="n">
        <v>106.72</v>
      </c>
      <c r="AD91" s="248" t="n">
        <v>2.64</v>
      </c>
      <c r="AE91" s="248" t="n">
        <v>0.0</v>
      </c>
      <c r="AF91" s="248" t="n">
        <v>0.0</v>
      </c>
      <c r="AG91" s="248" t="n">
        <v>0.0</v>
      </c>
      <c r="AH91" s="248" t="n">
        <v>8.96</v>
      </c>
      <c r="AI91" s="248" t="n">
        <v>115.68</v>
      </c>
      <c r="AJ91" s="248" t="n">
        <v>20.82</v>
      </c>
      <c r="AK91" s="248" t="n">
        <v>0.0</v>
      </c>
      <c r="AL91" s="248" t="n">
        <v>464.0</v>
      </c>
      <c r="AM91" s="248" t="n">
        <v>0.0</v>
      </c>
      <c r="AN91" s="248" t="n">
        <v>0.0</v>
      </c>
      <c r="AO91" s="248" t="n">
        <v>0.46</v>
      </c>
      <c r="AP91" s="248" t="n">
        <v>23.2</v>
      </c>
      <c r="AQ91" s="248" t="n">
        <v>0.0</v>
      </c>
      <c r="AR91" s="248" t="n">
        <v>44.48</v>
      </c>
      <c r="AS91" s="248" t="n">
        <v>0.0</v>
      </c>
      <c r="AT91" s="248" t="n">
        <v>0.0</v>
      </c>
      <c r="AU91" s="248" t="n">
        <v>0.0</v>
      </c>
      <c r="AV91" s="248" t="n">
        <v>0.0</v>
      </c>
      <c r="AW91" s="248" t="n">
        <v>0.0</v>
      </c>
      <c r="AX91" s="248" t="n">
        <v>0.0</v>
      </c>
      <c r="AY91" s="248" t="n">
        <v>0.0</v>
      </c>
      <c r="AZ91" s="248" t="n">
        <v>0.0</v>
      </c>
      <c r="BA91" s="248" t="n">
        <v>0.0</v>
      </c>
      <c r="BB91" s="248" t="n">
        <v>160.16</v>
      </c>
      <c r="BC91" s="248" t="n">
        <v>0.0</v>
      </c>
      <c r="BD91" s="248" t="n">
        <v>327.04</v>
      </c>
      <c r="BE91" s="248" t="inlineStr">
        <is>
          <t>settled</t>
        </is>
      </c>
      <c r="BF91" s="248" t="inlineStr">
        <is>
          <t>2025-12-17 05:30:00</t>
        </is>
      </c>
      <c r="BG91" s="248" t="inlineStr">
        <is>
          <t>CITIN25671235852</t>
        </is>
      </c>
      <c r="BH91" s="248" t="n">
        <v>0.0</v>
      </c>
      <c r="BI91" s="248" t="inlineStr">
        <is>
          <t>faf6c9d5fc08101606b00a319e3c1076fe63d813210f7cbf9f7b428392e462d3</t>
        </is>
      </c>
    </row>
    <row r="92">
      <c r="A92" s="248" t="inlineStr">
        <is>
          <t>84</t>
        </is>
      </c>
      <c r="B92" s="248" t="inlineStr">
        <is>
          <t>7572066501</t>
        </is>
      </c>
      <c r="C92" s="248" t="inlineStr">
        <is>
          <t>2025-12-13 17:31:20</t>
        </is>
      </c>
      <c r="D92" s="248" t="inlineStr">
        <is>
          <t>50</t>
        </is>
      </c>
      <c r="E92" s="248" t="inlineStr">
        <is>
          <t>Bawarchi Baba- By Posh Foods</t>
        </is>
      </c>
      <c r="F92" s="248" t="inlineStr">
        <is>
          <t>20415473</t>
        </is>
      </c>
      <c r="G92" s="248" t="inlineStr">
        <is>
          <t>Flat ₹125 off (2025-12-08 - 2031-01-01)</t>
        </is>
      </c>
      <c r="H92" s="248" t="inlineStr">
        <is>
          <t>ONLINE</t>
        </is>
      </c>
      <c r="I92" s="248" t="inlineStr">
        <is>
          <t>DELIVERED</t>
        </is>
      </c>
      <c r="J92" s="248" t="inlineStr">
        <is>
          <t>NA</t>
        </is>
      </c>
      <c r="K92" s="248" t="inlineStr">
        <is>
          <t>NA</t>
        </is>
      </c>
      <c r="L92" s="248" t="inlineStr">
        <is>
          <t>NA</t>
        </is>
      </c>
      <c r="M92" s="248" t="inlineStr">
        <is>
          <t>O2</t>
        </is>
      </c>
      <c r="N92" s="248" t="inlineStr">
        <is>
          <t>9</t>
        </is>
      </c>
      <c r="O92" s="248" t="n">
        <v>490.0</v>
      </c>
      <c r="P92" s="248" t="n">
        <v>0.0</v>
      </c>
      <c r="Q92" s="248" t="n">
        <v>0.0</v>
      </c>
      <c r="R92" s="248" t="n">
        <v>125.0</v>
      </c>
      <c r="S92" s="248" t="n">
        <v>0.0</v>
      </c>
      <c r="T92" s="248" t="n">
        <v>0.0</v>
      </c>
      <c r="U92" s="248" t="n">
        <v>0.0</v>
      </c>
      <c r="V92" s="248" t="n">
        <v>18.25</v>
      </c>
      <c r="W92" s="248" t="n">
        <v>383.25</v>
      </c>
      <c r="X92" s="248" t="n">
        <v>365.0</v>
      </c>
      <c r="Y92" s="248" t="n">
        <v>0.0</v>
      </c>
      <c r="Z92" s="248" t="n">
        <v>0.0</v>
      </c>
      <c r="AA92" s="248" t="n">
        <v>365.0</v>
      </c>
      <c r="AB92" s="248" t="n">
        <v>23.0</v>
      </c>
      <c r="AC92" s="248" t="n">
        <v>83.95</v>
      </c>
      <c r="AD92" s="248" t="n">
        <v>0.9</v>
      </c>
      <c r="AE92" s="248" t="n">
        <v>0.0</v>
      </c>
      <c r="AF92" s="248" t="n">
        <v>0.0</v>
      </c>
      <c r="AG92" s="248" t="n">
        <v>0.0</v>
      </c>
      <c r="AH92" s="248" t="n">
        <v>7.05</v>
      </c>
      <c r="AI92" s="248" t="n">
        <v>91.0</v>
      </c>
      <c r="AJ92" s="248" t="n">
        <v>16.38</v>
      </c>
      <c r="AK92" s="248" t="n">
        <v>0.0</v>
      </c>
      <c r="AL92" s="248" t="n">
        <v>365.0</v>
      </c>
      <c r="AM92" s="248" t="n">
        <v>0.0</v>
      </c>
      <c r="AN92" s="248" t="n">
        <v>0.0</v>
      </c>
      <c r="AO92" s="248" t="n">
        <v>0.36</v>
      </c>
      <c r="AP92" s="248" t="n">
        <v>18.25</v>
      </c>
      <c r="AQ92" s="248" t="n">
        <v>0.0</v>
      </c>
      <c r="AR92" s="248" t="n">
        <v>34.99</v>
      </c>
      <c r="AS92" s="248" t="n">
        <v>0.0</v>
      </c>
      <c r="AT92" s="248" t="n">
        <v>0.0</v>
      </c>
      <c r="AU92" s="248" t="n">
        <v>0.0</v>
      </c>
      <c r="AV92" s="248" t="n">
        <v>0.0</v>
      </c>
      <c r="AW92" s="248" t="n">
        <v>0.0</v>
      </c>
      <c r="AX92" s="248" t="n">
        <v>0.0</v>
      </c>
      <c r="AY92" s="248" t="n">
        <v>0.0</v>
      </c>
      <c r="AZ92" s="248" t="n">
        <v>0.0</v>
      </c>
      <c r="BA92" s="248" t="n">
        <v>0.0</v>
      </c>
      <c r="BB92" s="248" t="n">
        <v>125.99</v>
      </c>
      <c r="BC92" s="248" t="n">
        <v>0.0</v>
      </c>
      <c r="BD92" s="248" t="n">
        <v>257.26</v>
      </c>
      <c r="BE92" s="248" t="inlineStr">
        <is>
          <t>settled</t>
        </is>
      </c>
      <c r="BF92" s="248" t="inlineStr">
        <is>
          <t>2025-12-17 05:30:00</t>
        </is>
      </c>
      <c r="BG92" s="248" t="inlineStr">
        <is>
          <t>CITIN25671235852</t>
        </is>
      </c>
      <c r="BH92" s="248" t="n">
        <v>0.0</v>
      </c>
      <c r="BI92" s="248" t="inlineStr">
        <is>
          <t>db98361f35625e5dfeb63931971fb06f02038d94c2b51dfa5f4909c1642962fe</t>
        </is>
      </c>
    </row>
    <row r="93">
      <c r="A93" s="248" t="inlineStr">
        <is>
          <t>85</t>
        </is>
      </c>
      <c r="B93" s="248" t="inlineStr">
        <is>
          <t>7574342400</t>
        </is>
      </c>
      <c r="C93" s="248" t="inlineStr">
        <is>
          <t>2025-12-13 19:25:29</t>
        </is>
      </c>
      <c r="D93" s="248" t="inlineStr">
        <is>
          <t>50</t>
        </is>
      </c>
      <c r="E93" s="248" t="inlineStr">
        <is>
          <t>Bawarchi Baba- By Posh Foods</t>
        </is>
      </c>
      <c r="F93" s="248" t="inlineStr">
        <is>
          <t>20415473</t>
        </is>
      </c>
      <c r="G93" s="248" t="inlineStr">
        <is>
          <t>NA</t>
        </is>
      </c>
      <c r="H93" s="248" t="inlineStr">
        <is>
          <t>ONLINE</t>
        </is>
      </c>
      <c r="I93" s="248" t="inlineStr">
        <is>
          <t>DELIVERED</t>
        </is>
      </c>
      <c r="J93" s="248" t="inlineStr">
        <is>
          <t>NA</t>
        </is>
      </c>
      <c r="K93" s="248" t="inlineStr">
        <is>
          <t>NA</t>
        </is>
      </c>
      <c r="L93" s="248" t="inlineStr">
        <is>
          <t>NA</t>
        </is>
      </c>
      <c r="M93" s="248" t="inlineStr">
        <is>
          <t>O2</t>
        </is>
      </c>
      <c r="N93" s="248" t="inlineStr">
        <is>
          <t>9</t>
        </is>
      </c>
      <c r="O93" s="248" t="n">
        <v>1164.0</v>
      </c>
      <c r="P93" s="248" t="n">
        <v>0.0</v>
      </c>
      <c r="Q93" s="248" t="n">
        <v>0.0</v>
      </c>
      <c r="R93" s="248" t="n">
        <v>0.0</v>
      </c>
      <c r="S93" s="248" t="n">
        <v>116.4</v>
      </c>
      <c r="T93" s="248" t="n">
        <v>0.0</v>
      </c>
      <c r="U93" s="248" t="n">
        <v>0.0</v>
      </c>
      <c r="V93" s="248" t="n">
        <v>52.38</v>
      </c>
      <c r="W93" s="248" t="n">
        <v>1099.98</v>
      </c>
      <c r="X93" s="248" t="n">
        <v>1047.6</v>
      </c>
      <c r="Y93" s="248" t="n">
        <v>0.0</v>
      </c>
      <c r="Z93" s="248" t="n">
        <v>0.0</v>
      </c>
      <c r="AA93" s="248" t="n">
        <v>1047.6</v>
      </c>
      <c r="AB93" s="248" t="n">
        <v>23.0</v>
      </c>
      <c r="AC93" s="248" t="n">
        <v>240.95</v>
      </c>
      <c r="AD93" s="248" t="n">
        <v>8.15</v>
      </c>
      <c r="AE93" s="248" t="n">
        <v>40.0</v>
      </c>
      <c r="AF93" s="248" t="n">
        <v>0.0</v>
      </c>
      <c r="AG93" s="248" t="n">
        <v>0.0</v>
      </c>
      <c r="AH93" s="248" t="n">
        <v>20.24</v>
      </c>
      <c r="AI93" s="248" t="n">
        <v>301.19</v>
      </c>
      <c r="AJ93" s="248" t="n">
        <v>54.21</v>
      </c>
      <c r="AK93" s="248" t="n">
        <v>0.0</v>
      </c>
      <c r="AL93" s="248" t="n">
        <v>1047.6</v>
      </c>
      <c r="AM93" s="248" t="n">
        <v>0.0</v>
      </c>
      <c r="AN93" s="248" t="n">
        <v>0.0</v>
      </c>
      <c r="AO93" s="248" t="n">
        <v>1.05</v>
      </c>
      <c r="AP93" s="248" t="n">
        <v>52.38</v>
      </c>
      <c r="AQ93" s="248" t="n">
        <v>0.0</v>
      </c>
      <c r="AR93" s="248" t="n">
        <v>107.64</v>
      </c>
      <c r="AS93" s="248" t="n">
        <v>0.0</v>
      </c>
      <c r="AT93" s="248" t="n">
        <v>0.0</v>
      </c>
      <c r="AU93" s="248" t="n">
        <v>0.0</v>
      </c>
      <c r="AV93" s="248" t="n">
        <v>0.0</v>
      </c>
      <c r="AW93" s="248" t="n">
        <v>0.0</v>
      </c>
      <c r="AX93" s="248" t="n">
        <v>0.0</v>
      </c>
      <c r="AY93" s="248" t="n">
        <v>0.0</v>
      </c>
      <c r="AZ93" s="248" t="n">
        <v>0.0</v>
      </c>
      <c r="BA93" s="248" t="n">
        <v>0.0</v>
      </c>
      <c r="BB93" s="248" t="n">
        <v>408.83</v>
      </c>
      <c r="BC93" s="248" t="n">
        <v>0.0</v>
      </c>
      <c r="BD93" s="248" t="n">
        <v>691.15</v>
      </c>
      <c r="BE93" s="248" t="inlineStr">
        <is>
          <t>settled</t>
        </is>
      </c>
      <c r="BF93" s="248" t="inlineStr">
        <is>
          <t>2025-12-17 05:30:00</t>
        </is>
      </c>
      <c r="BG93" s="248" t="inlineStr">
        <is>
          <t>CITIN25671235852</t>
        </is>
      </c>
      <c r="BH93" s="248" t="n">
        <v>0.0</v>
      </c>
      <c r="BI93" s="248" t="inlineStr">
        <is>
          <t>9cf0938f1a172826af3ea6b380d24ce9511aeadb8fd272aa9b02a0b9e4f14a44</t>
        </is>
      </c>
    </row>
    <row r="94">
      <c r="A94" s="248" t="inlineStr">
        <is>
          <t>86</t>
        </is>
      </c>
      <c r="B94" s="248" t="inlineStr">
        <is>
          <t>7569357770</t>
        </is>
      </c>
      <c r="C94" s="248" t="inlineStr">
        <is>
          <t>2025-12-13 19:32:29</t>
        </is>
      </c>
      <c r="D94" s="248" t="inlineStr">
        <is>
          <t>50</t>
        </is>
      </c>
      <c r="E94" s="248" t="inlineStr">
        <is>
          <t>Bawarchi Baba- By Posh Foods</t>
        </is>
      </c>
      <c r="F94" s="248" t="inlineStr">
        <is>
          <t>20415473</t>
        </is>
      </c>
      <c r="G94" s="248" t="inlineStr">
        <is>
          <t>NA</t>
        </is>
      </c>
      <c r="H94" s="248" t="inlineStr">
        <is>
          <t>ONLINE</t>
        </is>
      </c>
      <c r="I94" s="248" t="inlineStr">
        <is>
          <t>DELIVERED</t>
        </is>
      </c>
      <c r="J94" s="248" t="inlineStr">
        <is>
          <t>NA</t>
        </is>
      </c>
      <c r="K94" s="248" t="inlineStr">
        <is>
          <t>NA</t>
        </is>
      </c>
      <c r="L94" s="248" t="inlineStr">
        <is>
          <t>NA</t>
        </is>
      </c>
      <c r="M94" s="248" t="inlineStr">
        <is>
          <t>O2</t>
        </is>
      </c>
      <c r="N94" s="248" t="inlineStr">
        <is>
          <t>9</t>
        </is>
      </c>
      <c r="O94" s="248" t="n">
        <v>640.0</v>
      </c>
      <c r="P94" s="248" t="n">
        <v>0.0</v>
      </c>
      <c r="Q94" s="248" t="n">
        <v>0.0</v>
      </c>
      <c r="R94" s="248" t="n">
        <v>0.0</v>
      </c>
      <c r="S94" s="248" t="n">
        <v>64.0</v>
      </c>
      <c r="T94" s="248" t="n">
        <v>0.0</v>
      </c>
      <c r="U94" s="248" t="n">
        <v>0.0</v>
      </c>
      <c r="V94" s="248" t="n">
        <v>28.8</v>
      </c>
      <c r="W94" s="248" t="n">
        <v>604.8</v>
      </c>
      <c r="X94" s="248" t="n">
        <v>576.0</v>
      </c>
      <c r="Y94" s="248" t="n">
        <v>0.0</v>
      </c>
      <c r="Z94" s="248" t="n">
        <v>0.0</v>
      </c>
      <c r="AA94" s="248" t="n">
        <v>576.0</v>
      </c>
      <c r="AB94" s="248" t="n">
        <v>23.0</v>
      </c>
      <c r="AC94" s="248" t="n">
        <v>132.48</v>
      </c>
      <c r="AD94" s="248" t="n">
        <v>4.13</v>
      </c>
      <c r="AE94" s="248" t="n">
        <v>20.0</v>
      </c>
      <c r="AF94" s="248" t="n">
        <v>0.0</v>
      </c>
      <c r="AG94" s="248" t="n">
        <v>0.0</v>
      </c>
      <c r="AH94" s="248" t="n">
        <v>11.13</v>
      </c>
      <c r="AI94" s="248" t="n">
        <v>163.61</v>
      </c>
      <c r="AJ94" s="248" t="n">
        <v>29.45</v>
      </c>
      <c r="AK94" s="248" t="n">
        <v>0.0</v>
      </c>
      <c r="AL94" s="248" t="n">
        <v>576.0</v>
      </c>
      <c r="AM94" s="248" t="n">
        <v>0.0</v>
      </c>
      <c r="AN94" s="248" t="n">
        <v>0.0</v>
      </c>
      <c r="AO94" s="248" t="n">
        <v>0.58</v>
      </c>
      <c r="AP94" s="248" t="n">
        <v>28.8</v>
      </c>
      <c r="AQ94" s="248" t="n">
        <v>0.0</v>
      </c>
      <c r="AR94" s="248" t="n">
        <v>58.83</v>
      </c>
      <c r="AS94" s="248" t="n">
        <v>0.0</v>
      </c>
      <c r="AT94" s="248" t="n">
        <v>0.0</v>
      </c>
      <c r="AU94" s="248" t="n">
        <v>0.0</v>
      </c>
      <c r="AV94" s="248" t="n">
        <v>0.0</v>
      </c>
      <c r="AW94" s="248" t="n">
        <v>0.0</v>
      </c>
      <c r="AX94" s="248" t="n">
        <v>0.0</v>
      </c>
      <c r="AY94" s="248" t="n">
        <v>0.0</v>
      </c>
      <c r="AZ94" s="248" t="n">
        <v>0.0</v>
      </c>
      <c r="BA94" s="248" t="n">
        <v>0.0</v>
      </c>
      <c r="BB94" s="248" t="n">
        <v>222.44</v>
      </c>
      <c r="BC94" s="248" t="n">
        <v>0.0</v>
      </c>
      <c r="BD94" s="248" t="n">
        <v>382.36</v>
      </c>
      <c r="BE94" s="248" t="inlineStr">
        <is>
          <t>settled</t>
        </is>
      </c>
      <c r="BF94" s="248" t="inlineStr">
        <is>
          <t>2025-12-17 05:30:00</t>
        </is>
      </c>
      <c r="BG94" s="248" t="inlineStr">
        <is>
          <t>CITIN25671235852</t>
        </is>
      </c>
      <c r="BH94" s="248" t="n">
        <v>0.0</v>
      </c>
      <c r="BI94" s="248" t="inlineStr">
        <is>
          <t>3c59854e9d414657d61341504b87ba09f845efb738a439787d765578f18b0764</t>
        </is>
      </c>
    </row>
    <row r="95">
      <c r="A95" s="248" t="inlineStr">
        <is>
          <t>87</t>
        </is>
      </c>
      <c r="B95" s="248" t="inlineStr">
        <is>
          <t>7574183762</t>
        </is>
      </c>
      <c r="C95" s="248" t="inlineStr">
        <is>
          <t>2025-12-13 19:52:36</t>
        </is>
      </c>
      <c r="D95" s="248" t="inlineStr">
        <is>
          <t>50</t>
        </is>
      </c>
      <c r="E95" s="248" t="inlineStr">
        <is>
          <t>Bawarchi Baba- By Posh Foods</t>
        </is>
      </c>
      <c r="F95" s="248" t="inlineStr">
        <is>
          <t>20415473</t>
        </is>
      </c>
      <c r="G95" s="248" t="inlineStr">
        <is>
          <t>NA</t>
        </is>
      </c>
      <c r="H95" s="248" t="inlineStr">
        <is>
          <t>ONLINE</t>
        </is>
      </c>
      <c r="I95" s="248" t="inlineStr">
        <is>
          <t>DELIVERED</t>
        </is>
      </c>
      <c r="J95" s="248" t="inlineStr">
        <is>
          <t>NA</t>
        </is>
      </c>
      <c r="K95" s="248" t="inlineStr">
        <is>
          <t>NA</t>
        </is>
      </c>
      <c r="L95" s="248" t="inlineStr">
        <is>
          <t>NA</t>
        </is>
      </c>
      <c r="M95" s="248" t="inlineStr">
        <is>
          <t>O2</t>
        </is>
      </c>
      <c r="N95" s="248" t="inlineStr">
        <is>
          <t>9</t>
        </is>
      </c>
      <c r="O95" s="248" t="n">
        <v>389.0</v>
      </c>
      <c r="P95" s="248" t="n">
        <v>0.0</v>
      </c>
      <c r="Q95" s="248" t="n">
        <v>0.0</v>
      </c>
      <c r="R95" s="248" t="n">
        <v>0.0</v>
      </c>
      <c r="S95" s="248" t="n">
        <v>38.9</v>
      </c>
      <c r="T95" s="248" t="n">
        <v>0.0</v>
      </c>
      <c r="U95" s="248" t="n">
        <v>0.0</v>
      </c>
      <c r="V95" s="248" t="n">
        <v>17.51</v>
      </c>
      <c r="W95" s="248" t="n">
        <v>367.61</v>
      </c>
      <c r="X95" s="248" t="n">
        <v>350.1</v>
      </c>
      <c r="Y95" s="248" t="n">
        <v>0.0</v>
      </c>
      <c r="Z95" s="248" t="n">
        <v>0.0</v>
      </c>
      <c r="AA95" s="248" t="n">
        <v>350.1</v>
      </c>
      <c r="AB95" s="248" t="n">
        <v>23.0</v>
      </c>
      <c r="AC95" s="248" t="n">
        <v>80.52</v>
      </c>
      <c r="AD95" s="248" t="n">
        <v>3.19</v>
      </c>
      <c r="AE95" s="248" t="n">
        <v>0.0</v>
      </c>
      <c r="AF95" s="248" t="n">
        <v>0.0</v>
      </c>
      <c r="AG95" s="248" t="n">
        <v>0.0</v>
      </c>
      <c r="AH95" s="248" t="n">
        <v>6.76</v>
      </c>
      <c r="AI95" s="248" t="n">
        <v>87.28</v>
      </c>
      <c r="AJ95" s="248" t="n">
        <v>15.71</v>
      </c>
      <c r="AK95" s="248" t="n">
        <v>0.0</v>
      </c>
      <c r="AL95" s="248" t="n">
        <v>350.1</v>
      </c>
      <c r="AM95" s="248" t="n">
        <v>0.0</v>
      </c>
      <c r="AN95" s="248" t="n">
        <v>0.0</v>
      </c>
      <c r="AO95" s="248" t="n">
        <v>0.35</v>
      </c>
      <c r="AP95" s="248" t="n">
        <v>17.51</v>
      </c>
      <c r="AQ95" s="248" t="n">
        <v>0.0</v>
      </c>
      <c r="AR95" s="248" t="n">
        <v>33.57</v>
      </c>
      <c r="AS95" s="248" t="n">
        <v>0.0</v>
      </c>
      <c r="AT95" s="248" t="n">
        <v>0.0</v>
      </c>
      <c r="AU95" s="248" t="n">
        <v>0.0</v>
      </c>
      <c r="AV95" s="248" t="n">
        <v>0.0</v>
      </c>
      <c r="AW95" s="248" t="n">
        <v>0.0</v>
      </c>
      <c r="AX95" s="248" t="n">
        <v>0.0</v>
      </c>
      <c r="AY95" s="248" t="n">
        <v>0.0</v>
      </c>
      <c r="AZ95" s="248" t="n">
        <v>0.0</v>
      </c>
      <c r="BA95" s="248" t="n">
        <v>0.0</v>
      </c>
      <c r="BB95" s="248" t="n">
        <v>120.85</v>
      </c>
      <c r="BC95" s="248" t="n">
        <v>0.0</v>
      </c>
      <c r="BD95" s="248" t="n">
        <v>246.76</v>
      </c>
      <c r="BE95" s="248" t="inlineStr">
        <is>
          <t>settled</t>
        </is>
      </c>
      <c r="BF95" s="248" t="inlineStr">
        <is>
          <t>2025-12-17 05:30:00</t>
        </is>
      </c>
      <c r="BG95" s="248" t="inlineStr">
        <is>
          <t>CITIN25671235852</t>
        </is>
      </c>
      <c r="BH95" s="248" t="n">
        <v>0.0</v>
      </c>
      <c r="BI95" s="248" t="inlineStr">
        <is>
          <t>ca85d97707865393316f06828efc2494bddd295ce7a7cbf6257f0a0d24799c1f</t>
        </is>
      </c>
    </row>
    <row r="96">
      <c r="A96" s="248" t="inlineStr">
        <is>
          <t>88</t>
        </is>
      </c>
      <c r="B96" s="248" t="inlineStr">
        <is>
          <t>7578462184</t>
        </is>
      </c>
      <c r="C96" s="248" t="inlineStr">
        <is>
          <t>2025-12-13 20:01:09</t>
        </is>
      </c>
      <c r="D96" s="248" t="inlineStr">
        <is>
          <t>50</t>
        </is>
      </c>
      <c r="E96" s="248" t="inlineStr">
        <is>
          <t>Bawarchi Baba- By Posh Foods</t>
        </is>
      </c>
      <c r="F96" s="248" t="inlineStr">
        <is>
          <t>20415473</t>
        </is>
      </c>
      <c r="G96" s="248" t="inlineStr">
        <is>
          <t>NA</t>
        </is>
      </c>
      <c r="H96" s="248" t="inlineStr">
        <is>
          <t>ONLINE</t>
        </is>
      </c>
      <c r="I96" s="248" t="inlineStr">
        <is>
          <t>DELIVERED</t>
        </is>
      </c>
      <c r="J96" s="248" t="inlineStr">
        <is>
          <t>NA</t>
        </is>
      </c>
      <c r="K96" s="248" t="inlineStr">
        <is>
          <t>NA</t>
        </is>
      </c>
      <c r="L96" s="248" t="inlineStr">
        <is>
          <t>NA</t>
        </is>
      </c>
      <c r="M96" s="248" t="inlineStr">
        <is>
          <t>O2</t>
        </is>
      </c>
      <c r="N96" s="248" t="inlineStr">
        <is>
          <t>9</t>
        </is>
      </c>
      <c r="O96" s="248" t="n">
        <v>140.0</v>
      </c>
      <c r="P96" s="248" t="n">
        <v>0.0</v>
      </c>
      <c r="Q96" s="248" t="n">
        <v>0.0</v>
      </c>
      <c r="R96" s="248" t="n">
        <v>0.0</v>
      </c>
      <c r="S96" s="248" t="n">
        <v>14.0</v>
      </c>
      <c r="T96" s="248" t="n">
        <v>0.0</v>
      </c>
      <c r="U96" s="248" t="n">
        <v>0.0</v>
      </c>
      <c r="V96" s="248" t="n">
        <v>6.3</v>
      </c>
      <c r="W96" s="248" t="n">
        <v>132.3</v>
      </c>
      <c r="X96" s="248" t="n">
        <v>126.0</v>
      </c>
      <c r="Y96" s="248" t="n">
        <v>0.0</v>
      </c>
      <c r="Z96" s="248" t="n">
        <v>0.0</v>
      </c>
      <c r="AA96" s="248" t="n">
        <v>126.0</v>
      </c>
      <c r="AB96" s="248" t="n">
        <v>23.0</v>
      </c>
      <c r="AC96" s="248" t="n">
        <v>28.98</v>
      </c>
      <c r="AD96" s="248" t="n">
        <v>1.44</v>
      </c>
      <c r="AE96" s="248" t="n">
        <v>0.0</v>
      </c>
      <c r="AF96" s="248" t="n">
        <v>0.0</v>
      </c>
      <c r="AG96" s="248" t="n">
        <v>0.0</v>
      </c>
      <c r="AH96" s="248" t="n">
        <v>2.43</v>
      </c>
      <c r="AI96" s="248" t="n">
        <v>31.41</v>
      </c>
      <c r="AJ96" s="248" t="n">
        <v>5.66</v>
      </c>
      <c r="AK96" s="248" t="n">
        <v>0.0</v>
      </c>
      <c r="AL96" s="248" t="n">
        <v>126.0</v>
      </c>
      <c r="AM96" s="248" t="n">
        <v>0.0</v>
      </c>
      <c r="AN96" s="248" t="n">
        <v>0.0</v>
      </c>
      <c r="AO96" s="248" t="n">
        <v>0.13</v>
      </c>
      <c r="AP96" s="248" t="n">
        <v>6.3</v>
      </c>
      <c r="AQ96" s="248" t="n">
        <v>0.0</v>
      </c>
      <c r="AR96" s="248" t="n">
        <v>12.09</v>
      </c>
      <c r="AS96" s="248" t="n">
        <v>0.0</v>
      </c>
      <c r="AT96" s="248" t="n">
        <v>0.0</v>
      </c>
      <c r="AU96" s="248" t="n">
        <v>0.0</v>
      </c>
      <c r="AV96" s="248" t="n">
        <v>0.0</v>
      </c>
      <c r="AW96" s="248" t="n">
        <v>0.0</v>
      </c>
      <c r="AX96" s="248" t="n">
        <v>0.0</v>
      </c>
      <c r="AY96" s="248" t="n">
        <v>0.0</v>
      </c>
      <c r="AZ96" s="248" t="n">
        <v>0.0</v>
      </c>
      <c r="BA96" s="248" t="n">
        <v>0.0</v>
      </c>
      <c r="BB96" s="248" t="n">
        <v>43.5</v>
      </c>
      <c r="BC96" s="248" t="n">
        <v>0.0</v>
      </c>
      <c r="BD96" s="248" t="n">
        <v>88.8</v>
      </c>
      <c r="BE96" s="248" t="inlineStr">
        <is>
          <t>settled</t>
        </is>
      </c>
      <c r="BF96" s="248" t="inlineStr">
        <is>
          <t>2025-12-17 05:30:00</t>
        </is>
      </c>
      <c r="BG96" s="248" t="inlineStr">
        <is>
          <t>CITIN25671235852</t>
        </is>
      </c>
      <c r="BH96" s="248" t="n">
        <v>0.0</v>
      </c>
      <c r="BI96" s="248" t="inlineStr">
        <is>
          <t>67c8531d7922da00563e9cabc5c91338a0b2b8292e2b860f4a2e9b66e6aee99d</t>
        </is>
      </c>
    </row>
    <row r="97">
      <c r="A97" s="248" t="inlineStr">
        <is>
          <t>89</t>
        </is>
      </c>
      <c r="B97" s="248" t="inlineStr">
        <is>
          <t>7579037107</t>
        </is>
      </c>
      <c r="C97" s="248" t="inlineStr">
        <is>
          <t>2025-12-13 20:05:12</t>
        </is>
      </c>
      <c r="D97" s="248" t="inlineStr">
        <is>
          <t>50</t>
        </is>
      </c>
      <c r="E97" s="248" t="inlineStr">
        <is>
          <t>Bawarchi Baba- By Posh Foods</t>
        </is>
      </c>
      <c r="F97" s="248" t="inlineStr">
        <is>
          <t>20415473</t>
        </is>
      </c>
      <c r="G97" s="248" t="inlineStr">
        <is>
          <t>NA</t>
        </is>
      </c>
      <c r="H97" s="248" t="inlineStr">
        <is>
          <t>ONLINE</t>
        </is>
      </c>
      <c r="I97" s="248" t="inlineStr">
        <is>
          <t>DELIVERED</t>
        </is>
      </c>
      <c r="J97" s="248" t="inlineStr">
        <is>
          <t>NA</t>
        </is>
      </c>
      <c r="K97" s="248" t="inlineStr">
        <is>
          <t>NA</t>
        </is>
      </c>
      <c r="L97" s="248" t="inlineStr">
        <is>
          <t>NA</t>
        </is>
      </c>
      <c r="M97" s="248" t="inlineStr">
        <is>
          <t>O2</t>
        </is>
      </c>
      <c r="N97" s="248" t="inlineStr">
        <is>
          <t>9</t>
        </is>
      </c>
      <c r="O97" s="248" t="n">
        <v>255.0</v>
      </c>
      <c r="P97" s="248" t="n">
        <v>0.0</v>
      </c>
      <c r="Q97" s="248" t="n">
        <v>0.0</v>
      </c>
      <c r="R97" s="248" t="n">
        <v>0.0</v>
      </c>
      <c r="S97" s="248" t="n">
        <v>25.5</v>
      </c>
      <c r="T97" s="248" t="n">
        <v>0.0</v>
      </c>
      <c r="U97" s="248" t="n">
        <v>0.0</v>
      </c>
      <c r="V97" s="248" t="n">
        <v>11.48</v>
      </c>
      <c r="W97" s="248" t="n">
        <v>240.98</v>
      </c>
      <c r="X97" s="248" t="n">
        <v>229.5</v>
      </c>
      <c r="Y97" s="248" t="n">
        <v>0.0</v>
      </c>
      <c r="Z97" s="248" t="n">
        <v>0.0</v>
      </c>
      <c r="AA97" s="248" t="n">
        <v>229.5</v>
      </c>
      <c r="AB97" s="248" t="n">
        <v>23.0</v>
      </c>
      <c r="AC97" s="248" t="n">
        <v>52.78</v>
      </c>
      <c r="AD97" s="248" t="n">
        <v>5.77</v>
      </c>
      <c r="AE97" s="248" t="n">
        <v>20.0</v>
      </c>
      <c r="AF97" s="248" t="n">
        <v>0.0</v>
      </c>
      <c r="AG97" s="248" t="n">
        <v>3.93</v>
      </c>
      <c r="AH97" s="248" t="n">
        <v>4.43</v>
      </c>
      <c r="AI97" s="248" t="n">
        <v>73.28</v>
      </c>
      <c r="AJ97" s="248" t="n">
        <v>13.19</v>
      </c>
      <c r="AK97" s="248" t="n">
        <v>0.0</v>
      </c>
      <c r="AL97" s="248" t="n">
        <v>229.5</v>
      </c>
      <c r="AM97" s="248" t="n">
        <v>0.0</v>
      </c>
      <c r="AN97" s="248" t="n">
        <v>0.0</v>
      </c>
      <c r="AO97" s="248" t="n">
        <v>0.23</v>
      </c>
      <c r="AP97" s="248" t="n">
        <v>11.48</v>
      </c>
      <c r="AQ97" s="248" t="n">
        <v>0.0</v>
      </c>
      <c r="AR97" s="248" t="n">
        <v>24.9</v>
      </c>
      <c r="AS97" s="248" t="n">
        <v>0.0</v>
      </c>
      <c r="AT97" s="248" t="n">
        <v>0.0</v>
      </c>
      <c r="AU97" s="248" t="n">
        <v>0.0</v>
      </c>
      <c r="AV97" s="248" t="n">
        <v>0.0</v>
      </c>
      <c r="AW97" s="248" t="n">
        <v>0.0</v>
      </c>
      <c r="AX97" s="248" t="n">
        <v>0.0</v>
      </c>
      <c r="AY97" s="248" t="n">
        <v>0.0</v>
      </c>
      <c r="AZ97" s="248" t="n">
        <v>0.0</v>
      </c>
      <c r="BA97" s="248" t="n">
        <v>0.0</v>
      </c>
      <c r="BB97" s="248" t="n">
        <v>98.18</v>
      </c>
      <c r="BC97" s="248" t="n">
        <v>0.0</v>
      </c>
      <c r="BD97" s="248" t="n">
        <v>142.8</v>
      </c>
      <c r="BE97" s="248" t="inlineStr">
        <is>
          <t>settled</t>
        </is>
      </c>
      <c r="BF97" s="248" t="inlineStr">
        <is>
          <t>2025-12-17 05:30:00</t>
        </is>
      </c>
      <c r="BG97" s="248" t="inlineStr">
        <is>
          <t>CITIN25671235852</t>
        </is>
      </c>
      <c r="BH97" s="248" t="n">
        <v>0.0</v>
      </c>
      <c r="BI97" s="248" t="inlineStr">
        <is>
          <t>a834fb90b16e29ec7b48abca3773724e8acbb945da6d3d52c62e85de2837356a</t>
        </is>
      </c>
    </row>
    <row r="98">
      <c r="A98" s="248" t="inlineStr">
        <is>
          <t>90</t>
        </is>
      </c>
      <c r="B98" s="248" t="inlineStr">
        <is>
          <t>7579684404</t>
        </is>
      </c>
      <c r="C98" s="248" t="inlineStr">
        <is>
          <t>2025-12-13 20:33:12</t>
        </is>
      </c>
      <c r="D98" s="248" t="inlineStr">
        <is>
          <t>50</t>
        </is>
      </c>
      <c r="E98" s="248" t="inlineStr">
        <is>
          <t>Bawarchi Baba- By Posh Foods</t>
        </is>
      </c>
      <c r="F98" s="248" t="inlineStr">
        <is>
          <t>20415473</t>
        </is>
      </c>
      <c r="G98" s="248" t="inlineStr">
        <is>
          <t>NA</t>
        </is>
      </c>
      <c r="H98" s="248" t="inlineStr">
        <is>
          <t>ONLINE</t>
        </is>
      </c>
      <c r="I98" s="248" t="inlineStr">
        <is>
          <t>DELIVERED</t>
        </is>
      </c>
      <c r="J98" s="248" t="inlineStr">
        <is>
          <t>NA</t>
        </is>
      </c>
      <c r="K98" s="248" t="inlineStr">
        <is>
          <t>NA</t>
        </is>
      </c>
      <c r="L98" s="248" t="inlineStr">
        <is>
          <t>NA</t>
        </is>
      </c>
      <c r="M98" s="248" t="inlineStr">
        <is>
          <t>O2</t>
        </is>
      </c>
      <c r="N98" s="248" t="inlineStr">
        <is>
          <t>9</t>
        </is>
      </c>
      <c r="O98" s="248" t="n">
        <v>306.0</v>
      </c>
      <c r="P98" s="248" t="n">
        <v>0.0</v>
      </c>
      <c r="Q98" s="248" t="n">
        <v>0.0</v>
      </c>
      <c r="R98" s="248" t="n">
        <v>0.0</v>
      </c>
      <c r="S98" s="248" t="n">
        <v>30.6</v>
      </c>
      <c r="T98" s="248" t="n">
        <v>0.0</v>
      </c>
      <c r="U98" s="248" t="n">
        <v>0.0</v>
      </c>
      <c r="V98" s="248" t="n">
        <v>13.77</v>
      </c>
      <c r="W98" s="248" t="n">
        <v>289.17</v>
      </c>
      <c r="X98" s="248" t="n">
        <v>275.4</v>
      </c>
      <c r="Y98" s="248" t="n">
        <v>0.0</v>
      </c>
      <c r="Z98" s="248" t="n">
        <v>0.0</v>
      </c>
      <c r="AA98" s="248" t="n">
        <v>275.4</v>
      </c>
      <c r="AB98" s="248" t="n">
        <v>23.0</v>
      </c>
      <c r="AC98" s="248" t="n">
        <v>63.34</v>
      </c>
      <c r="AD98" s="248" t="n">
        <v>4.13</v>
      </c>
      <c r="AE98" s="248" t="n">
        <v>20.0</v>
      </c>
      <c r="AF98" s="248" t="n">
        <v>0.0</v>
      </c>
      <c r="AG98" s="248" t="n">
        <v>0.72</v>
      </c>
      <c r="AH98" s="248" t="n">
        <v>5.32</v>
      </c>
      <c r="AI98" s="248" t="n">
        <v>87.94</v>
      </c>
      <c r="AJ98" s="248" t="n">
        <v>15.83</v>
      </c>
      <c r="AK98" s="248" t="n">
        <v>0.0</v>
      </c>
      <c r="AL98" s="248" t="n">
        <v>275.4</v>
      </c>
      <c r="AM98" s="248" t="n">
        <v>0.0</v>
      </c>
      <c r="AN98" s="248" t="n">
        <v>0.0</v>
      </c>
      <c r="AO98" s="248" t="n">
        <v>0.28</v>
      </c>
      <c r="AP98" s="248" t="n">
        <v>13.77</v>
      </c>
      <c r="AQ98" s="248" t="n">
        <v>0.0</v>
      </c>
      <c r="AR98" s="248" t="n">
        <v>29.88</v>
      </c>
      <c r="AS98" s="248" t="n">
        <v>0.0</v>
      </c>
      <c r="AT98" s="248" t="n">
        <v>0.0</v>
      </c>
      <c r="AU98" s="248" t="n">
        <v>0.0</v>
      </c>
      <c r="AV98" s="248" t="n">
        <v>0.0</v>
      </c>
      <c r="AW98" s="248" t="n">
        <v>0.0</v>
      </c>
      <c r="AX98" s="248" t="n">
        <v>0.0</v>
      </c>
      <c r="AY98" s="248" t="n">
        <v>0.0</v>
      </c>
      <c r="AZ98" s="248" t="n">
        <v>0.0</v>
      </c>
      <c r="BA98" s="248" t="n">
        <v>0.0</v>
      </c>
      <c r="BB98" s="248" t="n">
        <v>117.82</v>
      </c>
      <c r="BC98" s="248" t="n">
        <v>0.0</v>
      </c>
      <c r="BD98" s="248" t="n">
        <v>171.35</v>
      </c>
      <c r="BE98" s="248" t="inlineStr">
        <is>
          <t>settled</t>
        </is>
      </c>
      <c r="BF98" s="248" t="inlineStr">
        <is>
          <t>2025-12-17 05:30:00</t>
        </is>
      </c>
      <c r="BG98" s="248" t="inlineStr">
        <is>
          <t>CITIN25671235852</t>
        </is>
      </c>
      <c r="BH98" s="248" t="n">
        <v>0.0</v>
      </c>
      <c r="BI98" s="248" t="inlineStr">
        <is>
          <t>3c59854e9d414657d61341504b87ba09f845efb738a439787d765578f18b0764</t>
        </is>
      </c>
    </row>
    <row r="99">
      <c r="A99" s="248" t="inlineStr">
        <is>
          <t>91</t>
        </is>
      </c>
      <c r="B99" s="248" t="inlineStr">
        <is>
          <t>7580161516</t>
        </is>
      </c>
      <c r="C99" s="248" t="inlineStr">
        <is>
          <t>2025-12-13 20:43:09</t>
        </is>
      </c>
      <c r="D99" s="248" t="inlineStr">
        <is>
          <t>50</t>
        </is>
      </c>
      <c r="E99" s="248" t="inlineStr">
        <is>
          <t>Bawarchi Baba- By Posh Foods</t>
        </is>
      </c>
      <c r="F99" s="248" t="inlineStr">
        <is>
          <t>20415473</t>
        </is>
      </c>
      <c r="G99" s="248" t="inlineStr">
        <is>
          <t>NA</t>
        </is>
      </c>
      <c r="H99" s="248" t="inlineStr">
        <is>
          <t>ONLINE</t>
        </is>
      </c>
      <c r="I99" s="248" t="inlineStr">
        <is>
          <t>DELIVERED</t>
        </is>
      </c>
      <c r="J99" s="248" t="inlineStr">
        <is>
          <t>NA</t>
        </is>
      </c>
      <c r="K99" s="248" t="inlineStr">
        <is>
          <t>NA</t>
        </is>
      </c>
      <c r="L99" s="248" t="inlineStr">
        <is>
          <t>NA</t>
        </is>
      </c>
      <c r="M99" s="248" t="inlineStr">
        <is>
          <t>O2</t>
        </is>
      </c>
      <c r="N99" s="248" t="inlineStr">
        <is>
          <t>9</t>
        </is>
      </c>
      <c r="O99" s="248" t="n">
        <v>1275.0</v>
      </c>
      <c r="P99" s="248" t="n">
        <v>0.0</v>
      </c>
      <c r="Q99" s="248" t="n">
        <v>0.0</v>
      </c>
      <c r="R99" s="248" t="n">
        <v>0.0</v>
      </c>
      <c r="S99" s="248" t="n">
        <v>127.5</v>
      </c>
      <c r="T99" s="248" t="n">
        <v>0.0</v>
      </c>
      <c r="U99" s="248" t="n">
        <v>0.0</v>
      </c>
      <c r="V99" s="248" t="n">
        <v>57.38</v>
      </c>
      <c r="W99" s="248" t="n">
        <v>1204.88</v>
      </c>
      <c r="X99" s="248" t="n">
        <v>1147.5</v>
      </c>
      <c r="Y99" s="248" t="n">
        <v>0.0</v>
      </c>
      <c r="Z99" s="248" t="n">
        <v>0.0</v>
      </c>
      <c r="AA99" s="248" t="n">
        <v>1147.5</v>
      </c>
      <c r="AB99" s="248" t="n">
        <v>23.0</v>
      </c>
      <c r="AC99" s="248" t="n">
        <v>263.92</v>
      </c>
      <c r="AD99" s="248" t="n">
        <v>1.1</v>
      </c>
      <c r="AE99" s="248" t="n">
        <v>0.0</v>
      </c>
      <c r="AF99" s="248" t="n">
        <v>0.0</v>
      </c>
      <c r="AG99" s="248" t="n">
        <v>0.0</v>
      </c>
      <c r="AH99" s="248" t="n">
        <v>22.17</v>
      </c>
      <c r="AI99" s="248" t="n">
        <v>286.09</v>
      </c>
      <c r="AJ99" s="248" t="n">
        <v>51.5</v>
      </c>
      <c r="AK99" s="248" t="n">
        <v>0.0</v>
      </c>
      <c r="AL99" s="248" t="n">
        <v>1147.5</v>
      </c>
      <c r="AM99" s="248" t="n">
        <v>0.0</v>
      </c>
      <c r="AN99" s="248" t="n">
        <v>0.0</v>
      </c>
      <c r="AO99" s="248" t="n">
        <v>1.15</v>
      </c>
      <c r="AP99" s="248" t="n">
        <v>57.38</v>
      </c>
      <c r="AQ99" s="248" t="n">
        <v>0.0</v>
      </c>
      <c r="AR99" s="248" t="n">
        <v>110.03</v>
      </c>
      <c r="AS99" s="248" t="n">
        <v>0.0</v>
      </c>
      <c r="AT99" s="248" t="n">
        <v>0.0</v>
      </c>
      <c r="AU99" s="248" t="n">
        <v>0.0</v>
      </c>
      <c r="AV99" s="248" t="n">
        <v>0.0</v>
      </c>
      <c r="AW99" s="248" t="n">
        <v>0.0</v>
      </c>
      <c r="AX99" s="248" t="n">
        <v>0.0</v>
      </c>
      <c r="AY99" s="248" t="n">
        <v>0.0</v>
      </c>
      <c r="AZ99" s="248" t="n">
        <v>0.0</v>
      </c>
      <c r="BA99" s="248" t="n">
        <v>0.0</v>
      </c>
      <c r="BB99" s="248" t="n">
        <v>396.12</v>
      </c>
      <c r="BC99" s="248" t="n">
        <v>0.0</v>
      </c>
      <c r="BD99" s="248" t="n">
        <v>808.76</v>
      </c>
      <c r="BE99" s="248" t="inlineStr">
        <is>
          <t>settled</t>
        </is>
      </c>
      <c r="BF99" s="248" t="inlineStr">
        <is>
          <t>2025-12-17 05:30:00</t>
        </is>
      </c>
      <c r="BG99" s="248" t="inlineStr">
        <is>
          <t>CITIN25671235852</t>
        </is>
      </c>
      <c r="BH99" s="248" t="n">
        <v>0.0</v>
      </c>
      <c r="BI99" s="248" t="inlineStr">
        <is>
          <t>1bacd27d51a11b207eb1912b1d1adf14483db67b163bcc2e86c5b096d2a9703f</t>
        </is>
      </c>
    </row>
    <row r="100">
      <c r="A100" s="248" t="inlineStr">
        <is>
          <t>92</t>
        </is>
      </c>
      <c r="B100" s="248" t="inlineStr">
        <is>
          <t>7579447611</t>
        </is>
      </c>
      <c r="C100" s="248" t="inlineStr">
        <is>
          <t>2025-12-13 20:51:22</t>
        </is>
      </c>
      <c r="D100" s="248" t="inlineStr">
        <is>
          <t>50</t>
        </is>
      </c>
      <c r="E100" s="248" t="inlineStr">
        <is>
          <t>Bawarchi Baba- By Posh Foods</t>
        </is>
      </c>
      <c r="F100" s="248" t="inlineStr">
        <is>
          <t>20415473</t>
        </is>
      </c>
      <c r="G100" s="248" t="inlineStr">
        <is>
          <t>NA</t>
        </is>
      </c>
      <c r="H100" s="248" t="inlineStr">
        <is>
          <t>ONLINE</t>
        </is>
      </c>
      <c r="I100" s="248" t="inlineStr">
        <is>
          <t>DELIVERED</t>
        </is>
      </c>
      <c r="J100" s="248" t="inlineStr">
        <is>
          <t>NA</t>
        </is>
      </c>
      <c r="K100" s="248" t="inlineStr">
        <is>
          <t>NA</t>
        </is>
      </c>
      <c r="L100" s="248" t="inlineStr">
        <is>
          <t>NA</t>
        </is>
      </c>
      <c r="M100" s="248" t="inlineStr">
        <is>
          <t>O2</t>
        </is>
      </c>
      <c r="N100" s="248" t="inlineStr">
        <is>
          <t>9</t>
        </is>
      </c>
      <c r="O100" s="248" t="n">
        <v>320.0</v>
      </c>
      <c r="P100" s="248" t="n">
        <v>0.0</v>
      </c>
      <c r="Q100" s="248" t="n">
        <v>0.0</v>
      </c>
      <c r="R100" s="248" t="n">
        <v>0.0</v>
      </c>
      <c r="S100" s="248" t="n">
        <v>32.0</v>
      </c>
      <c r="T100" s="248" t="n">
        <v>0.0</v>
      </c>
      <c r="U100" s="248" t="n">
        <v>0.0</v>
      </c>
      <c r="V100" s="248" t="n">
        <v>14.4</v>
      </c>
      <c r="W100" s="248" t="n">
        <v>302.4</v>
      </c>
      <c r="X100" s="248" t="n">
        <v>288.0</v>
      </c>
      <c r="Y100" s="248" t="n">
        <v>0.0</v>
      </c>
      <c r="Z100" s="248" t="n">
        <v>0.0</v>
      </c>
      <c r="AA100" s="248" t="n">
        <v>288.0</v>
      </c>
      <c r="AB100" s="248" t="n">
        <v>23.0</v>
      </c>
      <c r="AC100" s="248" t="n">
        <v>66.24</v>
      </c>
      <c r="AD100" s="248" t="n">
        <v>3.97</v>
      </c>
      <c r="AE100" s="248" t="n">
        <v>0.0</v>
      </c>
      <c r="AF100" s="248" t="n">
        <v>0.0</v>
      </c>
      <c r="AG100" s="248" t="n">
        <v>0.0</v>
      </c>
      <c r="AH100" s="248" t="n">
        <v>5.56</v>
      </c>
      <c r="AI100" s="248" t="n">
        <v>71.8</v>
      </c>
      <c r="AJ100" s="248" t="n">
        <v>12.92</v>
      </c>
      <c r="AK100" s="248" t="n">
        <v>0.0</v>
      </c>
      <c r="AL100" s="248" t="n">
        <v>288.0</v>
      </c>
      <c r="AM100" s="248" t="n">
        <v>0.0</v>
      </c>
      <c r="AN100" s="248" t="n">
        <v>0.0</v>
      </c>
      <c r="AO100" s="248" t="n">
        <v>0.29</v>
      </c>
      <c r="AP100" s="248" t="n">
        <v>14.4</v>
      </c>
      <c r="AQ100" s="248" t="n">
        <v>0.0</v>
      </c>
      <c r="AR100" s="248" t="n">
        <v>27.61</v>
      </c>
      <c r="AS100" s="248" t="n">
        <v>0.0</v>
      </c>
      <c r="AT100" s="248" t="n">
        <v>0.0</v>
      </c>
      <c r="AU100" s="248" t="n">
        <v>0.0</v>
      </c>
      <c r="AV100" s="248" t="n">
        <v>0.0</v>
      </c>
      <c r="AW100" s="248" t="n">
        <v>0.0</v>
      </c>
      <c r="AX100" s="248" t="n">
        <v>0.0</v>
      </c>
      <c r="AY100" s="248" t="n">
        <v>0.0</v>
      </c>
      <c r="AZ100" s="248" t="n">
        <v>0.0</v>
      </c>
      <c r="BA100" s="248" t="n">
        <v>0.0</v>
      </c>
      <c r="BB100" s="248" t="n">
        <v>99.41</v>
      </c>
      <c r="BC100" s="248" t="n">
        <v>0.0</v>
      </c>
      <c r="BD100" s="248" t="n">
        <v>202.99</v>
      </c>
      <c r="BE100" s="248" t="inlineStr">
        <is>
          <t>settled</t>
        </is>
      </c>
      <c r="BF100" s="248" t="inlineStr">
        <is>
          <t>2025-12-17 05:30:00</t>
        </is>
      </c>
      <c r="BG100" s="248" t="inlineStr">
        <is>
          <t>CITIN25671235852</t>
        </is>
      </c>
      <c r="BH100" s="248" t="n">
        <v>0.0</v>
      </c>
      <c r="BI100" s="248" t="inlineStr">
        <is>
          <t>9582c4cfbea34406f90d57a084f657c7c87796c4bd54f0fdf221254b63054833</t>
        </is>
      </c>
    </row>
    <row r="101">
      <c r="A101" s="248" t="inlineStr">
        <is>
          <t>93</t>
        </is>
      </c>
      <c r="B101" s="248" t="inlineStr">
        <is>
          <t>7580192254</t>
        </is>
      </c>
      <c r="C101" s="248" t="inlineStr">
        <is>
          <t>2025-12-13 21:17:06</t>
        </is>
      </c>
      <c r="D101" s="248" t="inlineStr">
        <is>
          <t>50</t>
        </is>
      </c>
      <c r="E101" s="248" t="inlineStr">
        <is>
          <t>Bawarchi Baba- By Posh Foods</t>
        </is>
      </c>
      <c r="F101" s="248" t="inlineStr">
        <is>
          <t>20415473</t>
        </is>
      </c>
      <c r="G101" s="248" t="inlineStr">
        <is>
          <t>NA</t>
        </is>
      </c>
      <c r="H101" s="248" t="inlineStr">
        <is>
          <t>ONLINE</t>
        </is>
      </c>
      <c r="I101" s="248" t="inlineStr">
        <is>
          <t>DELIVERED</t>
        </is>
      </c>
      <c r="J101" s="248" t="inlineStr">
        <is>
          <t>NA</t>
        </is>
      </c>
      <c r="K101" s="248" t="inlineStr">
        <is>
          <t>NA</t>
        </is>
      </c>
      <c r="L101" s="248" t="inlineStr">
        <is>
          <t>NA</t>
        </is>
      </c>
      <c r="M101" s="248" t="inlineStr">
        <is>
          <t>O2</t>
        </is>
      </c>
      <c r="N101" s="248" t="inlineStr">
        <is>
          <t>9</t>
        </is>
      </c>
      <c r="O101" s="248" t="n">
        <v>1057.0</v>
      </c>
      <c r="P101" s="248" t="n">
        <v>0.0</v>
      </c>
      <c r="Q101" s="248" t="n">
        <v>0.0</v>
      </c>
      <c r="R101" s="248" t="n">
        <v>0.0</v>
      </c>
      <c r="S101" s="248" t="n">
        <v>105.7</v>
      </c>
      <c r="T101" s="248" t="n">
        <v>0.0</v>
      </c>
      <c r="U101" s="248" t="n">
        <v>0.0</v>
      </c>
      <c r="V101" s="248" t="n">
        <v>47.57</v>
      </c>
      <c r="W101" s="248" t="n">
        <v>998.87</v>
      </c>
      <c r="X101" s="248" t="n">
        <v>951.3</v>
      </c>
      <c r="Y101" s="248" t="n">
        <v>0.0</v>
      </c>
      <c r="Z101" s="248" t="n">
        <v>0.0</v>
      </c>
      <c r="AA101" s="248" t="n">
        <v>951.3</v>
      </c>
      <c r="AB101" s="248" t="n">
        <v>23.0</v>
      </c>
      <c r="AC101" s="248" t="n">
        <v>218.8</v>
      </c>
      <c r="AD101" s="248" t="n">
        <v>3.56</v>
      </c>
      <c r="AE101" s="248" t="n">
        <v>0.0</v>
      </c>
      <c r="AF101" s="248" t="n">
        <v>0.0</v>
      </c>
      <c r="AG101" s="248" t="n">
        <v>0.0</v>
      </c>
      <c r="AH101" s="248" t="n">
        <v>18.38</v>
      </c>
      <c r="AI101" s="248" t="n">
        <v>237.18</v>
      </c>
      <c r="AJ101" s="248" t="n">
        <v>42.69</v>
      </c>
      <c r="AK101" s="248" t="n">
        <v>0.0</v>
      </c>
      <c r="AL101" s="248" t="n">
        <v>951.3</v>
      </c>
      <c r="AM101" s="248" t="n">
        <v>0.0</v>
      </c>
      <c r="AN101" s="248" t="n">
        <v>0.0</v>
      </c>
      <c r="AO101" s="248" t="n">
        <v>0.95</v>
      </c>
      <c r="AP101" s="248" t="n">
        <v>47.57</v>
      </c>
      <c r="AQ101" s="248" t="n">
        <v>0.0</v>
      </c>
      <c r="AR101" s="248" t="n">
        <v>91.21</v>
      </c>
      <c r="AS101" s="248" t="n">
        <v>0.0</v>
      </c>
      <c r="AT101" s="248" t="n">
        <v>0.0</v>
      </c>
      <c r="AU101" s="248" t="n">
        <v>0.0</v>
      </c>
      <c r="AV101" s="248" t="n">
        <v>0.0</v>
      </c>
      <c r="AW101" s="248" t="n">
        <v>0.0</v>
      </c>
      <c r="AX101" s="248" t="n">
        <v>0.0</v>
      </c>
      <c r="AY101" s="248" t="n">
        <v>0.0</v>
      </c>
      <c r="AZ101" s="248" t="n">
        <v>0.0</v>
      </c>
      <c r="BA101" s="248" t="n">
        <v>0.0</v>
      </c>
      <c r="BB101" s="248" t="n">
        <v>328.39</v>
      </c>
      <c r="BC101" s="248" t="n">
        <v>0.0</v>
      </c>
      <c r="BD101" s="248" t="n">
        <v>670.48</v>
      </c>
      <c r="BE101" s="248" t="inlineStr">
        <is>
          <t>settled</t>
        </is>
      </c>
      <c r="BF101" s="248" t="inlineStr">
        <is>
          <t>2025-12-17 05:30:00</t>
        </is>
      </c>
      <c r="BG101" s="248" t="inlineStr">
        <is>
          <t>CITIN25671235852</t>
        </is>
      </c>
      <c r="BH101" s="248" t="n">
        <v>0.0</v>
      </c>
      <c r="BI101" s="248" t="inlineStr">
        <is>
          <t>92dc7d0f91f010226362a68083003e40241394bd7482c456ab173e9460bfb261</t>
        </is>
      </c>
    </row>
    <row r="102">
      <c r="A102" s="248" t="inlineStr">
        <is>
          <t>94</t>
        </is>
      </c>
      <c r="B102" s="248" t="inlineStr">
        <is>
          <t>7575343445</t>
        </is>
      </c>
      <c r="C102" s="248" t="inlineStr">
        <is>
          <t>2025-12-13 21:22:44</t>
        </is>
      </c>
      <c r="D102" s="248" t="inlineStr">
        <is>
          <t>50</t>
        </is>
      </c>
      <c r="E102" s="248" t="inlineStr">
        <is>
          <t>Bawarchi Baba- By Posh Foods</t>
        </is>
      </c>
      <c r="F102" s="248" t="inlineStr">
        <is>
          <t>20415473</t>
        </is>
      </c>
      <c r="G102" s="248" t="inlineStr">
        <is>
          <t>NA</t>
        </is>
      </c>
      <c r="H102" s="248" t="inlineStr">
        <is>
          <t>ONLINE</t>
        </is>
      </c>
      <c r="I102" s="248" t="inlineStr">
        <is>
          <t>DELIVERED</t>
        </is>
      </c>
      <c r="J102" s="248" t="inlineStr">
        <is>
          <t>NA</t>
        </is>
      </c>
      <c r="K102" s="248" t="inlineStr">
        <is>
          <t>NA</t>
        </is>
      </c>
      <c r="L102" s="248" t="inlineStr">
        <is>
          <t>NA</t>
        </is>
      </c>
      <c r="M102" s="248" t="inlineStr">
        <is>
          <t>O2</t>
        </is>
      </c>
      <c r="N102" s="248" t="inlineStr">
        <is>
          <t>7</t>
        </is>
      </c>
      <c r="O102" s="248" t="n">
        <v>488.0</v>
      </c>
      <c r="P102" s="248" t="n">
        <v>0.0</v>
      </c>
      <c r="Q102" s="248" t="n">
        <v>0.0</v>
      </c>
      <c r="R102" s="248" t="n">
        <v>0.0</v>
      </c>
      <c r="S102" s="248" t="n">
        <v>48.8</v>
      </c>
      <c r="T102" s="248" t="n">
        <v>0.0</v>
      </c>
      <c r="U102" s="248" t="n">
        <v>0.0</v>
      </c>
      <c r="V102" s="248" t="n">
        <v>21.96</v>
      </c>
      <c r="W102" s="248" t="n">
        <v>461.16</v>
      </c>
      <c r="X102" s="248" t="n">
        <v>439.2</v>
      </c>
      <c r="Y102" s="248" t="n">
        <v>0.0</v>
      </c>
      <c r="Z102" s="248" t="n">
        <v>0.0</v>
      </c>
      <c r="AA102" s="248" t="n">
        <v>439.2</v>
      </c>
      <c r="AB102" s="248" t="n">
        <v>23.0</v>
      </c>
      <c r="AC102" s="248" t="n">
        <v>101.02</v>
      </c>
      <c r="AD102" s="248" t="n">
        <v>6.34</v>
      </c>
      <c r="AE102" s="248" t="n">
        <v>40.0</v>
      </c>
      <c r="AF102" s="248" t="n">
        <v>0.0</v>
      </c>
      <c r="AG102" s="248" t="n">
        <v>9.26</v>
      </c>
      <c r="AH102" s="248" t="n">
        <v>8.49</v>
      </c>
      <c r="AI102" s="248" t="n">
        <v>140.25</v>
      </c>
      <c r="AJ102" s="248" t="n">
        <v>25.24</v>
      </c>
      <c r="AK102" s="248" t="n">
        <v>0.0</v>
      </c>
      <c r="AL102" s="248" t="n">
        <v>439.2</v>
      </c>
      <c r="AM102" s="248" t="n">
        <v>0.0</v>
      </c>
      <c r="AN102" s="248" t="n">
        <v>0.0</v>
      </c>
      <c r="AO102" s="248" t="n">
        <v>0.44</v>
      </c>
      <c r="AP102" s="248" t="n">
        <v>21.96</v>
      </c>
      <c r="AQ102" s="248" t="n">
        <v>0.0</v>
      </c>
      <c r="AR102" s="248" t="n">
        <v>47.64</v>
      </c>
      <c r="AS102" s="248" t="n">
        <v>0.0</v>
      </c>
      <c r="AT102" s="248" t="n">
        <v>0.0</v>
      </c>
      <c r="AU102" s="248" t="n">
        <v>0.0</v>
      </c>
      <c r="AV102" s="248" t="n">
        <v>0.0</v>
      </c>
      <c r="AW102" s="248" t="n">
        <v>0.0</v>
      </c>
      <c r="AX102" s="248" t="n">
        <v>0.0</v>
      </c>
      <c r="AY102" s="248" t="n">
        <v>0.0</v>
      </c>
      <c r="AZ102" s="248" t="n">
        <v>0.0</v>
      </c>
      <c r="BA102" s="248" t="n">
        <v>0.0</v>
      </c>
      <c r="BB102" s="248" t="n">
        <v>187.89</v>
      </c>
      <c r="BC102" s="248" t="n">
        <v>0.0</v>
      </c>
      <c r="BD102" s="248" t="n">
        <v>273.27</v>
      </c>
      <c r="BE102" s="248" t="inlineStr">
        <is>
          <t>settled</t>
        </is>
      </c>
      <c r="BF102" s="248" t="inlineStr">
        <is>
          <t>2025-12-17 05:30:00</t>
        </is>
      </c>
      <c r="BG102" s="248" t="inlineStr">
        <is>
          <t>CITIN25671235852</t>
        </is>
      </c>
      <c r="BH102" s="248" t="n">
        <v>0.0</v>
      </c>
      <c r="BI102" s="248" t="inlineStr">
        <is>
          <t>a36ac0da6abd91af863efa5ce8f5c8417c42cbcb8f3a3a4bdf72b62c8a73a3f0</t>
        </is>
      </c>
    </row>
    <row r="103">
      <c r="A103" s="248" t="inlineStr">
        <is>
          <t>95</t>
        </is>
      </c>
      <c r="B103" s="248" t="inlineStr">
        <is>
          <t>7580085564</t>
        </is>
      </c>
      <c r="C103" s="248" t="inlineStr">
        <is>
          <t>2025-12-13 21:23:20</t>
        </is>
      </c>
      <c r="D103" s="248" t="inlineStr">
        <is>
          <t>50</t>
        </is>
      </c>
      <c r="E103" s="248" t="inlineStr">
        <is>
          <t>Bawarchi Baba- By Posh Foods</t>
        </is>
      </c>
      <c r="F103" s="248" t="inlineStr">
        <is>
          <t>20415473</t>
        </is>
      </c>
      <c r="G103" s="248" t="inlineStr">
        <is>
          <t>NA</t>
        </is>
      </c>
      <c r="H103" s="248" t="inlineStr">
        <is>
          <t>ONLINE</t>
        </is>
      </c>
      <c r="I103" s="248" t="inlineStr">
        <is>
          <t>DELIVERED</t>
        </is>
      </c>
      <c r="J103" s="248" t="inlineStr">
        <is>
          <t>NA</t>
        </is>
      </c>
      <c r="K103" s="248" t="inlineStr">
        <is>
          <t>NA</t>
        </is>
      </c>
      <c r="L103" s="248" t="inlineStr">
        <is>
          <t>NA</t>
        </is>
      </c>
      <c r="M103" s="248" t="inlineStr">
        <is>
          <t>O2</t>
        </is>
      </c>
      <c r="N103" s="248" t="inlineStr">
        <is>
          <t>9</t>
        </is>
      </c>
      <c r="O103" s="248" t="n">
        <v>524.0</v>
      </c>
      <c r="P103" s="248" t="n">
        <v>0.0</v>
      </c>
      <c r="Q103" s="248" t="n">
        <v>0.0</v>
      </c>
      <c r="R103" s="248" t="n">
        <v>0.0</v>
      </c>
      <c r="S103" s="248" t="n">
        <v>52.4</v>
      </c>
      <c r="T103" s="248" t="n">
        <v>0.0</v>
      </c>
      <c r="U103" s="248" t="n">
        <v>0.0</v>
      </c>
      <c r="V103" s="248" t="n">
        <v>23.58</v>
      </c>
      <c r="W103" s="248" t="n">
        <v>495.18</v>
      </c>
      <c r="X103" s="248" t="n">
        <v>471.6</v>
      </c>
      <c r="Y103" s="248" t="n">
        <v>0.0</v>
      </c>
      <c r="Z103" s="248" t="n">
        <v>0.0</v>
      </c>
      <c r="AA103" s="248" t="n">
        <v>471.6</v>
      </c>
      <c r="AB103" s="248" t="n">
        <v>23.0</v>
      </c>
      <c r="AC103" s="248" t="n">
        <v>108.47</v>
      </c>
      <c r="AD103" s="248" t="n">
        <v>1.53</v>
      </c>
      <c r="AE103" s="248" t="n">
        <v>0.0</v>
      </c>
      <c r="AF103" s="248" t="n">
        <v>0.0</v>
      </c>
      <c r="AG103" s="248" t="n">
        <v>0.0</v>
      </c>
      <c r="AH103" s="248" t="n">
        <v>9.11</v>
      </c>
      <c r="AI103" s="248" t="n">
        <v>117.58</v>
      </c>
      <c r="AJ103" s="248" t="n">
        <v>21.16</v>
      </c>
      <c r="AK103" s="248" t="n">
        <v>0.0</v>
      </c>
      <c r="AL103" s="248" t="n">
        <v>471.6</v>
      </c>
      <c r="AM103" s="248" t="n">
        <v>0.0</v>
      </c>
      <c r="AN103" s="248" t="n">
        <v>0.0</v>
      </c>
      <c r="AO103" s="248" t="n">
        <v>0.47</v>
      </c>
      <c r="AP103" s="248" t="n">
        <v>23.58</v>
      </c>
      <c r="AQ103" s="248" t="n">
        <v>0.0</v>
      </c>
      <c r="AR103" s="248" t="n">
        <v>45.21</v>
      </c>
      <c r="AS103" s="248" t="n">
        <v>0.0</v>
      </c>
      <c r="AT103" s="248" t="n">
        <v>0.0</v>
      </c>
      <c r="AU103" s="248" t="n">
        <v>0.0</v>
      </c>
      <c r="AV103" s="248" t="n">
        <v>0.0</v>
      </c>
      <c r="AW103" s="248" t="n">
        <v>0.0</v>
      </c>
      <c r="AX103" s="248" t="n">
        <v>0.0</v>
      </c>
      <c r="AY103" s="248" t="n">
        <v>0.0</v>
      </c>
      <c r="AZ103" s="248" t="n">
        <v>0.0</v>
      </c>
      <c r="BA103" s="248" t="n">
        <v>0.0</v>
      </c>
      <c r="BB103" s="248" t="n">
        <v>162.79</v>
      </c>
      <c r="BC103" s="248" t="n">
        <v>0.0</v>
      </c>
      <c r="BD103" s="248" t="n">
        <v>332.39</v>
      </c>
      <c r="BE103" s="248" t="inlineStr">
        <is>
          <t>settled</t>
        </is>
      </c>
      <c r="BF103" s="248" t="inlineStr">
        <is>
          <t>2025-12-17 05:30:00</t>
        </is>
      </c>
      <c r="BG103" s="248" t="inlineStr">
        <is>
          <t>CITIN25671235852</t>
        </is>
      </c>
      <c r="BH103" s="248" t="n">
        <v>0.0</v>
      </c>
      <c r="BI103" s="248" t="inlineStr">
        <is>
          <t>184f04c9f9ee7e1d4b27a58b845a8fec53fc17d88e529d707b36843aa13daf5d</t>
        </is>
      </c>
    </row>
    <row r="104">
      <c r="A104" s="248" t="inlineStr">
        <is>
          <t>96</t>
        </is>
      </c>
      <c r="B104" s="248" t="inlineStr">
        <is>
          <t>7577946167</t>
        </is>
      </c>
      <c r="C104" s="248" t="inlineStr">
        <is>
          <t>2025-12-13 21:31:32</t>
        </is>
      </c>
      <c r="D104" s="248" t="inlineStr">
        <is>
          <t>50</t>
        </is>
      </c>
      <c r="E104" s="248" t="inlineStr">
        <is>
          <t>Bawarchi Baba- By Posh Foods</t>
        </is>
      </c>
      <c r="F104" s="248" t="inlineStr">
        <is>
          <t>20415473</t>
        </is>
      </c>
      <c r="G104" s="248" t="inlineStr">
        <is>
          <t>NA</t>
        </is>
      </c>
      <c r="H104" s="248" t="inlineStr">
        <is>
          <t>ONLINE</t>
        </is>
      </c>
      <c r="I104" s="248" t="inlineStr">
        <is>
          <t>DELIVERED</t>
        </is>
      </c>
      <c r="J104" s="248" t="inlineStr">
        <is>
          <t>NA</t>
        </is>
      </c>
      <c r="K104" s="248" t="inlineStr">
        <is>
          <t>NA</t>
        </is>
      </c>
      <c r="L104" s="248" t="inlineStr">
        <is>
          <t>NA</t>
        </is>
      </c>
      <c r="M104" s="248" t="inlineStr">
        <is>
          <t>O2</t>
        </is>
      </c>
      <c r="N104" s="248" t="inlineStr">
        <is>
          <t>9</t>
        </is>
      </c>
      <c r="O104" s="248" t="n">
        <v>294.0</v>
      </c>
      <c r="P104" s="248" t="n">
        <v>0.0</v>
      </c>
      <c r="Q104" s="248" t="n">
        <v>0.0</v>
      </c>
      <c r="R104" s="248" t="n">
        <v>0.0</v>
      </c>
      <c r="S104" s="248" t="n">
        <v>29.4</v>
      </c>
      <c r="T104" s="248" t="n">
        <v>0.0</v>
      </c>
      <c r="U104" s="248" t="n">
        <v>0.0</v>
      </c>
      <c r="V104" s="248" t="n">
        <v>13.23</v>
      </c>
      <c r="W104" s="248" t="n">
        <v>277.83</v>
      </c>
      <c r="X104" s="248" t="n">
        <v>264.6</v>
      </c>
      <c r="Y104" s="248" t="n">
        <v>0.0</v>
      </c>
      <c r="Z104" s="248" t="n">
        <v>0.0</v>
      </c>
      <c r="AA104" s="248" t="n">
        <v>264.6</v>
      </c>
      <c r="AB104" s="248" t="n">
        <v>23.0</v>
      </c>
      <c r="AC104" s="248" t="n">
        <v>60.86</v>
      </c>
      <c r="AD104" s="248" t="n">
        <v>2.7</v>
      </c>
      <c r="AE104" s="248" t="n">
        <v>0.0</v>
      </c>
      <c r="AF104" s="248" t="n">
        <v>0.0</v>
      </c>
      <c r="AG104" s="248" t="n">
        <v>0.0</v>
      </c>
      <c r="AH104" s="248" t="n">
        <v>5.11</v>
      </c>
      <c r="AI104" s="248" t="n">
        <v>65.97</v>
      </c>
      <c r="AJ104" s="248" t="n">
        <v>11.87</v>
      </c>
      <c r="AK104" s="248" t="n">
        <v>0.0</v>
      </c>
      <c r="AL104" s="248" t="n">
        <v>264.6</v>
      </c>
      <c r="AM104" s="248" t="n">
        <v>0.0</v>
      </c>
      <c r="AN104" s="248" t="n">
        <v>0.0</v>
      </c>
      <c r="AO104" s="248" t="n">
        <v>0.26</v>
      </c>
      <c r="AP104" s="248" t="n">
        <v>13.23</v>
      </c>
      <c r="AQ104" s="248" t="n">
        <v>0.0</v>
      </c>
      <c r="AR104" s="248" t="n">
        <v>25.36</v>
      </c>
      <c r="AS104" s="248" t="n">
        <v>0.0</v>
      </c>
      <c r="AT104" s="248" t="n">
        <v>0.0</v>
      </c>
      <c r="AU104" s="248" t="n">
        <v>0.0</v>
      </c>
      <c r="AV104" s="248" t="n">
        <v>0.0</v>
      </c>
      <c r="AW104" s="248" t="n">
        <v>0.0</v>
      </c>
      <c r="AX104" s="248" t="n">
        <v>0.0</v>
      </c>
      <c r="AY104" s="248" t="n">
        <v>0.0</v>
      </c>
      <c r="AZ104" s="248" t="n">
        <v>0.0</v>
      </c>
      <c r="BA104" s="248" t="n">
        <v>0.0</v>
      </c>
      <c r="BB104" s="248" t="n">
        <v>91.33</v>
      </c>
      <c r="BC104" s="248" t="n">
        <v>0.0</v>
      </c>
      <c r="BD104" s="248" t="n">
        <v>186.5</v>
      </c>
      <c r="BE104" s="248" t="inlineStr">
        <is>
          <t>settled</t>
        </is>
      </c>
      <c r="BF104" s="248" t="inlineStr">
        <is>
          <t>2025-12-17 05:30:00</t>
        </is>
      </c>
      <c r="BG104" s="248" t="inlineStr">
        <is>
          <t>CITIN25671235852</t>
        </is>
      </c>
      <c r="BH104" s="248" t="n">
        <v>0.0</v>
      </c>
      <c r="BI104" s="248" t="inlineStr">
        <is>
          <t>4fa4181b123aafbd2b90c55f0e188e3cd4501e844fd33f91d618ec487c6f37f4</t>
        </is>
      </c>
    </row>
    <row r="105">
      <c r="A105" s="248" t="inlineStr">
        <is>
          <t>97</t>
        </is>
      </c>
      <c r="B105" s="248" t="inlineStr">
        <is>
          <t>7569686090</t>
        </is>
      </c>
      <c r="C105" s="248" t="inlineStr">
        <is>
          <t>2025-12-13 22:20:05</t>
        </is>
      </c>
      <c r="D105" s="248" t="inlineStr">
        <is>
          <t>50</t>
        </is>
      </c>
      <c r="E105" s="248" t="inlineStr">
        <is>
          <t>Bawarchi Baba- By Posh Foods</t>
        </is>
      </c>
      <c r="F105" s="248" t="inlineStr">
        <is>
          <t>20415473</t>
        </is>
      </c>
      <c r="G105" s="248" t="inlineStr">
        <is>
          <t>NA</t>
        </is>
      </c>
      <c r="H105" s="248" t="inlineStr">
        <is>
          <t>ONLINE</t>
        </is>
      </c>
      <c r="I105" s="248" t="inlineStr">
        <is>
          <t>DELIVERED</t>
        </is>
      </c>
      <c r="J105" s="248" t="inlineStr">
        <is>
          <t>NA</t>
        </is>
      </c>
      <c r="K105" s="248" t="inlineStr">
        <is>
          <t>NA</t>
        </is>
      </c>
      <c r="L105" s="248" t="inlineStr">
        <is>
          <t>NA</t>
        </is>
      </c>
      <c r="M105" s="248" t="inlineStr">
        <is>
          <t>O2</t>
        </is>
      </c>
      <c r="N105" s="248" t="inlineStr">
        <is>
          <t>9</t>
        </is>
      </c>
      <c r="O105" s="248" t="n">
        <v>299.0</v>
      </c>
      <c r="P105" s="248" t="n">
        <v>0.0</v>
      </c>
      <c r="Q105" s="248" t="n">
        <v>0.0</v>
      </c>
      <c r="R105" s="248" t="n">
        <v>0.0</v>
      </c>
      <c r="S105" s="248" t="n">
        <v>29.9</v>
      </c>
      <c r="T105" s="248" t="n">
        <v>0.0</v>
      </c>
      <c r="U105" s="248" t="n">
        <v>0.0</v>
      </c>
      <c r="V105" s="248" t="n">
        <v>13.46</v>
      </c>
      <c r="W105" s="248" t="n">
        <v>282.56</v>
      </c>
      <c r="X105" s="248" t="n">
        <v>269.1</v>
      </c>
      <c r="Y105" s="248" t="n">
        <v>0.0</v>
      </c>
      <c r="Z105" s="248" t="n">
        <v>0.0</v>
      </c>
      <c r="AA105" s="248" t="n">
        <v>269.1</v>
      </c>
      <c r="AB105" s="248" t="n">
        <v>23.0</v>
      </c>
      <c r="AC105" s="248" t="n">
        <v>61.89</v>
      </c>
      <c r="AD105" s="248" t="n">
        <v>1.59</v>
      </c>
      <c r="AE105" s="248" t="n">
        <v>0.0</v>
      </c>
      <c r="AF105" s="248" t="n">
        <v>0.0</v>
      </c>
      <c r="AG105" s="248" t="n">
        <v>0.0</v>
      </c>
      <c r="AH105" s="248" t="n">
        <v>5.2</v>
      </c>
      <c r="AI105" s="248" t="n">
        <v>67.09</v>
      </c>
      <c r="AJ105" s="248" t="n">
        <v>12.08</v>
      </c>
      <c r="AK105" s="248" t="n">
        <v>0.0</v>
      </c>
      <c r="AL105" s="248" t="n">
        <v>269.1</v>
      </c>
      <c r="AM105" s="248" t="n">
        <v>0.0</v>
      </c>
      <c r="AN105" s="248" t="n">
        <v>0.0</v>
      </c>
      <c r="AO105" s="248" t="n">
        <v>0.27</v>
      </c>
      <c r="AP105" s="248" t="n">
        <v>13.46</v>
      </c>
      <c r="AQ105" s="248" t="n">
        <v>0.0</v>
      </c>
      <c r="AR105" s="248" t="n">
        <v>25.81</v>
      </c>
      <c r="AS105" s="248" t="n">
        <v>0.0</v>
      </c>
      <c r="AT105" s="248" t="n">
        <v>0.0</v>
      </c>
      <c r="AU105" s="248" t="n">
        <v>0.0</v>
      </c>
      <c r="AV105" s="248" t="n">
        <v>0.0</v>
      </c>
      <c r="AW105" s="248" t="n">
        <v>0.0</v>
      </c>
      <c r="AX105" s="248" t="n">
        <v>0.0</v>
      </c>
      <c r="AY105" s="248" t="n">
        <v>0.0</v>
      </c>
      <c r="AZ105" s="248" t="n">
        <v>0.0</v>
      </c>
      <c r="BA105" s="248" t="n">
        <v>0.0</v>
      </c>
      <c r="BB105" s="248" t="n">
        <v>92.9</v>
      </c>
      <c r="BC105" s="248" t="n">
        <v>0.0</v>
      </c>
      <c r="BD105" s="248" t="n">
        <v>189.66</v>
      </c>
      <c r="BE105" s="248" t="inlineStr">
        <is>
          <t>settled</t>
        </is>
      </c>
      <c r="BF105" s="248" t="inlineStr">
        <is>
          <t>2025-12-17 05:30:00</t>
        </is>
      </c>
      <c r="BG105" s="248" t="inlineStr">
        <is>
          <t>CITIN25671235852</t>
        </is>
      </c>
      <c r="BH105" s="248" t="n">
        <v>0.0</v>
      </c>
      <c r="BI105" s="248" t="inlineStr">
        <is>
          <t>e10e86c56de430b4d1badd3cf1474442b11f6e3127757167f4063bf7d94d7b31</t>
        </is>
      </c>
    </row>
    <row r="106">
      <c r="A106" s="248" t="inlineStr">
        <is>
          <t>98</t>
        </is>
      </c>
      <c r="B106" s="248" t="inlineStr">
        <is>
          <t>7580492288</t>
        </is>
      </c>
      <c r="C106" s="248" t="inlineStr">
        <is>
          <t>2025-12-13 22:37:31</t>
        </is>
      </c>
      <c r="D106" s="248" t="inlineStr">
        <is>
          <t>50</t>
        </is>
      </c>
      <c r="E106" s="248" t="inlineStr">
        <is>
          <t>Bawarchi Baba- By Posh Foods</t>
        </is>
      </c>
      <c r="F106" s="248" t="inlineStr">
        <is>
          <t>20415473</t>
        </is>
      </c>
      <c r="G106" s="248" t="inlineStr">
        <is>
          <t>NA</t>
        </is>
      </c>
      <c r="H106" s="248" t="inlineStr">
        <is>
          <t>ONLINE</t>
        </is>
      </c>
      <c r="I106" s="248" t="inlineStr">
        <is>
          <t>DELIVERED</t>
        </is>
      </c>
      <c r="J106" s="248" t="inlineStr">
        <is>
          <t>NA</t>
        </is>
      </c>
      <c r="K106" s="248" t="inlineStr">
        <is>
          <t>NA</t>
        </is>
      </c>
      <c r="L106" s="248" t="inlineStr">
        <is>
          <t>NA</t>
        </is>
      </c>
      <c r="M106" s="248" t="inlineStr">
        <is>
          <t>O2</t>
        </is>
      </c>
      <c r="N106" s="248" t="inlineStr">
        <is>
          <t>9</t>
        </is>
      </c>
      <c r="O106" s="248" t="n">
        <v>455.0</v>
      </c>
      <c r="P106" s="248" t="n">
        <v>0.0</v>
      </c>
      <c r="Q106" s="248" t="n">
        <v>0.0</v>
      </c>
      <c r="R106" s="248" t="n">
        <v>0.0</v>
      </c>
      <c r="S106" s="248" t="n">
        <v>45.5</v>
      </c>
      <c r="T106" s="248" t="n">
        <v>0.0</v>
      </c>
      <c r="U106" s="248" t="n">
        <v>0.0</v>
      </c>
      <c r="V106" s="248" t="n">
        <v>20.48</v>
      </c>
      <c r="W106" s="248" t="n">
        <v>429.98</v>
      </c>
      <c r="X106" s="248" t="n">
        <v>409.5</v>
      </c>
      <c r="Y106" s="248" t="n">
        <v>0.0</v>
      </c>
      <c r="Z106" s="248" t="n">
        <v>0.0</v>
      </c>
      <c r="AA106" s="248" t="n">
        <v>409.5</v>
      </c>
      <c r="AB106" s="248" t="n">
        <v>23.0</v>
      </c>
      <c r="AC106" s="248" t="n">
        <v>94.18</v>
      </c>
      <c r="AD106" s="248" t="n">
        <v>3.0</v>
      </c>
      <c r="AE106" s="248" t="n">
        <v>0.0</v>
      </c>
      <c r="AF106" s="248" t="n">
        <v>0.0</v>
      </c>
      <c r="AG106" s="248" t="n">
        <v>0.0</v>
      </c>
      <c r="AH106" s="248" t="n">
        <v>7.91</v>
      </c>
      <c r="AI106" s="248" t="n">
        <v>102.09</v>
      </c>
      <c r="AJ106" s="248" t="n">
        <v>18.37</v>
      </c>
      <c r="AK106" s="248" t="n">
        <v>0.0</v>
      </c>
      <c r="AL106" s="248" t="n">
        <v>409.5</v>
      </c>
      <c r="AM106" s="248" t="n">
        <v>0.0</v>
      </c>
      <c r="AN106" s="248" t="n">
        <v>0.0</v>
      </c>
      <c r="AO106" s="248" t="n">
        <v>0.41</v>
      </c>
      <c r="AP106" s="248" t="n">
        <v>20.48</v>
      </c>
      <c r="AQ106" s="248" t="n">
        <v>0.0</v>
      </c>
      <c r="AR106" s="248" t="n">
        <v>39.26</v>
      </c>
      <c r="AS106" s="248" t="n">
        <v>0.0</v>
      </c>
      <c r="AT106" s="248" t="n">
        <v>0.0</v>
      </c>
      <c r="AU106" s="248" t="n">
        <v>0.0</v>
      </c>
      <c r="AV106" s="248" t="n">
        <v>0.0</v>
      </c>
      <c r="AW106" s="248" t="n">
        <v>0.0</v>
      </c>
      <c r="AX106" s="248" t="n">
        <v>0.0</v>
      </c>
      <c r="AY106" s="248" t="n">
        <v>0.0</v>
      </c>
      <c r="AZ106" s="248" t="n">
        <v>0.0</v>
      </c>
      <c r="BA106" s="248" t="n">
        <v>0.0</v>
      </c>
      <c r="BB106" s="248" t="n">
        <v>141.35</v>
      </c>
      <c r="BC106" s="248" t="n">
        <v>0.0</v>
      </c>
      <c r="BD106" s="248" t="n">
        <v>288.63</v>
      </c>
      <c r="BE106" s="248" t="inlineStr">
        <is>
          <t>settled</t>
        </is>
      </c>
      <c r="BF106" s="248" t="inlineStr">
        <is>
          <t>2025-12-17 05:30:00</t>
        </is>
      </c>
      <c r="BG106" s="248" t="inlineStr">
        <is>
          <t>CITIN25671235852</t>
        </is>
      </c>
      <c r="BH106" s="248" t="n">
        <v>0.0</v>
      </c>
      <c r="BI106" s="248" t="inlineStr">
        <is>
          <t>4f84cb81a26bfe17b94a602c69670bd0c7435edb0421e28438a4ea2fccd16e7b</t>
        </is>
      </c>
    </row>
    <row r="107">
      <c r="A107" s="248" t="inlineStr">
        <is>
          <t>99</t>
        </is>
      </c>
      <c r="B107" s="248" t="inlineStr">
        <is>
          <t>7576998031</t>
        </is>
      </c>
      <c r="C107" s="248" t="inlineStr">
        <is>
          <t>2025-12-13 23:21:38</t>
        </is>
      </c>
      <c r="D107" s="248" t="inlineStr">
        <is>
          <t>50</t>
        </is>
      </c>
      <c r="E107" s="248" t="inlineStr">
        <is>
          <t>Bawarchi Baba- By Posh Foods</t>
        </is>
      </c>
      <c r="F107" s="248" t="inlineStr">
        <is>
          <t>20415473</t>
        </is>
      </c>
      <c r="G107" s="248" t="inlineStr">
        <is>
          <t>Flat ₹175 off (2025-12-08 - 2031-01-01)</t>
        </is>
      </c>
      <c r="H107" s="248" t="inlineStr">
        <is>
          <t>ONLINE</t>
        </is>
      </c>
      <c r="I107" s="248" t="inlineStr">
        <is>
          <t>DELIVERED</t>
        </is>
      </c>
      <c r="J107" s="248" t="inlineStr">
        <is>
          <t>NA</t>
        </is>
      </c>
      <c r="K107" s="248" t="inlineStr">
        <is>
          <t>NA</t>
        </is>
      </c>
      <c r="L107" s="248" t="inlineStr">
        <is>
          <t>NA</t>
        </is>
      </c>
      <c r="M107" s="248" t="inlineStr">
        <is>
          <t>O2</t>
        </is>
      </c>
      <c r="N107" s="248" t="inlineStr">
        <is>
          <t>9</t>
        </is>
      </c>
      <c r="O107" s="248" t="n">
        <v>805.0</v>
      </c>
      <c r="P107" s="248" t="n">
        <v>0.0</v>
      </c>
      <c r="Q107" s="248" t="n">
        <v>0.0</v>
      </c>
      <c r="R107" s="248" t="n">
        <v>122.0</v>
      </c>
      <c r="S107" s="248" t="n">
        <v>0.0</v>
      </c>
      <c r="T107" s="248" t="n">
        <v>0.0</v>
      </c>
      <c r="U107" s="248" t="n">
        <v>0.0</v>
      </c>
      <c r="V107" s="248" t="n">
        <v>34.15</v>
      </c>
      <c r="W107" s="248" t="n">
        <v>717.15</v>
      </c>
      <c r="X107" s="248" t="n">
        <v>683.0</v>
      </c>
      <c r="Y107" s="248" t="n">
        <v>0.0</v>
      </c>
      <c r="Z107" s="248" t="n">
        <v>0.0</v>
      </c>
      <c r="AA107" s="248" t="n">
        <v>683.0</v>
      </c>
      <c r="AB107" s="248" t="n">
        <v>23.0</v>
      </c>
      <c r="AC107" s="248" t="n">
        <v>157.09</v>
      </c>
      <c r="AD107" s="248" t="n">
        <v>5.95</v>
      </c>
      <c r="AE107" s="248" t="n">
        <v>20.0</v>
      </c>
      <c r="AF107" s="248" t="n">
        <v>0.0</v>
      </c>
      <c r="AG107" s="248" t="n">
        <v>0.0</v>
      </c>
      <c r="AH107" s="248" t="n">
        <v>13.2</v>
      </c>
      <c r="AI107" s="248" t="n">
        <v>190.29</v>
      </c>
      <c r="AJ107" s="248" t="n">
        <v>34.26</v>
      </c>
      <c r="AK107" s="248" t="n">
        <v>0.0</v>
      </c>
      <c r="AL107" s="248" t="n">
        <v>683.0</v>
      </c>
      <c r="AM107" s="248" t="n">
        <v>0.0</v>
      </c>
      <c r="AN107" s="248" t="n">
        <v>0.0</v>
      </c>
      <c r="AO107" s="248" t="n">
        <v>0.68</v>
      </c>
      <c r="AP107" s="248" t="n">
        <v>34.15</v>
      </c>
      <c r="AQ107" s="248" t="n">
        <v>0.0</v>
      </c>
      <c r="AR107" s="248" t="n">
        <v>69.09</v>
      </c>
      <c r="AS107" s="248" t="n">
        <v>0.0</v>
      </c>
      <c r="AT107" s="248" t="n">
        <v>0.0</v>
      </c>
      <c r="AU107" s="248" t="n">
        <v>0.0</v>
      </c>
      <c r="AV107" s="248" t="n">
        <v>0.0</v>
      </c>
      <c r="AW107" s="248" t="n">
        <v>0.0</v>
      </c>
      <c r="AX107" s="248" t="n">
        <v>0.0</v>
      </c>
      <c r="AY107" s="248" t="n">
        <v>0.0</v>
      </c>
      <c r="AZ107" s="248" t="n">
        <v>0.0</v>
      </c>
      <c r="BA107" s="248" t="n">
        <v>0.0</v>
      </c>
      <c r="BB107" s="248" t="n">
        <v>259.38</v>
      </c>
      <c r="BC107" s="248" t="n">
        <v>0.0</v>
      </c>
      <c r="BD107" s="248" t="n">
        <v>457.77</v>
      </c>
      <c r="BE107" s="248" t="inlineStr">
        <is>
          <t>settled</t>
        </is>
      </c>
      <c r="BF107" s="248" t="inlineStr">
        <is>
          <t>2025-12-17 05:30:00</t>
        </is>
      </c>
      <c r="BG107" s="248" t="inlineStr">
        <is>
          <t>CITIN25671235852</t>
        </is>
      </c>
      <c r="BH107" s="248" t="n">
        <v>0.0</v>
      </c>
      <c r="BI107" s="248" t="inlineStr">
        <is>
          <t>71782f7b2ea576ca4c2bd6fe37ea9b95e91cf87242be19ae3cb21f4e401b1a5a</t>
        </is>
      </c>
    </row>
    <row r="108">
      <c r="A108" s="248" t="inlineStr">
        <is>
          <t>100</t>
        </is>
      </c>
      <c r="B108" s="248" t="inlineStr">
        <is>
          <t>7574239150</t>
        </is>
      </c>
      <c r="C108" s="248" t="inlineStr">
        <is>
          <t>2025-12-13 23:35:34</t>
        </is>
      </c>
      <c r="D108" s="248" t="inlineStr">
        <is>
          <t>50</t>
        </is>
      </c>
      <c r="E108" s="248" t="inlineStr">
        <is>
          <t>Bawarchi Baba- By Posh Foods</t>
        </is>
      </c>
      <c r="F108" s="248" t="inlineStr">
        <is>
          <t>20415473</t>
        </is>
      </c>
      <c r="G108" s="248" t="inlineStr">
        <is>
          <t>Flat ₹100 off (2025-12-08 - 2031-01-01)</t>
        </is>
      </c>
      <c r="H108" s="248" t="inlineStr">
        <is>
          <t>ONLINE</t>
        </is>
      </c>
      <c r="I108" s="248" t="inlineStr">
        <is>
          <t>DELIVERED</t>
        </is>
      </c>
      <c r="J108" s="248" t="inlineStr">
        <is>
          <t>NA</t>
        </is>
      </c>
      <c r="K108" s="248" t="inlineStr">
        <is>
          <t>NA</t>
        </is>
      </c>
      <c r="L108" s="248" t="inlineStr">
        <is>
          <t>NA</t>
        </is>
      </c>
      <c r="M108" s="248" t="inlineStr">
        <is>
          <t>O2</t>
        </is>
      </c>
      <c r="N108" s="248" t="inlineStr">
        <is>
          <t>9</t>
        </is>
      </c>
      <c r="O108" s="248" t="n">
        <v>329.0</v>
      </c>
      <c r="P108" s="248" t="n">
        <v>0.0</v>
      </c>
      <c r="Q108" s="248" t="n">
        <v>0.0</v>
      </c>
      <c r="R108" s="248" t="n">
        <v>70.0</v>
      </c>
      <c r="S108" s="248" t="n">
        <v>0.0</v>
      </c>
      <c r="T108" s="248" t="n">
        <v>0.0</v>
      </c>
      <c r="U108" s="248" t="n">
        <v>0.0</v>
      </c>
      <c r="V108" s="248" t="n">
        <v>12.95</v>
      </c>
      <c r="W108" s="248" t="n">
        <v>271.95</v>
      </c>
      <c r="X108" s="248" t="n">
        <v>259.0</v>
      </c>
      <c r="Y108" s="248" t="n">
        <v>0.0</v>
      </c>
      <c r="Z108" s="248" t="n">
        <v>0.0</v>
      </c>
      <c r="AA108" s="248" t="n">
        <v>259.0</v>
      </c>
      <c r="AB108" s="248" t="n">
        <v>23.0</v>
      </c>
      <c r="AC108" s="248" t="n">
        <v>59.57</v>
      </c>
      <c r="AD108" s="248" t="n">
        <v>5.97</v>
      </c>
      <c r="AE108" s="248" t="n">
        <v>20.0</v>
      </c>
      <c r="AF108" s="248" t="n">
        <v>0.0</v>
      </c>
      <c r="AG108" s="248" t="n">
        <v>1.87</v>
      </c>
      <c r="AH108" s="248" t="n">
        <v>5.0</v>
      </c>
      <c r="AI108" s="248" t="n">
        <v>82.7</v>
      </c>
      <c r="AJ108" s="248" t="n">
        <v>14.88</v>
      </c>
      <c r="AK108" s="248" t="n">
        <v>0.0</v>
      </c>
      <c r="AL108" s="248" t="n">
        <v>259.0</v>
      </c>
      <c r="AM108" s="248" t="n">
        <v>0.0</v>
      </c>
      <c r="AN108" s="248" t="n">
        <v>0.0</v>
      </c>
      <c r="AO108" s="248" t="n">
        <v>0.26</v>
      </c>
      <c r="AP108" s="248" t="n">
        <v>12.95</v>
      </c>
      <c r="AQ108" s="248" t="n">
        <v>0.0</v>
      </c>
      <c r="AR108" s="248" t="n">
        <v>28.09</v>
      </c>
      <c r="AS108" s="248" t="n">
        <v>0.0</v>
      </c>
      <c r="AT108" s="248" t="n">
        <v>0.0</v>
      </c>
      <c r="AU108" s="248" t="n">
        <v>0.0</v>
      </c>
      <c r="AV108" s="248" t="n">
        <v>0.0</v>
      </c>
      <c r="AW108" s="248" t="n">
        <v>0.0</v>
      </c>
      <c r="AX108" s="248" t="n">
        <v>0.0</v>
      </c>
      <c r="AY108" s="248" t="n">
        <v>0.0</v>
      </c>
      <c r="AZ108" s="248" t="n">
        <v>0.0</v>
      </c>
      <c r="BA108" s="248" t="n">
        <v>0.0</v>
      </c>
      <c r="BB108" s="248" t="n">
        <v>110.79</v>
      </c>
      <c r="BC108" s="248" t="n">
        <v>0.0</v>
      </c>
      <c r="BD108" s="248" t="n">
        <v>161.16</v>
      </c>
      <c r="BE108" s="248" t="inlineStr">
        <is>
          <t>settled</t>
        </is>
      </c>
      <c r="BF108" s="248" t="inlineStr">
        <is>
          <t>2025-12-17 05:30:00</t>
        </is>
      </c>
      <c r="BG108" s="248" t="inlineStr">
        <is>
          <t>CITIN25671235852</t>
        </is>
      </c>
      <c r="BH108" s="248" t="n">
        <v>0.0</v>
      </c>
      <c r="BI108" s="248" t="inlineStr">
        <is>
          <t>9c8ccc6c3106eab6e17ef4971cf9510e196697122144f2c0e11e63c85efd4187</t>
        </is>
      </c>
    </row>
    <row r="109">
      <c r="A109" s="248" t="inlineStr">
        <is>
          <t>101</t>
        </is>
      </c>
      <c r="B109" s="248" t="inlineStr">
        <is>
          <t>7579287203</t>
        </is>
      </c>
      <c r="C109" s="248" t="inlineStr">
        <is>
          <t>2025-12-14 11:14:41</t>
        </is>
      </c>
      <c r="D109" s="248" t="inlineStr">
        <is>
          <t>50</t>
        </is>
      </c>
      <c r="E109" s="248" t="inlineStr">
        <is>
          <t>Bawarchi Baba- By Posh Foods</t>
        </is>
      </c>
      <c r="F109" s="248" t="inlineStr">
        <is>
          <t>20415473</t>
        </is>
      </c>
      <c r="G109" s="248" t="inlineStr">
        <is>
          <t>Flat ₹125 off (2025-12-08 - 2031-01-01)</t>
        </is>
      </c>
      <c r="H109" s="248" t="inlineStr">
        <is>
          <t>ONLINE</t>
        </is>
      </c>
      <c r="I109" s="248" t="inlineStr">
        <is>
          <t>DELIVERED</t>
        </is>
      </c>
      <c r="J109" s="248" t="inlineStr">
        <is>
          <t>NA</t>
        </is>
      </c>
      <c r="K109" s="248" t="inlineStr">
        <is>
          <t>NA</t>
        </is>
      </c>
      <c r="L109" s="248" t="inlineStr">
        <is>
          <t>NA</t>
        </is>
      </c>
      <c r="M109" s="248" t="inlineStr">
        <is>
          <t>O2</t>
        </is>
      </c>
      <c r="N109" s="248" t="inlineStr">
        <is>
          <t>9</t>
        </is>
      </c>
      <c r="O109" s="248" t="n">
        <v>388.0</v>
      </c>
      <c r="P109" s="248" t="n">
        <v>0.0</v>
      </c>
      <c r="Q109" s="248" t="n">
        <v>0.0</v>
      </c>
      <c r="R109" s="248" t="n">
        <v>87.0</v>
      </c>
      <c r="S109" s="248" t="n">
        <v>0.0</v>
      </c>
      <c r="T109" s="248" t="n">
        <v>0.0</v>
      </c>
      <c r="U109" s="248" t="n">
        <v>0.0</v>
      </c>
      <c r="V109" s="248" t="n">
        <v>15.05</v>
      </c>
      <c r="W109" s="248" t="n">
        <v>316.05</v>
      </c>
      <c r="X109" s="248" t="n">
        <v>301.0</v>
      </c>
      <c r="Y109" s="248" t="n">
        <v>0.0</v>
      </c>
      <c r="Z109" s="248" t="n">
        <v>0.0</v>
      </c>
      <c r="AA109" s="248" t="n">
        <v>301.0</v>
      </c>
      <c r="AB109" s="248" t="n">
        <v>23.0</v>
      </c>
      <c r="AC109" s="248" t="n">
        <v>69.23</v>
      </c>
      <c r="AD109" s="248" t="n">
        <v>1.7</v>
      </c>
      <c r="AE109" s="248" t="n">
        <v>0.0</v>
      </c>
      <c r="AF109" s="248" t="n">
        <v>0.0</v>
      </c>
      <c r="AG109" s="248" t="n">
        <v>0.0</v>
      </c>
      <c r="AH109" s="248" t="n">
        <v>5.82</v>
      </c>
      <c r="AI109" s="248" t="n">
        <v>75.05</v>
      </c>
      <c r="AJ109" s="248" t="n">
        <v>13.51</v>
      </c>
      <c r="AK109" s="248" t="n">
        <v>0.0</v>
      </c>
      <c r="AL109" s="248" t="n">
        <v>301.0</v>
      </c>
      <c r="AM109" s="248" t="n">
        <v>0.0</v>
      </c>
      <c r="AN109" s="248" t="n">
        <v>0.0</v>
      </c>
      <c r="AO109" s="248" t="n">
        <v>0.3</v>
      </c>
      <c r="AP109" s="248" t="n">
        <v>15.05</v>
      </c>
      <c r="AQ109" s="248" t="n">
        <v>0.0</v>
      </c>
      <c r="AR109" s="248" t="n">
        <v>28.86</v>
      </c>
      <c r="AS109" s="248" t="n">
        <v>0.0</v>
      </c>
      <c r="AT109" s="248" t="n">
        <v>0.0</v>
      </c>
      <c r="AU109" s="248" t="n">
        <v>0.0</v>
      </c>
      <c r="AV109" s="248" t="n">
        <v>0.0</v>
      </c>
      <c r="AW109" s="248" t="n">
        <v>0.0</v>
      </c>
      <c r="AX109" s="248" t="n">
        <v>0.0</v>
      </c>
      <c r="AY109" s="248" t="n">
        <v>0.0</v>
      </c>
      <c r="AZ109" s="248" t="n">
        <v>0.0</v>
      </c>
      <c r="BA109" s="248" t="n">
        <v>0.0</v>
      </c>
      <c r="BB109" s="248" t="n">
        <v>103.91</v>
      </c>
      <c r="BC109" s="248" t="n">
        <v>0.0</v>
      </c>
      <c r="BD109" s="248" t="n">
        <v>212.14</v>
      </c>
      <c r="BE109" s="248" t="inlineStr">
        <is>
          <t>settled</t>
        </is>
      </c>
      <c r="BF109" s="248" t="inlineStr">
        <is>
          <t>2025-12-17 05:30:00</t>
        </is>
      </c>
      <c r="BG109" s="248" t="inlineStr">
        <is>
          <t>CITIN25671235852</t>
        </is>
      </c>
      <c r="BH109" s="248" t="n">
        <v>0.0</v>
      </c>
      <c r="BI109" s="248" t="inlineStr">
        <is>
          <t>d9719d32b1db34e5dc18c3ed1a49c0b0a2842c80309b6f1b3829b9f3291ebc05</t>
        </is>
      </c>
    </row>
    <row r="110">
      <c r="A110" s="248" t="inlineStr">
        <is>
          <t>102</t>
        </is>
      </c>
      <c r="B110" s="248" t="inlineStr">
        <is>
          <t>7577024460</t>
        </is>
      </c>
      <c r="C110" s="248" t="inlineStr">
        <is>
          <t>2025-12-14 12:03:27</t>
        </is>
      </c>
      <c r="D110" s="248" t="inlineStr">
        <is>
          <t>50</t>
        </is>
      </c>
      <c r="E110" s="248" t="inlineStr">
        <is>
          <t>Bawarchi Baba- By Posh Foods</t>
        </is>
      </c>
      <c r="F110" s="248" t="inlineStr">
        <is>
          <t>20415473</t>
        </is>
      </c>
      <c r="G110" s="248" t="inlineStr">
        <is>
          <t>Flat ₹125 off (2025-12-08 - 2031-01-01)</t>
        </is>
      </c>
      <c r="H110" s="248" t="inlineStr">
        <is>
          <t>ONLINE</t>
        </is>
      </c>
      <c r="I110" s="248" t="inlineStr">
        <is>
          <t>DELIVERED</t>
        </is>
      </c>
      <c r="J110" s="248" t="inlineStr">
        <is>
          <t>NA</t>
        </is>
      </c>
      <c r="K110" s="248" t="inlineStr">
        <is>
          <t>NA</t>
        </is>
      </c>
      <c r="L110" s="248" t="inlineStr">
        <is>
          <t>NA</t>
        </is>
      </c>
      <c r="M110" s="248" t="inlineStr">
        <is>
          <t>O2</t>
        </is>
      </c>
      <c r="N110" s="248" t="inlineStr">
        <is>
          <t>9</t>
        </is>
      </c>
      <c r="O110" s="248" t="n">
        <v>518.0</v>
      </c>
      <c r="P110" s="248" t="n">
        <v>0.0</v>
      </c>
      <c r="Q110" s="248" t="n">
        <v>0.0</v>
      </c>
      <c r="R110" s="248" t="n">
        <v>125.0</v>
      </c>
      <c r="S110" s="248" t="n">
        <v>0.0</v>
      </c>
      <c r="T110" s="248" t="n">
        <v>0.0</v>
      </c>
      <c r="U110" s="248" t="n">
        <v>0.0</v>
      </c>
      <c r="V110" s="248" t="n">
        <v>19.65</v>
      </c>
      <c r="W110" s="248" t="n">
        <v>412.65</v>
      </c>
      <c r="X110" s="248" t="n">
        <v>393.0</v>
      </c>
      <c r="Y110" s="248" t="n">
        <v>0.0</v>
      </c>
      <c r="Z110" s="248" t="n">
        <v>0.0</v>
      </c>
      <c r="AA110" s="248" t="n">
        <v>393.0</v>
      </c>
      <c r="AB110" s="248" t="n">
        <v>23.0</v>
      </c>
      <c r="AC110" s="248" t="n">
        <v>90.39</v>
      </c>
      <c r="AD110" s="248" t="n">
        <v>1.48</v>
      </c>
      <c r="AE110" s="248" t="n">
        <v>0.0</v>
      </c>
      <c r="AF110" s="248" t="n">
        <v>0.0</v>
      </c>
      <c r="AG110" s="248" t="n">
        <v>0.0</v>
      </c>
      <c r="AH110" s="248" t="n">
        <v>7.59</v>
      </c>
      <c r="AI110" s="248" t="n">
        <v>97.98</v>
      </c>
      <c r="AJ110" s="248" t="n">
        <v>17.64</v>
      </c>
      <c r="AK110" s="248" t="n">
        <v>0.0</v>
      </c>
      <c r="AL110" s="248" t="n">
        <v>393.0</v>
      </c>
      <c r="AM110" s="248" t="n">
        <v>0.0</v>
      </c>
      <c r="AN110" s="248" t="n">
        <v>0.0</v>
      </c>
      <c r="AO110" s="248" t="n">
        <v>0.39</v>
      </c>
      <c r="AP110" s="248" t="n">
        <v>19.65</v>
      </c>
      <c r="AQ110" s="248" t="n">
        <v>0.0</v>
      </c>
      <c r="AR110" s="248" t="n">
        <v>37.68</v>
      </c>
      <c r="AS110" s="248" t="n">
        <v>0.0</v>
      </c>
      <c r="AT110" s="248" t="n">
        <v>0.0</v>
      </c>
      <c r="AU110" s="248" t="n">
        <v>0.0</v>
      </c>
      <c r="AV110" s="248" t="n">
        <v>0.0</v>
      </c>
      <c r="AW110" s="248" t="n">
        <v>0.0</v>
      </c>
      <c r="AX110" s="248" t="n">
        <v>0.0</v>
      </c>
      <c r="AY110" s="248" t="n">
        <v>0.0</v>
      </c>
      <c r="AZ110" s="248" t="n">
        <v>0.0</v>
      </c>
      <c r="BA110" s="248" t="n">
        <v>0.0</v>
      </c>
      <c r="BB110" s="248" t="n">
        <v>135.66</v>
      </c>
      <c r="BC110" s="248" t="n">
        <v>0.0</v>
      </c>
      <c r="BD110" s="248" t="n">
        <v>276.99</v>
      </c>
      <c r="BE110" s="248" t="inlineStr">
        <is>
          <t>settled</t>
        </is>
      </c>
      <c r="BF110" s="248" t="inlineStr">
        <is>
          <t>2025-12-17 05:30:00</t>
        </is>
      </c>
      <c r="BG110" s="248" t="inlineStr">
        <is>
          <t>CITIN25671235852</t>
        </is>
      </c>
      <c r="BH110" s="248" t="n">
        <v>0.0</v>
      </c>
      <c r="BI110" s="248" t="inlineStr">
        <is>
          <t>34c542e590b0c6f5fd653a37c97eb71bcae94856347c5deb11f14fd697d7d7db</t>
        </is>
      </c>
    </row>
    <row r="111">
      <c r="A111" s="248" t="inlineStr">
        <is>
          <t>103</t>
        </is>
      </c>
      <c r="B111" s="248" t="inlineStr">
        <is>
          <t>7580603746</t>
        </is>
      </c>
      <c r="C111" s="248" t="inlineStr">
        <is>
          <t>2025-12-14 12:37:10</t>
        </is>
      </c>
      <c r="D111" s="248" t="inlineStr">
        <is>
          <t>50</t>
        </is>
      </c>
      <c r="E111" s="248" t="inlineStr">
        <is>
          <t>Bawarchi Baba- By Posh Foods</t>
        </is>
      </c>
      <c r="F111" s="248" t="inlineStr">
        <is>
          <t>20415473</t>
        </is>
      </c>
      <c r="G111" s="248" t="inlineStr">
        <is>
          <t>NA</t>
        </is>
      </c>
      <c r="H111" s="248" t="inlineStr">
        <is>
          <t>ONLINE</t>
        </is>
      </c>
      <c r="I111" s="248" t="inlineStr">
        <is>
          <t>DELIVERED</t>
        </is>
      </c>
      <c r="J111" s="248" t="inlineStr">
        <is>
          <t>NA</t>
        </is>
      </c>
      <c r="K111" s="248" t="inlineStr">
        <is>
          <t>NA</t>
        </is>
      </c>
      <c r="L111" s="248" t="inlineStr">
        <is>
          <t>NA</t>
        </is>
      </c>
      <c r="M111" s="248" t="inlineStr">
        <is>
          <t>O2</t>
        </is>
      </c>
      <c r="N111" s="248" t="inlineStr">
        <is>
          <t>9</t>
        </is>
      </c>
      <c r="O111" s="248" t="n">
        <v>336.0</v>
      </c>
      <c r="P111" s="248" t="n">
        <v>0.0</v>
      </c>
      <c r="Q111" s="248" t="n">
        <v>0.0</v>
      </c>
      <c r="R111" s="248" t="n">
        <v>0.0</v>
      </c>
      <c r="S111" s="248" t="n">
        <v>0.0</v>
      </c>
      <c r="T111" s="248" t="n">
        <v>0.0</v>
      </c>
      <c r="U111" s="248" t="n">
        <v>0.0</v>
      </c>
      <c r="V111" s="248" t="n">
        <v>16.8</v>
      </c>
      <c r="W111" s="248" t="n">
        <v>352.8</v>
      </c>
      <c r="X111" s="248" t="n">
        <v>336.0</v>
      </c>
      <c r="Y111" s="248" t="n">
        <v>0.0</v>
      </c>
      <c r="Z111" s="248" t="n">
        <v>0.0</v>
      </c>
      <c r="AA111" s="248" t="n">
        <v>336.0</v>
      </c>
      <c r="AB111" s="248" t="n">
        <v>23.0</v>
      </c>
      <c r="AC111" s="248" t="n">
        <v>77.28</v>
      </c>
      <c r="AD111" s="248" t="n">
        <v>6.48</v>
      </c>
      <c r="AE111" s="248" t="n">
        <v>40.0</v>
      </c>
      <c r="AF111" s="248" t="n">
        <v>0.0</v>
      </c>
      <c r="AG111" s="248" t="n">
        <v>16.48</v>
      </c>
      <c r="AH111" s="248" t="n">
        <v>6.49</v>
      </c>
      <c r="AI111" s="248" t="n">
        <v>107.29</v>
      </c>
      <c r="AJ111" s="248" t="n">
        <v>19.31</v>
      </c>
      <c r="AK111" s="248" t="n">
        <v>0.0</v>
      </c>
      <c r="AL111" s="248" t="n">
        <v>336.0</v>
      </c>
      <c r="AM111" s="248" t="n">
        <v>0.0</v>
      </c>
      <c r="AN111" s="248" t="n">
        <v>0.0</v>
      </c>
      <c r="AO111" s="248" t="n">
        <v>0.34</v>
      </c>
      <c r="AP111" s="248" t="n">
        <v>16.8</v>
      </c>
      <c r="AQ111" s="248" t="n">
        <v>0.0</v>
      </c>
      <c r="AR111" s="248" t="n">
        <v>36.45</v>
      </c>
      <c r="AS111" s="248" t="n">
        <v>0.0</v>
      </c>
      <c r="AT111" s="248" t="n">
        <v>0.0</v>
      </c>
      <c r="AU111" s="248" t="n">
        <v>0.0</v>
      </c>
      <c r="AV111" s="248" t="n">
        <v>0.0</v>
      </c>
      <c r="AW111" s="248" t="n">
        <v>0.0</v>
      </c>
      <c r="AX111" s="248" t="n">
        <v>0.0</v>
      </c>
      <c r="AY111" s="248" t="n">
        <v>0.0</v>
      </c>
      <c r="AZ111" s="248" t="n">
        <v>0.0</v>
      </c>
      <c r="BA111" s="248" t="n">
        <v>0.0</v>
      </c>
      <c r="BB111" s="248" t="n">
        <v>143.74</v>
      </c>
      <c r="BC111" s="248" t="n">
        <v>0.0</v>
      </c>
      <c r="BD111" s="248" t="n">
        <v>209.06</v>
      </c>
      <c r="BE111" s="248" t="inlineStr">
        <is>
          <t>settled</t>
        </is>
      </c>
      <c r="BF111" s="248" t="inlineStr">
        <is>
          <t>2025-12-17 05:30:00</t>
        </is>
      </c>
      <c r="BG111" s="248" t="inlineStr">
        <is>
          <t>CITIN25671235852</t>
        </is>
      </c>
      <c r="BH111" s="248" t="n">
        <v>0.0</v>
      </c>
      <c r="BI111" s="248" t="inlineStr">
        <is>
          <t>5828dd013c4211c2bcef561502035ebd6eaf14487aaad39abfe2d226982d2c2e</t>
        </is>
      </c>
    </row>
    <row r="112">
      <c r="A112" s="248" t="inlineStr">
        <is>
          <t>104</t>
        </is>
      </c>
      <c r="B112" s="248" t="inlineStr">
        <is>
          <t>7580512046</t>
        </is>
      </c>
      <c r="C112" s="248" t="inlineStr">
        <is>
          <t>2025-12-14 12:47:20</t>
        </is>
      </c>
      <c r="D112" s="248" t="inlineStr">
        <is>
          <t>50</t>
        </is>
      </c>
      <c r="E112" s="248" t="inlineStr">
        <is>
          <t>Bawarchi Baba- By Posh Foods</t>
        </is>
      </c>
      <c r="F112" s="248" t="inlineStr">
        <is>
          <t>20415473</t>
        </is>
      </c>
      <c r="G112" s="248" t="inlineStr">
        <is>
          <t>Flat 30% off (2025-10-17 - 2031-01-01)</t>
        </is>
      </c>
      <c r="H112" s="248" t="inlineStr">
        <is>
          <t>ONLINE</t>
        </is>
      </c>
      <c r="I112" s="248" t="inlineStr">
        <is>
          <t>DELIVERED</t>
        </is>
      </c>
      <c r="J112" s="248" t="inlineStr">
        <is>
          <t>NA</t>
        </is>
      </c>
      <c r="K112" s="248" t="inlineStr">
        <is>
          <t>NA</t>
        </is>
      </c>
      <c r="L112" s="248" t="inlineStr">
        <is>
          <t>NA</t>
        </is>
      </c>
      <c r="M112" s="248" t="inlineStr">
        <is>
          <t>O2</t>
        </is>
      </c>
      <c r="N112" s="248" t="inlineStr">
        <is>
          <t>9</t>
        </is>
      </c>
      <c r="O112" s="248" t="n">
        <v>1317.0</v>
      </c>
      <c r="P112" s="248" t="n">
        <v>0.0</v>
      </c>
      <c r="Q112" s="248" t="n">
        <v>0.0</v>
      </c>
      <c r="R112" s="248" t="n">
        <v>316.08</v>
      </c>
      <c r="S112" s="248" t="n">
        <v>0.0</v>
      </c>
      <c r="T112" s="248" t="n">
        <v>0.0</v>
      </c>
      <c r="U112" s="248" t="n">
        <v>0.0</v>
      </c>
      <c r="V112" s="248" t="n">
        <v>50.05</v>
      </c>
      <c r="W112" s="248" t="n">
        <v>1050.97</v>
      </c>
      <c r="X112" s="248" t="n">
        <v>1000.92</v>
      </c>
      <c r="Y112" s="248" t="n">
        <v>0.0</v>
      </c>
      <c r="Z112" s="248" t="n">
        <v>0.0</v>
      </c>
      <c r="AA112" s="248" t="n">
        <v>1000.92</v>
      </c>
      <c r="AB112" s="248" t="n">
        <v>23.0</v>
      </c>
      <c r="AC112" s="248" t="n">
        <v>230.21</v>
      </c>
      <c r="AD112" s="248" t="n">
        <v>3.17</v>
      </c>
      <c r="AE112" s="248" t="n">
        <v>0.0</v>
      </c>
      <c r="AF112" s="248" t="n">
        <v>0.0</v>
      </c>
      <c r="AG112" s="248" t="n">
        <v>0.0</v>
      </c>
      <c r="AH112" s="248" t="n">
        <v>19.34</v>
      </c>
      <c r="AI112" s="248" t="n">
        <v>249.55</v>
      </c>
      <c r="AJ112" s="248" t="n">
        <v>44.92</v>
      </c>
      <c r="AK112" s="248" t="n">
        <v>0.0</v>
      </c>
      <c r="AL112" s="248" t="n">
        <v>1000.92</v>
      </c>
      <c r="AM112" s="248" t="n">
        <v>0.0</v>
      </c>
      <c r="AN112" s="248" t="n">
        <v>0.0</v>
      </c>
      <c r="AO112" s="248" t="n">
        <v>1.0</v>
      </c>
      <c r="AP112" s="248" t="n">
        <v>50.05</v>
      </c>
      <c r="AQ112" s="248" t="n">
        <v>0.0</v>
      </c>
      <c r="AR112" s="248" t="n">
        <v>95.97</v>
      </c>
      <c r="AS112" s="248" t="n">
        <v>0.0</v>
      </c>
      <c r="AT112" s="248" t="n">
        <v>0.0</v>
      </c>
      <c r="AU112" s="248" t="n">
        <v>0.0</v>
      </c>
      <c r="AV112" s="248" t="n">
        <v>0.0</v>
      </c>
      <c r="AW112" s="248" t="n">
        <v>0.0</v>
      </c>
      <c r="AX112" s="248" t="n">
        <v>0.0</v>
      </c>
      <c r="AY112" s="248" t="n">
        <v>0.0</v>
      </c>
      <c r="AZ112" s="248" t="n">
        <v>0.0</v>
      </c>
      <c r="BA112" s="248" t="n">
        <v>0.0</v>
      </c>
      <c r="BB112" s="248" t="n">
        <v>345.52</v>
      </c>
      <c r="BC112" s="248" t="n">
        <v>0.0</v>
      </c>
      <c r="BD112" s="248" t="n">
        <v>705.45</v>
      </c>
      <c r="BE112" s="248" t="inlineStr">
        <is>
          <t>settled</t>
        </is>
      </c>
      <c r="BF112" s="248" t="inlineStr">
        <is>
          <t>2025-12-17 05:30:00</t>
        </is>
      </c>
      <c r="BG112" s="248" t="inlineStr">
        <is>
          <t>CITIN25671235852</t>
        </is>
      </c>
      <c r="BH112" s="248" t="n">
        <v>0.0</v>
      </c>
      <c r="BI112" s="248" t="inlineStr">
        <is>
          <t>07ef4191b0d1b238dd65ebca631acfc1ec2df3958c372af4e68e3c7310ff32df</t>
        </is>
      </c>
    </row>
    <row r="113">
      <c r="A113" s="248" t="inlineStr">
        <is>
          <t>105</t>
        </is>
      </c>
      <c r="B113" s="248" t="inlineStr">
        <is>
          <t>7580156619</t>
        </is>
      </c>
      <c r="C113" s="248" t="inlineStr">
        <is>
          <t>2025-12-14 13:19:56</t>
        </is>
      </c>
      <c r="D113" s="248" t="inlineStr">
        <is>
          <t>50</t>
        </is>
      </c>
      <c r="E113" s="248" t="inlineStr">
        <is>
          <t>Bawarchi Baba- By Posh Foods</t>
        </is>
      </c>
      <c r="F113" s="248" t="inlineStr">
        <is>
          <t>20415473</t>
        </is>
      </c>
      <c r="G113" s="248" t="inlineStr">
        <is>
          <t>Flat ₹100 off (2025-12-08 - 2031-01-01)</t>
        </is>
      </c>
      <c r="H113" s="248" t="inlineStr">
        <is>
          <t>ONLINE</t>
        </is>
      </c>
      <c r="I113" s="248" t="inlineStr">
        <is>
          <t>DELIVERED</t>
        </is>
      </c>
      <c r="J113" s="248" t="inlineStr">
        <is>
          <t>NA</t>
        </is>
      </c>
      <c r="K113" s="248" t="inlineStr">
        <is>
          <t>NA</t>
        </is>
      </c>
      <c r="L113" s="248" t="inlineStr">
        <is>
          <t>NA</t>
        </is>
      </c>
      <c r="M113" s="248" t="inlineStr">
        <is>
          <t>O2</t>
        </is>
      </c>
      <c r="N113" s="248" t="inlineStr">
        <is>
          <t>9</t>
        </is>
      </c>
      <c r="O113" s="248" t="n">
        <v>335.0</v>
      </c>
      <c r="P113" s="248" t="n">
        <v>0.0</v>
      </c>
      <c r="Q113" s="248" t="n">
        <v>0.0</v>
      </c>
      <c r="R113" s="248" t="n">
        <v>70.0</v>
      </c>
      <c r="S113" s="248" t="n">
        <v>0.0</v>
      </c>
      <c r="T113" s="248" t="n">
        <v>0.0</v>
      </c>
      <c r="U113" s="248" t="n">
        <v>0.0</v>
      </c>
      <c r="V113" s="248" t="n">
        <v>13.25</v>
      </c>
      <c r="W113" s="248" t="n">
        <v>278.25</v>
      </c>
      <c r="X113" s="248" t="n">
        <v>265.0</v>
      </c>
      <c r="Y113" s="248" t="n">
        <v>0.0</v>
      </c>
      <c r="Z113" s="248" t="n">
        <v>0.0</v>
      </c>
      <c r="AA113" s="248" t="n">
        <v>265.0</v>
      </c>
      <c r="AB113" s="248" t="n">
        <v>23.0</v>
      </c>
      <c r="AC113" s="248" t="n">
        <v>60.95</v>
      </c>
      <c r="AD113" s="248" t="n">
        <v>6.99</v>
      </c>
      <c r="AE113" s="248" t="n">
        <v>40.0</v>
      </c>
      <c r="AF113" s="248" t="n">
        <v>0.0</v>
      </c>
      <c r="AG113" s="248" t="n">
        <v>21.45</v>
      </c>
      <c r="AH113" s="248" t="n">
        <v>5.12</v>
      </c>
      <c r="AI113" s="248" t="n">
        <v>84.62</v>
      </c>
      <c r="AJ113" s="248" t="n">
        <v>15.23</v>
      </c>
      <c r="AK113" s="248" t="n">
        <v>0.0</v>
      </c>
      <c r="AL113" s="248" t="n">
        <v>265.0</v>
      </c>
      <c r="AM113" s="248" t="n">
        <v>0.0</v>
      </c>
      <c r="AN113" s="248" t="n">
        <v>0.0</v>
      </c>
      <c r="AO113" s="248" t="n">
        <v>0.26</v>
      </c>
      <c r="AP113" s="248" t="n">
        <v>13.25</v>
      </c>
      <c r="AQ113" s="248" t="n">
        <v>0.0</v>
      </c>
      <c r="AR113" s="248" t="n">
        <v>28.74</v>
      </c>
      <c r="AS113" s="248" t="n">
        <v>0.0</v>
      </c>
      <c r="AT113" s="248" t="n">
        <v>0.0</v>
      </c>
      <c r="AU113" s="248" t="n">
        <v>0.0</v>
      </c>
      <c r="AV113" s="248" t="n">
        <v>0.0</v>
      </c>
      <c r="AW113" s="248" t="n">
        <v>0.0</v>
      </c>
      <c r="AX113" s="248" t="n">
        <v>0.0</v>
      </c>
      <c r="AY113" s="248" t="n">
        <v>0.0</v>
      </c>
      <c r="AZ113" s="248" t="n">
        <v>0.0</v>
      </c>
      <c r="BA113" s="248" t="n">
        <v>0.0</v>
      </c>
      <c r="BB113" s="248" t="n">
        <v>113.36</v>
      </c>
      <c r="BC113" s="248" t="n">
        <v>0.0</v>
      </c>
      <c r="BD113" s="248" t="n">
        <v>164.89</v>
      </c>
      <c r="BE113" s="248" t="inlineStr">
        <is>
          <t>settled</t>
        </is>
      </c>
      <c r="BF113" s="248" t="inlineStr">
        <is>
          <t>2025-12-17 05:30:00</t>
        </is>
      </c>
      <c r="BG113" s="248" t="inlineStr">
        <is>
          <t>CITIN25671235852</t>
        </is>
      </c>
      <c r="BH113" s="248" t="n">
        <v>0.0</v>
      </c>
      <c r="BI113" s="248" t="inlineStr">
        <is>
          <t>a388a97c6d7f499e6137e95355b85fe6609a813608b82ef88e2d5dfe23bfb047</t>
        </is>
      </c>
    </row>
    <row r="114">
      <c r="A114" s="248" t="inlineStr">
        <is>
          <t>106</t>
        </is>
      </c>
      <c r="B114" s="248" t="inlineStr">
        <is>
          <t>7581246112</t>
        </is>
      </c>
      <c r="C114" s="248" t="inlineStr">
        <is>
          <t>2025-12-14 18:23:52</t>
        </is>
      </c>
      <c r="D114" s="248" t="inlineStr">
        <is>
          <t>50</t>
        </is>
      </c>
      <c r="E114" s="248" t="inlineStr">
        <is>
          <t>Bawarchi Baba- By Posh Foods</t>
        </is>
      </c>
      <c r="F114" s="248" t="inlineStr">
        <is>
          <t>20415473</t>
        </is>
      </c>
      <c r="G114" s="248" t="inlineStr">
        <is>
          <t>Flat ₹175 off (2025-12-08 - 2031-01-01)</t>
        </is>
      </c>
      <c r="H114" s="248" t="inlineStr">
        <is>
          <t>ONLINE</t>
        </is>
      </c>
      <c r="I114" s="248" t="inlineStr">
        <is>
          <t>DELIVERED</t>
        </is>
      </c>
      <c r="J114" s="248" t="inlineStr">
        <is>
          <t>NA</t>
        </is>
      </c>
      <c r="K114" s="248" t="inlineStr">
        <is>
          <t>NA</t>
        </is>
      </c>
      <c r="L114" s="248" t="inlineStr">
        <is>
          <t>NA</t>
        </is>
      </c>
      <c r="M114" s="248" t="inlineStr">
        <is>
          <t>O2</t>
        </is>
      </c>
      <c r="N114" s="248" t="inlineStr">
        <is>
          <t>9</t>
        </is>
      </c>
      <c r="O114" s="248" t="n">
        <v>1300.0</v>
      </c>
      <c r="P114" s="248" t="n">
        <v>0.0</v>
      </c>
      <c r="Q114" s="248" t="n">
        <v>0.0</v>
      </c>
      <c r="R114" s="248" t="n">
        <v>175.0</v>
      </c>
      <c r="S114" s="248" t="n">
        <v>0.0</v>
      </c>
      <c r="T114" s="248" t="n">
        <v>0.0</v>
      </c>
      <c r="U114" s="248" t="n">
        <v>0.0</v>
      </c>
      <c r="V114" s="248" t="n">
        <v>56.25</v>
      </c>
      <c r="W114" s="248" t="n">
        <v>1181.25</v>
      </c>
      <c r="X114" s="248" t="n">
        <v>1125.0</v>
      </c>
      <c r="Y114" s="248" t="n">
        <v>0.0</v>
      </c>
      <c r="Z114" s="248" t="n">
        <v>0.0</v>
      </c>
      <c r="AA114" s="248" t="n">
        <v>1125.0</v>
      </c>
      <c r="AB114" s="248" t="n">
        <v>23.0</v>
      </c>
      <c r="AC114" s="248" t="n">
        <v>258.75</v>
      </c>
      <c r="AD114" s="248" t="n">
        <v>4.66</v>
      </c>
      <c r="AE114" s="248" t="n">
        <v>20.0</v>
      </c>
      <c r="AF114" s="248" t="n">
        <v>0.0</v>
      </c>
      <c r="AG114" s="248" t="n">
        <v>0.0</v>
      </c>
      <c r="AH114" s="248" t="n">
        <v>21.74</v>
      </c>
      <c r="AI114" s="248" t="n">
        <v>300.49</v>
      </c>
      <c r="AJ114" s="248" t="n">
        <v>54.09</v>
      </c>
      <c r="AK114" s="248" t="n">
        <v>0.0</v>
      </c>
      <c r="AL114" s="248" t="n">
        <v>1125.0</v>
      </c>
      <c r="AM114" s="248" t="n">
        <v>0.0</v>
      </c>
      <c r="AN114" s="248" t="n">
        <v>0.0</v>
      </c>
      <c r="AO114" s="248" t="n">
        <v>1.12</v>
      </c>
      <c r="AP114" s="248" t="n">
        <v>56.25</v>
      </c>
      <c r="AQ114" s="248" t="n">
        <v>0.0</v>
      </c>
      <c r="AR114" s="248" t="n">
        <v>111.46</v>
      </c>
      <c r="AS114" s="248" t="n">
        <v>0.0</v>
      </c>
      <c r="AT114" s="248" t="n">
        <v>0.0</v>
      </c>
      <c r="AU114" s="248" t="n">
        <v>0.0</v>
      </c>
      <c r="AV114" s="248" t="n">
        <v>0.0</v>
      </c>
      <c r="AW114" s="248" t="n">
        <v>0.0</v>
      </c>
      <c r="AX114" s="248" t="n">
        <v>0.0</v>
      </c>
      <c r="AY114" s="248" t="n">
        <v>0.0</v>
      </c>
      <c r="AZ114" s="248" t="n">
        <v>0.0</v>
      </c>
      <c r="BA114" s="248" t="n">
        <v>0.0</v>
      </c>
      <c r="BB114" s="248" t="n">
        <v>411.95</v>
      </c>
      <c r="BC114" s="248" t="n">
        <v>0.0</v>
      </c>
      <c r="BD114" s="248" t="n">
        <v>769.3</v>
      </c>
      <c r="BE114" s="248" t="inlineStr">
        <is>
          <t>settled</t>
        </is>
      </c>
      <c r="BF114" s="248" t="inlineStr">
        <is>
          <t>2025-12-17 05:30:00</t>
        </is>
      </c>
      <c r="BG114" s="248" t="inlineStr">
        <is>
          <t>CITIN25671235852</t>
        </is>
      </c>
      <c r="BH114" s="248" t="n">
        <v>0.0</v>
      </c>
      <c r="BI114" s="248" t="inlineStr">
        <is>
          <t>04d40331234e03d2646356418166452a8b8640c5ab1779db41acf63b498aae14</t>
        </is>
      </c>
    </row>
    <row r="115">
      <c r="A115" s="248" t="inlineStr">
        <is>
          <t>107</t>
        </is>
      </c>
      <c r="B115" s="248" t="inlineStr">
        <is>
          <t>7578718285</t>
        </is>
      </c>
      <c r="C115" s="248" t="inlineStr">
        <is>
          <t>2025-12-14 18:29:54</t>
        </is>
      </c>
      <c r="D115" s="248" t="inlineStr">
        <is>
          <t>50</t>
        </is>
      </c>
      <c r="E115" s="248" t="inlineStr">
        <is>
          <t>Bawarchi Baba- By Posh Foods</t>
        </is>
      </c>
      <c r="F115" s="248" t="inlineStr">
        <is>
          <t>20415473</t>
        </is>
      </c>
      <c r="G115" s="248" t="inlineStr">
        <is>
          <t>Flat ₹100 off (2025-12-08 - 2031-01-01)</t>
        </is>
      </c>
      <c r="H115" s="248" t="inlineStr">
        <is>
          <t>ONLINE</t>
        </is>
      </c>
      <c r="I115" s="248" t="inlineStr">
        <is>
          <t>DELIVERED</t>
        </is>
      </c>
      <c r="J115" s="248" t="inlineStr">
        <is>
          <t>NA</t>
        </is>
      </c>
      <c r="K115" s="248" t="inlineStr">
        <is>
          <t>NA</t>
        </is>
      </c>
      <c r="L115" s="248" t="inlineStr">
        <is>
          <t>NA</t>
        </is>
      </c>
      <c r="M115" s="248" t="inlineStr">
        <is>
          <t>O2</t>
        </is>
      </c>
      <c r="N115" s="248" t="inlineStr">
        <is>
          <t>9</t>
        </is>
      </c>
      <c r="O115" s="248" t="n">
        <v>309.0</v>
      </c>
      <c r="P115" s="248" t="n">
        <v>0.0</v>
      </c>
      <c r="Q115" s="248" t="n">
        <v>0.0</v>
      </c>
      <c r="R115" s="248" t="n">
        <v>70.0</v>
      </c>
      <c r="S115" s="248" t="n">
        <v>0.0</v>
      </c>
      <c r="T115" s="248" t="n">
        <v>0.0</v>
      </c>
      <c r="U115" s="248" t="n">
        <v>0.0</v>
      </c>
      <c r="V115" s="248" t="n">
        <v>11.95</v>
      </c>
      <c r="W115" s="248" t="n">
        <v>250.95</v>
      </c>
      <c r="X115" s="248" t="n">
        <v>239.0</v>
      </c>
      <c r="Y115" s="248" t="n">
        <v>0.0</v>
      </c>
      <c r="Z115" s="248" t="n">
        <v>0.0</v>
      </c>
      <c r="AA115" s="248" t="n">
        <v>239.0</v>
      </c>
      <c r="AB115" s="248" t="n">
        <v>23.0</v>
      </c>
      <c r="AC115" s="248" t="n">
        <v>54.97</v>
      </c>
      <c r="AD115" s="248" t="n">
        <v>1.52</v>
      </c>
      <c r="AE115" s="248" t="n">
        <v>0.0</v>
      </c>
      <c r="AF115" s="248" t="n">
        <v>0.0</v>
      </c>
      <c r="AG115" s="248" t="n">
        <v>0.0</v>
      </c>
      <c r="AH115" s="248" t="n">
        <v>4.62</v>
      </c>
      <c r="AI115" s="248" t="n">
        <v>59.59</v>
      </c>
      <c r="AJ115" s="248" t="n">
        <v>10.72</v>
      </c>
      <c r="AK115" s="248" t="n">
        <v>0.0</v>
      </c>
      <c r="AL115" s="248" t="n">
        <v>239.0</v>
      </c>
      <c r="AM115" s="248" t="n">
        <v>0.0</v>
      </c>
      <c r="AN115" s="248" t="n">
        <v>0.0</v>
      </c>
      <c r="AO115" s="248" t="n">
        <v>0.24</v>
      </c>
      <c r="AP115" s="248" t="n">
        <v>11.95</v>
      </c>
      <c r="AQ115" s="248" t="n">
        <v>0.0</v>
      </c>
      <c r="AR115" s="248" t="n">
        <v>22.91</v>
      </c>
      <c r="AS115" s="248" t="n">
        <v>0.0</v>
      </c>
      <c r="AT115" s="248" t="n">
        <v>0.0</v>
      </c>
      <c r="AU115" s="248" t="n">
        <v>0.0</v>
      </c>
      <c r="AV115" s="248" t="n">
        <v>0.0</v>
      </c>
      <c r="AW115" s="248" t="n">
        <v>0.0</v>
      </c>
      <c r="AX115" s="248" t="n">
        <v>0.0</v>
      </c>
      <c r="AY115" s="248" t="n">
        <v>0.0</v>
      </c>
      <c r="AZ115" s="248" t="n">
        <v>0.0</v>
      </c>
      <c r="BA115" s="248" t="n">
        <v>0.0</v>
      </c>
      <c r="BB115" s="248" t="n">
        <v>82.5</v>
      </c>
      <c r="BC115" s="248" t="n">
        <v>0.0</v>
      </c>
      <c r="BD115" s="248" t="n">
        <v>168.45</v>
      </c>
      <c r="BE115" s="248" t="inlineStr">
        <is>
          <t>settled</t>
        </is>
      </c>
      <c r="BF115" s="248" t="inlineStr">
        <is>
          <t>2025-12-17 05:30:00</t>
        </is>
      </c>
      <c r="BG115" s="248" t="inlineStr">
        <is>
          <t>CITIN25671235852</t>
        </is>
      </c>
      <c r="BH115" s="248" t="n">
        <v>0.0</v>
      </c>
      <c r="BI115" s="248" t="inlineStr">
        <is>
          <t>0106ed0b2e475e2586a668404d5b9bd07f9e052eff39d1ec1b26fe50dce58db1</t>
        </is>
      </c>
    </row>
    <row r="116">
      <c r="A116" s="248" t="inlineStr">
        <is>
          <t>108</t>
        </is>
      </c>
      <c r="B116" s="248" t="inlineStr">
        <is>
          <t>7578680676</t>
        </is>
      </c>
      <c r="C116" s="248" t="inlineStr">
        <is>
          <t>2025-12-14 19:23:41</t>
        </is>
      </c>
      <c r="D116" s="248" t="inlineStr">
        <is>
          <t>50</t>
        </is>
      </c>
      <c r="E116" s="248" t="inlineStr">
        <is>
          <t>Bawarchi Baba- By Posh Foods</t>
        </is>
      </c>
      <c r="F116" s="248" t="inlineStr">
        <is>
          <t>20415473</t>
        </is>
      </c>
      <c r="G116" s="248" t="inlineStr">
        <is>
          <t>NA</t>
        </is>
      </c>
      <c r="H116" s="248" t="inlineStr">
        <is>
          <t>ONLINE</t>
        </is>
      </c>
      <c r="I116" s="248" t="inlineStr">
        <is>
          <t>DELIVERED</t>
        </is>
      </c>
      <c r="J116" s="248" t="inlineStr">
        <is>
          <t>NA</t>
        </is>
      </c>
      <c r="K116" s="248" t="inlineStr">
        <is>
          <t>NA</t>
        </is>
      </c>
      <c r="L116" s="248" t="inlineStr">
        <is>
          <t>NA</t>
        </is>
      </c>
      <c r="M116" s="248" t="inlineStr">
        <is>
          <t>O2</t>
        </is>
      </c>
      <c r="N116" s="248" t="inlineStr">
        <is>
          <t>9</t>
        </is>
      </c>
      <c r="O116" s="248" t="n">
        <v>663.0</v>
      </c>
      <c r="P116" s="248" t="n">
        <v>0.0</v>
      </c>
      <c r="Q116" s="248" t="n">
        <v>0.0</v>
      </c>
      <c r="R116" s="248" t="n">
        <v>0.0</v>
      </c>
      <c r="S116" s="248" t="n">
        <v>66.3</v>
      </c>
      <c r="T116" s="248" t="n">
        <v>0.0</v>
      </c>
      <c r="U116" s="248" t="n">
        <v>0.0</v>
      </c>
      <c r="V116" s="248" t="n">
        <v>29.84</v>
      </c>
      <c r="W116" s="248" t="n">
        <v>626.54</v>
      </c>
      <c r="X116" s="248" t="n">
        <v>596.7</v>
      </c>
      <c r="Y116" s="248" t="n">
        <v>0.0</v>
      </c>
      <c r="Z116" s="248" t="n">
        <v>0.0</v>
      </c>
      <c r="AA116" s="248" t="n">
        <v>596.7</v>
      </c>
      <c r="AB116" s="248" t="n">
        <v>23.0</v>
      </c>
      <c r="AC116" s="248" t="n">
        <v>137.24</v>
      </c>
      <c r="AD116" s="248" t="n">
        <v>1.76</v>
      </c>
      <c r="AE116" s="248" t="n">
        <v>0.0</v>
      </c>
      <c r="AF116" s="248" t="n">
        <v>0.0</v>
      </c>
      <c r="AG116" s="248" t="n">
        <v>0.0</v>
      </c>
      <c r="AH116" s="248" t="n">
        <v>11.53</v>
      </c>
      <c r="AI116" s="248" t="n">
        <v>148.77</v>
      </c>
      <c r="AJ116" s="248" t="n">
        <v>26.78</v>
      </c>
      <c r="AK116" s="248" t="n">
        <v>0.0</v>
      </c>
      <c r="AL116" s="248" t="n">
        <v>596.7</v>
      </c>
      <c r="AM116" s="248" t="n">
        <v>0.0</v>
      </c>
      <c r="AN116" s="248" t="n">
        <v>0.0</v>
      </c>
      <c r="AO116" s="248" t="n">
        <v>0.6</v>
      </c>
      <c r="AP116" s="248" t="n">
        <v>29.84</v>
      </c>
      <c r="AQ116" s="248" t="n">
        <v>0.0</v>
      </c>
      <c r="AR116" s="248" t="n">
        <v>57.22</v>
      </c>
      <c r="AS116" s="248" t="n">
        <v>0.0</v>
      </c>
      <c r="AT116" s="248" t="n">
        <v>0.0</v>
      </c>
      <c r="AU116" s="248" t="n">
        <v>0.0</v>
      </c>
      <c r="AV116" s="248" t="n">
        <v>0.0</v>
      </c>
      <c r="AW116" s="248" t="n">
        <v>0.0</v>
      </c>
      <c r="AX116" s="248" t="n">
        <v>0.0</v>
      </c>
      <c r="AY116" s="248" t="n">
        <v>0.0</v>
      </c>
      <c r="AZ116" s="248" t="n">
        <v>0.0</v>
      </c>
      <c r="BA116" s="248" t="n">
        <v>0.0</v>
      </c>
      <c r="BB116" s="248" t="n">
        <v>205.99</v>
      </c>
      <c r="BC116" s="248" t="n">
        <v>0.0</v>
      </c>
      <c r="BD116" s="248" t="n">
        <v>420.55</v>
      </c>
      <c r="BE116" s="248" t="inlineStr">
        <is>
          <t>settled</t>
        </is>
      </c>
      <c r="BF116" s="248" t="inlineStr">
        <is>
          <t>2025-12-17 05:30:00</t>
        </is>
      </c>
      <c r="BG116" s="248" t="inlineStr">
        <is>
          <t>CITIN25671235852</t>
        </is>
      </c>
      <c r="BH116" s="248" t="n">
        <v>0.0</v>
      </c>
      <c r="BI116" s="248" t="inlineStr">
        <is>
          <t>40fbed04a6154d491c7aa98922cab7712d45c26939b3a89c5f47575e7e09f4a0</t>
        </is>
      </c>
    </row>
    <row r="117">
      <c r="A117" s="248" t="inlineStr">
        <is>
          <t>109</t>
        </is>
      </c>
      <c r="B117" s="248" t="inlineStr">
        <is>
          <t>7580598903</t>
        </is>
      </c>
      <c r="C117" s="248" t="inlineStr">
        <is>
          <t>2025-12-14 19:36:55</t>
        </is>
      </c>
      <c r="D117" s="248" t="inlineStr">
        <is>
          <t>50</t>
        </is>
      </c>
      <c r="E117" s="248" t="inlineStr">
        <is>
          <t>Bawarchi Baba- By Posh Foods</t>
        </is>
      </c>
      <c r="F117" s="248" t="inlineStr">
        <is>
          <t>20415473</t>
        </is>
      </c>
      <c r="G117" s="248" t="inlineStr">
        <is>
          <t>NA</t>
        </is>
      </c>
      <c r="H117" s="248" t="inlineStr">
        <is>
          <t>ONLINE</t>
        </is>
      </c>
      <c r="I117" s="248" t="inlineStr">
        <is>
          <t>DELIVERED</t>
        </is>
      </c>
      <c r="J117" s="248" t="inlineStr">
        <is>
          <t>NA</t>
        </is>
      </c>
      <c r="K117" s="248" t="inlineStr">
        <is>
          <t>NA</t>
        </is>
      </c>
      <c r="L117" s="248" t="inlineStr">
        <is>
          <t>NA</t>
        </is>
      </c>
      <c r="M117" s="248" t="inlineStr">
        <is>
          <t>O2</t>
        </is>
      </c>
      <c r="N117" s="248" t="inlineStr">
        <is>
          <t>9</t>
        </is>
      </c>
      <c r="O117" s="248" t="n">
        <v>911.0</v>
      </c>
      <c r="P117" s="248" t="n">
        <v>0.0</v>
      </c>
      <c r="Q117" s="248" t="n">
        <v>0.0</v>
      </c>
      <c r="R117" s="248" t="n">
        <v>0.0</v>
      </c>
      <c r="S117" s="248" t="n">
        <v>91.1</v>
      </c>
      <c r="T117" s="248" t="n">
        <v>0.0</v>
      </c>
      <c r="U117" s="248" t="n">
        <v>0.0</v>
      </c>
      <c r="V117" s="248" t="n">
        <v>41.0</v>
      </c>
      <c r="W117" s="248" t="n">
        <v>860.9</v>
      </c>
      <c r="X117" s="248" t="n">
        <v>819.9</v>
      </c>
      <c r="Y117" s="248" t="n">
        <v>0.0</v>
      </c>
      <c r="Z117" s="248" t="n">
        <v>0.0</v>
      </c>
      <c r="AA117" s="248" t="n">
        <v>819.9</v>
      </c>
      <c r="AB117" s="248" t="n">
        <v>23.0</v>
      </c>
      <c r="AC117" s="248" t="n">
        <v>188.58</v>
      </c>
      <c r="AD117" s="248" t="n">
        <v>5.95</v>
      </c>
      <c r="AE117" s="248" t="n">
        <v>20.0</v>
      </c>
      <c r="AF117" s="248" t="n">
        <v>0.0</v>
      </c>
      <c r="AG117" s="248" t="n">
        <v>0.0</v>
      </c>
      <c r="AH117" s="248" t="n">
        <v>15.84</v>
      </c>
      <c r="AI117" s="248" t="n">
        <v>224.42</v>
      </c>
      <c r="AJ117" s="248" t="n">
        <v>40.39</v>
      </c>
      <c r="AK117" s="248" t="n">
        <v>0.0</v>
      </c>
      <c r="AL117" s="248" t="n">
        <v>819.9</v>
      </c>
      <c r="AM117" s="248" t="n">
        <v>0.0</v>
      </c>
      <c r="AN117" s="248" t="n">
        <v>0.0</v>
      </c>
      <c r="AO117" s="248" t="n">
        <v>0.82</v>
      </c>
      <c r="AP117" s="248" t="n">
        <v>41.0</v>
      </c>
      <c r="AQ117" s="248" t="n">
        <v>0.0</v>
      </c>
      <c r="AR117" s="248" t="n">
        <v>82.21</v>
      </c>
      <c r="AS117" s="248" t="n">
        <v>0.0</v>
      </c>
      <c r="AT117" s="248" t="n">
        <v>0.0</v>
      </c>
      <c r="AU117" s="248" t="n">
        <v>0.0</v>
      </c>
      <c r="AV117" s="248" t="n">
        <v>0.0</v>
      </c>
      <c r="AW117" s="248" t="n">
        <v>0.0</v>
      </c>
      <c r="AX117" s="248" t="n">
        <v>0.0</v>
      </c>
      <c r="AY117" s="248" t="n">
        <v>0.0</v>
      </c>
      <c r="AZ117" s="248" t="n">
        <v>0.0</v>
      </c>
      <c r="BA117" s="248" t="n">
        <v>0.0</v>
      </c>
      <c r="BB117" s="248" t="n">
        <v>306.63</v>
      </c>
      <c r="BC117" s="248" t="n">
        <v>0.0</v>
      </c>
      <c r="BD117" s="248" t="n">
        <v>554.27</v>
      </c>
      <c r="BE117" s="248" t="inlineStr">
        <is>
          <t>settled</t>
        </is>
      </c>
      <c r="BF117" s="248" t="inlineStr">
        <is>
          <t>2025-12-17 05:30:00</t>
        </is>
      </c>
      <c r="BG117" s="248" t="inlineStr">
        <is>
          <t>CITIN25671235852</t>
        </is>
      </c>
      <c r="BH117" s="248" t="n">
        <v>0.0</v>
      </c>
      <c r="BI117" s="248" t="inlineStr">
        <is>
          <t>771e95f9017f3ec8163e2bfff672b63cd848518d42f4e8f75c7feb56cc20d4f5</t>
        </is>
      </c>
    </row>
    <row r="118">
      <c r="A118" s="248" t="inlineStr">
        <is>
          <t>110</t>
        </is>
      </c>
      <c r="B118" s="248" t="inlineStr">
        <is>
          <t>7573273966</t>
        </is>
      </c>
      <c r="C118" s="248" t="inlineStr">
        <is>
          <t>2025-12-14 19:38:01</t>
        </is>
      </c>
      <c r="D118" s="248" t="inlineStr">
        <is>
          <t>50</t>
        </is>
      </c>
      <c r="E118" s="248" t="inlineStr">
        <is>
          <t>Bawarchi Baba- By Posh Foods</t>
        </is>
      </c>
      <c r="F118" s="248" t="inlineStr">
        <is>
          <t>20415473</t>
        </is>
      </c>
      <c r="G118" s="248" t="inlineStr">
        <is>
          <t>NA</t>
        </is>
      </c>
      <c r="H118" s="248" t="inlineStr">
        <is>
          <t>ONLINE</t>
        </is>
      </c>
      <c r="I118" s="248" t="inlineStr">
        <is>
          <t>DELIVERED</t>
        </is>
      </c>
      <c r="J118" s="248" t="inlineStr">
        <is>
          <t>NA</t>
        </is>
      </c>
      <c r="K118" s="248" t="inlineStr">
        <is>
          <t>NA</t>
        </is>
      </c>
      <c r="L118" s="248" t="inlineStr">
        <is>
          <t>NA</t>
        </is>
      </c>
      <c r="M118" s="248" t="inlineStr">
        <is>
          <t>O2</t>
        </is>
      </c>
      <c r="N118" s="248" t="inlineStr">
        <is>
          <t>9</t>
        </is>
      </c>
      <c r="O118" s="248" t="n">
        <v>798.0</v>
      </c>
      <c r="P118" s="248" t="n">
        <v>0.0</v>
      </c>
      <c r="Q118" s="248" t="n">
        <v>0.0</v>
      </c>
      <c r="R118" s="248" t="n">
        <v>0.0</v>
      </c>
      <c r="S118" s="248" t="n">
        <v>79.8</v>
      </c>
      <c r="T118" s="248" t="n">
        <v>0.0</v>
      </c>
      <c r="U118" s="248" t="n">
        <v>0.0</v>
      </c>
      <c r="V118" s="248" t="n">
        <v>35.91</v>
      </c>
      <c r="W118" s="248" t="n">
        <v>754.11</v>
      </c>
      <c r="X118" s="248" t="n">
        <v>718.2</v>
      </c>
      <c r="Y118" s="248" t="n">
        <v>0.0</v>
      </c>
      <c r="Z118" s="248" t="n">
        <v>0.0</v>
      </c>
      <c r="AA118" s="248" t="n">
        <v>718.2</v>
      </c>
      <c r="AB118" s="248" t="n">
        <v>23.0</v>
      </c>
      <c r="AC118" s="248" t="n">
        <v>165.19</v>
      </c>
      <c r="AD118" s="248" t="n">
        <v>0.97</v>
      </c>
      <c r="AE118" s="248" t="n">
        <v>0.0</v>
      </c>
      <c r="AF118" s="248" t="n">
        <v>0.0</v>
      </c>
      <c r="AG118" s="248" t="n">
        <v>0.0</v>
      </c>
      <c r="AH118" s="248" t="n">
        <v>13.88</v>
      </c>
      <c r="AI118" s="248" t="n">
        <v>179.07</v>
      </c>
      <c r="AJ118" s="248" t="n">
        <v>32.23</v>
      </c>
      <c r="AK118" s="248" t="n">
        <v>0.0</v>
      </c>
      <c r="AL118" s="248" t="n">
        <v>718.2</v>
      </c>
      <c r="AM118" s="248" t="n">
        <v>0.0</v>
      </c>
      <c r="AN118" s="248" t="n">
        <v>0.0</v>
      </c>
      <c r="AO118" s="248" t="n">
        <v>0.72</v>
      </c>
      <c r="AP118" s="248" t="n">
        <v>35.91</v>
      </c>
      <c r="AQ118" s="248" t="n">
        <v>0.0</v>
      </c>
      <c r="AR118" s="248" t="n">
        <v>68.86</v>
      </c>
      <c r="AS118" s="248" t="n">
        <v>0.0</v>
      </c>
      <c r="AT118" s="248" t="n">
        <v>0.0</v>
      </c>
      <c r="AU118" s="248" t="n">
        <v>0.0</v>
      </c>
      <c r="AV118" s="248" t="n">
        <v>0.0</v>
      </c>
      <c r="AW118" s="248" t="n">
        <v>0.0</v>
      </c>
      <c r="AX118" s="248" t="n">
        <v>0.0</v>
      </c>
      <c r="AY118" s="248" t="n">
        <v>0.0</v>
      </c>
      <c r="AZ118" s="248" t="n">
        <v>0.0</v>
      </c>
      <c r="BA118" s="248" t="n">
        <v>0.0</v>
      </c>
      <c r="BB118" s="248" t="n">
        <v>247.93</v>
      </c>
      <c r="BC118" s="248" t="n">
        <v>0.0</v>
      </c>
      <c r="BD118" s="248" t="n">
        <v>506.18</v>
      </c>
      <c r="BE118" s="248" t="inlineStr">
        <is>
          <t>settled</t>
        </is>
      </c>
      <c r="BF118" s="248" t="inlineStr">
        <is>
          <t>2025-12-17 05:30:00</t>
        </is>
      </c>
      <c r="BG118" s="248" t="inlineStr">
        <is>
          <t>CITIN25671235852</t>
        </is>
      </c>
      <c r="BH118" s="248" t="n">
        <v>0.0</v>
      </c>
      <c r="BI118" s="248" t="inlineStr">
        <is>
          <t>4d27d3673f516ab9ceecf728909bcc60949b797e66ff0d800a9ad15943843dc0</t>
        </is>
      </c>
    </row>
    <row r="119">
      <c r="A119" s="248" t="inlineStr">
        <is>
          <t>111</t>
        </is>
      </c>
      <c r="B119" s="248" t="inlineStr">
        <is>
          <t>7581374605</t>
        </is>
      </c>
      <c r="C119" s="248" t="inlineStr">
        <is>
          <t>2025-12-14 19:51:35</t>
        </is>
      </c>
      <c r="D119" s="248" t="inlineStr">
        <is>
          <t>50</t>
        </is>
      </c>
      <c r="E119" s="248" t="inlineStr">
        <is>
          <t>Bawarchi Baba- By Posh Foods</t>
        </is>
      </c>
      <c r="F119" s="248" t="inlineStr">
        <is>
          <t>20415473</t>
        </is>
      </c>
      <c r="G119" s="248" t="inlineStr">
        <is>
          <t>NA</t>
        </is>
      </c>
      <c r="H119" s="248" t="inlineStr">
        <is>
          <t>ONLINE</t>
        </is>
      </c>
      <c r="I119" s="248" t="inlineStr">
        <is>
          <t>DELIVERED</t>
        </is>
      </c>
      <c r="J119" s="248" t="inlineStr">
        <is>
          <t>NA</t>
        </is>
      </c>
      <c r="K119" s="248" t="inlineStr">
        <is>
          <t>NA</t>
        </is>
      </c>
      <c r="L119" s="248" t="inlineStr">
        <is>
          <t>NA</t>
        </is>
      </c>
      <c r="M119" s="248" t="inlineStr">
        <is>
          <t>O2</t>
        </is>
      </c>
      <c r="N119" s="248" t="inlineStr">
        <is>
          <t>9</t>
        </is>
      </c>
      <c r="O119" s="248" t="n">
        <v>920.0</v>
      </c>
      <c r="P119" s="248" t="n">
        <v>0.0</v>
      </c>
      <c r="Q119" s="248" t="n">
        <v>0.0</v>
      </c>
      <c r="R119" s="248" t="n">
        <v>0.0</v>
      </c>
      <c r="S119" s="248" t="n">
        <v>92.0</v>
      </c>
      <c r="T119" s="248" t="n">
        <v>0.0</v>
      </c>
      <c r="U119" s="248" t="n">
        <v>0.0</v>
      </c>
      <c r="V119" s="248" t="n">
        <v>41.4</v>
      </c>
      <c r="W119" s="248" t="n">
        <v>869.4</v>
      </c>
      <c r="X119" s="248" t="n">
        <v>828.0</v>
      </c>
      <c r="Y119" s="248" t="n">
        <v>0.0</v>
      </c>
      <c r="Z119" s="248" t="n">
        <v>0.0</v>
      </c>
      <c r="AA119" s="248" t="n">
        <v>828.0</v>
      </c>
      <c r="AB119" s="248" t="n">
        <v>23.0</v>
      </c>
      <c r="AC119" s="248" t="n">
        <v>190.44</v>
      </c>
      <c r="AD119" s="248" t="n">
        <v>1.51</v>
      </c>
      <c r="AE119" s="248" t="n">
        <v>0.0</v>
      </c>
      <c r="AF119" s="248" t="n">
        <v>0.0</v>
      </c>
      <c r="AG119" s="248" t="n">
        <v>0.0</v>
      </c>
      <c r="AH119" s="248" t="n">
        <v>16.0</v>
      </c>
      <c r="AI119" s="248" t="n">
        <v>206.44</v>
      </c>
      <c r="AJ119" s="248" t="n">
        <v>37.16</v>
      </c>
      <c r="AK119" s="248" t="n">
        <v>0.0</v>
      </c>
      <c r="AL119" s="248" t="n">
        <v>828.0</v>
      </c>
      <c r="AM119" s="248" t="n">
        <v>0.0</v>
      </c>
      <c r="AN119" s="248" t="n">
        <v>0.0</v>
      </c>
      <c r="AO119" s="248" t="n">
        <v>0.83</v>
      </c>
      <c r="AP119" s="248" t="n">
        <v>41.4</v>
      </c>
      <c r="AQ119" s="248" t="n">
        <v>0.0</v>
      </c>
      <c r="AR119" s="248" t="n">
        <v>79.39</v>
      </c>
      <c r="AS119" s="248" t="n">
        <v>0.0</v>
      </c>
      <c r="AT119" s="248" t="n">
        <v>0.0</v>
      </c>
      <c r="AU119" s="248" t="n">
        <v>0.0</v>
      </c>
      <c r="AV119" s="248" t="n">
        <v>0.0</v>
      </c>
      <c r="AW119" s="248" t="n">
        <v>0.0</v>
      </c>
      <c r="AX119" s="248" t="n">
        <v>0.0</v>
      </c>
      <c r="AY119" s="248" t="n">
        <v>0.0</v>
      </c>
      <c r="AZ119" s="248" t="n">
        <v>0.0</v>
      </c>
      <c r="BA119" s="248" t="n">
        <v>0.0</v>
      </c>
      <c r="BB119" s="248" t="n">
        <v>285.83</v>
      </c>
      <c r="BC119" s="248" t="n">
        <v>0.0</v>
      </c>
      <c r="BD119" s="248" t="n">
        <v>583.57</v>
      </c>
      <c r="BE119" s="248" t="inlineStr">
        <is>
          <t>settled</t>
        </is>
      </c>
      <c r="BF119" s="248" t="inlineStr">
        <is>
          <t>2025-12-17 05:30:00</t>
        </is>
      </c>
      <c r="BG119" s="248" t="inlineStr">
        <is>
          <t>CITIN25671235852</t>
        </is>
      </c>
      <c r="BH119" s="248" t="n">
        <v>0.0</v>
      </c>
      <c r="BI119" s="248" t="inlineStr">
        <is>
          <t>f6ef65ce19e0852302e19858cbd9a8c017d20b86a095c2848337987fb2130732</t>
        </is>
      </c>
    </row>
    <row r="120">
      <c r="A120" s="248" t="inlineStr">
        <is>
          <t>112</t>
        </is>
      </c>
      <c r="B120" s="248" t="inlineStr">
        <is>
          <t>7583964563</t>
        </is>
      </c>
      <c r="C120" s="248" t="inlineStr">
        <is>
          <t>2025-12-14 19:56:32</t>
        </is>
      </c>
      <c r="D120" s="248" t="inlineStr">
        <is>
          <t>50</t>
        </is>
      </c>
      <c r="E120" s="248" t="inlineStr">
        <is>
          <t>Bawarchi Baba- By Posh Foods</t>
        </is>
      </c>
      <c r="F120" s="248" t="inlineStr">
        <is>
          <t>20415473</t>
        </is>
      </c>
      <c r="G120" s="248" t="inlineStr">
        <is>
          <t>NA</t>
        </is>
      </c>
      <c r="H120" s="248" t="inlineStr">
        <is>
          <t>ONLINE</t>
        </is>
      </c>
      <c r="I120" s="248" t="inlineStr">
        <is>
          <t>DELIVERED</t>
        </is>
      </c>
      <c r="J120" s="248" t="inlineStr">
        <is>
          <t>NA</t>
        </is>
      </c>
      <c r="K120" s="248" t="inlineStr">
        <is>
          <t>NA</t>
        </is>
      </c>
      <c r="L120" s="248" t="inlineStr">
        <is>
          <t>NA</t>
        </is>
      </c>
      <c r="M120" s="248" t="inlineStr">
        <is>
          <t>O2</t>
        </is>
      </c>
      <c r="N120" s="248" t="inlineStr">
        <is>
          <t>9</t>
        </is>
      </c>
      <c r="O120" s="248" t="n">
        <v>1310.0</v>
      </c>
      <c r="P120" s="248" t="n">
        <v>0.0</v>
      </c>
      <c r="Q120" s="248" t="n">
        <v>0.0</v>
      </c>
      <c r="R120" s="248" t="n">
        <v>0.0</v>
      </c>
      <c r="S120" s="248" t="n">
        <v>131.0</v>
      </c>
      <c r="T120" s="248" t="n">
        <v>0.0</v>
      </c>
      <c r="U120" s="248" t="n">
        <v>0.0</v>
      </c>
      <c r="V120" s="248" t="n">
        <v>58.95</v>
      </c>
      <c r="W120" s="248" t="n">
        <v>1237.95</v>
      </c>
      <c r="X120" s="248" t="n">
        <v>1179.0</v>
      </c>
      <c r="Y120" s="248" t="n">
        <v>0.0</v>
      </c>
      <c r="Z120" s="248" t="n">
        <v>0.0</v>
      </c>
      <c r="AA120" s="248" t="n">
        <v>1179.0</v>
      </c>
      <c r="AB120" s="248" t="n">
        <v>23.0</v>
      </c>
      <c r="AC120" s="248" t="n">
        <v>271.17</v>
      </c>
      <c r="AD120" s="248" t="n">
        <v>5.18</v>
      </c>
      <c r="AE120" s="248" t="n">
        <v>20.0</v>
      </c>
      <c r="AF120" s="248" t="n">
        <v>0.0</v>
      </c>
      <c r="AG120" s="248" t="n">
        <v>0.0</v>
      </c>
      <c r="AH120" s="248" t="n">
        <v>22.78</v>
      </c>
      <c r="AI120" s="248" t="n">
        <v>313.95</v>
      </c>
      <c r="AJ120" s="248" t="n">
        <v>56.51</v>
      </c>
      <c r="AK120" s="248" t="n">
        <v>0.0</v>
      </c>
      <c r="AL120" s="248" t="n">
        <v>1179.0</v>
      </c>
      <c r="AM120" s="248" t="n">
        <v>0.0</v>
      </c>
      <c r="AN120" s="248" t="n">
        <v>0.0</v>
      </c>
      <c r="AO120" s="248" t="n">
        <v>1.18</v>
      </c>
      <c r="AP120" s="248" t="n">
        <v>58.95</v>
      </c>
      <c r="AQ120" s="248" t="n">
        <v>0.0</v>
      </c>
      <c r="AR120" s="248" t="n">
        <v>116.64</v>
      </c>
      <c r="AS120" s="248" t="n">
        <v>0.0</v>
      </c>
      <c r="AT120" s="248" t="n">
        <v>0.0</v>
      </c>
      <c r="AU120" s="248" t="n">
        <v>0.0</v>
      </c>
      <c r="AV120" s="248" t="n">
        <v>0.0</v>
      </c>
      <c r="AW120" s="248" t="n">
        <v>0.0</v>
      </c>
      <c r="AX120" s="248" t="n">
        <v>0.0</v>
      </c>
      <c r="AY120" s="248" t="n">
        <v>0.0</v>
      </c>
      <c r="AZ120" s="248" t="n">
        <v>0.0</v>
      </c>
      <c r="BA120" s="248" t="n">
        <v>0.0</v>
      </c>
      <c r="BB120" s="248" t="n">
        <v>430.59</v>
      </c>
      <c r="BC120" s="248" t="n">
        <v>0.0</v>
      </c>
      <c r="BD120" s="248" t="n">
        <v>807.36</v>
      </c>
      <c r="BE120" s="248" t="inlineStr">
        <is>
          <t>settled</t>
        </is>
      </c>
      <c r="BF120" s="248" t="inlineStr">
        <is>
          <t>2025-12-17 05:30:00</t>
        </is>
      </c>
      <c r="BG120" s="248" t="inlineStr">
        <is>
          <t>CITIN25671235852</t>
        </is>
      </c>
      <c r="BH120" s="248" t="n">
        <v>0.0</v>
      </c>
      <c r="BI120" s="248" t="inlineStr">
        <is>
          <t>9a21ca63050540e2315fe2440ccd4ba60b23a83e32b4b15b371627222f4d2e65</t>
        </is>
      </c>
    </row>
    <row r="121">
      <c r="A121" s="248" t="inlineStr">
        <is>
          <t>113</t>
        </is>
      </c>
      <c r="B121" s="248" t="inlineStr">
        <is>
          <t>7573044389</t>
        </is>
      </c>
      <c r="C121" s="248" t="inlineStr">
        <is>
          <t>2025-12-14 20:02:53</t>
        </is>
      </c>
      <c r="D121" s="248" t="inlineStr">
        <is>
          <t>50</t>
        </is>
      </c>
      <c r="E121" s="248" t="inlineStr">
        <is>
          <t>Bawarchi Baba- By Posh Foods</t>
        </is>
      </c>
      <c r="F121" s="248" t="inlineStr">
        <is>
          <t>20415473</t>
        </is>
      </c>
      <c r="G121" s="248" t="inlineStr">
        <is>
          <t>NA</t>
        </is>
      </c>
      <c r="H121" s="248" t="inlineStr">
        <is>
          <t>ONLINE</t>
        </is>
      </c>
      <c r="I121" s="248" t="inlineStr">
        <is>
          <t>DELIVERED</t>
        </is>
      </c>
      <c r="J121" s="248" t="inlineStr">
        <is>
          <t>NA</t>
        </is>
      </c>
      <c r="K121" s="248" t="inlineStr">
        <is>
          <t>NA</t>
        </is>
      </c>
      <c r="L121" s="248" t="inlineStr">
        <is>
          <t>NA</t>
        </is>
      </c>
      <c r="M121" s="248" t="inlineStr">
        <is>
          <t>O2</t>
        </is>
      </c>
      <c r="N121" s="248" t="inlineStr">
        <is>
          <t>9</t>
        </is>
      </c>
      <c r="O121" s="248" t="n">
        <v>250.0</v>
      </c>
      <c r="P121" s="248" t="n">
        <v>0.0</v>
      </c>
      <c r="Q121" s="248" t="n">
        <v>0.0</v>
      </c>
      <c r="R121" s="248" t="n">
        <v>0.0</v>
      </c>
      <c r="S121" s="248" t="n">
        <v>25.0</v>
      </c>
      <c r="T121" s="248" t="n">
        <v>0.0</v>
      </c>
      <c r="U121" s="248" t="n">
        <v>0.0</v>
      </c>
      <c r="V121" s="248" t="n">
        <v>11.25</v>
      </c>
      <c r="W121" s="248" t="n">
        <v>236.25</v>
      </c>
      <c r="X121" s="248" t="n">
        <v>225.0</v>
      </c>
      <c r="Y121" s="248" t="n">
        <v>0.0</v>
      </c>
      <c r="Z121" s="248" t="n">
        <v>0.0</v>
      </c>
      <c r="AA121" s="248" t="n">
        <v>225.0</v>
      </c>
      <c r="AB121" s="248" t="n">
        <v>23.0</v>
      </c>
      <c r="AC121" s="248" t="n">
        <v>51.75</v>
      </c>
      <c r="AD121" s="248" t="n">
        <v>0.64</v>
      </c>
      <c r="AE121" s="248" t="n">
        <v>0.0</v>
      </c>
      <c r="AF121" s="248" t="n">
        <v>0.0</v>
      </c>
      <c r="AG121" s="248" t="n">
        <v>0.0</v>
      </c>
      <c r="AH121" s="248" t="n">
        <v>4.35</v>
      </c>
      <c r="AI121" s="248" t="n">
        <v>56.1</v>
      </c>
      <c r="AJ121" s="248" t="n">
        <v>10.1</v>
      </c>
      <c r="AK121" s="248" t="n">
        <v>0.0</v>
      </c>
      <c r="AL121" s="248" t="n">
        <v>225.0</v>
      </c>
      <c r="AM121" s="248" t="n">
        <v>0.0</v>
      </c>
      <c r="AN121" s="248" t="n">
        <v>0.0</v>
      </c>
      <c r="AO121" s="248" t="n">
        <v>0.22</v>
      </c>
      <c r="AP121" s="248" t="n">
        <v>11.25</v>
      </c>
      <c r="AQ121" s="248" t="n">
        <v>0.0</v>
      </c>
      <c r="AR121" s="248" t="n">
        <v>21.57</v>
      </c>
      <c r="AS121" s="248" t="n">
        <v>0.0</v>
      </c>
      <c r="AT121" s="248" t="n">
        <v>0.0</v>
      </c>
      <c r="AU121" s="248" t="n">
        <v>0.0</v>
      </c>
      <c r="AV121" s="248" t="n">
        <v>0.0</v>
      </c>
      <c r="AW121" s="248" t="n">
        <v>0.0</v>
      </c>
      <c r="AX121" s="248" t="n">
        <v>0.0</v>
      </c>
      <c r="AY121" s="248" t="n">
        <v>0.0</v>
      </c>
      <c r="AZ121" s="248" t="n">
        <v>0.0</v>
      </c>
      <c r="BA121" s="248" t="n">
        <v>0.0</v>
      </c>
      <c r="BB121" s="248" t="n">
        <v>77.67</v>
      </c>
      <c r="BC121" s="248" t="n">
        <v>0.0</v>
      </c>
      <c r="BD121" s="248" t="n">
        <v>158.58</v>
      </c>
      <c r="BE121" s="248" t="inlineStr">
        <is>
          <t>settled</t>
        </is>
      </c>
      <c r="BF121" s="248" t="inlineStr">
        <is>
          <t>2025-12-17 05:30:00</t>
        </is>
      </c>
      <c r="BG121" s="248" t="inlineStr">
        <is>
          <t>CITIN25671235852</t>
        </is>
      </c>
      <c r="BH121" s="248" t="n">
        <v>0.0</v>
      </c>
      <c r="BI121" s="248" t="inlineStr">
        <is>
          <t>d52da8bbd6552d63d18bf550f11cbb1b9369d9f6e83df93a5b8d9d12dcc0c57c</t>
        </is>
      </c>
    </row>
    <row r="122">
      <c r="A122" s="248" t="inlineStr">
        <is>
          <t>114</t>
        </is>
      </c>
      <c r="B122" s="248" t="inlineStr">
        <is>
          <t>7575791909</t>
        </is>
      </c>
      <c r="C122" s="248" t="inlineStr">
        <is>
          <t>2025-12-14 20:31:17</t>
        </is>
      </c>
      <c r="D122" s="248" t="inlineStr">
        <is>
          <t>50</t>
        </is>
      </c>
      <c r="E122" s="248" t="inlineStr">
        <is>
          <t>Bawarchi Baba- By Posh Foods</t>
        </is>
      </c>
      <c r="F122" s="248" t="inlineStr">
        <is>
          <t>20415473</t>
        </is>
      </c>
      <c r="G122" s="248" t="inlineStr">
        <is>
          <t>NA</t>
        </is>
      </c>
      <c r="H122" s="248" t="inlineStr">
        <is>
          <t>ONLINE</t>
        </is>
      </c>
      <c r="I122" s="248" t="inlineStr">
        <is>
          <t>DELIVERED</t>
        </is>
      </c>
      <c r="J122" s="248" t="inlineStr">
        <is>
          <t>NA</t>
        </is>
      </c>
      <c r="K122" s="248" t="inlineStr">
        <is>
          <t>NA</t>
        </is>
      </c>
      <c r="L122" s="248" t="inlineStr">
        <is>
          <t>NA</t>
        </is>
      </c>
      <c r="M122" s="248" t="inlineStr">
        <is>
          <t>O2</t>
        </is>
      </c>
      <c r="N122" s="248" t="inlineStr">
        <is>
          <t>7</t>
        </is>
      </c>
      <c r="O122" s="248" t="n">
        <v>460.0</v>
      </c>
      <c r="P122" s="248" t="n">
        <v>0.0</v>
      </c>
      <c r="Q122" s="248" t="n">
        <v>0.0</v>
      </c>
      <c r="R122" s="248" t="n">
        <v>0.0</v>
      </c>
      <c r="S122" s="248" t="n">
        <v>46.0</v>
      </c>
      <c r="T122" s="248" t="n">
        <v>0.0</v>
      </c>
      <c r="U122" s="248" t="n">
        <v>0.0</v>
      </c>
      <c r="V122" s="248" t="n">
        <v>20.7</v>
      </c>
      <c r="W122" s="248" t="n">
        <v>434.7</v>
      </c>
      <c r="X122" s="248" t="n">
        <v>414.0</v>
      </c>
      <c r="Y122" s="248" t="n">
        <v>0.0</v>
      </c>
      <c r="Z122" s="248" t="n">
        <v>0.0</v>
      </c>
      <c r="AA122" s="248" t="n">
        <v>414.0</v>
      </c>
      <c r="AB122" s="248" t="n">
        <v>23.0</v>
      </c>
      <c r="AC122" s="248" t="n">
        <v>95.22</v>
      </c>
      <c r="AD122" s="248" t="n">
        <v>7.07</v>
      </c>
      <c r="AE122" s="248" t="n">
        <v>40.0</v>
      </c>
      <c r="AF122" s="248" t="n">
        <v>0.0</v>
      </c>
      <c r="AG122" s="248" t="n">
        <v>11.02</v>
      </c>
      <c r="AH122" s="248" t="n">
        <v>8.0</v>
      </c>
      <c r="AI122" s="248" t="n">
        <v>132.2</v>
      </c>
      <c r="AJ122" s="248" t="n">
        <v>23.8</v>
      </c>
      <c r="AK122" s="248" t="n">
        <v>0.0</v>
      </c>
      <c r="AL122" s="248" t="n">
        <v>414.0</v>
      </c>
      <c r="AM122" s="248" t="n">
        <v>0.0</v>
      </c>
      <c r="AN122" s="248" t="n">
        <v>0.0</v>
      </c>
      <c r="AO122" s="248" t="n">
        <v>0.41</v>
      </c>
      <c r="AP122" s="248" t="n">
        <v>20.7</v>
      </c>
      <c r="AQ122" s="248" t="n">
        <v>0.0</v>
      </c>
      <c r="AR122" s="248" t="n">
        <v>44.91</v>
      </c>
      <c r="AS122" s="248" t="n">
        <v>0.0</v>
      </c>
      <c r="AT122" s="248" t="n">
        <v>0.0</v>
      </c>
      <c r="AU122" s="248" t="n">
        <v>0.0</v>
      </c>
      <c r="AV122" s="248" t="n">
        <v>0.0</v>
      </c>
      <c r="AW122" s="248" t="n">
        <v>0.0</v>
      </c>
      <c r="AX122" s="248" t="n">
        <v>0.0</v>
      </c>
      <c r="AY122" s="248" t="n">
        <v>0.0</v>
      </c>
      <c r="AZ122" s="248" t="n">
        <v>0.0</v>
      </c>
      <c r="BA122" s="248" t="n">
        <v>0.0</v>
      </c>
      <c r="BB122" s="248" t="n">
        <v>177.11</v>
      </c>
      <c r="BC122" s="248" t="n">
        <v>0.0</v>
      </c>
      <c r="BD122" s="248" t="n">
        <v>257.59</v>
      </c>
      <c r="BE122" s="248" t="inlineStr">
        <is>
          <t>settled</t>
        </is>
      </c>
      <c r="BF122" s="248" t="inlineStr">
        <is>
          <t>2025-12-17 05:30:00</t>
        </is>
      </c>
      <c r="BG122" s="248" t="inlineStr">
        <is>
          <t>CITIN25671235852</t>
        </is>
      </c>
      <c r="BH122" s="248" t="n">
        <v>0.0</v>
      </c>
      <c r="BI122" s="248" t="inlineStr">
        <is>
          <t>1cd9571c901c1e6ed09d85f31b7f3936bcd1ad6f121de34ef99e24b246303d48</t>
        </is>
      </c>
    </row>
    <row r="123">
      <c r="A123" s="248" t="inlineStr">
        <is>
          <t>115</t>
        </is>
      </c>
      <c r="B123" s="248" t="inlineStr">
        <is>
          <t>7576766964</t>
        </is>
      </c>
      <c r="C123" s="248" t="inlineStr">
        <is>
          <t>2025-12-14 20:32:20</t>
        </is>
      </c>
      <c r="D123" s="248" t="inlineStr">
        <is>
          <t>50</t>
        </is>
      </c>
      <c r="E123" s="248" t="inlineStr">
        <is>
          <t>Bawarchi Baba- By Posh Foods</t>
        </is>
      </c>
      <c r="F123" s="248" t="inlineStr">
        <is>
          <t>20415473</t>
        </is>
      </c>
      <c r="G123" s="248" t="inlineStr">
        <is>
          <t>NA</t>
        </is>
      </c>
      <c r="H123" s="248" t="inlineStr">
        <is>
          <t>ONLINE</t>
        </is>
      </c>
      <c r="I123" s="248" t="inlineStr">
        <is>
          <t>DELIVERED</t>
        </is>
      </c>
      <c r="J123" s="248" t="inlineStr">
        <is>
          <t>NA</t>
        </is>
      </c>
      <c r="K123" s="248" t="inlineStr">
        <is>
          <t>NA</t>
        </is>
      </c>
      <c r="L123" s="248" t="inlineStr">
        <is>
          <t>NA</t>
        </is>
      </c>
      <c r="M123" s="248" t="inlineStr">
        <is>
          <t>O2</t>
        </is>
      </c>
      <c r="N123" s="248" t="inlineStr">
        <is>
          <t>9</t>
        </is>
      </c>
      <c r="O123" s="248" t="n">
        <v>889.0</v>
      </c>
      <c r="P123" s="248" t="n">
        <v>0.0</v>
      </c>
      <c r="Q123" s="248" t="n">
        <v>0.0</v>
      </c>
      <c r="R123" s="248" t="n">
        <v>0.0</v>
      </c>
      <c r="S123" s="248" t="n">
        <v>88.9</v>
      </c>
      <c r="T123" s="248" t="n">
        <v>0.0</v>
      </c>
      <c r="U123" s="248" t="n">
        <v>0.0</v>
      </c>
      <c r="V123" s="248" t="n">
        <v>40.01</v>
      </c>
      <c r="W123" s="248" t="n">
        <v>840.11</v>
      </c>
      <c r="X123" s="248" t="n">
        <v>800.1</v>
      </c>
      <c r="Y123" s="248" t="n">
        <v>0.0</v>
      </c>
      <c r="Z123" s="248" t="n">
        <v>0.0</v>
      </c>
      <c r="AA123" s="248" t="n">
        <v>800.1</v>
      </c>
      <c r="AB123" s="248" t="n">
        <v>23.0</v>
      </c>
      <c r="AC123" s="248" t="n">
        <v>184.02</v>
      </c>
      <c r="AD123" s="248" t="n">
        <v>5.16</v>
      </c>
      <c r="AE123" s="248" t="n">
        <v>20.0</v>
      </c>
      <c r="AF123" s="248" t="n">
        <v>0.0</v>
      </c>
      <c r="AG123" s="248" t="n">
        <v>0.0</v>
      </c>
      <c r="AH123" s="248" t="n">
        <v>15.46</v>
      </c>
      <c r="AI123" s="248" t="n">
        <v>219.48</v>
      </c>
      <c r="AJ123" s="248" t="n">
        <v>39.5</v>
      </c>
      <c r="AK123" s="248" t="n">
        <v>0.0</v>
      </c>
      <c r="AL123" s="248" t="n">
        <v>800.1</v>
      </c>
      <c r="AM123" s="248" t="n">
        <v>0.0</v>
      </c>
      <c r="AN123" s="248" t="n">
        <v>0.0</v>
      </c>
      <c r="AO123" s="248" t="n">
        <v>0.8</v>
      </c>
      <c r="AP123" s="248" t="n">
        <v>40.01</v>
      </c>
      <c r="AQ123" s="248" t="n">
        <v>0.0</v>
      </c>
      <c r="AR123" s="248" t="n">
        <v>80.31</v>
      </c>
      <c r="AS123" s="248" t="n">
        <v>0.0</v>
      </c>
      <c r="AT123" s="248" t="n">
        <v>0.0</v>
      </c>
      <c r="AU123" s="248" t="n">
        <v>0.0</v>
      </c>
      <c r="AV123" s="248" t="n">
        <v>0.0</v>
      </c>
      <c r="AW123" s="248" t="n">
        <v>0.0</v>
      </c>
      <c r="AX123" s="248" t="n">
        <v>0.0</v>
      </c>
      <c r="AY123" s="248" t="n">
        <v>0.0</v>
      </c>
      <c r="AZ123" s="248" t="n">
        <v>0.0</v>
      </c>
      <c r="BA123" s="248" t="n">
        <v>0.0</v>
      </c>
      <c r="BB123" s="248" t="n">
        <v>299.79</v>
      </c>
      <c r="BC123" s="248" t="n">
        <v>0.0</v>
      </c>
      <c r="BD123" s="248" t="n">
        <v>540.32</v>
      </c>
      <c r="BE123" s="248" t="inlineStr">
        <is>
          <t>settled</t>
        </is>
      </c>
      <c r="BF123" s="248" t="inlineStr">
        <is>
          <t>2025-12-17 05:30:00</t>
        </is>
      </c>
      <c r="BG123" s="248" t="inlineStr">
        <is>
          <t>CITIN25671235852</t>
        </is>
      </c>
      <c r="BH123" s="248" t="n">
        <v>0.0</v>
      </c>
      <c r="BI123" s="248" t="inlineStr">
        <is>
          <t>75b7f6b5d0fcc273b7bcd4ad4b3d6c70ad5a3ed20afaefbdc44b460897d5306b</t>
        </is>
      </c>
    </row>
    <row r="124">
      <c r="A124" s="248" t="inlineStr">
        <is>
          <t>116</t>
        </is>
      </c>
      <c r="B124" s="248" t="inlineStr">
        <is>
          <t>7574581727</t>
        </is>
      </c>
      <c r="C124" s="248" t="inlineStr">
        <is>
          <t>2025-12-14 20:38:29</t>
        </is>
      </c>
      <c r="D124" s="248" t="inlineStr">
        <is>
          <t>50</t>
        </is>
      </c>
      <c r="E124" s="248" t="inlineStr">
        <is>
          <t>Bawarchi Baba- By Posh Foods</t>
        </is>
      </c>
      <c r="F124" s="248" t="inlineStr">
        <is>
          <t>20415473</t>
        </is>
      </c>
      <c r="G124" s="248" t="inlineStr">
        <is>
          <t>NA</t>
        </is>
      </c>
      <c r="H124" s="248" t="inlineStr">
        <is>
          <t>ONLINE</t>
        </is>
      </c>
      <c r="I124" s="248" t="inlineStr">
        <is>
          <t>DELIVERED</t>
        </is>
      </c>
      <c r="J124" s="248" t="inlineStr">
        <is>
          <t>NA</t>
        </is>
      </c>
      <c r="K124" s="248" t="inlineStr">
        <is>
          <t>NA</t>
        </is>
      </c>
      <c r="L124" s="248" t="inlineStr">
        <is>
          <t>NA</t>
        </is>
      </c>
      <c r="M124" s="248" t="inlineStr">
        <is>
          <t>O2</t>
        </is>
      </c>
      <c r="N124" s="248" t="inlineStr">
        <is>
          <t>9</t>
        </is>
      </c>
      <c r="O124" s="248" t="n">
        <v>462.0</v>
      </c>
      <c r="P124" s="248" t="n">
        <v>0.0</v>
      </c>
      <c r="Q124" s="248" t="n">
        <v>0.0</v>
      </c>
      <c r="R124" s="248" t="n">
        <v>0.0</v>
      </c>
      <c r="S124" s="248" t="n">
        <v>46.2</v>
      </c>
      <c r="T124" s="248" t="n">
        <v>0.0</v>
      </c>
      <c r="U124" s="248" t="n">
        <v>0.0</v>
      </c>
      <c r="V124" s="248" t="n">
        <v>20.79</v>
      </c>
      <c r="W124" s="248" t="n">
        <v>436.59</v>
      </c>
      <c r="X124" s="248" t="n">
        <v>415.8</v>
      </c>
      <c r="Y124" s="248" t="n">
        <v>0.0</v>
      </c>
      <c r="Z124" s="248" t="n">
        <v>0.0</v>
      </c>
      <c r="AA124" s="248" t="n">
        <v>415.8</v>
      </c>
      <c r="AB124" s="248" t="n">
        <v>23.0</v>
      </c>
      <c r="AC124" s="248" t="n">
        <v>95.63</v>
      </c>
      <c r="AD124" s="248" t="n">
        <v>4.58</v>
      </c>
      <c r="AE124" s="248" t="n">
        <v>20.0</v>
      </c>
      <c r="AF124" s="248" t="n">
        <v>0.0</v>
      </c>
      <c r="AG124" s="248" t="n">
        <v>0.0</v>
      </c>
      <c r="AH124" s="248" t="n">
        <v>8.03</v>
      </c>
      <c r="AI124" s="248" t="n">
        <v>123.66</v>
      </c>
      <c r="AJ124" s="248" t="n">
        <v>22.26</v>
      </c>
      <c r="AK124" s="248" t="n">
        <v>0.0</v>
      </c>
      <c r="AL124" s="248" t="n">
        <v>415.8</v>
      </c>
      <c r="AM124" s="248" t="n">
        <v>0.0</v>
      </c>
      <c r="AN124" s="248" t="n">
        <v>0.0</v>
      </c>
      <c r="AO124" s="248" t="n">
        <v>0.42</v>
      </c>
      <c r="AP124" s="248" t="n">
        <v>20.79</v>
      </c>
      <c r="AQ124" s="248" t="n">
        <v>0.0</v>
      </c>
      <c r="AR124" s="248" t="n">
        <v>43.47</v>
      </c>
      <c r="AS124" s="248" t="n">
        <v>0.0</v>
      </c>
      <c r="AT124" s="248" t="n">
        <v>0.0</v>
      </c>
      <c r="AU124" s="248" t="n">
        <v>0.0</v>
      </c>
      <c r="AV124" s="248" t="n">
        <v>0.0</v>
      </c>
      <c r="AW124" s="248" t="n">
        <v>0.0</v>
      </c>
      <c r="AX124" s="248" t="n">
        <v>0.0</v>
      </c>
      <c r="AY124" s="248" t="n">
        <v>0.0</v>
      </c>
      <c r="AZ124" s="248" t="n">
        <v>0.0</v>
      </c>
      <c r="BA124" s="248" t="n">
        <v>0.0</v>
      </c>
      <c r="BB124" s="248" t="n">
        <v>167.13</v>
      </c>
      <c r="BC124" s="248" t="n">
        <v>0.0</v>
      </c>
      <c r="BD124" s="248" t="n">
        <v>269.46</v>
      </c>
      <c r="BE124" s="248" t="inlineStr">
        <is>
          <t>settled</t>
        </is>
      </c>
      <c r="BF124" s="248" t="inlineStr">
        <is>
          <t>2025-12-17 05:30:00</t>
        </is>
      </c>
      <c r="BG124" s="248" t="inlineStr">
        <is>
          <t>CITIN25671235852</t>
        </is>
      </c>
      <c r="BH124" s="248" t="n">
        <v>0.0</v>
      </c>
      <c r="BI124" s="248" t="inlineStr">
        <is>
          <t>ba6d50a035ca36b81c5977c018259e9c9c57de842881a1f015aaa53dc38b9ce9</t>
        </is>
      </c>
    </row>
    <row r="125">
      <c r="A125" s="248" t="inlineStr">
        <is>
          <t>117</t>
        </is>
      </c>
      <c r="B125" s="248" t="inlineStr">
        <is>
          <t>7570294817</t>
        </is>
      </c>
      <c r="C125" s="248" t="inlineStr">
        <is>
          <t>2025-12-14 20:39:55</t>
        </is>
      </c>
      <c r="D125" s="248" t="inlineStr">
        <is>
          <t>50</t>
        </is>
      </c>
      <c r="E125" s="248" t="inlineStr">
        <is>
          <t>Bawarchi Baba- By Posh Foods</t>
        </is>
      </c>
      <c r="F125" s="248" t="inlineStr">
        <is>
          <t>20415473</t>
        </is>
      </c>
      <c r="G125" s="248" t="inlineStr">
        <is>
          <t>NA</t>
        </is>
      </c>
      <c r="H125" s="248" t="inlineStr">
        <is>
          <t>ONLINE</t>
        </is>
      </c>
      <c r="I125" s="248" t="inlineStr">
        <is>
          <t>DELIVERED</t>
        </is>
      </c>
      <c r="J125" s="248" t="inlineStr">
        <is>
          <t>NA</t>
        </is>
      </c>
      <c r="K125" s="248" t="inlineStr">
        <is>
          <t>NA</t>
        </is>
      </c>
      <c r="L125" s="248" t="inlineStr">
        <is>
          <t>NA</t>
        </is>
      </c>
      <c r="M125" s="248" t="inlineStr">
        <is>
          <t>O2</t>
        </is>
      </c>
      <c r="N125" s="248" t="inlineStr">
        <is>
          <t>9</t>
        </is>
      </c>
      <c r="O125" s="248" t="n">
        <v>198.0</v>
      </c>
      <c r="P125" s="248" t="n">
        <v>0.0</v>
      </c>
      <c r="Q125" s="248" t="n">
        <v>0.0</v>
      </c>
      <c r="R125" s="248" t="n">
        <v>0.0</v>
      </c>
      <c r="S125" s="248" t="n">
        <v>19.8</v>
      </c>
      <c r="T125" s="248" t="n">
        <v>0.0</v>
      </c>
      <c r="U125" s="248" t="n">
        <v>0.0</v>
      </c>
      <c r="V125" s="248" t="n">
        <v>8.91</v>
      </c>
      <c r="W125" s="248" t="n">
        <v>187.11</v>
      </c>
      <c r="X125" s="248" t="n">
        <v>178.2</v>
      </c>
      <c r="Y125" s="248" t="n">
        <v>0.0</v>
      </c>
      <c r="Z125" s="248" t="n">
        <v>0.0</v>
      </c>
      <c r="AA125" s="248" t="n">
        <v>178.2</v>
      </c>
      <c r="AB125" s="248" t="n">
        <v>23.0</v>
      </c>
      <c r="AC125" s="248" t="n">
        <v>40.99</v>
      </c>
      <c r="AD125" s="248" t="n">
        <v>1.28</v>
      </c>
      <c r="AE125" s="248" t="n">
        <v>0.0</v>
      </c>
      <c r="AF125" s="248" t="n">
        <v>0.0</v>
      </c>
      <c r="AG125" s="248" t="n">
        <v>0.0</v>
      </c>
      <c r="AH125" s="248" t="n">
        <v>3.44</v>
      </c>
      <c r="AI125" s="248" t="n">
        <v>44.43</v>
      </c>
      <c r="AJ125" s="248" t="n">
        <v>8.0</v>
      </c>
      <c r="AK125" s="248" t="n">
        <v>0.0</v>
      </c>
      <c r="AL125" s="248" t="n">
        <v>178.2</v>
      </c>
      <c r="AM125" s="248" t="n">
        <v>0.0</v>
      </c>
      <c r="AN125" s="248" t="n">
        <v>0.0</v>
      </c>
      <c r="AO125" s="248" t="n">
        <v>0.18</v>
      </c>
      <c r="AP125" s="248" t="n">
        <v>8.91</v>
      </c>
      <c r="AQ125" s="248" t="n">
        <v>0.0</v>
      </c>
      <c r="AR125" s="248" t="n">
        <v>17.09</v>
      </c>
      <c r="AS125" s="248" t="n">
        <v>0.0</v>
      </c>
      <c r="AT125" s="248" t="n">
        <v>0.0</v>
      </c>
      <c r="AU125" s="248" t="n">
        <v>0.0</v>
      </c>
      <c r="AV125" s="248" t="n">
        <v>0.0</v>
      </c>
      <c r="AW125" s="248" t="n">
        <v>0.0</v>
      </c>
      <c r="AX125" s="248" t="n">
        <v>0.0</v>
      </c>
      <c r="AY125" s="248" t="n">
        <v>0.0</v>
      </c>
      <c r="AZ125" s="248" t="n">
        <v>0.0</v>
      </c>
      <c r="BA125" s="248" t="n">
        <v>0.0</v>
      </c>
      <c r="BB125" s="248" t="n">
        <v>61.52</v>
      </c>
      <c r="BC125" s="248" t="n">
        <v>0.0</v>
      </c>
      <c r="BD125" s="248" t="n">
        <v>125.59</v>
      </c>
      <c r="BE125" s="248" t="inlineStr">
        <is>
          <t>settled</t>
        </is>
      </c>
      <c r="BF125" s="248" t="inlineStr">
        <is>
          <t>2025-12-17 05:30:00</t>
        </is>
      </c>
      <c r="BG125" s="248" t="inlineStr">
        <is>
          <t>CITIN25671235852</t>
        </is>
      </c>
      <c r="BH125" s="248" t="n">
        <v>0.0</v>
      </c>
      <c r="BI125" s="248" t="inlineStr">
        <is>
          <t>84bf6337602e3bf1b4b5fbecb82252aa324b5c4796e9f35c4f16a1b6d9b5006f</t>
        </is>
      </c>
    </row>
    <row r="126">
      <c r="A126" s="248" t="inlineStr">
        <is>
          <t>118</t>
        </is>
      </c>
      <c r="B126" s="248" t="inlineStr">
        <is>
          <t>7572430855</t>
        </is>
      </c>
      <c r="C126" s="248" t="inlineStr">
        <is>
          <t>2025-12-14 20:47:17</t>
        </is>
      </c>
      <c r="D126" s="248" t="inlineStr">
        <is>
          <t>50</t>
        </is>
      </c>
      <c r="E126" s="248" t="inlineStr">
        <is>
          <t>Bawarchi Baba- By Posh Foods</t>
        </is>
      </c>
      <c r="F126" s="248" t="inlineStr">
        <is>
          <t>20415473</t>
        </is>
      </c>
      <c r="G126" s="248" t="inlineStr">
        <is>
          <t>NA</t>
        </is>
      </c>
      <c r="H126" s="248" t="inlineStr">
        <is>
          <t>ONLINE</t>
        </is>
      </c>
      <c r="I126" s="248" t="inlineStr">
        <is>
          <t>DELIVERED</t>
        </is>
      </c>
      <c r="J126" s="248" t="inlineStr">
        <is>
          <t>NA</t>
        </is>
      </c>
      <c r="K126" s="248" t="inlineStr">
        <is>
          <t>NA</t>
        </is>
      </c>
      <c r="L126" s="248" t="inlineStr">
        <is>
          <t>NA</t>
        </is>
      </c>
      <c r="M126" s="248" t="inlineStr">
        <is>
          <t>O2</t>
        </is>
      </c>
      <c r="N126" s="248" t="inlineStr">
        <is>
          <t>9</t>
        </is>
      </c>
      <c r="O126" s="248" t="n">
        <v>315.0</v>
      </c>
      <c r="P126" s="248" t="n">
        <v>0.0</v>
      </c>
      <c r="Q126" s="248" t="n">
        <v>0.0</v>
      </c>
      <c r="R126" s="248" t="n">
        <v>0.0</v>
      </c>
      <c r="S126" s="248" t="n">
        <v>31.5</v>
      </c>
      <c r="T126" s="248" t="n">
        <v>0.0</v>
      </c>
      <c r="U126" s="248" t="n">
        <v>0.0</v>
      </c>
      <c r="V126" s="248" t="n">
        <v>14.18</v>
      </c>
      <c r="W126" s="248" t="n">
        <v>297.68</v>
      </c>
      <c r="X126" s="248" t="n">
        <v>283.5</v>
      </c>
      <c r="Y126" s="248" t="n">
        <v>0.0</v>
      </c>
      <c r="Z126" s="248" t="n">
        <v>0.0</v>
      </c>
      <c r="AA126" s="248" t="n">
        <v>283.5</v>
      </c>
      <c r="AB126" s="248" t="n">
        <v>23.0</v>
      </c>
      <c r="AC126" s="248" t="n">
        <v>65.2</v>
      </c>
      <c r="AD126" s="248" t="n">
        <v>5.71</v>
      </c>
      <c r="AE126" s="248" t="n">
        <v>20.0</v>
      </c>
      <c r="AF126" s="248" t="n">
        <v>0.0</v>
      </c>
      <c r="AG126" s="248" t="n">
        <v>0.15</v>
      </c>
      <c r="AH126" s="248" t="n">
        <v>5.48</v>
      </c>
      <c r="AI126" s="248" t="n">
        <v>90.53</v>
      </c>
      <c r="AJ126" s="248" t="n">
        <v>16.3</v>
      </c>
      <c r="AK126" s="248" t="n">
        <v>0.0</v>
      </c>
      <c r="AL126" s="248" t="n">
        <v>283.5</v>
      </c>
      <c r="AM126" s="248" t="n">
        <v>0.0</v>
      </c>
      <c r="AN126" s="248" t="n">
        <v>0.0</v>
      </c>
      <c r="AO126" s="248" t="n">
        <v>0.28</v>
      </c>
      <c r="AP126" s="248" t="n">
        <v>14.18</v>
      </c>
      <c r="AQ126" s="248" t="n">
        <v>0.0</v>
      </c>
      <c r="AR126" s="248" t="n">
        <v>30.76</v>
      </c>
      <c r="AS126" s="248" t="n">
        <v>0.0</v>
      </c>
      <c r="AT126" s="248" t="n">
        <v>0.0</v>
      </c>
      <c r="AU126" s="248" t="n">
        <v>0.0</v>
      </c>
      <c r="AV126" s="248" t="n">
        <v>0.0</v>
      </c>
      <c r="AW126" s="248" t="n">
        <v>0.0</v>
      </c>
      <c r="AX126" s="248" t="n">
        <v>0.0</v>
      </c>
      <c r="AY126" s="248" t="n">
        <v>0.0</v>
      </c>
      <c r="AZ126" s="248" t="n">
        <v>0.0</v>
      </c>
      <c r="BA126" s="248" t="n">
        <v>0.0</v>
      </c>
      <c r="BB126" s="248" t="n">
        <v>121.29</v>
      </c>
      <c r="BC126" s="248" t="n">
        <v>0.0</v>
      </c>
      <c r="BD126" s="248" t="n">
        <v>176.39</v>
      </c>
      <c r="BE126" s="248" t="inlineStr">
        <is>
          <t>settled</t>
        </is>
      </c>
      <c r="BF126" s="248" t="inlineStr">
        <is>
          <t>2025-12-17 05:30:00</t>
        </is>
      </c>
      <c r="BG126" s="248" t="inlineStr">
        <is>
          <t>CITIN25671235852</t>
        </is>
      </c>
      <c r="BH126" s="248" t="n">
        <v>0.0</v>
      </c>
      <c r="BI126" s="248" t="inlineStr">
        <is>
          <t>0a1debd0c66b981a946881e717ded2164d04cc4e6ea7c3c93e4d8d77eb9e4763</t>
        </is>
      </c>
    </row>
    <row r="127">
      <c r="A127" s="248" t="inlineStr">
        <is>
          <t>119</t>
        </is>
      </c>
      <c r="B127" s="248" t="inlineStr">
        <is>
          <t>7582649114</t>
        </is>
      </c>
      <c r="C127" s="248" t="inlineStr">
        <is>
          <t>2025-12-14 20:47:59</t>
        </is>
      </c>
      <c r="D127" s="248" t="inlineStr">
        <is>
          <t>50</t>
        </is>
      </c>
      <c r="E127" s="248" t="inlineStr">
        <is>
          <t>Bawarchi Baba- By Posh Foods</t>
        </is>
      </c>
      <c r="F127" s="248" t="inlineStr">
        <is>
          <t>20415473</t>
        </is>
      </c>
      <c r="G127" s="248" t="inlineStr">
        <is>
          <t>NA</t>
        </is>
      </c>
      <c r="H127" s="248" t="inlineStr">
        <is>
          <t>ONLINE</t>
        </is>
      </c>
      <c r="I127" s="248" t="inlineStr">
        <is>
          <t>DELIVERED</t>
        </is>
      </c>
      <c r="J127" s="248" t="inlineStr">
        <is>
          <t>NA</t>
        </is>
      </c>
      <c r="K127" s="248" t="inlineStr">
        <is>
          <t>NA</t>
        </is>
      </c>
      <c r="L127" s="248" t="inlineStr">
        <is>
          <t>NA</t>
        </is>
      </c>
      <c r="M127" s="248" t="inlineStr">
        <is>
          <t>O2</t>
        </is>
      </c>
      <c r="N127" s="248" t="inlineStr">
        <is>
          <t>7</t>
        </is>
      </c>
      <c r="O127" s="248" t="n">
        <v>335.0</v>
      </c>
      <c r="P127" s="248" t="n">
        <v>0.0</v>
      </c>
      <c r="Q127" s="248" t="n">
        <v>0.0</v>
      </c>
      <c r="R127" s="248" t="n">
        <v>0.0</v>
      </c>
      <c r="S127" s="248" t="n">
        <v>33.5</v>
      </c>
      <c r="T127" s="248" t="n">
        <v>0.0</v>
      </c>
      <c r="U127" s="248" t="n">
        <v>0.0</v>
      </c>
      <c r="V127" s="248" t="n">
        <v>15.08</v>
      </c>
      <c r="W127" s="248" t="n">
        <v>316.58</v>
      </c>
      <c r="X127" s="248" t="n">
        <v>301.5</v>
      </c>
      <c r="Y127" s="248" t="n">
        <v>0.0</v>
      </c>
      <c r="Z127" s="248" t="n">
        <v>0.0</v>
      </c>
      <c r="AA127" s="248" t="n">
        <v>301.5</v>
      </c>
      <c r="AB127" s="248" t="n">
        <v>23.0</v>
      </c>
      <c r="AC127" s="248" t="n">
        <v>69.34</v>
      </c>
      <c r="AD127" s="248" t="n">
        <v>6.11</v>
      </c>
      <c r="AE127" s="248" t="n">
        <v>40.0</v>
      </c>
      <c r="AF127" s="248" t="n">
        <v>0.0</v>
      </c>
      <c r="AG127" s="248" t="n">
        <v>18.89</v>
      </c>
      <c r="AH127" s="248" t="n">
        <v>5.83</v>
      </c>
      <c r="AI127" s="248" t="n">
        <v>96.28</v>
      </c>
      <c r="AJ127" s="248" t="n">
        <v>17.33</v>
      </c>
      <c r="AK127" s="248" t="n">
        <v>0.0</v>
      </c>
      <c r="AL127" s="248" t="n">
        <v>301.5</v>
      </c>
      <c r="AM127" s="248" t="n">
        <v>0.0</v>
      </c>
      <c r="AN127" s="248" t="n">
        <v>0.0</v>
      </c>
      <c r="AO127" s="248" t="n">
        <v>0.3</v>
      </c>
      <c r="AP127" s="248" t="n">
        <v>15.08</v>
      </c>
      <c r="AQ127" s="248" t="n">
        <v>0.0</v>
      </c>
      <c r="AR127" s="248" t="n">
        <v>32.71</v>
      </c>
      <c r="AS127" s="248" t="n">
        <v>0.0</v>
      </c>
      <c r="AT127" s="248" t="n">
        <v>0.0</v>
      </c>
      <c r="AU127" s="248" t="n">
        <v>0.0</v>
      </c>
      <c r="AV127" s="248" t="n">
        <v>0.0</v>
      </c>
      <c r="AW127" s="248" t="n">
        <v>0.0</v>
      </c>
      <c r="AX127" s="248" t="n">
        <v>0.0</v>
      </c>
      <c r="AY127" s="248" t="n">
        <v>0.0</v>
      </c>
      <c r="AZ127" s="248" t="n">
        <v>0.0</v>
      </c>
      <c r="BA127" s="248" t="n">
        <v>0.0</v>
      </c>
      <c r="BB127" s="248" t="n">
        <v>128.99</v>
      </c>
      <c r="BC127" s="248" t="n">
        <v>0.0</v>
      </c>
      <c r="BD127" s="248" t="n">
        <v>187.59</v>
      </c>
      <c r="BE127" s="248" t="inlineStr">
        <is>
          <t>settled</t>
        </is>
      </c>
      <c r="BF127" s="248" t="inlineStr">
        <is>
          <t>2025-12-17 05:30:00</t>
        </is>
      </c>
      <c r="BG127" s="248" t="inlineStr">
        <is>
          <t>CITIN25671235852</t>
        </is>
      </c>
      <c r="BH127" s="248" t="n">
        <v>0.0</v>
      </c>
      <c r="BI127" s="248" t="inlineStr">
        <is>
          <t>ff8a26403c5f15ebd4022d79725ed095334854d9a003983f66f210bdaeed7eac</t>
        </is>
      </c>
    </row>
    <row r="128">
      <c r="A128" s="248" t="inlineStr">
        <is>
          <t>120</t>
        </is>
      </c>
      <c r="B128" s="248" t="inlineStr">
        <is>
          <t>7582690192</t>
        </is>
      </c>
      <c r="C128" s="248" t="inlineStr">
        <is>
          <t>2025-12-14 20:53:08</t>
        </is>
      </c>
      <c r="D128" s="248" t="inlineStr">
        <is>
          <t>50</t>
        </is>
      </c>
      <c r="E128" s="248" t="inlineStr">
        <is>
          <t>Bawarchi Baba- By Posh Foods</t>
        </is>
      </c>
      <c r="F128" s="248" t="inlineStr">
        <is>
          <t>20415473</t>
        </is>
      </c>
      <c r="G128" s="248" t="inlineStr">
        <is>
          <t>NA</t>
        </is>
      </c>
      <c r="H128" s="248" t="inlineStr">
        <is>
          <t>ONLINE</t>
        </is>
      </c>
      <c r="I128" s="248" t="inlineStr">
        <is>
          <t>DELIVERED</t>
        </is>
      </c>
      <c r="J128" s="248" t="inlineStr">
        <is>
          <t>NA</t>
        </is>
      </c>
      <c r="K128" s="248" t="inlineStr">
        <is>
          <t>NA</t>
        </is>
      </c>
      <c r="L128" s="248" t="inlineStr">
        <is>
          <t>NA</t>
        </is>
      </c>
      <c r="M128" s="248" t="inlineStr">
        <is>
          <t>O2</t>
        </is>
      </c>
      <c r="N128" s="248" t="inlineStr">
        <is>
          <t>9</t>
        </is>
      </c>
      <c r="O128" s="248" t="n">
        <v>1054.0</v>
      </c>
      <c r="P128" s="248" t="n">
        <v>0.0</v>
      </c>
      <c r="Q128" s="248" t="n">
        <v>0.0</v>
      </c>
      <c r="R128" s="248" t="n">
        <v>0.0</v>
      </c>
      <c r="S128" s="248" t="n">
        <v>105.4</v>
      </c>
      <c r="T128" s="248" t="n">
        <v>0.0</v>
      </c>
      <c r="U128" s="248" t="n">
        <v>0.0</v>
      </c>
      <c r="V128" s="248" t="n">
        <v>47.43</v>
      </c>
      <c r="W128" s="248" t="n">
        <v>996.03</v>
      </c>
      <c r="X128" s="248" t="n">
        <v>948.6</v>
      </c>
      <c r="Y128" s="248" t="n">
        <v>0.0</v>
      </c>
      <c r="Z128" s="248" t="n">
        <v>0.0</v>
      </c>
      <c r="AA128" s="248" t="n">
        <v>948.6</v>
      </c>
      <c r="AB128" s="248" t="n">
        <v>23.0</v>
      </c>
      <c r="AC128" s="248" t="n">
        <v>218.18</v>
      </c>
      <c r="AD128" s="248" t="n">
        <v>3.53</v>
      </c>
      <c r="AE128" s="248" t="n">
        <v>0.0</v>
      </c>
      <c r="AF128" s="248" t="n">
        <v>0.0</v>
      </c>
      <c r="AG128" s="248" t="n">
        <v>0.0</v>
      </c>
      <c r="AH128" s="248" t="n">
        <v>18.33</v>
      </c>
      <c r="AI128" s="248" t="n">
        <v>236.51</v>
      </c>
      <c r="AJ128" s="248" t="n">
        <v>42.57</v>
      </c>
      <c r="AK128" s="248" t="n">
        <v>0.0</v>
      </c>
      <c r="AL128" s="248" t="n">
        <v>948.6</v>
      </c>
      <c r="AM128" s="248" t="n">
        <v>0.0</v>
      </c>
      <c r="AN128" s="248" t="n">
        <v>0.0</v>
      </c>
      <c r="AO128" s="248" t="n">
        <v>0.95</v>
      </c>
      <c r="AP128" s="248" t="n">
        <v>47.43</v>
      </c>
      <c r="AQ128" s="248" t="n">
        <v>0.0</v>
      </c>
      <c r="AR128" s="248" t="n">
        <v>90.95</v>
      </c>
      <c r="AS128" s="248" t="n">
        <v>0.0</v>
      </c>
      <c r="AT128" s="248" t="n">
        <v>0.0</v>
      </c>
      <c r="AU128" s="248" t="n">
        <v>0.0</v>
      </c>
      <c r="AV128" s="248" t="n">
        <v>0.0</v>
      </c>
      <c r="AW128" s="248" t="n">
        <v>0.0</v>
      </c>
      <c r="AX128" s="248" t="n">
        <v>0.0</v>
      </c>
      <c r="AY128" s="248" t="n">
        <v>0.0</v>
      </c>
      <c r="AZ128" s="248" t="n">
        <v>0.0</v>
      </c>
      <c r="BA128" s="248" t="n">
        <v>0.0</v>
      </c>
      <c r="BB128" s="248" t="n">
        <v>327.46</v>
      </c>
      <c r="BC128" s="248" t="n">
        <v>0.0</v>
      </c>
      <c r="BD128" s="248" t="n">
        <v>668.57</v>
      </c>
      <c r="BE128" s="248" t="inlineStr">
        <is>
          <t>settled</t>
        </is>
      </c>
      <c r="BF128" s="248" t="inlineStr">
        <is>
          <t>2025-12-17 05:30:00</t>
        </is>
      </c>
      <c r="BG128" s="248" t="inlineStr">
        <is>
          <t>CITIN25671235852</t>
        </is>
      </c>
      <c r="BH128" s="248" t="n">
        <v>0.0</v>
      </c>
      <c r="BI128" s="248" t="inlineStr">
        <is>
          <t>9a62ba805f8a52900b4934484222d440ddc806428d542797bb54f6bbdf0b385a</t>
        </is>
      </c>
    </row>
    <row r="129">
      <c r="A129" s="248" t="inlineStr">
        <is>
          <t>121</t>
        </is>
      </c>
      <c r="B129" s="248" t="inlineStr">
        <is>
          <t>7580400490</t>
        </is>
      </c>
      <c r="C129" s="248" t="inlineStr">
        <is>
          <t>2025-12-14 21:12:15</t>
        </is>
      </c>
      <c r="D129" s="248" t="inlineStr">
        <is>
          <t>50</t>
        </is>
      </c>
      <c r="E129" s="248" t="inlineStr">
        <is>
          <t>Bawarchi Baba- By Posh Foods</t>
        </is>
      </c>
      <c r="F129" s="248" t="inlineStr">
        <is>
          <t>20415473</t>
        </is>
      </c>
      <c r="G129" s="248" t="inlineStr">
        <is>
          <t>NA</t>
        </is>
      </c>
      <c r="H129" s="248" t="inlineStr">
        <is>
          <t>ONLINE</t>
        </is>
      </c>
      <c r="I129" s="248" t="inlineStr">
        <is>
          <t>DELIVERED</t>
        </is>
      </c>
      <c r="J129" s="248" t="inlineStr">
        <is>
          <t>NA</t>
        </is>
      </c>
      <c r="K129" s="248" t="inlineStr">
        <is>
          <t>NA</t>
        </is>
      </c>
      <c r="L129" s="248" t="inlineStr">
        <is>
          <t>NA</t>
        </is>
      </c>
      <c r="M129" s="248" t="inlineStr">
        <is>
          <t>O2</t>
        </is>
      </c>
      <c r="N129" s="248" t="inlineStr">
        <is>
          <t>9</t>
        </is>
      </c>
      <c r="O129" s="248" t="n">
        <v>376.0</v>
      </c>
      <c r="P129" s="248" t="n">
        <v>0.0</v>
      </c>
      <c r="Q129" s="248" t="n">
        <v>0.0</v>
      </c>
      <c r="R129" s="248" t="n">
        <v>0.0</v>
      </c>
      <c r="S129" s="248" t="n">
        <v>37.6</v>
      </c>
      <c r="T129" s="248" t="n">
        <v>0.0</v>
      </c>
      <c r="U129" s="248" t="n">
        <v>0.0</v>
      </c>
      <c r="V129" s="248" t="n">
        <v>16.92</v>
      </c>
      <c r="W129" s="248" t="n">
        <v>355.32</v>
      </c>
      <c r="X129" s="248" t="n">
        <v>338.4</v>
      </c>
      <c r="Y129" s="248" t="n">
        <v>0.0</v>
      </c>
      <c r="Z129" s="248" t="n">
        <v>0.0</v>
      </c>
      <c r="AA129" s="248" t="n">
        <v>338.4</v>
      </c>
      <c r="AB129" s="248" t="n">
        <v>23.0</v>
      </c>
      <c r="AC129" s="248" t="n">
        <v>77.83</v>
      </c>
      <c r="AD129" s="248" t="n">
        <v>2.62</v>
      </c>
      <c r="AE129" s="248" t="n">
        <v>0.0</v>
      </c>
      <c r="AF129" s="248" t="n">
        <v>0.0</v>
      </c>
      <c r="AG129" s="248" t="n">
        <v>0.0</v>
      </c>
      <c r="AH129" s="248" t="n">
        <v>6.54</v>
      </c>
      <c r="AI129" s="248" t="n">
        <v>84.37</v>
      </c>
      <c r="AJ129" s="248" t="n">
        <v>15.19</v>
      </c>
      <c r="AK129" s="248" t="n">
        <v>0.0</v>
      </c>
      <c r="AL129" s="248" t="n">
        <v>338.4</v>
      </c>
      <c r="AM129" s="248" t="n">
        <v>0.0</v>
      </c>
      <c r="AN129" s="248" t="n">
        <v>0.0</v>
      </c>
      <c r="AO129" s="248" t="n">
        <v>0.34</v>
      </c>
      <c r="AP129" s="248" t="n">
        <v>16.92</v>
      </c>
      <c r="AQ129" s="248" t="n">
        <v>0.0</v>
      </c>
      <c r="AR129" s="248" t="n">
        <v>32.45</v>
      </c>
      <c r="AS129" s="248" t="n">
        <v>0.0</v>
      </c>
      <c r="AT129" s="248" t="n">
        <v>0.0</v>
      </c>
      <c r="AU129" s="248" t="n">
        <v>0.0</v>
      </c>
      <c r="AV129" s="248" t="n">
        <v>0.0</v>
      </c>
      <c r="AW129" s="248" t="n">
        <v>0.0</v>
      </c>
      <c r="AX129" s="248" t="n">
        <v>0.0</v>
      </c>
      <c r="AY129" s="248" t="n">
        <v>0.0</v>
      </c>
      <c r="AZ129" s="248" t="n">
        <v>0.0</v>
      </c>
      <c r="BA129" s="248" t="n">
        <v>0.0</v>
      </c>
      <c r="BB129" s="248" t="n">
        <v>116.82</v>
      </c>
      <c r="BC129" s="248" t="n">
        <v>0.0</v>
      </c>
      <c r="BD129" s="248" t="n">
        <v>238.5</v>
      </c>
      <c r="BE129" s="248" t="inlineStr">
        <is>
          <t>settled</t>
        </is>
      </c>
      <c r="BF129" s="248" t="inlineStr">
        <is>
          <t>2025-12-17 05:30:00</t>
        </is>
      </c>
      <c r="BG129" s="248" t="inlineStr">
        <is>
          <t>CITIN25671235852</t>
        </is>
      </c>
      <c r="BH129" s="248" t="n">
        <v>0.0</v>
      </c>
      <c r="BI129" s="248" t="inlineStr">
        <is>
          <t>5448976e9520a7860c8fa4242e81887ca58d5faa5a0ff26fb51e216e2d58aed7</t>
        </is>
      </c>
    </row>
    <row r="130">
      <c r="A130" s="248" t="inlineStr">
        <is>
          <t>122</t>
        </is>
      </c>
      <c r="B130" s="248" t="inlineStr">
        <is>
          <t>7576749513</t>
        </is>
      </c>
      <c r="C130" s="248" t="inlineStr">
        <is>
          <t>2025-12-14 21:20:11</t>
        </is>
      </c>
      <c r="D130" s="248" t="inlineStr">
        <is>
          <t>50</t>
        </is>
      </c>
      <c r="E130" s="248" t="inlineStr">
        <is>
          <t>Bawarchi Baba- By Posh Foods</t>
        </is>
      </c>
      <c r="F130" s="248" t="inlineStr">
        <is>
          <t>20415473</t>
        </is>
      </c>
      <c r="G130" s="248" t="inlineStr">
        <is>
          <t>NA</t>
        </is>
      </c>
      <c r="H130" s="248" t="inlineStr">
        <is>
          <t>ONLINE</t>
        </is>
      </c>
      <c r="I130" s="248" t="inlineStr">
        <is>
          <t>DELIVERED</t>
        </is>
      </c>
      <c r="J130" s="248" t="inlineStr">
        <is>
          <t>NA</t>
        </is>
      </c>
      <c r="K130" s="248" t="inlineStr">
        <is>
          <t>NA</t>
        </is>
      </c>
      <c r="L130" s="248" t="inlineStr">
        <is>
          <t>NA</t>
        </is>
      </c>
      <c r="M130" s="248" t="inlineStr">
        <is>
          <t>O2</t>
        </is>
      </c>
      <c r="N130" s="248" t="inlineStr">
        <is>
          <t>9</t>
        </is>
      </c>
      <c r="O130" s="248" t="n">
        <v>740.0</v>
      </c>
      <c r="P130" s="248" t="n">
        <v>0.0</v>
      </c>
      <c r="Q130" s="248" t="n">
        <v>0.0</v>
      </c>
      <c r="R130" s="248" t="n">
        <v>0.0</v>
      </c>
      <c r="S130" s="248" t="n">
        <v>74.0</v>
      </c>
      <c r="T130" s="248" t="n">
        <v>0.0</v>
      </c>
      <c r="U130" s="248" t="n">
        <v>0.0</v>
      </c>
      <c r="V130" s="248" t="n">
        <v>33.3</v>
      </c>
      <c r="W130" s="248" t="n">
        <v>699.3</v>
      </c>
      <c r="X130" s="248" t="n">
        <v>666.0</v>
      </c>
      <c r="Y130" s="248" t="n">
        <v>0.0</v>
      </c>
      <c r="Z130" s="248" t="n">
        <v>0.0</v>
      </c>
      <c r="AA130" s="248" t="n">
        <v>666.0</v>
      </c>
      <c r="AB130" s="248" t="n">
        <v>23.0</v>
      </c>
      <c r="AC130" s="248" t="n">
        <v>153.18</v>
      </c>
      <c r="AD130" s="248" t="n">
        <v>2.93</v>
      </c>
      <c r="AE130" s="248" t="n">
        <v>0.0</v>
      </c>
      <c r="AF130" s="248" t="n">
        <v>0.0</v>
      </c>
      <c r="AG130" s="248" t="n">
        <v>0.0</v>
      </c>
      <c r="AH130" s="248" t="n">
        <v>12.87</v>
      </c>
      <c r="AI130" s="248" t="n">
        <v>166.05</v>
      </c>
      <c r="AJ130" s="248" t="n">
        <v>29.89</v>
      </c>
      <c r="AK130" s="248" t="n">
        <v>0.0</v>
      </c>
      <c r="AL130" s="248" t="n">
        <v>666.0</v>
      </c>
      <c r="AM130" s="248" t="n">
        <v>0.0</v>
      </c>
      <c r="AN130" s="248" t="n">
        <v>0.0</v>
      </c>
      <c r="AO130" s="248" t="n">
        <v>0.67</v>
      </c>
      <c r="AP130" s="248" t="n">
        <v>33.3</v>
      </c>
      <c r="AQ130" s="248" t="n">
        <v>0.0</v>
      </c>
      <c r="AR130" s="248" t="n">
        <v>63.86</v>
      </c>
      <c r="AS130" s="248" t="n">
        <v>0.0</v>
      </c>
      <c r="AT130" s="248" t="n">
        <v>0.0</v>
      </c>
      <c r="AU130" s="248" t="n">
        <v>0.0</v>
      </c>
      <c r="AV130" s="248" t="n">
        <v>0.0</v>
      </c>
      <c r="AW130" s="248" t="n">
        <v>0.0</v>
      </c>
      <c r="AX130" s="248" t="n">
        <v>0.0</v>
      </c>
      <c r="AY130" s="248" t="n">
        <v>0.0</v>
      </c>
      <c r="AZ130" s="248" t="n">
        <v>0.0</v>
      </c>
      <c r="BA130" s="248" t="n">
        <v>0.0</v>
      </c>
      <c r="BB130" s="248" t="n">
        <v>229.91</v>
      </c>
      <c r="BC130" s="248" t="n">
        <v>0.0</v>
      </c>
      <c r="BD130" s="248" t="n">
        <v>469.39</v>
      </c>
      <c r="BE130" s="248" t="inlineStr">
        <is>
          <t>settled</t>
        </is>
      </c>
      <c r="BF130" s="248" t="inlineStr">
        <is>
          <t>2025-12-17 05:30:00</t>
        </is>
      </c>
      <c r="BG130" s="248" t="inlineStr">
        <is>
          <t>CITIN25671235852</t>
        </is>
      </c>
      <c r="BH130" s="248" t="n">
        <v>0.0</v>
      </c>
      <c r="BI130" s="248" t="inlineStr">
        <is>
          <t>f1c1913cd71fb755db1e9e32e93fdb8743d825c60b8e8ba19df57c3297e487a9</t>
        </is>
      </c>
    </row>
    <row r="131">
      <c r="A131" s="248" t="inlineStr">
        <is>
          <t>123</t>
        </is>
      </c>
      <c r="B131" s="248" t="inlineStr">
        <is>
          <t>7573983756</t>
        </is>
      </c>
      <c r="C131" s="248" t="inlineStr">
        <is>
          <t>2025-12-14 21:49:42</t>
        </is>
      </c>
      <c r="D131" s="248" t="inlineStr">
        <is>
          <t>50</t>
        </is>
      </c>
      <c r="E131" s="248" t="inlineStr">
        <is>
          <t>Bawarchi Baba- By Posh Foods</t>
        </is>
      </c>
      <c r="F131" s="248" t="inlineStr">
        <is>
          <t>20415473</t>
        </is>
      </c>
      <c r="G131" s="248" t="inlineStr">
        <is>
          <t>NA</t>
        </is>
      </c>
      <c r="H131" s="248" t="inlineStr">
        <is>
          <t>ONLINE</t>
        </is>
      </c>
      <c r="I131" s="248" t="inlineStr">
        <is>
          <t>DELIVERED</t>
        </is>
      </c>
      <c r="J131" s="248" t="inlineStr">
        <is>
          <t>NA</t>
        </is>
      </c>
      <c r="K131" s="248" t="inlineStr">
        <is>
          <t>NA</t>
        </is>
      </c>
      <c r="L131" s="248" t="inlineStr">
        <is>
          <t>NA</t>
        </is>
      </c>
      <c r="M131" s="248" t="inlineStr">
        <is>
          <t>O2</t>
        </is>
      </c>
      <c r="N131" s="248" t="inlineStr">
        <is>
          <t>9</t>
        </is>
      </c>
      <c r="O131" s="248" t="n">
        <v>250.0</v>
      </c>
      <c r="P131" s="248" t="n">
        <v>0.0</v>
      </c>
      <c r="Q131" s="248" t="n">
        <v>0.0</v>
      </c>
      <c r="R131" s="248" t="n">
        <v>0.0</v>
      </c>
      <c r="S131" s="248" t="n">
        <v>25.0</v>
      </c>
      <c r="T131" s="248" t="n">
        <v>0.0</v>
      </c>
      <c r="U131" s="248" t="n">
        <v>0.0</v>
      </c>
      <c r="V131" s="248" t="n">
        <v>11.25</v>
      </c>
      <c r="W131" s="248" t="n">
        <v>236.25</v>
      </c>
      <c r="X131" s="248" t="n">
        <v>225.0</v>
      </c>
      <c r="Y131" s="248" t="n">
        <v>0.0</v>
      </c>
      <c r="Z131" s="248" t="n">
        <v>0.0</v>
      </c>
      <c r="AA131" s="248" t="n">
        <v>225.0</v>
      </c>
      <c r="AB131" s="248" t="n">
        <v>23.0</v>
      </c>
      <c r="AC131" s="248" t="n">
        <v>51.75</v>
      </c>
      <c r="AD131" s="248" t="n">
        <v>1.07</v>
      </c>
      <c r="AE131" s="248" t="n">
        <v>0.0</v>
      </c>
      <c r="AF131" s="248" t="n">
        <v>0.0</v>
      </c>
      <c r="AG131" s="248" t="n">
        <v>0.0</v>
      </c>
      <c r="AH131" s="248" t="n">
        <v>4.35</v>
      </c>
      <c r="AI131" s="248" t="n">
        <v>56.1</v>
      </c>
      <c r="AJ131" s="248" t="n">
        <v>10.1</v>
      </c>
      <c r="AK131" s="248" t="n">
        <v>0.0</v>
      </c>
      <c r="AL131" s="248" t="n">
        <v>225.0</v>
      </c>
      <c r="AM131" s="248" t="n">
        <v>0.0</v>
      </c>
      <c r="AN131" s="248" t="n">
        <v>0.0</v>
      </c>
      <c r="AO131" s="248" t="n">
        <v>0.22</v>
      </c>
      <c r="AP131" s="248" t="n">
        <v>11.25</v>
      </c>
      <c r="AQ131" s="248" t="n">
        <v>0.0</v>
      </c>
      <c r="AR131" s="248" t="n">
        <v>21.57</v>
      </c>
      <c r="AS131" s="248" t="n">
        <v>0.0</v>
      </c>
      <c r="AT131" s="248" t="n">
        <v>0.0</v>
      </c>
      <c r="AU131" s="248" t="n">
        <v>0.0</v>
      </c>
      <c r="AV131" s="248" t="n">
        <v>0.0</v>
      </c>
      <c r="AW131" s="248" t="n">
        <v>0.0</v>
      </c>
      <c r="AX131" s="248" t="n">
        <v>0.0</v>
      </c>
      <c r="AY131" s="248" t="n">
        <v>0.0</v>
      </c>
      <c r="AZ131" s="248" t="n">
        <v>0.0</v>
      </c>
      <c r="BA131" s="248" t="n">
        <v>0.0</v>
      </c>
      <c r="BB131" s="248" t="n">
        <v>77.67</v>
      </c>
      <c r="BC131" s="248" t="n">
        <v>0.0</v>
      </c>
      <c r="BD131" s="248" t="n">
        <v>158.58</v>
      </c>
      <c r="BE131" s="248" t="inlineStr">
        <is>
          <t>settled</t>
        </is>
      </c>
      <c r="BF131" s="248" t="inlineStr">
        <is>
          <t>2025-12-17 05:30:00</t>
        </is>
      </c>
      <c r="BG131" s="248" t="inlineStr">
        <is>
          <t>CITIN25671235852</t>
        </is>
      </c>
      <c r="BH131" s="248" t="n">
        <v>0.0</v>
      </c>
      <c r="BI131" s="248" t="inlineStr">
        <is>
          <t>84bdaf3b87b1776319966504370bc0edf7a5ae63db302d397250a75226829a59</t>
        </is>
      </c>
    </row>
    <row r="132">
      <c r="A132" s="248" t="inlineStr">
        <is>
          <t>124</t>
        </is>
      </c>
      <c r="B132" s="248" t="inlineStr">
        <is>
          <t>7584730237</t>
        </is>
      </c>
      <c r="C132" s="248" t="inlineStr">
        <is>
          <t>2025-12-14 22:02:23</t>
        </is>
      </c>
      <c r="D132" s="248" t="inlineStr">
        <is>
          <t>50</t>
        </is>
      </c>
      <c r="E132" s="248" t="inlineStr">
        <is>
          <t>Bawarchi Baba- By Posh Foods</t>
        </is>
      </c>
      <c r="F132" s="248" t="inlineStr">
        <is>
          <t>20415473</t>
        </is>
      </c>
      <c r="G132" s="248" t="inlineStr">
        <is>
          <t>NA</t>
        </is>
      </c>
      <c r="H132" s="248" t="inlineStr">
        <is>
          <t>ONLINE</t>
        </is>
      </c>
      <c r="I132" s="248" t="inlineStr">
        <is>
          <t>DELIVERED</t>
        </is>
      </c>
      <c r="J132" s="248" t="inlineStr">
        <is>
          <t>NA</t>
        </is>
      </c>
      <c r="K132" s="248" t="inlineStr">
        <is>
          <t>NA</t>
        </is>
      </c>
      <c r="L132" s="248" t="inlineStr">
        <is>
          <t>NA</t>
        </is>
      </c>
      <c r="M132" s="248" t="inlineStr">
        <is>
          <t>O2</t>
        </is>
      </c>
      <c r="N132" s="248" t="inlineStr">
        <is>
          <t>9</t>
        </is>
      </c>
      <c r="O132" s="248" t="n">
        <v>175.0</v>
      </c>
      <c r="P132" s="248" t="n">
        <v>0.0</v>
      </c>
      <c r="Q132" s="248" t="n">
        <v>0.0</v>
      </c>
      <c r="R132" s="248" t="n">
        <v>0.0</v>
      </c>
      <c r="S132" s="248" t="n">
        <v>17.5</v>
      </c>
      <c r="T132" s="248" t="n">
        <v>0.0</v>
      </c>
      <c r="U132" s="248" t="n">
        <v>0.0</v>
      </c>
      <c r="V132" s="248" t="n">
        <v>7.88</v>
      </c>
      <c r="W132" s="248" t="n">
        <v>165.38</v>
      </c>
      <c r="X132" s="248" t="n">
        <v>157.5</v>
      </c>
      <c r="Y132" s="248" t="n">
        <v>0.0</v>
      </c>
      <c r="Z132" s="248" t="n">
        <v>0.0</v>
      </c>
      <c r="AA132" s="248" t="n">
        <v>157.5</v>
      </c>
      <c r="AB132" s="248" t="n">
        <v>23.0</v>
      </c>
      <c r="AC132" s="248" t="n">
        <v>36.22</v>
      </c>
      <c r="AD132" s="248" t="n">
        <v>1.73</v>
      </c>
      <c r="AE132" s="248" t="n">
        <v>0.0</v>
      </c>
      <c r="AF132" s="248" t="n">
        <v>0.0</v>
      </c>
      <c r="AG132" s="248" t="n">
        <v>0.0</v>
      </c>
      <c r="AH132" s="248" t="n">
        <v>3.04</v>
      </c>
      <c r="AI132" s="248" t="n">
        <v>39.26</v>
      </c>
      <c r="AJ132" s="248" t="n">
        <v>7.07</v>
      </c>
      <c r="AK132" s="248" t="n">
        <v>0.0</v>
      </c>
      <c r="AL132" s="248" t="n">
        <v>157.5</v>
      </c>
      <c r="AM132" s="248" t="n">
        <v>0.0</v>
      </c>
      <c r="AN132" s="248" t="n">
        <v>0.0</v>
      </c>
      <c r="AO132" s="248" t="n">
        <v>0.16</v>
      </c>
      <c r="AP132" s="248" t="n">
        <v>7.88</v>
      </c>
      <c r="AQ132" s="248" t="n">
        <v>0.0</v>
      </c>
      <c r="AR132" s="248" t="n">
        <v>15.11</v>
      </c>
      <c r="AS132" s="248" t="n">
        <v>0.0</v>
      </c>
      <c r="AT132" s="248" t="n">
        <v>0.0</v>
      </c>
      <c r="AU132" s="248" t="n">
        <v>0.0</v>
      </c>
      <c r="AV132" s="248" t="n">
        <v>0.0</v>
      </c>
      <c r="AW132" s="248" t="n">
        <v>0.0</v>
      </c>
      <c r="AX132" s="248" t="n">
        <v>0.0</v>
      </c>
      <c r="AY132" s="248" t="n">
        <v>0.0</v>
      </c>
      <c r="AZ132" s="248" t="n">
        <v>0.0</v>
      </c>
      <c r="BA132" s="248" t="n">
        <v>0.0</v>
      </c>
      <c r="BB132" s="248" t="n">
        <v>54.37</v>
      </c>
      <c r="BC132" s="248" t="n">
        <v>0.0</v>
      </c>
      <c r="BD132" s="248" t="n">
        <v>111.01</v>
      </c>
      <c r="BE132" s="248" t="inlineStr">
        <is>
          <t>settled</t>
        </is>
      </c>
      <c r="BF132" s="248" t="inlineStr">
        <is>
          <t>2025-12-17 05:30:00</t>
        </is>
      </c>
      <c r="BG132" s="248" t="inlineStr">
        <is>
          <t>CITIN25671235852</t>
        </is>
      </c>
      <c r="BH132" s="248" t="n">
        <v>0.0</v>
      </c>
      <c r="BI132" s="248" t="inlineStr">
        <is>
          <t>6b993853ef81e5750ccc7d2358649b40bd54175bf66b8246e9c479d9e18d97e9</t>
        </is>
      </c>
    </row>
    <row r="133">
      <c r="A133" s="248" t="inlineStr">
        <is>
          <t>125</t>
        </is>
      </c>
      <c r="B133" s="248" t="inlineStr">
        <is>
          <t>7583358729</t>
        </is>
      </c>
      <c r="C133" s="248" t="inlineStr">
        <is>
          <t>2025-12-14 22:14:08</t>
        </is>
      </c>
      <c r="D133" s="248" t="inlineStr">
        <is>
          <t>50</t>
        </is>
      </c>
      <c r="E133" s="248" t="inlineStr">
        <is>
          <t>Bawarchi Baba- By Posh Foods</t>
        </is>
      </c>
      <c r="F133" s="248" t="inlineStr">
        <is>
          <t>20415473</t>
        </is>
      </c>
      <c r="G133" s="248" t="inlineStr">
        <is>
          <t>NA</t>
        </is>
      </c>
      <c r="H133" s="248" t="inlineStr">
        <is>
          <t>ONLINE</t>
        </is>
      </c>
      <c r="I133" s="248" t="inlineStr">
        <is>
          <t>DELIVERED</t>
        </is>
      </c>
      <c r="J133" s="248" t="inlineStr">
        <is>
          <t>NA</t>
        </is>
      </c>
      <c r="K133" s="248" t="inlineStr">
        <is>
          <t>NA</t>
        </is>
      </c>
      <c r="L133" s="248" t="inlineStr">
        <is>
          <t>NA</t>
        </is>
      </c>
      <c r="M133" s="248" t="inlineStr">
        <is>
          <t>O2</t>
        </is>
      </c>
      <c r="N133" s="248" t="inlineStr">
        <is>
          <t>9</t>
        </is>
      </c>
      <c r="O133" s="248" t="n">
        <v>476.0</v>
      </c>
      <c r="P133" s="248" t="n">
        <v>0.0</v>
      </c>
      <c r="Q133" s="248" t="n">
        <v>0.0</v>
      </c>
      <c r="R133" s="248" t="n">
        <v>0.0</v>
      </c>
      <c r="S133" s="248" t="n">
        <v>47.6</v>
      </c>
      <c r="T133" s="248" t="n">
        <v>0.0</v>
      </c>
      <c r="U133" s="248" t="n">
        <v>0.0</v>
      </c>
      <c r="V133" s="248" t="n">
        <v>21.42</v>
      </c>
      <c r="W133" s="248" t="n">
        <v>449.82</v>
      </c>
      <c r="X133" s="248" t="n">
        <v>428.4</v>
      </c>
      <c r="Y133" s="248" t="n">
        <v>0.0</v>
      </c>
      <c r="Z133" s="248" t="n">
        <v>0.0</v>
      </c>
      <c r="AA133" s="248" t="n">
        <v>428.4</v>
      </c>
      <c r="AB133" s="248" t="n">
        <v>23.0</v>
      </c>
      <c r="AC133" s="248" t="n">
        <v>98.53</v>
      </c>
      <c r="AD133" s="248" t="n">
        <v>5.95</v>
      </c>
      <c r="AE133" s="248" t="n">
        <v>20.0</v>
      </c>
      <c r="AF133" s="248" t="n">
        <v>0.0</v>
      </c>
      <c r="AG133" s="248" t="n">
        <v>0.0</v>
      </c>
      <c r="AH133" s="248" t="n">
        <v>8.28</v>
      </c>
      <c r="AI133" s="248" t="n">
        <v>126.81</v>
      </c>
      <c r="AJ133" s="248" t="n">
        <v>22.83</v>
      </c>
      <c r="AK133" s="248" t="n">
        <v>0.0</v>
      </c>
      <c r="AL133" s="248" t="n">
        <v>428.4</v>
      </c>
      <c r="AM133" s="248" t="n">
        <v>0.0</v>
      </c>
      <c r="AN133" s="248" t="n">
        <v>0.0</v>
      </c>
      <c r="AO133" s="248" t="n">
        <v>0.43</v>
      </c>
      <c r="AP133" s="248" t="n">
        <v>21.42</v>
      </c>
      <c r="AQ133" s="248" t="n">
        <v>0.0</v>
      </c>
      <c r="AR133" s="248" t="n">
        <v>44.68</v>
      </c>
      <c r="AS133" s="248" t="n">
        <v>0.0</v>
      </c>
      <c r="AT133" s="248" t="n">
        <v>0.0</v>
      </c>
      <c r="AU133" s="248" t="n">
        <v>0.0</v>
      </c>
      <c r="AV133" s="248" t="n">
        <v>0.0</v>
      </c>
      <c r="AW133" s="248" t="n">
        <v>0.0</v>
      </c>
      <c r="AX133" s="248" t="n">
        <v>0.0</v>
      </c>
      <c r="AY133" s="248" t="n">
        <v>0.0</v>
      </c>
      <c r="AZ133" s="248" t="n">
        <v>0.0</v>
      </c>
      <c r="BA133" s="248" t="n">
        <v>0.0</v>
      </c>
      <c r="BB133" s="248" t="n">
        <v>171.49</v>
      </c>
      <c r="BC133" s="248" t="n">
        <v>0.0</v>
      </c>
      <c r="BD133" s="248" t="n">
        <v>278.33</v>
      </c>
      <c r="BE133" s="248" t="inlineStr">
        <is>
          <t>settled</t>
        </is>
      </c>
      <c r="BF133" s="248" t="inlineStr">
        <is>
          <t>2025-12-17 05:30:00</t>
        </is>
      </c>
      <c r="BG133" s="248" t="inlineStr">
        <is>
          <t>CITIN25671235852</t>
        </is>
      </c>
      <c r="BH133" s="248" t="n">
        <v>0.0</v>
      </c>
      <c r="BI133" s="248" t="inlineStr">
        <is>
          <t>777f22a0e449778a8afb51df910397edd50aa789a693841c96372b7024bfdce8</t>
        </is>
      </c>
    </row>
    <row r="134">
      <c r="A134" s="248" t="inlineStr">
        <is>
          <t>126</t>
        </is>
      </c>
      <c r="B134" s="248" t="inlineStr">
        <is>
          <t>7584215397</t>
        </is>
      </c>
      <c r="C134" s="248" t="inlineStr">
        <is>
          <t>2025-12-14 22:17:54</t>
        </is>
      </c>
      <c r="D134" s="248" t="inlineStr">
        <is>
          <t>50</t>
        </is>
      </c>
      <c r="E134" s="248" t="inlineStr">
        <is>
          <t>Bawarchi Baba- By Posh Foods</t>
        </is>
      </c>
      <c r="F134" s="248" t="inlineStr">
        <is>
          <t>20415473</t>
        </is>
      </c>
      <c r="G134" s="248" t="inlineStr">
        <is>
          <t>NA</t>
        </is>
      </c>
      <c r="H134" s="248" t="inlineStr">
        <is>
          <t>ONLINE</t>
        </is>
      </c>
      <c r="I134" s="248" t="inlineStr">
        <is>
          <t>DELIVERED</t>
        </is>
      </c>
      <c r="J134" s="248" t="inlineStr">
        <is>
          <t>NA</t>
        </is>
      </c>
      <c r="K134" s="248" t="inlineStr">
        <is>
          <t>NA</t>
        </is>
      </c>
      <c r="L134" s="248" t="inlineStr">
        <is>
          <t>NA</t>
        </is>
      </c>
      <c r="M134" s="248" t="inlineStr">
        <is>
          <t>O2</t>
        </is>
      </c>
      <c r="N134" s="248" t="inlineStr">
        <is>
          <t>9</t>
        </is>
      </c>
      <c r="O134" s="248" t="n">
        <v>70.0</v>
      </c>
      <c r="P134" s="248" t="n">
        <v>0.0</v>
      </c>
      <c r="Q134" s="248" t="n">
        <v>0.0</v>
      </c>
      <c r="R134" s="248" t="n">
        <v>0.0</v>
      </c>
      <c r="S134" s="248" t="n">
        <v>7.0</v>
      </c>
      <c r="T134" s="248" t="n">
        <v>0.0</v>
      </c>
      <c r="U134" s="248" t="n">
        <v>0.0</v>
      </c>
      <c r="V134" s="248" t="n">
        <v>3.15</v>
      </c>
      <c r="W134" s="248" t="n">
        <v>66.15</v>
      </c>
      <c r="X134" s="248" t="n">
        <v>63.0</v>
      </c>
      <c r="Y134" s="248" t="n">
        <v>0.0</v>
      </c>
      <c r="Z134" s="248" t="n">
        <v>0.0</v>
      </c>
      <c r="AA134" s="248" t="n">
        <v>63.0</v>
      </c>
      <c r="AB134" s="248" t="n">
        <v>23.0</v>
      </c>
      <c r="AC134" s="248" t="n">
        <v>14.49</v>
      </c>
      <c r="AD134" s="248" t="n">
        <v>2.04</v>
      </c>
      <c r="AE134" s="248" t="n">
        <v>0.0</v>
      </c>
      <c r="AF134" s="248" t="n">
        <v>0.0</v>
      </c>
      <c r="AG134" s="248" t="n">
        <v>0.0</v>
      </c>
      <c r="AH134" s="248" t="n">
        <v>1.22</v>
      </c>
      <c r="AI134" s="248" t="n">
        <v>15.71</v>
      </c>
      <c r="AJ134" s="248" t="n">
        <v>2.83</v>
      </c>
      <c r="AK134" s="248" t="n">
        <v>0.0</v>
      </c>
      <c r="AL134" s="248" t="n">
        <v>63.0</v>
      </c>
      <c r="AM134" s="248" t="n">
        <v>0.0</v>
      </c>
      <c r="AN134" s="248" t="n">
        <v>0.0</v>
      </c>
      <c r="AO134" s="248" t="n">
        <v>0.06</v>
      </c>
      <c r="AP134" s="248" t="n">
        <v>3.15</v>
      </c>
      <c r="AQ134" s="248" t="n">
        <v>0.0</v>
      </c>
      <c r="AR134" s="248" t="n">
        <v>6.04</v>
      </c>
      <c r="AS134" s="248" t="n">
        <v>0.0</v>
      </c>
      <c r="AT134" s="248" t="n">
        <v>0.0</v>
      </c>
      <c r="AU134" s="248" t="n">
        <v>0.0</v>
      </c>
      <c r="AV134" s="248" t="n">
        <v>0.0</v>
      </c>
      <c r="AW134" s="248" t="n">
        <v>0.0</v>
      </c>
      <c r="AX134" s="248" t="n">
        <v>0.0</v>
      </c>
      <c r="AY134" s="248" t="n">
        <v>0.0</v>
      </c>
      <c r="AZ134" s="248" t="n">
        <v>0.0</v>
      </c>
      <c r="BA134" s="248" t="n">
        <v>0.0</v>
      </c>
      <c r="BB134" s="248" t="n">
        <v>21.75</v>
      </c>
      <c r="BC134" s="248" t="n">
        <v>0.0</v>
      </c>
      <c r="BD134" s="248" t="n">
        <v>44.4</v>
      </c>
      <c r="BE134" s="248" t="inlineStr">
        <is>
          <t>settled</t>
        </is>
      </c>
      <c r="BF134" s="248" t="inlineStr">
        <is>
          <t>2025-12-17 05:30:00</t>
        </is>
      </c>
      <c r="BG134" s="248" t="inlineStr">
        <is>
          <t>CITIN25671235852</t>
        </is>
      </c>
      <c r="BH134" s="248" t="n">
        <v>0.0</v>
      </c>
      <c r="BI134" s="248" t="inlineStr">
        <is>
          <t>5439b8d063ea2809328dee7e98feb998e40e7ec2452984c4fcee1de190059281</t>
        </is>
      </c>
    </row>
    <row r="135">
      <c r="A135" s="248" t="inlineStr">
        <is>
          <t>127</t>
        </is>
      </c>
      <c r="B135" s="248" t="inlineStr">
        <is>
          <t>7577789304</t>
        </is>
      </c>
      <c r="C135" s="248" t="inlineStr">
        <is>
          <t>2025-12-14 22:44:06</t>
        </is>
      </c>
      <c r="D135" s="248" t="inlineStr">
        <is>
          <t>50</t>
        </is>
      </c>
      <c r="E135" s="248" t="inlineStr">
        <is>
          <t>Bawarchi Baba- By Posh Foods</t>
        </is>
      </c>
      <c r="F135" s="248" t="inlineStr">
        <is>
          <t>20415473</t>
        </is>
      </c>
      <c r="G135" s="248" t="inlineStr">
        <is>
          <t>NA</t>
        </is>
      </c>
      <c r="H135" s="248" t="inlineStr">
        <is>
          <t>ONLINE</t>
        </is>
      </c>
      <c r="I135" s="248" t="inlineStr">
        <is>
          <t>DELIVERED</t>
        </is>
      </c>
      <c r="J135" s="248" t="inlineStr">
        <is>
          <t>NA</t>
        </is>
      </c>
      <c r="K135" s="248" t="inlineStr">
        <is>
          <t>NA</t>
        </is>
      </c>
      <c r="L135" s="248" t="inlineStr">
        <is>
          <t>NA</t>
        </is>
      </c>
      <c r="M135" s="248" t="inlineStr">
        <is>
          <t>O2</t>
        </is>
      </c>
      <c r="N135" s="248" t="inlineStr">
        <is>
          <t>9</t>
        </is>
      </c>
      <c r="O135" s="248" t="n">
        <v>115.0</v>
      </c>
      <c r="P135" s="248" t="n">
        <v>0.0</v>
      </c>
      <c r="Q135" s="248" t="n">
        <v>0.0</v>
      </c>
      <c r="R135" s="248" t="n">
        <v>0.0</v>
      </c>
      <c r="S135" s="248" t="n">
        <v>11.5</v>
      </c>
      <c r="T135" s="248" t="n">
        <v>0.0</v>
      </c>
      <c r="U135" s="248" t="n">
        <v>0.0</v>
      </c>
      <c r="V135" s="248" t="n">
        <v>5.18</v>
      </c>
      <c r="W135" s="248" t="n">
        <v>108.68</v>
      </c>
      <c r="X135" s="248" t="n">
        <v>103.5</v>
      </c>
      <c r="Y135" s="248" t="n">
        <v>0.0</v>
      </c>
      <c r="Z135" s="248" t="n">
        <v>0.0</v>
      </c>
      <c r="AA135" s="248" t="n">
        <v>103.5</v>
      </c>
      <c r="AB135" s="248" t="n">
        <v>23.0</v>
      </c>
      <c r="AC135" s="248" t="n">
        <v>23.8</v>
      </c>
      <c r="AD135" s="248" t="n">
        <v>4.78</v>
      </c>
      <c r="AE135" s="248" t="n">
        <v>0.0</v>
      </c>
      <c r="AF135" s="248" t="n">
        <v>0.0</v>
      </c>
      <c r="AG135" s="248" t="n">
        <v>0.0</v>
      </c>
      <c r="AH135" s="248" t="n">
        <v>2.0</v>
      </c>
      <c r="AI135" s="248" t="n">
        <v>25.8</v>
      </c>
      <c r="AJ135" s="248" t="n">
        <v>4.64</v>
      </c>
      <c r="AK135" s="248" t="n">
        <v>0.0</v>
      </c>
      <c r="AL135" s="248" t="n">
        <v>103.5</v>
      </c>
      <c r="AM135" s="248" t="n">
        <v>0.0</v>
      </c>
      <c r="AN135" s="248" t="n">
        <v>0.0</v>
      </c>
      <c r="AO135" s="248" t="n">
        <v>0.1</v>
      </c>
      <c r="AP135" s="248" t="n">
        <v>5.18</v>
      </c>
      <c r="AQ135" s="248" t="n">
        <v>0.0</v>
      </c>
      <c r="AR135" s="248" t="n">
        <v>9.92</v>
      </c>
      <c r="AS135" s="248" t="n">
        <v>0.0</v>
      </c>
      <c r="AT135" s="248" t="n">
        <v>0.0</v>
      </c>
      <c r="AU135" s="248" t="n">
        <v>0.0</v>
      </c>
      <c r="AV135" s="248" t="n">
        <v>0.0</v>
      </c>
      <c r="AW135" s="248" t="n">
        <v>0.0</v>
      </c>
      <c r="AX135" s="248" t="n">
        <v>0.0</v>
      </c>
      <c r="AY135" s="248" t="n">
        <v>0.0</v>
      </c>
      <c r="AZ135" s="248" t="n">
        <v>0.0</v>
      </c>
      <c r="BA135" s="248" t="n">
        <v>0.0</v>
      </c>
      <c r="BB135" s="248" t="n">
        <v>35.72</v>
      </c>
      <c r="BC135" s="248" t="n">
        <v>0.0</v>
      </c>
      <c r="BD135" s="248" t="n">
        <v>72.96</v>
      </c>
      <c r="BE135" s="248" t="inlineStr">
        <is>
          <t>settled</t>
        </is>
      </c>
      <c r="BF135" s="248" t="inlineStr">
        <is>
          <t>2025-12-17 05:30:00</t>
        </is>
      </c>
      <c r="BG135" s="248" t="inlineStr">
        <is>
          <t>CITIN25671235852</t>
        </is>
      </c>
      <c r="BH135" s="248" t="n">
        <v>0.0</v>
      </c>
      <c r="BI135" s="248" t="inlineStr">
        <is>
          <t>f7c27a5d8c62a96a0263a9d1004f0b4ce542c38331eac51a51766a02728891a1</t>
        </is>
      </c>
    </row>
    <row r="136">
      <c r="A136" s="248" t="inlineStr">
        <is>
          <t>128</t>
        </is>
      </c>
      <c r="B136" s="248" t="inlineStr">
        <is>
          <t>7571515272</t>
        </is>
      </c>
      <c r="C136" s="248" t="inlineStr">
        <is>
          <t>2025-12-14 22:54:33</t>
        </is>
      </c>
      <c r="D136" s="248" t="inlineStr">
        <is>
          <t>50</t>
        </is>
      </c>
      <c r="E136" s="248" t="inlineStr">
        <is>
          <t>Bawarchi Baba- By Posh Foods</t>
        </is>
      </c>
      <c r="F136" s="248" t="inlineStr">
        <is>
          <t>20415473</t>
        </is>
      </c>
      <c r="G136" s="248" t="inlineStr">
        <is>
          <t>NA</t>
        </is>
      </c>
      <c r="H136" s="248" t="inlineStr">
        <is>
          <t>ONLINE</t>
        </is>
      </c>
      <c r="I136" s="248" t="inlineStr">
        <is>
          <t>DELIVERED</t>
        </is>
      </c>
      <c r="J136" s="248" t="inlineStr">
        <is>
          <t>NA</t>
        </is>
      </c>
      <c r="K136" s="248" t="inlineStr">
        <is>
          <t>NA</t>
        </is>
      </c>
      <c r="L136" s="248" t="inlineStr">
        <is>
          <t>NA</t>
        </is>
      </c>
      <c r="M136" s="248" t="inlineStr">
        <is>
          <t>O2</t>
        </is>
      </c>
      <c r="N136" s="248" t="inlineStr">
        <is>
          <t>9</t>
        </is>
      </c>
      <c r="O136" s="248" t="n">
        <v>300.0</v>
      </c>
      <c r="P136" s="248" t="n">
        <v>0.0</v>
      </c>
      <c r="Q136" s="248" t="n">
        <v>0.0</v>
      </c>
      <c r="R136" s="248" t="n">
        <v>0.0</v>
      </c>
      <c r="S136" s="248" t="n">
        <v>30.0</v>
      </c>
      <c r="T136" s="248" t="n">
        <v>0.0</v>
      </c>
      <c r="U136" s="248" t="n">
        <v>0.0</v>
      </c>
      <c r="V136" s="248" t="n">
        <v>13.5</v>
      </c>
      <c r="W136" s="248" t="n">
        <v>283.5</v>
      </c>
      <c r="X136" s="248" t="n">
        <v>270.0</v>
      </c>
      <c r="Y136" s="248" t="n">
        <v>0.0</v>
      </c>
      <c r="Z136" s="248" t="n">
        <v>0.0</v>
      </c>
      <c r="AA136" s="248" t="n">
        <v>270.0</v>
      </c>
      <c r="AB136" s="248" t="n">
        <v>23.0</v>
      </c>
      <c r="AC136" s="248" t="n">
        <v>62.1</v>
      </c>
      <c r="AD136" s="248" t="n">
        <v>3.52</v>
      </c>
      <c r="AE136" s="248" t="n">
        <v>0.0</v>
      </c>
      <c r="AF136" s="248" t="n">
        <v>0.0</v>
      </c>
      <c r="AG136" s="248" t="n">
        <v>0.0</v>
      </c>
      <c r="AH136" s="248" t="n">
        <v>5.22</v>
      </c>
      <c r="AI136" s="248" t="n">
        <v>67.32</v>
      </c>
      <c r="AJ136" s="248" t="n">
        <v>12.12</v>
      </c>
      <c r="AK136" s="248" t="n">
        <v>0.0</v>
      </c>
      <c r="AL136" s="248" t="n">
        <v>270.0</v>
      </c>
      <c r="AM136" s="248" t="n">
        <v>0.0</v>
      </c>
      <c r="AN136" s="248" t="n">
        <v>0.0</v>
      </c>
      <c r="AO136" s="248" t="n">
        <v>0.27</v>
      </c>
      <c r="AP136" s="248" t="n">
        <v>13.5</v>
      </c>
      <c r="AQ136" s="248" t="n">
        <v>0.0</v>
      </c>
      <c r="AR136" s="248" t="n">
        <v>25.89</v>
      </c>
      <c r="AS136" s="248" t="n">
        <v>0.0</v>
      </c>
      <c r="AT136" s="248" t="n">
        <v>0.0</v>
      </c>
      <c r="AU136" s="248" t="n">
        <v>0.0</v>
      </c>
      <c r="AV136" s="248" t="n">
        <v>0.0</v>
      </c>
      <c r="AW136" s="248" t="n">
        <v>0.0</v>
      </c>
      <c r="AX136" s="248" t="n">
        <v>0.0</v>
      </c>
      <c r="AY136" s="248" t="n">
        <v>0.0</v>
      </c>
      <c r="AZ136" s="248" t="n">
        <v>0.0</v>
      </c>
      <c r="BA136" s="248" t="n">
        <v>0.0</v>
      </c>
      <c r="BB136" s="248" t="n">
        <v>93.21</v>
      </c>
      <c r="BC136" s="248" t="n">
        <v>0.0</v>
      </c>
      <c r="BD136" s="248" t="n">
        <v>190.29</v>
      </c>
      <c r="BE136" s="248" t="inlineStr">
        <is>
          <t>settled</t>
        </is>
      </c>
      <c r="BF136" s="248" t="inlineStr">
        <is>
          <t>2025-12-17 05:30:00</t>
        </is>
      </c>
      <c r="BG136" s="248" t="inlineStr">
        <is>
          <t>CITIN25671235852</t>
        </is>
      </c>
      <c r="BH136" s="248" t="n">
        <v>0.0</v>
      </c>
      <c r="BI136" s="248" t="inlineStr">
        <is>
          <t>e3824ffa24d7f91cc77789aa02c71a272c6ca4a6e5bf92b154af619c91c18a18</t>
        </is>
      </c>
    </row>
    <row r="137">
      <c r="A137" s="248" t="inlineStr">
        <is>
          <t>129</t>
        </is>
      </c>
      <c r="B137" s="248" t="inlineStr">
        <is>
          <t>7584633679</t>
        </is>
      </c>
      <c r="C137" s="248" t="inlineStr">
        <is>
          <t>2025-12-14 23:17:45</t>
        </is>
      </c>
      <c r="D137" s="248" t="inlineStr">
        <is>
          <t>50</t>
        </is>
      </c>
      <c r="E137" s="248" t="inlineStr">
        <is>
          <t>Bawarchi Baba- By Posh Foods</t>
        </is>
      </c>
      <c r="F137" s="248" t="inlineStr">
        <is>
          <t>20415473</t>
        </is>
      </c>
      <c r="G137" s="248" t="inlineStr">
        <is>
          <t>NA</t>
        </is>
      </c>
      <c r="H137" s="248" t="inlineStr">
        <is>
          <t>ONLINE</t>
        </is>
      </c>
      <c r="I137" s="248" t="inlineStr">
        <is>
          <t>DELIVERED</t>
        </is>
      </c>
      <c r="J137" s="248" t="inlineStr">
        <is>
          <t>NA</t>
        </is>
      </c>
      <c r="K137" s="248" t="inlineStr">
        <is>
          <t>NA</t>
        </is>
      </c>
      <c r="L137" s="248" t="inlineStr">
        <is>
          <t>NA</t>
        </is>
      </c>
      <c r="M137" s="248" t="inlineStr">
        <is>
          <t>O2</t>
        </is>
      </c>
      <c r="N137" s="248" t="inlineStr">
        <is>
          <t>9</t>
        </is>
      </c>
      <c r="O137" s="248" t="n">
        <v>115.0</v>
      </c>
      <c r="P137" s="248" t="n">
        <v>0.0</v>
      </c>
      <c r="Q137" s="248" t="n">
        <v>0.0</v>
      </c>
      <c r="R137" s="248" t="n">
        <v>0.0</v>
      </c>
      <c r="S137" s="248" t="n">
        <v>0.0</v>
      </c>
      <c r="T137" s="248" t="n">
        <v>0.0</v>
      </c>
      <c r="U137" s="248" t="n">
        <v>0.0</v>
      </c>
      <c r="V137" s="248" t="n">
        <v>5.75</v>
      </c>
      <c r="W137" s="248" t="n">
        <v>120.75</v>
      </c>
      <c r="X137" s="248" t="n">
        <v>115.0</v>
      </c>
      <c r="Y137" s="248" t="n">
        <v>0.0</v>
      </c>
      <c r="Z137" s="248" t="n">
        <v>0.0</v>
      </c>
      <c r="AA137" s="248" t="n">
        <v>115.0</v>
      </c>
      <c r="AB137" s="248" t="n">
        <v>23.0</v>
      </c>
      <c r="AC137" s="248" t="n">
        <v>26.45</v>
      </c>
      <c r="AD137" s="248" t="n">
        <v>4.03</v>
      </c>
      <c r="AE137" s="248" t="n">
        <v>0.0</v>
      </c>
      <c r="AF137" s="248" t="n">
        <v>0.0</v>
      </c>
      <c r="AG137" s="248" t="n">
        <v>0.0</v>
      </c>
      <c r="AH137" s="248" t="n">
        <v>2.22</v>
      </c>
      <c r="AI137" s="248" t="n">
        <v>28.67</v>
      </c>
      <c r="AJ137" s="248" t="n">
        <v>5.16</v>
      </c>
      <c r="AK137" s="248" t="n">
        <v>0.0</v>
      </c>
      <c r="AL137" s="248" t="n">
        <v>115.0</v>
      </c>
      <c r="AM137" s="248" t="n">
        <v>0.0</v>
      </c>
      <c r="AN137" s="248" t="n">
        <v>0.0</v>
      </c>
      <c r="AO137" s="248" t="n">
        <v>0.12</v>
      </c>
      <c r="AP137" s="248" t="n">
        <v>5.75</v>
      </c>
      <c r="AQ137" s="248" t="n">
        <v>0.0</v>
      </c>
      <c r="AR137" s="248" t="n">
        <v>11.03</v>
      </c>
      <c r="AS137" s="248" t="n">
        <v>0.0</v>
      </c>
      <c r="AT137" s="248" t="n">
        <v>0.0</v>
      </c>
      <c r="AU137" s="248" t="n">
        <v>0.0</v>
      </c>
      <c r="AV137" s="248" t="n">
        <v>0.0</v>
      </c>
      <c r="AW137" s="248" t="n">
        <v>0.0</v>
      </c>
      <c r="AX137" s="248" t="n">
        <v>0.0</v>
      </c>
      <c r="AY137" s="248" t="n">
        <v>0.0</v>
      </c>
      <c r="AZ137" s="248" t="n">
        <v>0.0</v>
      </c>
      <c r="BA137" s="248" t="n">
        <v>0.0</v>
      </c>
      <c r="BB137" s="248" t="n">
        <v>39.7</v>
      </c>
      <c r="BC137" s="248" t="n">
        <v>0.0</v>
      </c>
      <c r="BD137" s="248" t="n">
        <v>81.05</v>
      </c>
      <c r="BE137" s="248" t="inlineStr">
        <is>
          <t>settled</t>
        </is>
      </c>
      <c r="BF137" s="248" t="inlineStr">
        <is>
          <t>2025-12-17 05:30:00</t>
        </is>
      </c>
      <c r="BG137" s="248" t="inlineStr">
        <is>
          <t>CITIN25671235852</t>
        </is>
      </c>
      <c r="BH137" s="248" t="n">
        <v>0.0</v>
      </c>
      <c r="BI137" s="248" t="inlineStr">
        <is>
          <t>b454dd20cfe3618fe388d600aa7430f494b58f5156ba1b8cc8e4f5b4f6a9721a</t>
        </is>
      </c>
    </row>
  </sheetData>
  <mergeCells count="5">
    <mergeCell ref="A1:D1"/>
    <mergeCell ref="O5:W5"/>
    <mergeCell ref="X5:AA5"/>
    <mergeCell ref="AB5:BC5"/>
    <mergeCell ref="BE5:BH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B5:I28"/>
  <sheetViews>
    <sheetView showGridLines="0" workbookViewId="0"/>
  </sheetViews>
  <sheetFormatPr customHeight="1" defaultColWidth="12.63" defaultRowHeight="15.0"/>
  <cols>
    <col min="1" max="1" customWidth="true" width="1.63"/>
    <col min="2" max="2" customWidth="true" width="39.63"/>
    <col min="3" max="3" customWidth="true" width="31.63"/>
    <col min="4" max="4" customWidth="true" width="20.88"/>
    <col min="5" max="5" customWidth="true" width="32.13"/>
    <col min="6" max="6" customWidth="true" width="18.38"/>
    <col min="7" max="7" customWidth="true" width="13.5"/>
    <col min="8" max="8" customWidth="true" width="17.5"/>
    <col min="9" max="9" customWidth="true" width="19.5"/>
    <col min="10" max="11" customWidth="true" width="12.63"/>
  </cols>
  <sheetData>
    <row r="1">
      <c r="A1" s="208"/>
      <c r="B1" s="209" t="s">
        <v>221</v>
      </c>
      <c r="C1" s="210"/>
      <c r="D1" s="210"/>
      <c r="E1" s="210"/>
      <c r="F1" s="210"/>
      <c r="G1" s="210"/>
      <c r="H1" s="210"/>
      <c r="I1" s="211"/>
      <c r="J1" s="212"/>
      <c r="K1" s="212"/>
      <c r="L1" s="212"/>
      <c r="M1" s="212"/>
      <c r="N1" s="212"/>
      <c r="O1" s="212"/>
      <c r="P1" s="212"/>
      <c r="Q1" s="212"/>
      <c r="R1" s="212"/>
      <c r="S1" s="212"/>
      <c r="T1" s="212"/>
      <c r="U1" s="212"/>
      <c r="V1" s="212"/>
      <c r="W1" s="212"/>
      <c r="X1" s="212"/>
      <c r="Y1" s="212"/>
      <c r="Z1" s="212"/>
    </row>
    <row r="2">
      <c r="A2" s="213"/>
      <c r="B2" s="214" t="s">
        <v>25</v>
      </c>
      <c r="C2" s="215"/>
      <c r="D2" s="215"/>
      <c r="E2" s="215"/>
      <c r="F2" s="215"/>
      <c r="G2" s="215"/>
      <c r="H2" s="216"/>
      <c r="I2" s="217"/>
      <c r="J2" s="212"/>
      <c r="K2" s="212"/>
      <c r="L2" s="212"/>
      <c r="M2" s="212"/>
      <c r="N2" s="212"/>
      <c r="O2" s="212"/>
      <c r="P2" s="212"/>
      <c r="Q2" s="212"/>
      <c r="R2" s="212"/>
      <c r="S2" s="212"/>
      <c r="T2" s="212"/>
      <c r="U2" s="212"/>
      <c r="V2" s="212"/>
      <c r="W2" s="212"/>
      <c r="X2" s="212"/>
      <c r="Y2" s="212"/>
      <c r="Z2" s="212"/>
    </row>
    <row r="3">
      <c r="A3" s="218"/>
      <c r="B3" s="218"/>
      <c r="C3" s="218"/>
      <c r="D3" s="218"/>
      <c r="E3" s="218"/>
      <c r="F3" s="218"/>
      <c r="G3" s="218"/>
      <c r="H3" s="218"/>
      <c r="I3" s="218"/>
      <c r="J3" s="218"/>
      <c r="K3" s="218"/>
      <c r="L3" s="218"/>
      <c r="M3" s="218"/>
      <c r="N3" s="218"/>
      <c r="O3" s="218"/>
      <c r="P3" s="218"/>
      <c r="Q3" s="218"/>
      <c r="R3" s="218"/>
      <c r="S3" s="218"/>
      <c r="T3" s="218"/>
      <c r="U3" s="218"/>
      <c r="V3" s="218"/>
      <c r="W3" s="218"/>
      <c r="X3" s="218"/>
      <c r="Y3" s="218"/>
      <c r="Z3" s="218"/>
    </row>
    <row r="5">
      <c r="B5" s="244" t="inlineStr">
        <is>
          <t>Addition Type</t>
        </is>
      </c>
    </row>
    <row r="6">
      <c r="B6" s="250" t="inlineStr">
        <is>
          <t>Type</t>
        </is>
      </c>
      <c r="C6" s="245" t="inlineStr">
        <is>
          <t>NA</t>
        </is>
      </c>
      <c r="D6" s="245" t="inlineStr">
        <is>
          <t>Invoice No/Order id</t>
        </is>
      </c>
      <c r="E6" s="245" t="inlineStr">
        <is>
          <t>Order date</t>
        </is>
      </c>
      <c r="F6" s="245" t="inlineStr">
        <is>
          <t>Settlement status</t>
        </is>
      </c>
      <c r="G6" s="245" t="inlineStr">
        <is>
          <t>Total amount</t>
        </is>
      </c>
      <c r="H6" s="245" t="inlineStr">
        <is>
          <t>Adjusted amount</t>
        </is>
      </c>
      <c r="I6" s="251" t="inlineStr">
        <is>
          <t>Outstanding amount</t>
        </is>
      </c>
    </row>
    <row r="7">
      <c r="B7" s="252" t="inlineStr">
        <is>
          <t>ADS</t>
        </is>
      </c>
      <c r="C7" s="248" t="inlineStr">
        <is>
          <t/>
        </is>
      </c>
      <c r="D7" s="248" t="inlineStr">
        <is>
          <t>31888686</t>
        </is>
      </c>
      <c r="E7" s="248" t="inlineStr">
        <is>
          <t>2025-12-17 05:30:00,2025-12-17 05:30:00</t>
        </is>
      </c>
      <c r="F7" s="248" t="inlineStr">
        <is>
          <t>settled</t>
        </is>
      </c>
      <c r="G7" s="248" t="n">
        <v>0.0</v>
      </c>
      <c r="H7" s="248" t="n">
        <v>0.0</v>
      </c>
      <c r="I7" s="253" t="n">
        <v>0.0</v>
      </c>
    </row>
    <row r="8">
      <c r="B8" s="254" t="inlineStr">
        <is>
          <t>ADS</t>
        </is>
      </c>
      <c r="C8" s="248" t="inlineStr">
        <is>
          <t/>
        </is>
      </c>
      <c r="D8" s="248" t="inlineStr">
        <is>
          <t>31888686</t>
        </is>
      </c>
      <c r="E8" s="248" t="inlineStr">
        <is>
          <t>2025-12-17 05:30:00</t>
        </is>
      </c>
      <c r="F8" s="248" t="inlineStr">
        <is>
          <t>settled</t>
        </is>
      </c>
      <c r="G8" s="248" t="n">
        <v>1063.13</v>
      </c>
      <c r="H8" s="248" t="n">
        <v>1063.13</v>
      </c>
      <c r="I8" s="255" t="n">
        <v>0.0</v>
      </c>
    </row>
    <row r="9">
      <c r="B9" s="256" t="inlineStr">
        <is>
          <t>Total Additions</t>
        </is>
      </c>
      <c r="C9" s="246" t="inlineStr">
        <is>
          <t/>
        </is>
      </c>
      <c r="D9" s="246" t="inlineStr">
        <is>
          <t/>
        </is>
      </c>
      <c r="E9" s="246" t="inlineStr">
        <is>
          <t/>
        </is>
      </c>
      <c r="F9" s="246" t="inlineStr">
        <is>
          <t/>
        </is>
      </c>
      <c r="G9" s="246" t="n">
        <v>1063.13</v>
      </c>
      <c r="H9" s="246" t="n">
        <v>1063.13</v>
      </c>
      <c r="I9" s="257" t="n">
        <v>0.0</v>
      </c>
    </row>
    <row r="12">
      <c r="B12" s="244" t="inlineStr">
        <is>
          <t>Deduction Type</t>
        </is>
      </c>
    </row>
    <row r="13">
      <c r="B13" s="247" t="inlineStr">
        <is>
          <t>A) Investments in growth services</t>
        </is>
      </c>
    </row>
    <row r="14">
      <c r="B14" s="259" t="inlineStr">
        <is>
          <t>Type</t>
        </is>
      </c>
      <c r="C14" s="258" t="inlineStr">
        <is>
          <t>Res id for which deduction created</t>
        </is>
      </c>
      <c r="D14" s="258" t="inlineStr">
        <is>
          <t>Invoice No/Campaign id</t>
        </is>
      </c>
      <c r="E14" s="258" t="inlineStr">
        <is>
          <t>Deduction time period</t>
        </is>
      </c>
      <c r="F14" s="258" t="inlineStr">
        <is>
          <t>Settlement Status</t>
        </is>
      </c>
      <c r="G14" s="258" t="inlineStr">
        <is>
          <t>Total amount</t>
        </is>
      </c>
      <c r="H14" s="258" t="inlineStr">
        <is>
          <t>Adjusted amount</t>
        </is>
      </c>
      <c r="I14" s="260" t="inlineStr">
        <is>
          <t>Outstanding amount</t>
        </is>
      </c>
    </row>
    <row r="15">
      <c r="B15" s="261" t="inlineStr">
        <is>
          <t>ADS</t>
        </is>
      </c>
      <c r="C15" s="248" t="inlineStr">
        <is>
          <t>20415473</t>
        </is>
      </c>
      <c r="D15" s="248" t="inlineStr">
        <is>
          <t>31659259</t>
        </is>
      </c>
      <c r="E15" s="248" t="inlineStr">
        <is>
          <t>08 December 25 - 14 December 25</t>
        </is>
      </c>
      <c r="F15" s="248" t="inlineStr">
        <is>
          <t>settled</t>
        </is>
      </c>
      <c r="G15" s="248" t="n">
        <v>7246.38</v>
      </c>
      <c r="H15" s="248" t="n">
        <v>7246.38</v>
      </c>
      <c r="I15" s="262" t="n">
        <v>0.0</v>
      </c>
    </row>
    <row r="16">
      <c r="B16" s="263" t="inlineStr">
        <is>
          <t>ADS</t>
        </is>
      </c>
      <c r="C16" s="248" t="inlineStr">
        <is>
          <t>21552679</t>
        </is>
      </c>
      <c r="D16" s="248" t="inlineStr">
        <is>
          <t>31786480</t>
        </is>
      </c>
      <c r="E16" s="248" t="inlineStr">
        <is>
          <t>09 December 25 - 11 December 25</t>
        </is>
      </c>
      <c r="F16" s="248" t="inlineStr">
        <is>
          <t>settled</t>
        </is>
      </c>
      <c r="G16" s="248" t="n">
        <v>84.96</v>
      </c>
      <c r="H16" s="248" t="n">
        <v>84.96</v>
      </c>
      <c r="I16" s="264" t="n">
        <v>0.0</v>
      </c>
    </row>
    <row r="17">
      <c r="B17" s="265" t="inlineStr">
        <is>
          <t>ADS</t>
        </is>
      </c>
      <c r="C17" s="248" t="inlineStr">
        <is>
          <t>20415473</t>
        </is>
      </c>
      <c r="D17" s="248" t="inlineStr">
        <is>
          <t>32022899</t>
        </is>
      </c>
      <c r="E17" s="248" t="inlineStr">
        <is>
          <t>08 December 25 - 14 December 25</t>
        </is>
      </c>
      <c r="F17" s="248" t="inlineStr">
        <is>
          <t>settled</t>
        </is>
      </c>
      <c r="G17" s="248" t="n">
        <v>4906.44</v>
      </c>
      <c r="H17" s="248" t="n">
        <v>4906.44</v>
      </c>
      <c r="I17" s="266" t="n">
        <v>0.0</v>
      </c>
    </row>
    <row r="18">
      <c r="B18" s="267" t="inlineStr">
        <is>
          <t>ADS</t>
        </is>
      </c>
      <c r="C18" s="248" t="inlineStr">
        <is>
          <t>20415473</t>
        </is>
      </c>
      <c r="D18" s="248" t="inlineStr">
        <is>
          <t>31800199</t>
        </is>
      </c>
      <c r="E18" s="248" t="inlineStr">
        <is>
          <t>08 December 25 - 14 December 25</t>
        </is>
      </c>
      <c r="F18" s="248" t="inlineStr">
        <is>
          <t>settled</t>
        </is>
      </c>
      <c r="G18" s="248" t="n">
        <v>1465.56</v>
      </c>
      <c r="H18" s="248" t="n">
        <v>1465.56</v>
      </c>
      <c r="I18" s="268" t="n">
        <v>0.0</v>
      </c>
    </row>
    <row r="19">
      <c r="B19" s="269" t="inlineStr">
        <is>
          <t>Total Ads &amp; miscellaneous services</t>
        </is>
      </c>
      <c r="G19" s="249" t="n">
        <v>13703.34</v>
      </c>
      <c r="H19" s="249" t="n">
        <v>13703.34</v>
      </c>
      <c r="I19" s="270" t="n">
        <v>0.0</v>
      </c>
    </row>
    <row r="20">
      <c r="B20" s="271" t="inlineStr">
        <is>
          <t/>
        </is>
      </c>
      <c r="C20" s="248" t="inlineStr">
        <is>
          <t/>
        </is>
      </c>
      <c r="D20" s="248" t="inlineStr">
        <is>
          <t/>
        </is>
      </c>
      <c r="E20" s="248" t="inlineStr">
        <is>
          <t/>
        </is>
      </c>
      <c r="F20" s="248" t="inlineStr">
        <is>
          <t/>
        </is>
      </c>
      <c r="G20" s="248" t="inlineStr">
        <is>
          <t/>
        </is>
      </c>
      <c r="H20" s="248" t="inlineStr">
        <is>
          <t/>
        </is>
      </c>
      <c r="I20" s="272" t="inlineStr">
        <is>
          <t/>
        </is>
      </c>
    </row>
    <row r="21">
      <c r="B21" s="247" t="inlineStr">
        <is>
          <t>B) Investments in Hyperpure</t>
        </is>
      </c>
    </row>
    <row r="22">
      <c r="B22" s="274" t="inlineStr">
        <is>
          <t>Type</t>
        </is>
      </c>
      <c r="C22" s="273" t="inlineStr">
        <is>
          <t>Res id for which deduction created</t>
        </is>
      </c>
      <c r="D22" s="273" t="inlineStr">
        <is>
          <t>OrderId</t>
        </is>
      </c>
      <c r="E22" s="273" t="inlineStr">
        <is>
          <t>Deduction time period</t>
        </is>
      </c>
      <c r="F22" s="273" t="inlineStr">
        <is>
          <t>Settlement Status</t>
        </is>
      </c>
      <c r="G22" s="273" t="inlineStr">
        <is>
          <t>Total amount</t>
        </is>
      </c>
      <c r="H22" s="273" t="inlineStr">
        <is>
          <t>Adjusted amount</t>
        </is>
      </c>
      <c r="I22" s="275" t="inlineStr">
        <is>
          <t>Outstanding amount</t>
        </is>
      </c>
    </row>
    <row r="23">
      <c r="B23" s="276" t="inlineStr">
        <is>
          <t>Hyperpure</t>
        </is>
      </c>
      <c r="C23" s="248" t="inlineStr">
        <is>
          <t>20828753</t>
        </is>
      </c>
      <c r="D23" s="248" t="inlineStr">
        <is>
          <t>22040544</t>
        </is>
      </c>
      <c r="E23" s="248" t="inlineStr">
        <is>
          <t>11 December 25 - 11 December 25</t>
        </is>
      </c>
      <c r="F23" s="248" t="inlineStr">
        <is>
          <t>settled</t>
        </is>
      </c>
      <c r="G23" s="248" t="n">
        <v>2438.25</v>
      </c>
      <c r="H23" s="248" t="n">
        <v>2438.25</v>
      </c>
      <c r="I23" s="277" t="n">
        <v>0.0</v>
      </c>
    </row>
    <row r="24">
      <c r="B24" s="278" t="inlineStr">
        <is>
          <t>Total Hyperpure</t>
        </is>
      </c>
      <c r="G24" s="249" t="n">
        <v>2438.25</v>
      </c>
      <c r="H24" s="249" t="n">
        <v>2438.25</v>
      </c>
      <c r="I24" s="279" t="n">
        <v>0.0</v>
      </c>
    </row>
    <row r="25">
      <c r="B25" s="280" t="inlineStr">
        <is>
          <t/>
        </is>
      </c>
      <c r="C25" s="248" t="inlineStr">
        <is>
          <t/>
        </is>
      </c>
      <c r="D25" s="248" t="inlineStr">
        <is>
          <t/>
        </is>
      </c>
      <c r="E25" s="248" t="inlineStr">
        <is>
          <t/>
        </is>
      </c>
      <c r="F25" s="248" t="inlineStr">
        <is>
          <t/>
        </is>
      </c>
      <c r="G25" s="248" t="inlineStr">
        <is>
          <t/>
        </is>
      </c>
      <c r="H25" s="248" t="inlineStr">
        <is>
          <t/>
        </is>
      </c>
      <c r="I25" s="281" t="inlineStr">
        <is>
          <t/>
        </is>
      </c>
    </row>
    <row r="26">
      <c r="B26" s="247" t="inlineStr">
        <is>
          <t>C) Other deductions</t>
        </is>
      </c>
    </row>
    <row r="27">
      <c r="B27" s="247" t="inlineStr">
        <is>
          <t>D) Adjustments from previous weeks</t>
        </is>
      </c>
    </row>
    <row r="28">
      <c r="B28" s="282" t="inlineStr">
        <is>
          <t>Total Deductions (A) + (B) + (C)</t>
        </is>
      </c>
      <c r="C28" s="246" t="inlineStr">
        <is>
          <t/>
        </is>
      </c>
      <c r="D28" s="246" t="inlineStr">
        <is>
          <t/>
        </is>
      </c>
      <c r="E28" s="246" t="inlineStr">
        <is>
          <t/>
        </is>
      </c>
      <c r="F28" s="246" t="inlineStr">
        <is>
          <t/>
        </is>
      </c>
      <c r="G28" s="246" t="n">
        <v>16141.59</v>
      </c>
      <c r="H28" s="246" t="n">
        <v>16141.59</v>
      </c>
      <c r="I28" s="283" t="n">
        <v>0.0</v>
      </c>
    </row>
  </sheetData>
  <mergeCells count="6">
    <mergeCell ref="B5:I5"/>
    <mergeCell ref="B12:I12"/>
    <mergeCell ref="B13:I13"/>
    <mergeCell ref="B21:I21"/>
    <mergeCell ref="B26:I26"/>
    <mergeCell ref="B27:I27"/>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3.38"/>
    <col min="2" max="2" customWidth="true" hidden="true" width="8.63"/>
    <col min="3" max="3" customWidth="true" width="71.0"/>
    <col min="4" max="4" customWidth="true" width="12.63"/>
    <col min="5" max="5" customWidth="true" width="21.88"/>
    <col min="6" max="6" customWidth="true" width="16.25"/>
    <col min="7" max="7" customWidth="true" width="17.38"/>
  </cols>
  <sheetData>
    <row r="1" ht="29.25" customHeight="1">
      <c r="A1" s="3"/>
      <c r="B1" s="219"/>
      <c r="C1" s="220" t="s">
        <v>222</v>
      </c>
      <c r="D1" s="221"/>
      <c r="E1" s="221"/>
      <c r="F1" s="221"/>
      <c r="G1" s="221"/>
      <c r="H1" s="222"/>
      <c r="I1" s="3"/>
      <c r="J1" s="3"/>
      <c r="K1" s="3"/>
      <c r="L1" s="3"/>
      <c r="M1" s="3"/>
      <c r="N1" s="3"/>
      <c r="O1" s="3"/>
      <c r="P1" s="3"/>
      <c r="Q1" s="3"/>
      <c r="R1" s="3"/>
      <c r="S1" s="3"/>
      <c r="T1" s="3"/>
      <c r="U1" s="3"/>
      <c r="V1" s="3"/>
      <c r="W1" s="3"/>
      <c r="X1" s="3"/>
      <c r="Y1" s="3"/>
      <c r="Z1" s="3"/>
    </row>
    <row r="2" ht="16.5" customHeight="1">
      <c r="A2" s="3"/>
      <c r="B2" s="219"/>
      <c r="C2" s="223" t="str">
        <f>Summary!C28</f>
        <v>View of the different discounts running on your restaurant during this report period</v>
      </c>
      <c r="D2" s="224"/>
      <c r="E2" s="224"/>
      <c r="F2" s="224"/>
      <c r="G2" s="224"/>
      <c r="H2" s="225"/>
      <c r="I2" s="3"/>
      <c r="J2" s="3"/>
      <c r="K2" s="3"/>
      <c r="L2" s="3"/>
      <c r="M2" s="3"/>
      <c r="N2" s="3"/>
      <c r="O2" s="3"/>
      <c r="P2" s="3"/>
      <c r="Q2" s="3"/>
      <c r="R2" s="3"/>
      <c r="S2" s="3"/>
      <c r="T2" s="3"/>
      <c r="U2" s="3"/>
      <c r="V2" s="3"/>
      <c r="W2" s="3"/>
      <c r="X2" s="3"/>
      <c r="Y2" s="3"/>
      <c r="Z2" s="3"/>
    </row>
    <row r="3" ht="12.0" customHeight="1">
      <c r="A3" s="3"/>
      <c r="B3" s="219"/>
      <c r="C3" s="226"/>
      <c r="D3" s="224"/>
      <c r="E3" s="224"/>
      <c r="F3" s="224"/>
      <c r="G3" s="224"/>
      <c r="H3" s="225"/>
      <c r="I3" s="3"/>
      <c r="J3" s="3"/>
      <c r="K3" s="3"/>
      <c r="L3" s="3"/>
      <c r="M3" s="3"/>
      <c r="N3" s="3"/>
      <c r="O3" s="3"/>
      <c r="P3" s="3"/>
      <c r="Q3" s="3"/>
      <c r="R3" s="3"/>
      <c r="S3" s="3"/>
      <c r="T3" s="3"/>
      <c r="U3" s="3"/>
      <c r="V3" s="3"/>
      <c r="W3" s="3"/>
      <c r="X3" s="3"/>
      <c r="Y3" s="3"/>
      <c r="Z3" s="3"/>
    </row>
    <row r="4" ht="33.75" customHeight="1">
      <c r="A4" s="3"/>
      <c r="B4" s="219"/>
      <c r="C4" s="227" t="s">
        <v>223</v>
      </c>
      <c r="D4" s="228" t="s">
        <v>224</v>
      </c>
      <c r="E4" s="229" t="str">
        <f>'Order Level'!O7</f>
        <v>Subtotal (items total)</v>
      </c>
      <c r="F4" s="228" t="s">
        <v>225</v>
      </c>
      <c r="G4" s="228" t="s">
        <v>226</v>
      </c>
      <c r="H4" s="228" t="s">
        <v>227</v>
      </c>
      <c r="I4" s="3"/>
      <c r="J4" s="3"/>
      <c r="K4" s="3"/>
      <c r="L4" s="3"/>
      <c r="M4" s="3"/>
      <c r="N4" s="3"/>
      <c r="O4" s="3"/>
      <c r="P4" s="3"/>
      <c r="Q4" s="3"/>
      <c r="R4" s="3"/>
      <c r="S4" s="3"/>
      <c r="T4" s="3"/>
      <c r="U4" s="3"/>
      <c r="V4" s="3"/>
      <c r="W4" s="3"/>
      <c r="X4" s="3"/>
      <c r="Y4" s="3"/>
      <c r="Z4" s="3"/>
    </row>
    <row r="5">
      <c r="A5" s="3"/>
      <c r="B5" s="3"/>
      <c r="C5" s="230" t="str">
        <f t="array" ref="C5">UNIQUE('Order Level'!G9:G1025760)</f>
        <v>#REF!</v>
      </c>
      <c r="D5" s="231" t="str">
        <f>IF(COUNTIFS('Order Level'!$I:$I,"delivered",'Order Level'!$G:$G,'Discounts Summary'!$C5)=0,"",COUNTIFS('Order Level'!$I:$I,"delivered",'Order Level'!$G:$G,'Discounts Summary'!$C5))</f>
        <v/>
      </c>
      <c r="E5" s="232" t="str">
        <f>IF(SUMIFS('Order Level'!$O:$O,'Order Level'!$I:$I,"Delivered",'Order Level'!$G:$G,'Discounts Summary'!$C5)=0,"",SUMIFS('Order Level'!$O:$O,'Order Level'!$I:$I,"Delivered",'Order Level'!$G:$G,'Discounts Summary'!$C5))</f>
        <v/>
      </c>
      <c r="F5" s="232" t="str">
        <f>IF(SUMIF('Order Level'!$G:$G,$C5,'Order Level'!R:R)=0,"",SUMIF('Order Level'!$G:$G,$C5,'Order Level'!R:R))</f>
        <v/>
      </c>
      <c r="G5" s="232" t="str">
        <f t="shared" ref="G5:G48" si="1">IFERROR(F5/D5,"")</f>
        <v/>
      </c>
      <c r="H5" s="233" t="str">
        <f t="shared" ref="H5:H48" si="2">IFERROR(F5/E5,"")</f>
        <v/>
      </c>
      <c r="I5" s="3"/>
      <c r="J5" s="3"/>
      <c r="K5" s="3"/>
      <c r="L5" s="3"/>
      <c r="M5" s="3"/>
      <c r="N5" s="3"/>
      <c r="O5" s="3"/>
      <c r="P5" s="3"/>
      <c r="Q5" s="3"/>
      <c r="R5" s="3"/>
      <c r="S5" s="3"/>
      <c r="T5" s="3"/>
      <c r="U5" s="3"/>
      <c r="V5" s="3"/>
      <c r="W5" s="3"/>
      <c r="X5" s="3"/>
      <c r="Y5" s="3"/>
      <c r="Z5" s="3"/>
    </row>
    <row r="6">
      <c r="A6" s="3"/>
      <c r="B6" s="3"/>
      <c r="C6" s="230"/>
      <c r="D6" s="231" t="str">
        <f>IF(COUNTIFS('Order Level'!$I:$I,"delivered",'Order Level'!$G:$G,'Discounts Summary'!$C6)=0,"",COUNTIFS('Order Level'!$I:$I,"delivered",'Order Level'!$G:$G,'Discounts Summary'!$C6))</f>
        <v/>
      </c>
      <c r="E6" s="232" t="str">
        <f>IF(SUMIFS('Order Level'!$O:$O,'Order Level'!$I:$I,"Delivered",'Order Level'!$G:$G,'Discounts Summary'!$C6)=0,"",SUMIFS('Order Level'!$O:$O,'Order Level'!$I:$I,"Delivered",'Order Level'!$G:$G,'Discounts Summary'!$C6))</f>
        <v/>
      </c>
      <c r="F6" s="232" t="str">
        <f>IF(SUMIF('Order Level'!$G:$G,$C6,'Order Level'!R:R)=0,"",SUMIF('Order Level'!$G:$G,$C6,'Order Level'!R:R))</f>
        <v/>
      </c>
      <c r="G6" s="232" t="str">
        <f t="shared" si="1"/>
        <v/>
      </c>
      <c r="H6" s="233" t="str">
        <f t="shared" si="2"/>
        <v/>
      </c>
      <c r="I6" s="3"/>
      <c r="J6" s="3"/>
      <c r="K6" s="3"/>
      <c r="L6" s="3"/>
      <c r="M6" s="3"/>
      <c r="N6" s="3"/>
      <c r="O6" s="3"/>
      <c r="P6" s="3"/>
      <c r="Q6" s="3"/>
      <c r="R6" s="3"/>
      <c r="S6" s="3"/>
      <c r="T6" s="3"/>
      <c r="U6" s="3"/>
      <c r="V6" s="3"/>
      <c r="W6" s="3"/>
      <c r="X6" s="3"/>
      <c r="Y6" s="3"/>
      <c r="Z6" s="3"/>
    </row>
    <row r="7">
      <c r="A7" s="3"/>
      <c r="B7" s="3"/>
      <c r="C7" s="230"/>
      <c r="D7" s="231" t="str">
        <f>IF(COUNTIFS('Order Level'!$I:$I,"delivered",'Order Level'!$G:$G,'Discounts Summary'!$C7)=0,"",COUNTIFS('Order Level'!$I:$I,"delivered",'Order Level'!$G:$G,'Discounts Summary'!$C7))</f>
        <v/>
      </c>
      <c r="E7" s="232" t="str">
        <f>IF(SUMIFS('Order Level'!$O:$O,'Order Level'!$I:$I,"Delivered",'Order Level'!$G:$G,'Discounts Summary'!$C7)=0,"",SUMIFS('Order Level'!$O:$O,'Order Level'!$I:$I,"Delivered",'Order Level'!$G:$G,'Discounts Summary'!$C7))</f>
        <v/>
      </c>
      <c r="F7" s="232" t="str">
        <f>IF(SUMIF('Order Level'!$G:$G,$C7,'Order Level'!R:R)=0,"",SUMIF('Order Level'!$G:$G,$C7,'Order Level'!R:R))</f>
        <v/>
      </c>
      <c r="G7" s="232" t="str">
        <f t="shared" si="1"/>
        <v/>
      </c>
      <c r="H7" s="233" t="str">
        <f t="shared" si="2"/>
        <v/>
      </c>
      <c r="I7" s="3"/>
      <c r="J7" s="3"/>
      <c r="K7" s="3"/>
      <c r="L7" s="3"/>
      <c r="M7" s="3"/>
      <c r="N7" s="3"/>
      <c r="O7" s="3"/>
      <c r="P7" s="3"/>
      <c r="Q7" s="3"/>
      <c r="R7" s="3"/>
      <c r="S7" s="3"/>
      <c r="T7" s="3"/>
      <c r="U7" s="3"/>
      <c r="V7" s="3"/>
      <c r="W7" s="3"/>
      <c r="X7" s="3"/>
      <c r="Y7" s="3"/>
      <c r="Z7" s="3"/>
    </row>
    <row r="8">
      <c r="A8" s="3"/>
      <c r="B8" s="3"/>
      <c r="C8" s="230"/>
      <c r="D8" s="231" t="str">
        <f>IF(COUNTIFS('Order Level'!$I:$I,"delivered",'Order Level'!$G:$G,'Discounts Summary'!$C8)=0,"",COUNTIFS('Order Level'!$I:$I,"delivered",'Order Level'!$G:$G,'Discounts Summary'!$C8))</f>
        <v/>
      </c>
      <c r="E8" s="232" t="str">
        <f>IF(SUMIFS('Order Level'!$O:$O,'Order Level'!$I:$I,"Delivered",'Order Level'!$G:$G,'Discounts Summary'!$C8)=0,"",SUMIFS('Order Level'!$O:$O,'Order Level'!$I:$I,"Delivered",'Order Level'!$G:$G,'Discounts Summary'!$C8))</f>
        <v/>
      </c>
      <c r="F8" s="232" t="str">
        <f>IF(SUMIF('Order Level'!$G:$G,$C8,'Order Level'!R:R)=0,"",SUMIF('Order Level'!$G:$G,$C8,'Order Level'!R:R))</f>
        <v/>
      </c>
      <c r="G8" s="232" t="str">
        <f t="shared" si="1"/>
        <v/>
      </c>
      <c r="H8" s="233" t="str">
        <f t="shared" si="2"/>
        <v/>
      </c>
      <c r="I8" s="3"/>
      <c r="J8" s="3"/>
      <c r="K8" s="3"/>
      <c r="L8" s="3"/>
      <c r="M8" s="3"/>
      <c r="N8" s="3"/>
      <c r="O8" s="3"/>
      <c r="P8" s="3"/>
      <c r="Q8" s="3"/>
      <c r="R8" s="3"/>
      <c r="S8" s="3"/>
      <c r="T8" s="3"/>
      <c r="U8" s="3"/>
      <c r="V8" s="3"/>
      <c r="W8" s="3"/>
      <c r="X8" s="3"/>
      <c r="Y8" s="3"/>
      <c r="Z8" s="3"/>
    </row>
    <row r="9">
      <c r="A9" s="3"/>
      <c r="B9" s="3"/>
      <c r="C9" s="230"/>
      <c r="D9" s="231" t="str">
        <f>IF(COUNTIFS('Order Level'!$I:$I,"delivered",'Order Level'!$G:$G,'Discounts Summary'!$C9)=0,"",COUNTIFS('Order Level'!$I:$I,"delivered",'Order Level'!$G:$G,'Discounts Summary'!$C9))</f>
        <v/>
      </c>
      <c r="E9" s="232" t="str">
        <f>IF(SUMIFS('Order Level'!$O:$O,'Order Level'!$I:$I,"Delivered",'Order Level'!$G:$G,'Discounts Summary'!$C9)=0,"",SUMIFS('Order Level'!$O:$O,'Order Level'!$I:$I,"Delivered",'Order Level'!$G:$G,'Discounts Summary'!$C9))</f>
        <v/>
      </c>
      <c r="F9" s="232" t="str">
        <f>IF(SUMIF('Order Level'!$G:$G,$C9,'Order Level'!R:R)=0,"",SUMIF('Order Level'!$G:$G,$C9,'Order Level'!R:R))</f>
        <v/>
      </c>
      <c r="G9" s="232" t="str">
        <f t="shared" si="1"/>
        <v/>
      </c>
      <c r="H9" s="233" t="str">
        <f t="shared" si="2"/>
        <v/>
      </c>
      <c r="I9" s="3"/>
      <c r="J9" s="3"/>
      <c r="K9" s="3"/>
      <c r="L9" s="3"/>
      <c r="M9" s="3"/>
      <c r="N9" s="3"/>
      <c r="O9" s="3"/>
      <c r="P9" s="3"/>
      <c r="Q9" s="3"/>
      <c r="R9" s="3"/>
      <c r="S9" s="3"/>
      <c r="T9" s="3"/>
      <c r="U9" s="3"/>
      <c r="V9" s="3"/>
      <c r="W9" s="3"/>
      <c r="X9" s="3"/>
      <c r="Y9" s="3"/>
      <c r="Z9" s="3"/>
    </row>
    <row r="10">
      <c r="A10" s="3"/>
      <c r="B10" s="3"/>
      <c r="C10" s="230"/>
      <c r="D10" s="231" t="str">
        <f>IF(COUNTIFS('Order Level'!$I:$I,"delivered",'Order Level'!$G:$G,'Discounts Summary'!$C10)=0,"",COUNTIFS('Order Level'!$I:$I,"delivered",'Order Level'!$G:$G,'Discounts Summary'!$C10))</f>
        <v/>
      </c>
      <c r="E10" s="232" t="str">
        <f>IF(SUMIFS('Order Level'!$O:$O,'Order Level'!$I:$I,"Delivered",'Order Level'!$G:$G,'Discounts Summary'!$C10)=0,"",SUMIFS('Order Level'!$O:$O,'Order Level'!$I:$I,"Delivered",'Order Level'!$G:$G,'Discounts Summary'!$C10))</f>
        <v/>
      </c>
      <c r="F10" s="232" t="str">
        <f>IF(SUMIF('Order Level'!$G:$G,$C10,'Order Level'!R:R)=0,"",SUMIF('Order Level'!$G:$G,$C10,'Order Level'!R:R))</f>
        <v/>
      </c>
      <c r="G10" s="232" t="str">
        <f t="shared" si="1"/>
        <v/>
      </c>
      <c r="H10" s="233" t="str">
        <f t="shared" si="2"/>
        <v/>
      </c>
      <c r="I10" s="3"/>
      <c r="J10" s="3"/>
      <c r="K10" s="3"/>
      <c r="L10" s="3"/>
      <c r="M10" s="3"/>
      <c r="N10" s="3"/>
      <c r="O10" s="3"/>
      <c r="P10" s="3"/>
      <c r="Q10" s="3"/>
      <c r="R10" s="3"/>
      <c r="S10" s="3"/>
      <c r="T10" s="3"/>
      <c r="U10" s="3"/>
      <c r="V10" s="3"/>
      <c r="W10" s="3"/>
      <c r="X10" s="3"/>
      <c r="Y10" s="3"/>
      <c r="Z10" s="3"/>
    </row>
    <row r="11">
      <c r="A11" s="3"/>
      <c r="B11" s="3"/>
      <c r="C11" s="230"/>
      <c r="D11" s="231" t="str">
        <f>IF(COUNTIFS('Order Level'!$I:$I,"delivered",'Order Level'!$G:$G,'Discounts Summary'!$C11)=0,"",COUNTIFS('Order Level'!$I:$I,"delivered",'Order Level'!$G:$G,'Discounts Summary'!$C11))</f>
        <v/>
      </c>
      <c r="E11" s="232" t="str">
        <f>IF(SUMIFS('Order Level'!$O:$O,'Order Level'!$I:$I,"Delivered",'Order Level'!$G:$G,'Discounts Summary'!$C11)=0,"",SUMIFS('Order Level'!$O:$O,'Order Level'!$I:$I,"Delivered",'Order Level'!$G:$G,'Discounts Summary'!$C11))</f>
        <v/>
      </c>
      <c r="F11" s="232" t="str">
        <f>IF(SUMIF('Order Level'!$G:$G,$C11,'Order Level'!R:R)=0,"",SUMIF('Order Level'!$G:$G,$C11,'Order Level'!R:R))</f>
        <v/>
      </c>
      <c r="G11" s="232" t="str">
        <f t="shared" si="1"/>
        <v/>
      </c>
      <c r="H11" s="233" t="str">
        <f t="shared" si="2"/>
        <v/>
      </c>
      <c r="I11" s="3"/>
      <c r="J11" s="3"/>
      <c r="K11" s="3"/>
      <c r="L11" s="3"/>
      <c r="M11" s="3"/>
      <c r="N11" s="3"/>
      <c r="O11" s="3"/>
      <c r="P11" s="3"/>
      <c r="Q11" s="3"/>
      <c r="R11" s="3"/>
      <c r="S11" s="3"/>
      <c r="T11" s="3"/>
      <c r="U11" s="3"/>
      <c r="V11" s="3"/>
      <c r="W11" s="3"/>
      <c r="X11" s="3"/>
      <c r="Y11" s="3"/>
      <c r="Z11" s="3"/>
    </row>
    <row r="12">
      <c r="A12" s="3"/>
      <c r="B12" s="3"/>
      <c r="C12" s="230"/>
      <c r="D12" s="231" t="str">
        <f>IF(COUNTIFS('Order Level'!$I:$I,"delivered",'Order Level'!$G:$G,'Discounts Summary'!$C12)=0,"",COUNTIFS('Order Level'!$I:$I,"delivered",'Order Level'!$G:$G,'Discounts Summary'!$C12))</f>
        <v/>
      </c>
      <c r="E12" s="232" t="str">
        <f>IF(SUMIFS('Order Level'!$O:$O,'Order Level'!$I:$I,"Delivered",'Order Level'!$G:$G,'Discounts Summary'!$C12)=0,"",SUMIFS('Order Level'!$O:$O,'Order Level'!$I:$I,"Delivered",'Order Level'!$G:$G,'Discounts Summary'!$C12))</f>
        <v/>
      </c>
      <c r="F12" s="232" t="str">
        <f>IF(SUMIF('Order Level'!$G:$G,$C12,'Order Level'!R:R)=0,"",SUMIF('Order Level'!$G:$G,$C12,'Order Level'!R:R))</f>
        <v/>
      </c>
      <c r="G12" s="232" t="str">
        <f t="shared" si="1"/>
        <v/>
      </c>
      <c r="H12" s="233" t="str">
        <f t="shared" si="2"/>
        <v/>
      </c>
      <c r="I12" s="3"/>
      <c r="J12" s="3"/>
      <c r="K12" s="3"/>
      <c r="L12" s="3"/>
      <c r="M12" s="3"/>
      <c r="N12" s="3"/>
      <c r="O12" s="3"/>
      <c r="P12" s="3"/>
      <c r="Q12" s="3"/>
      <c r="R12" s="3"/>
      <c r="S12" s="3"/>
      <c r="T12" s="3"/>
      <c r="U12" s="3"/>
      <c r="V12" s="3"/>
      <c r="W12" s="3"/>
      <c r="X12" s="3"/>
      <c r="Y12" s="3"/>
      <c r="Z12" s="3"/>
    </row>
    <row r="13">
      <c r="A13" s="3"/>
      <c r="B13" s="3"/>
      <c r="C13" s="230"/>
      <c r="D13" s="231" t="str">
        <f>IF(COUNTIFS('Order Level'!$I:$I,"delivered",'Order Level'!$G:$G,'Discounts Summary'!$C13)=0,"",COUNTIFS('Order Level'!$I:$I,"delivered",'Order Level'!$G:$G,'Discounts Summary'!$C13))</f>
        <v/>
      </c>
      <c r="E13" s="232" t="str">
        <f>IF(SUMIFS('Order Level'!$O:$O,'Order Level'!$I:$I,"Delivered",'Order Level'!$G:$G,'Discounts Summary'!$C13)=0,"",SUMIFS('Order Level'!$O:$O,'Order Level'!$I:$I,"Delivered",'Order Level'!$G:$G,'Discounts Summary'!$C13))</f>
        <v/>
      </c>
      <c r="F13" s="232" t="str">
        <f>IF(SUMIF('Order Level'!$G:$G,$C13,'Order Level'!R:R)=0,"",SUMIF('Order Level'!$G:$G,$C13,'Order Level'!R:R))</f>
        <v/>
      </c>
      <c r="G13" s="232" t="str">
        <f t="shared" si="1"/>
        <v/>
      </c>
      <c r="H13" s="233" t="str">
        <f t="shared" si="2"/>
        <v/>
      </c>
      <c r="I13" s="3"/>
      <c r="J13" s="3"/>
      <c r="K13" s="3"/>
      <c r="L13" s="3"/>
      <c r="M13" s="3"/>
      <c r="N13" s="3"/>
      <c r="O13" s="3"/>
      <c r="P13" s="3"/>
      <c r="Q13" s="3"/>
      <c r="R13" s="3"/>
      <c r="S13" s="3"/>
      <c r="T13" s="3"/>
      <c r="U13" s="3"/>
      <c r="V13" s="3"/>
      <c r="W13" s="3"/>
      <c r="X13" s="3"/>
      <c r="Y13" s="3"/>
      <c r="Z13" s="3"/>
    </row>
    <row r="14">
      <c r="A14" s="3"/>
      <c r="B14" s="3"/>
      <c r="C14" s="230"/>
      <c r="D14" s="231" t="str">
        <f>IF(COUNTIFS('Order Level'!$I:$I,"delivered",'Order Level'!$G:$G,'Discounts Summary'!$C14)=0,"",COUNTIFS('Order Level'!$I:$I,"delivered",'Order Level'!$G:$G,'Discounts Summary'!$C14))</f>
        <v/>
      </c>
      <c r="E14" s="232" t="str">
        <f>IF(SUMIFS('Order Level'!$O:$O,'Order Level'!$I:$I,"Delivered",'Order Level'!$G:$G,'Discounts Summary'!$C14)=0,"",SUMIFS('Order Level'!$O:$O,'Order Level'!$I:$I,"Delivered",'Order Level'!$G:$G,'Discounts Summary'!$C14))</f>
        <v/>
      </c>
      <c r="F14" s="232" t="str">
        <f>IF(SUMIF('Order Level'!$G:$G,$C14,'Order Level'!R:R)=0,"",SUMIF('Order Level'!$G:$G,$C14,'Order Level'!R:R))</f>
        <v/>
      </c>
      <c r="G14" s="232" t="str">
        <f t="shared" si="1"/>
        <v/>
      </c>
      <c r="H14" s="233" t="str">
        <f t="shared" si="2"/>
        <v/>
      </c>
      <c r="I14" s="3"/>
      <c r="J14" s="3"/>
      <c r="K14" s="3"/>
      <c r="L14" s="3"/>
      <c r="M14" s="3"/>
      <c r="N14" s="3"/>
      <c r="O14" s="3"/>
      <c r="P14" s="3"/>
      <c r="Q14" s="3"/>
      <c r="R14" s="3"/>
      <c r="S14" s="3"/>
      <c r="T14" s="3"/>
      <c r="U14" s="3"/>
      <c r="V14" s="3"/>
      <c r="W14" s="3"/>
      <c r="X14" s="3"/>
      <c r="Y14" s="3"/>
      <c r="Z14" s="3"/>
    </row>
    <row r="15">
      <c r="A15" s="3"/>
      <c r="B15" s="3"/>
      <c r="C15" s="230"/>
      <c r="D15" s="231" t="str">
        <f>IF(COUNTIFS('Order Level'!$I:$I,"delivered",'Order Level'!$G:$G,'Discounts Summary'!$C15)=0,"",COUNTIFS('Order Level'!$I:$I,"delivered",'Order Level'!$G:$G,'Discounts Summary'!$C15))</f>
        <v/>
      </c>
      <c r="E15" s="232" t="str">
        <f>IF(SUMIFS('Order Level'!$O:$O,'Order Level'!$I:$I,"Delivered",'Order Level'!$G:$G,'Discounts Summary'!$C15)=0,"",SUMIFS('Order Level'!$O:$O,'Order Level'!$I:$I,"Delivered",'Order Level'!$G:$G,'Discounts Summary'!$C15))</f>
        <v/>
      </c>
      <c r="F15" s="232" t="str">
        <f>IF(SUMIF('Order Level'!$G:$G,$C15,'Order Level'!R:R)=0,"",SUMIF('Order Level'!$G:$G,$C15,'Order Level'!R:R))</f>
        <v/>
      </c>
      <c r="G15" s="232" t="str">
        <f t="shared" si="1"/>
        <v/>
      </c>
      <c r="H15" s="233" t="str">
        <f t="shared" si="2"/>
        <v/>
      </c>
      <c r="I15" s="3"/>
      <c r="J15" s="3"/>
      <c r="K15" s="3"/>
      <c r="L15" s="3"/>
      <c r="M15" s="3"/>
      <c r="N15" s="3"/>
      <c r="O15" s="3"/>
      <c r="P15" s="3"/>
      <c r="Q15" s="3"/>
      <c r="R15" s="3"/>
      <c r="S15" s="3"/>
      <c r="T15" s="3"/>
      <c r="U15" s="3"/>
      <c r="V15" s="3"/>
      <c r="W15" s="3"/>
      <c r="X15" s="3"/>
      <c r="Y15" s="3"/>
      <c r="Z15" s="3"/>
    </row>
    <row r="16">
      <c r="A16" s="3"/>
      <c r="B16" s="3"/>
      <c r="C16" s="230"/>
      <c r="D16" s="231" t="str">
        <f>IF(COUNTIFS('Order Level'!$I:$I,"delivered",'Order Level'!$G:$G,'Discounts Summary'!$C16)=0,"",COUNTIFS('Order Level'!$I:$I,"delivered",'Order Level'!$G:$G,'Discounts Summary'!$C16))</f>
        <v/>
      </c>
      <c r="E16" s="232" t="str">
        <f>IF(SUMIFS('Order Level'!$O:$O,'Order Level'!$I:$I,"Delivered",'Order Level'!$G:$G,'Discounts Summary'!$C16)=0,"",SUMIFS('Order Level'!$O:$O,'Order Level'!$I:$I,"Delivered",'Order Level'!$G:$G,'Discounts Summary'!$C16))</f>
        <v/>
      </c>
      <c r="F16" s="232" t="str">
        <f>IF(SUMIF('Order Level'!$G:$G,$C16,'Order Level'!R:R)=0,"",SUMIF('Order Level'!$G:$G,$C16,'Order Level'!R:R))</f>
        <v/>
      </c>
      <c r="G16" s="232" t="str">
        <f t="shared" si="1"/>
        <v/>
      </c>
      <c r="H16" s="233" t="str">
        <f t="shared" si="2"/>
        <v/>
      </c>
      <c r="I16" s="3"/>
      <c r="J16" s="3"/>
      <c r="K16" s="3"/>
      <c r="L16" s="3"/>
      <c r="M16" s="3"/>
      <c r="N16" s="3"/>
      <c r="O16" s="3"/>
      <c r="P16" s="3"/>
      <c r="Q16" s="3"/>
      <c r="R16" s="3"/>
      <c r="S16" s="3"/>
      <c r="T16" s="3"/>
      <c r="U16" s="3"/>
      <c r="V16" s="3"/>
      <c r="W16" s="3"/>
      <c r="X16" s="3"/>
      <c r="Y16" s="3"/>
      <c r="Z16" s="3"/>
    </row>
    <row r="17">
      <c r="A17" s="3"/>
      <c r="B17" s="3"/>
      <c r="C17" s="230"/>
      <c r="D17" s="231" t="str">
        <f>IF(COUNTIFS('Order Level'!$I:$I,"delivered",'Order Level'!$G:$G,'Discounts Summary'!$C17)=0,"",COUNTIFS('Order Level'!$I:$I,"delivered",'Order Level'!$G:$G,'Discounts Summary'!$C17))</f>
        <v/>
      </c>
      <c r="E17" s="232" t="str">
        <f>IF(SUMIFS('Order Level'!$O:$O,'Order Level'!$I:$I,"Delivered",'Order Level'!$G:$G,'Discounts Summary'!$C17)=0,"",SUMIFS('Order Level'!$O:$O,'Order Level'!$I:$I,"Delivered",'Order Level'!$G:$G,'Discounts Summary'!$C17))</f>
        <v/>
      </c>
      <c r="F17" s="232" t="str">
        <f>IF(SUMIF('Order Level'!$G:$G,$C17,'Order Level'!R:R)=0,"",SUMIF('Order Level'!$G:$G,$C17,'Order Level'!R:R))</f>
        <v/>
      </c>
      <c r="G17" s="232" t="str">
        <f t="shared" si="1"/>
        <v/>
      </c>
      <c r="H17" s="233" t="str">
        <f t="shared" si="2"/>
        <v/>
      </c>
      <c r="I17" s="3"/>
      <c r="J17" s="3"/>
      <c r="K17" s="3"/>
      <c r="L17" s="3"/>
      <c r="M17" s="3"/>
      <c r="N17" s="3"/>
      <c r="O17" s="3"/>
      <c r="P17" s="3"/>
      <c r="Q17" s="3"/>
      <c r="R17" s="3"/>
      <c r="S17" s="3"/>
      <c r="T17" s="3"/>
      <c r="U17" s="3"/>
      <c r="V17" s="3"/>
      <c r="W17" s="3"/>
      <c r="X17" s="3"/>
      <c r="Y17" s="3"/>
      <c r="Z17" s="3"/>
    </row>
    <row r="18">
      <c r="A18" s="3"/>
      <c r="B18" s="3"/>
      <c r="C18" s="230"/>
      <c r="D18" s="231" t="str">
        <f>IF(COUNTIFS('Order Level'!$I:$I,"delivered",'Order Level'!$G:$G,'Discounts Summary'!$C18)=0,"",COUNTIFS('Order Level'!$I:$I,"delivered",'Order Level'!$G:$G,'Discounts Summary'!$C18))</f>
        <v/>
      </c>
      <c r="E18" s="232" t="str">
        <f>IF(SUMIFS('Order Level'!$O:$O,'Order Level'!$I:$I,"Delivered",'Order Level'!$G:$G,'Discounts Summary'!$C18)=0,"",SUMIFS('Order Level'!$O:$O,'Order Level'!$I:$I,"Delivered",'Order Level'!$G:$G,'Discounts Summary'!$C18))</f>
        <v/>
      </c>
      <c r="F18" s="232" t="str">
        <f>IF(SUMIF('Order Level'!$G:$G,$C18,'Order Level'!R:R)=0,"",SUMIF('Order Level'!$G:$G,$C18,'Order Level'!R:R))</f>
        <v/>
      </c>
      <c r="G18" s="232" t="str">
        <f t="shared" si="1"/>
        <v/>
      </c>
      <c r="H18" s="233" t="str">
        <f t="shared" si="2"/>
        <v/>
      </c>
      <c r="I18" s="3"/>
      <c r="J18" s="3"/>
      <c r="K18" s="3"/>
      <c r="L18" s="3"/>
      <c r="M18" s="3"/>
      <c r="N18" s="3"/>
      <c r="O18" s="3"/>
      <c r="P18" s="3"/>
      <c r="Q18" s="3"/>
      <c r="R18" s="3"/>
      <c r="S18" s="3"/>
      <c r="T18" s="3"/>
      <c r="U18" s="3"/>
      <c r="V18" s="3"/>
      <c r="W18" s="3"/>
      <c r="X18" s="3"/>
      <c r="Y18" s="3"/>
      <c r="Z18" s="3"/>
    </row>
    <row r="19">
      <c r="A19" s="3"/>
      <c r="B19" s="3"/>
      <c r="C19" s="230"/>
      <c r="D19" s="231" t="str">
        <f>IF(COUNTIFS('Order Level'!$I:$I,"delivered",'Order Level'!$G:$G,'Discounts Summary'!$C19)=0,"",COUNTIFS('Order Level'!$I:$I,"delivered",'Order Level'!$G:$G,'Discounts Summary'!$C19))</f>
        <v/>
      </c>
      <c r="E19" s="232" t="str">
        <f>IF(SUMIFS('Order Level'!$O:$O,'Order Level'!$I:$I,"Delivered",'Order Level'!$G:$G,'Discounts Summary'!$C19)=0,"",SUMIFS('Order Level'!$O:$O,'Order Level'!$I:$I,"Delivered",'Order Level'!$G:$G,'Discounts Summary'!$C19))</f>
        <v/>
      </c>
      <c r="F19" s="232" t="str">
        <f>IF(SUMIF('Order Level'!$G:$G,$C19,'Order Level'!R:R)=0,"",SUMIF('Order Level'!$G:$G,$C19,'Order Level'!R:R))</f>
        <v/>
      </c>
      <c r="G19" s="232" t="str">
        <f t="shared" si="1"/>
        <v/>
      </c>
      <c r="H19" s="233" t="str">
        <f t="shared" si="2"/>
        <v/>
      </c>
      <c r="I19" s="3"/>
      <c r="J19" s="3"/>
      <c r="K19" s="3"/>
      <c r="L19" s="3"/>
      <c r="M19" s="3"/>
      <c r="N19" s="3"/>
      <c r="O19" s="3"/>
      <c r="P19" s="3"/>
      <c r="Q19" s="3"/>
      <c r="R19" s="3"/>
      <c r="S19" s="3"/>
      <c r="T19" s="3"/>
      <c r="U19" s="3"/>
      <c r="V19" s="3"/>
      <c r="W19" s="3"/>
      <c r="X19" s="3"/>
      <c r="Y19" s="3"/>
      <c r="Z19" s="3"/>
    </row>
    <row r="20">
      <c r="A20" s="3"/>
      <c r="B20" s="3"/>
      <c r="C20" s="230"/>
      <c r="D20" s="231" t="str">
        <f>IF(COUNTIFS('Order Level'!$I:$I,"delivered",'Order Level'!$G:$G,'Discounts Summary'!$C20)=0,"",COUNTIFS('Order Level'!$I:$I,"delivered",'Order Level'!$G:$G,'Discounts Summary'!$C20))</f>
        <v/>
      </c>
      <c r="E20" s="232" t="str">
        <f>IF(SUMIFS('Order Level'!$O:$O,'Order Level'!$I:$I,"Delivered",'Order Level'!$G:$G,'Discounts Summary'!$C20)=0,"",SUMIFS('Order Level'!$O:$O,'Order Level'!$I:$I,"Delivered",'Order Level'!$G:$G,'Discounts Summary'!$C20))</f>
        <v/>
      </c>
      <c r="F20" s="232" t="str">
        <f>IF(SUMIF('Order Level'!$G:$G,$C20,'Order Level'!R:R)=0,"",SUMIF('Order Level'!$G:$G,$C20,'Order Level'!R:R))</f>
        <v/>
      </c>
      <c r="G20" s="232" t="str">
        <f t="shared" si="1"/>
        <v/>
      </c>
      <c r="H20" s="233" t="str">
        <f t="shared" si="2"/>
        <v/>
      </c>
      <c r="I20" s="3"/>
      <c r="J20" s="3"/>
      <c r="K20" s="3"/>
      <c r="L20" s="3"/>
      <c r="M20" s="3"/>
      <c r="N20" s="3"/>
      <c r="O20" s="3"/>
      <c r="P20" s="3"/>
      <c r="Q20" s="3"/>
      <c r="R20" s="3"/>
      <c r="S20" s="3"/>
      <c r="T20" s="3"/>
      <c r="U20" s="3"/>
      <c r="V20" s="3"/>
      <c r="W20" s="3"/>
      <c r="X20" s="3"/>
      <c r="Y20" s="3"/>
      <c r="Z20" s="3"/>
    </row>
    <row r="21" ht="15.75" customHeight="1">
      <c r="A21" s="3"/>
      <c r="B21" s="3"/>
      <c r="C21" s="230"/>
      <c r="D21" s="231" t="str">
        <f>IF(COUNTIFS('Order Level'!$I:$I,"delivered",'Order Level'!$G:$G,'Discounts Summary'!$C21)=0,"",COUNTIFS('Order Level'!$I:$I,"delivered",'Order Level'!$G:$G,'Discounts Summary'!$C21))</f>
        <v/>
      </c>
      <c r="E21" s="232" t="str">
        <f>IF(SUMIFS('Order Level'!$O:$O,'Order Level'!$I:$I,"Delivered",'Order Level'!$G:$G,'Discounts Summary'!$C21)=0,"",SUMIFS('Order Level'!$O:$O,'Order Level'!$I:$I,"Delivered",'Order Level'!$G:$G,'Discounts Summary'!$C21))</f>
        <v/>
      </c>
      <c r="F21" s="232" t="str">
        <f>IF(SUMIF('Order Level'!$G:$G,$C21,'Order Level'!R:R)=0,"",SUMIF('Order Level'!$G:$G,$C21,'Order Level'!R:R))</f>
        <v/>
      </c>
      <c r="G21" s="232" t="str">
        <f t="shared" si="1"/>
        <v/>
      </c>
      <c r="H21" s="233" t="str">
        <f t="shared" si="2"/>
        <v/>
      </c>
      <c r="I21" s="3"/>
      <c r="J21" s="3"/>
      <c r="K21" s="3"/>
      <c r="L21" s="3"/>
      <c r="M21" s="3"/>
      <c r="N21" s="3"/>
      <c r="O21" s="3"/>
      <c r="P21" s="3"/>
      <c r="Q21" s="3"/>
      <c r="R21" s="3"/>
      <c r="S21" s="3"/>
      <c r="T21" s="3"/>
      <c r="U21" s="3"/>
      <c r="V21" s="3"/>
      <c r="W21" s="3"/>
      <c r="X21" s="3"/>
      <c r="Y21" s="3"/>
      <c r="Z21" s="3"/>
    </row>
    <row r="22" ht="15.75" customHeight="1">
      <c r="A22" s="3"/>
      <c r="B22" s="3"/>
      <c r="C22" s="230"/>
      <c r="D22" s="231" t="str">
        <f>IF(COUNTIFS('Order Level'!$I:$I,"delivered",'Order Level'!$G:$G,'Discounts Summary'!$C22)=0,"",COUNTIFS('Order Level'!$I:$I,"delivered",'Order Level'!$G:$G,'Discounts Summary'!$C22))</f>
        <v/>
      </c>
      <c r="E22" s="232" t="str">
        <f>IF(SUMIFS('Order Level'!$O:$O,'Order Level'!$I:$I,"Delivered",'Order Level'!$G:$G,'Discounts Summary'!$C22)=0,"",SUMIFS('Order Level'!$O:$O,'Order Level'!$I:$I,"Delivered",'Order Level'!$G:$G,'Discounts Summary'!$C22))</f>
        <v/>
      </c>
      <c r="F22" s="232" t="str">
        <f>IF(SUMIF('Order Level'!$G:$G,$C22,'Order Level'!R:R)=0,"",SUMIF('Order Level'!$G:$G,$C22,'Order Level'!R:R))</f>
        <v/>
      </c>
      <c r="G22" s="232" t="str">
        <f t="shared" si="1"/>
        <v/>
      </c>
      <c r="H22" s="233" t="str">
        <f t="shared" si="2"/>
        <v/>
      </c>
      <c r="I22" s="3"/>
      <c r="J22" s="3"/>
      <c r="K22" s="3"/>
      <c r="L22" s="3"/>
      <c r="M22" s="3"/>
      <c r="N22" s="3"/>
      <c r="O22" s="3"/>
      <c r="P22" s="3"/>
      <c r="Q22" s="3"/>
      <c r="R22" s="3"/>
      <c r="S22" s="3"/>
      <c r="T22" s="3"/>
      <c r="U22" s="3"/>
      <c r="V22" s="3"/>
      <c r="W22" s="3"/>
      <c r="X22" s="3"/>
      <c r="Y22" s="3"/>
      <c r="Z22" s="3"/>
    </row>
    <row r="23" ht="15.75" customHeight="1">
      <c r="A23" s="3"/>
      <c r="B23" s="3"/>
      <c r="C23" s="230"/>
      <c r="D23" s="231" t="str">
        <f>IF(COUNTIFS('Order Level'!$I:$I,"delivered",'Order Level'!$G:$G,'Discounts Summary'!$C23)=0,"",COUNTIFS('Order Level'!$I:$I,"delivered",'Order Level'!$G:$G,'Discounts Summary'!$C23))</f>
        <v/>
      </c>
      <c r="E23" s="232" t="str">
        <f>IF(SUMIFS('Order Level'!$O:$O,'Order Level'!$I:$I,"Delivered",'Order Level'!$G:$G,'Discounts Summary'!$C23)=0,"",SUMIFS('Order Level'!$O:$O,'Order Level'!$I:$I,"Delivered",'Order Level'!$G:$G,'Discounts Summary'!$C23))</f>
        <v/>
      </c>
      <c r="F23" s="232" t="str">
        <f>IF(SUMIF('Order Level'!$G:$G,$C23,'Order Level'!R:R)=0,"",SUMIF('Order Level'!$G:$G,$C23,'Order Level'!R:R))</f>
        <v/>
      </c>
      <c r="G23" s="232" t="str">
        <f t="shared" si="1"/>
        <v/>
      </c>
      <c r="H23" s="233" t="str">
        <f t="shared" si="2"/>
        <v/>
      </c>
      <c r="I23" s="3"/>
      <c r="J23" s="3"/>
      <c r="K23" s="3"/>
      <c r="L23" s="3"/>
      <c r="M23" s="3"/>
      <c r="N23" s="3"/>
      <c r="O23" s="3"/>
      <c r="P23" s="3"/>
      <c r="Q23" s="3"/>
      <c r="R23" s="3"/>
      <c r="S23" s="3"/>
      <c r="T23" s="3"/>
      <c r="U23" s="3"/>
      <c r="V23" s="3"/>
      <c r="W23" s="3"/>
      <c r="X23" s="3"/>
      <c r="Y23" s="3"/>
      <c r="Z23" s="3"/>
    </row>
    <row r="24" ht="15.75" customHeight="1">
      <c r="A24" s="3"/>
      <c r="B24" s="3"/>
      <c r="C24" s="230"/>
      <c r="D24" s="231" t="str">
        <f>IF(COUNTIFS('Order Level'!$I:$I,"delivered",'Order Level'!$G:$G,'Discounts Summary'!$C24)=0,"",COUNTIFS('Order Level'!$I:$I,"delivered",'Order Level'!$G:$G,'Discounts Summary'!$C24))</f>
        <v/>
      </c>
      <c r="E24" s="232" t="str">
        <f>IF(SUMIFS('Order Level'!$O:$O,'Order Level'!$I:$I,"Delivered",'Order Level'!$G:$G,'Discounts Summary'!$C24)=0,"",SUMIFS('Order Level'!$O:$O,'Order Level'!$I:$I,"Delivered",'Order Level'!$G:$G,'Discounts Summary'!$C24))</f>
        <v/>
      </c>
      <c r="F24" s="232" t="str">
        <f>IF(SUMIF('Order Level'!$G:$G,$C24,'Order Level'!R:R)=0,"",SUMIF('Order Level'!$G:$G,$C24,'Order Level'!R:R))</f>
        <v/>
      </c>
      <c r="G24" s="232" t="str">
        <f t="shared" si="1"/>
        <v/>
      </c>
      <c r="H24" s="233" t="str">
        <f t="shared" si="2"/>
        <v/>
      </c>
      <c r="I24" s="3"/>
      <c r="J24" s="3"/>
      <c r="K24" s="3"/>
      <c r="L24" s="3"/>
      <c r="M24" s="3"/>
      <c r="N24" s="3"/>
      <c r="O24" s="3"/>
      <c r="P24" s="3"/>
      <c r="Q24" s="3"/>
      <c r="R24" s="3"/>
      <c r="S24" s="3"/>
      <c r="T24" s="3"/>
      <c r="U24" s="3"/>
      <c r="V24" s="3"/>
      <c r="W24" s="3"/>
      <c r="X24" s="3"/>
      <c r="Y24" s="3"/>
      <c r="Z24" s="3"/>
    </row>
    <row r="25" ht="15.75" customHeight="1">
      <c r="A25" s="3"/>
      <c r="B25" s="3"/>
      <c r="C25" s="230"/>
      <c r="D25" s="231" t="str">
        <f>IF(COUNTIFS('Order Level'!$I:$I,"delivered",'Order Level'!$G:$G,'Discounts Summary'!$C25)=0,"",COUNTIFS('Order Level'!$I:$I,"delivered",'Order Level'!$G:$G,'Discounts Summary'!$C25))</f>
        <v/>
      </c>
      <c r="E25" s="232" t="str">
        <f>IF(SUMIFS('Order Level'!$O:$O,'Order Level'!$I:$I,"Delivered",'Order Level'!$G:$G,'Discounts Summary'!$C25)=0,"",SUMIFS('Order Level'!$O:$O,'Order Level'!$I:$I,"Delivered",'Order Level'!$G:$G,'Discounts Summary'!$C25))</f>
        <v/>
      </c>
      <c r="F25" s="232" t="str">
        <f>IF(SUMIF('Order Level'!$G:$G,$C25,'Order Level'!R:R)=0,"",SUMIF('Order Level'!$G:$G,$C25,'Order Level'!R:R))</f>
        <v/>
      </c>
      <c r="G25" s="232" t="str">
        <f t="shared" si="1"/>
        <v/>
      </c>
      <c r="H25" s="233" t="str">
        <f t="shared" si="2"/>
        <v/>
      </c>
      <c r="I25" s="3"/>
      <c r="J25" s="3"/>
      <c r="K25" s="3"/>
      <c r="L25" s="3"/>
      <c r="M25" s="3"/>
      <c r="N25" s="3"/>
      <c r="O25" s="3"/>
      <c r="P25" s="3"/>
      <c r="Q25" s="3"/>
      <c r="R25" s="3"/>
      <c r="S25" s="3"/>
      <c r="T25" s="3"/>
      <c r="U25" s="3"/>
      <c r="V25" s="3"/>
      <c r="W25" s="3"/>
      <c r="X25" s="3"/>
      <c r="Y25" s="3"/>
      <c r="Z25" s="3"/>
    </row>
    <row r="26" ht="15.75" customHeight="1">
      <c r="A26" s="3"/>
      <c r="B26" s="3"/>
      <c r="C26" s="230"/>
      <c r="D26" s="231" t="str">
        <f>IF(COUNTIFS('Order Level'!$I:$I,"delivered",'Order Level'!$G:$G,'Discounts Summary'!$C26)=0,"",COUNTIFS('Order Level'!$I:$I,"delivered",'Order Level'!$G:$G,'Discounts Summary'!$C26))</f>
        <v/>
      </c>
      <c r="E26" s="232" t="str">
        <f>IF(SUMIFS('Order Level'!$O:$O,'Order Level'!$I:$I,"Delivered",'Order Level'!$G:$G,'Discounts Summary'!$C26)=0,"",SUMIFS('Order Level'!$O:$O,'Order Level'!$I:$I,"Delivered",'Order Level'!$G:$G,'Discounts Summary'!$C26))</f>
        <v/>
      </c>
      <c r="F26" s="232" t="str">
        <f>IF(SUMIF('Order Level'!$G:$G,$C26,'Order Level'!R:R)=0,"",SUMIF('Order Level'!$G:$G,$C26,'Order Level'!R:R))</f>
        <v/>
      </c>
      <c r="G26" s="232" t="str">
        <f t="shared" si="1"/>
        <v/>
      </c>
      <c r="H26" s="233" t="str">
        <f t="shared" si="2"/>
        <v/>
      </c>
      <c r="I26" s="3"/>
      <c r="J26" s="3"/>
      <c r="K26" s="3"/>
      <c r="L26" s="3"/>
      <c r="M26" s="3"/>
      <c r="N26" s="3"/>
      <c r="O26" s="3"/>
      <c r="P26" s="3"/>
      <c r="Q26" s="3"/>
      <c r="R26" s="3"/>
      <c r="S26" s="3"/>
      <c r="T26" s="3"/>
      <c r="U26" s="3"/>
      <c r="V26" s="3"/>
      <c r="W26" s="3"/>
      <c r="X26" s="3"/>
      <c r="Y26" s="3"/>
      <c r="Z26" s="3"/>
    </row>
    <row r="27" ht="15.75" customHeight="1">
      <c r="A27" s="3"/>
      <c r="B27" s="3"/>
      <c r="C27" s="230"/>
      <c r="D27" s="231" t="str">
        <f>IF(COUNTIFS('Order Level'!$I:$I,"delivered",'Order Level'!$G:$G,'Discounts Summary'!$C27)=0,"",COUNTIFS('Order Level'!$I:$I,"delivered",'Order Level'!$G:$G,'Discounts Summary'!$C27))</f>
        <v/>
      </c>
      <c r="E27" s="232" t="str">
        <f>IF(SUMIFS('Order Level'!$O:$O,'Order Level'!$I:$I,"Delivered",'Order Level'!$G:$G,'Discounts Summary'!$C27)=0,"",SUMIFS('Order Level'!$O:$O,'Order Level'!$I:$I,"Delivered",'Order Level'!$G:$G,'Discounts Summary'!$C27))</f>
        <v/>
      </c>
      <c r="F27" s="232" t="str">
        <f>IF(SUMIF('Order Level'!$G:$G,$C27,'Order Level'!R:R)=0,"",SUMIF('Order Level'!$G:$G,$C27,'Order Level'!R:R))</f>
        <v/>
      </c>
      <c r="G27" s="232" t="str">
        <f t="shared" si="1"/>
        <v/>
      </c>
      <c r="H27" s="233" t="str">
        <f t="shared" si="2"/>
        <v/>
      </c>
      <c r="I27" s="3"/>
      <c r="J27" s="3"/>
      <c r="K27" s="3"/>
      <c r="L27" s="3"/>
      <c r="M27" s="3"/>
      <c r="N27" s="3"/>
      <c r="O27" s="3"/>
      <c r="P27" s="3"/>
      <c r="Q27" s="3"/>
      <c r="R27" s="3"/>
      <c r="S27" s="3"/>
      <c r="T27" s="3"/>
      <c r="U27" s="3"/>
      <c r="V27" s="3"/>
      <c r="W27" s="3"/>
      <c r="X27" s="3"/>
      <c r="Y27" s="3"/>
      <c r="Z27" s="3"/>
    </row>
    <row r="28" ht="15.75" customHeight="1">
      <c r="A28" s="3"/>
      <c r="B28" s="3"/>
      <c r="C28" s="230"/>
      <c r="D28" s="231" t="str">
        <f>IF(COUNTIFS('Order Level'!$I:$I,"delivered",'Order Level'!$G:$G,'Discounts Summary'!$C28)=0,"",COUNTIFS('Order Level'!$I:$I,"delivered",'Order Level'!$G:$G,'Discounts Summary'!$C28))</f>
        <v/>
      </c>
      <c r="E28" s="232" t="str">
        <f>IF(SUMIFS('Order Level'!$O:$O,'Order Level'!$I:$I,"Delivered",'Order Level'!$G:$G,'Discounts Summary'!$C28)=0,"",SUMIFS('Order Level'!$O:$O,'Order Level'!$I:$I,"Delivered",'Order Level'!$G:$G,'Discounts Summary'!$C28))</f>
        <v/>
      </c>
      <c r="F28" s="232" t="str">
        <f>IF(SUMIF('Order Level'!$G:$G,$C28,'Order Level'!R:R)=0,"",SUMIF('Order Level'!$G:$G,$C28,'Order Level'!R:R))</f>
        <v/>
      </c>
      <c r="G28" s="232" t="str">
        <f t="shared" si="1"/>
        <v/>
      </c>
      <c r="H28" s="233" t="str">
        <f t="shared" si="2"/>
        <v/>
      </c>
      <c r="I28" s="3"/>
      <c r="J28" s="3"/>
      <c r="K28" s="3"/>
      <c r="L28" s="3"/>
      <c r="M28" s="3"/>
      <c r="N28" s="3"/>
      <c r="O28" s="3"/>
      <c r="P28" s="3"/>
      <c r="Q28" s="3"/>
      <c r="R28" s="3"/>
      <c r="S28" s="3"/>
      <c r="T28" s="3"/>
      <c r="U28" s="3"/>
      <c r="V28" s="3"/>
      <c r="W28" s="3"/>
      <c r="X28" s="3"/>
      <c r="Y28" s="3"/>
      <c r="Z28" s="3"/>
    </row>
    <row r="29" ht="15.75" customHeight="1">
      <c r="A29" s="3"/>
      <c r="B29" s="3"/>
      <c r="C29" s="230"/>
      <c r="D29" s="231" t="str">
        <f>IF(COUNTIFS('Order Level'!$I:$I,"delivered",'Order Level'!$G:$G,'Discounts Summary'!$C29)=0,"",COUNTIFS('Order Level'!$I:$I,"delivered",'Order Level'!$G:$G,'Discounts Summary'!$C29))</f>
        <v/>
      </c>
      <c r="E29" s="232" t="str">
        <f>IF(SUMIFS('Order Level'!$O:$O,'Order Level'!$I:$I,"Delivered",'Order Level'!$G:$G,'Discounts Summary'!$C29)=0,"",SUMIFS('Order Level'!$O:$O,'Order Level'!$I:$I,"Delivered",'Order Level'!$G:$G,'Discounts Summary'!$C29))</f>
        <v/>
      </c>
      <c r="F29" s="232" t="str">
        <f>IF(SUMIF('Order Level'!$G:$G,$C29,'Order Level'!R:R)=0,"",SUMIF('Order Level'!$G:$G,$C29,'Order Level'!R:R))</f>
        <v/>
      </c>
      <c r="G29" s="232" t="str">
        <f t="shared" si="1"/>
        <v/>
      </c>
      <c r="H29" s="233" t="str">
        <f t="shared" si="2"/>
        <v/>
      </c>
      <c r="I29" s="3"/>
      <c r="J29" s="3"/>
      <c r="K29" s="3"/>
      <c r="L29" s="3"/>
      <c r="M29" s="3"/>
      <c r="N29" s="3"/>
      <c r="O29" s="3"/>
      <c r="P29" s="3"/>
      <c r="Q29" s="3"/>
      <c r="R29" s="3"/>
      <c r="S29" s="3"/>
      <c r="T29" s="3"/>
      <c r="U29" s="3"/>
      <c r="V29" s="3"/>
      <c r="W29" s="3"/>
      <c r="X29" s="3"/>
      <c r="Y29" s="3"/>
      <c r="Z29" s="3"/>
    </row>
    <row r="30" ht="15.75" customHeight="1">
      <c r="A30" s="3"/>
      <c r="B30" s="3"/>
      <c r="C30" s="230"/>
      <c r="D30" s="231" t="str">
        <f>IF(COUNTIFS('Order Level'!$I:$I,"delivered",'Order Level'!$G:$G,'Discounts Summary'!$C30)=0,"",COUNTIFS('Order Level'!$I:$I,"delivered",'Order Level'!$G:$G,'Discounts Summary'!$C30))</f>
        <v/>
      </c>
      <c r="E30" s="232" t="str">
        <f>IF(SUMIFS('Order Level'!$O:$O,'Order Level'!$I:$I,"Delivered",'Order Level'!$G:$G,'Discounts Summary'!$C30)=0,"",SUMIFS('Order Level'!$O:$O,'Order Level'!$I:$I,"Delivered",'Order Level'!$G:$G,'Discounts Summary'!$C30))</f>
        <v/>
      </c>
      <c r="F30" s="232" t="str">
        <f>IF(SUMIF('Order Level'!$G:$G,$C30,'Order Level'!R:R)=0,"",SUMIF('Order Level'!$G:$G,$C30,'Order Level'!R:R))</f>
        <v/>
      </c>
      <c r="G30" s="232" t="str">
        <f t="shared" si="1"/>
        <v/>
      </c>
      <c r="H30" s="233" t="str">
        <f t="shared" si="2"/>
        <v/>
      </c>
      <c r="I30" s="3"/>
      <c r="J30" s="3"/>
      <c r="K30" s="3"/>
      <c r="L30" s="3"/>
      <c r="M30" s="3"/>
      <c r="N30" s="3"/>
      <c r="O30" s="3"/>
      <c r="P30" s="3"/>
      <c r="Q30" s="3"/>
      <c r="R30" s="3"/>
      <c r="S30" s="3"/>
      <c r="T30" s="3"/>
      <c r="U30" s="3"/>
      <c r="V30" s="3"/>
      <c r="W30" s="3"/>
      <c r="X30" s="3"/>
      <c r="Y30" s="3"/>
      <c r="Z30" s="3"/>
    </row>
    <row r="31" ht="15.75" customHeight="1">
      <c r="A31" s="3"/>
      <c r="B31" s="3"/>
      <c r="C31" s="230"/>
      <c r="D31" s="231" t="str">
        <f>IF(COUNTIFS('Order Level'!$I:$I,"delivered",'Order Level'!$G:$G,'Discounts Summary'!$C31)=0,"",COUNTIFS('Order Level'!$I:$I,"delivered",'Order Level'!$G:$G,'Discounts Summary'!$C31))</f>
        <v/>
      </c>
      <c r="E31" s="232" t="str">
        <f>IF(SUMIFS('Order Level'!$O:$O,'Order Level'!$I:$I,"Delivered",'Order Level'!$G:$G,'Discounts Summary'!$C31)=0,"",SUMIFS('Order Level'!$O:$O,'Order Level'!$I:$I,"Delivered",'Order Level'!$G:$G,'Discounts Summary'!$C31))</f>
        <v/>
      </c>
      <c r="F31" s="232" t="str">
        <f>IF(SUMIF('Order Level'!$G:$G,$C31,'Order Level'!R:R)=0,"",SUMIF('Order Level'!$G:$G,$C31,'Order Level'!R:R))</f>
        <v/>
      </c>
      <c r="G31" s="232" t="str">
        <f t="shared" si="1"/>
        <v/>
      </c>
      <c r="H31" s="233" t="str">
        <f t="shared" si="2"/>
        <v/>
      </c>
      <c r="I31" s="3"/>
      <c r="J31" s="3"/>
      <c r="K31" s="3"/>
      <c r="L31" s="3"/>
      <c r="M31" s="3"/>
      <c r="N31" s="3"/>
      <c r="O31" s="3"/>
      <c r="P31" s="3"/>
      <c r="Q31" s="3"/>
      <c r="R31" s="3"/>
      <c r="S31" s="3"/>
      <c r="T31" s="3"/>
      <c r="U31" s="3"/>
      <c r="V31" s="3"/>
      <c r="W31" s="3"/>
      <c r="X31" s="3"/>
      <c r="Y31" s="3"/>
      <c r="Z31" s="3"/>
    </row>
    <row r="32" ht="15.75" customHeight="1">
      <c r="A32" s="3"/>
      <c r="B32" s="3"/>
      <c r="C32" s="230"/>
      <c r="D32" s="231" t="str">
        <f>IF(COUNTIFS('Order Level'!$I:$I,"delivered",'Order Level'!$G:$G,'Discounts Summary'!$C32)=0,"",COUNTIFS('Order Level'!$I:$I,"delivered",'Order Level'!$G:$G,'Discounts Summary'!$C32))</f>
        <v/>
      </c>
      <c r="E32" s="232" t="str">
        <f>IF(SUMIFS('Order Level'!$O:$O,'Order Level'!$I:$I,"Delivered",'Order Level'!$G:$G,'Discounts Summary'!$C32)=0,"",SUMIFS('Order Level'!$O:$O,'Order Level'!$I:$I,"Delivered",'Order Level'!$G:$G,'Discounts Summary'!$C32))</f>
        <v/>
      </c>
      <c r="F32" s="232" t="str">
        <f>IF(SUMIF('Order Level'!$G:$G,$C32,'Order Level'!R:R)=0,"",SUMIF('Order Level'!$G:$G,$C32,'Order Level'!R:R))</f>
        <v/>
      </c>
      <c r="G32" s="232" t="str">
        <f t="shared" si="1"/>
        <v/>
      </c>
      <c r="H32" s="233" t="str">
        <f t="shared" si="2"/>
        <v/>
      </c>
      <c r="I32" s="3"/>
      <c r="J32" s="3"/>
      <c r="K32" s="3"/>
      <c r="L32" s="3"/>
      <c r="M32" s="3"/>
      <c r="N32" s="3"/>
      <c r="O32" s="3"/>
      <c r="P32" s="3"/>
      <c r="Q32" s="3"/>
      <c r="R32" s="3"/>
      <c r="S32" s="3"/>
      <c r="T32" s="3"/>
      <c r="U32" s="3"/>
      <c r="V32" s="3"/>
      <c r="W32" s="3"/>
      <c r="X32" s="3"/>
      <c r="Y32" s="3"/>
      <c r="Z32" s="3"/>
    </row>
    <row r="33" ht="15.75" customHeight="1">
      <c r="A33" s="3"/>
      <c r="B33" s="3"/>
      <c r="C33" s="230"/>
      <c r="D33" s="231" t="str">
        <f>IF(COUNTIFS('Order Level'!$I:$I,"delivered",'Order Level'!$G:$G,'Discounts Summary'!$C33)=0,"",COUNTIFS('Order Level'!$I:$I,"delivered",'Order Level'!$G:$G,'Discounts Summary'!$C33))</f>
        <v/>
      </c>
      <c r="E33" s="232" t="str">
        <f>IF(SUMIFS('Order Level'!$O:$O,'Order Level'!$I:$I,"Delivered",'Order Level'!$G:$G,'Discounts Summary'!$C33)=0,"",SUMIFS('Order Level'!$O:$O,'Order Level'!$I:$I,"Delivered",'Order Level'!$G:$G,'Discounts Summary'!$C33))</f>
        <v/>
      </c>
      <c r="F33" s="232" t="str">
        <f>IF(SUMIF('Order Level'!$G:$G,$C33,'Order Level'!R:R)=0,"",SUMIF('Order Level'!$G:$G,$C33,'Order Level'!R:R))</f>
        <v/>
      </c>
      <c r="G33" s="232" t="str">
        <f t="shared" si="1"/>
        <v/>
      </c>
      <c r="H33" s="233" t="str">
        <f t="shared" si="2"/>
        <v/>
      </c>
      <c r="I33" s="3"/>
      <c r="J33" s="3"/>
      <c r="K33" s="3"/>
      <c r="L33" s="3"/>
      <c r="M33" s="3"/>
      <c r="N33" s="3"/>
      <c r="O33" s="3"/>
      <c r="P33" s="3"/>
      <c r="Q33" s="3"/>
      <c r="R33" s="3"/>
      <c r="S33" s="3"/>
      <c r="T33" s="3"/>
      <c r="U33" s="3"/>
      <c r="V33" s="3"/>
      <c r="W33" s="3"/>
      <c r="X33" s="3"/>
      <c r="Y33" s="3"/>
      <c r="Z33" s="3"/>
    </row>
    <row r="34" ht="15.75" customHeight="1">
      <c r="A34" s="3"/>
      <c r="B34" s="3"/>
      <c r="C34" s="230"/>
      <c r="D34" s="231" t="str">
        <f>IF(COUNTIFS('Order Level'!$I:$I,"delivered",'Order Level'!$G:$G,'Discounts Summary'!$C34)=0,"",COUNTIFS('Order Level'!$I:$I,"delivered",'Order Level'!$G:$G,'Discounts Summary'!$C34))</f>
        <v/>
      </c>
      <c r="E34" s="232" t="str">
        <f>IF(SUMIFS('Order Level'!$O:$O,'Order Level'!$I:$I,"Delivered",'Order Level'!$G:$G,'Discounts Summary'!$C34)=0,"",SUMIFS('Order Level'!$O:$O,'Order Level'!$I:$I,"Delivered",'Order Level'!$G:$G,'Discounts Summary'!$C34))</f>
        <v/>
      </c>
      <c r="F34" s="232" t="str">
        <f>IF(SUMIF('Order Level'!$G:$G,$C34,'Order Level'!R:R)=0,"",SUMIF('Order Level'!$G:$G,$C34,'Order Level'!R:R))</f>
        <v/>
      </c>
      <c r="G34" s="232" t="str">
        <f t="shared" si="1"/>
        <v/>
      </c>
      <c r="H34" s="233" t="str">
        <f t="shared" si="2"/>
        <v/>
      </c>
      <c r="I34" s="3"/>
      <c r="J34" s="3"/>
      <c r="K34" s="3"/>
      <c r="L34" s="3"/>
      <c r="M34" s="3"/>
      <c r="N34" s="3"/>
      <c r="O34" s="3"/>
      <c r="P34" s="3"/>
      <c r="Q34" s="3"/>
      <c r="R34" s="3"/>
      <c r="S34" s="3"/>
      <c r="T34" s="3"/>
      <c r="U34" s="3"/>
      <c r="V34" s="3"/>
      <c r="W34" s="3"/>
      <c r="X34" s="3"/>
      <c r="Y34" s="3"/>
      <c r="Z34" s="3"/>
    </row>
    <row r="35" ht="15.75" customHeight="1">
      <c r="A35" s="3"/>
      <c r="B35" s="3"/>
      <c r="C35" s="230"/>
      <c r="D35" s="231" t="str">
        <f>IF(COUNTIFS('Order Level'!$I:$I,"delivered",'Order Level'!$G:$G,'Discounts Summary'!$C35)=0,"",COUNTIFS('Order Level'!$I:$I,"delivered",'Order Level'!$G:$G,'Discounts Summary'!$C35))</f>
        <v/>
      </c>
      <c r="E35" s="232" t="str">
        <f>IF(SUMIFS('Order Level'!$O:$O,'Order Level'!$I:$I,"Delivered",'Order Level'!$G:$G,'Discounts Summary'!$C35)=0,"",SUMIFS('Order Level'!$O:$O,'Order Level'!$I:$I,"Delivered",'Order Level'!$G:$G,'Discounts Summary'!$C35))</f>
        <v/>
      </c>
      <c r="F35" s="232" t="str">
        <f>IF(SUMIF('Order Level'!$G:$G,$C35,'Order Level'!R:R)=0,"",SUMIF('Order Level'!$G:$G,$C35,'Order Level'!R:R))</f>
        <v/>
      </c>
      <c r="G35" s="232" t="str">
        <f t="shared" si="1"/>
        <v/>
      </c>
      <c r="H35" s="233" t="str">
        <f t="shared" si="2"/>
        <v/>
      </c>
      <c r="I35" s="3"/>
      <c r="J35" s="3"/>
      <c r="K35" s="3"/>
      <c r="L35" s="3"/>
      <c r="M35" s="3"/>
      <c r="N35" s="3"/>
      <c r="O35" s="3"/>
      <c r="P35" s="3"/>
      <c r="Q35" s="3"/>
      <c r="R35" s="3"/>
      <c r="S35" s="3"/>
      <c r="T35" s="3"/>
      <c r="U35" s="3"/>
      <c r="V35" s="3"/>
      <c r="W35" s="3"/>
      <c r="X35" s="3"/>
      <c r="Y35" s="3"/>
      <c r="Z35" s="3"/>
    </row>
    <row r="36" ht="15.75" customHeight="1">
      <c r="A36" s="3"/>
      <c r="B36" s="3"/>
      <c r="C36" s="230"/>
      <c r="D36" s="231" t="str">
        <f>IF(COUNTIFS('Order Level'!$I:$I,"delivered",'Order Level'!$G:$G,'Discounts Summary'!$C36)=0,"",COUNTIFS('Order Level'!$I:$I,"delivered",'Order Level'!$G:$G,'Discounts Summary'!$C36))</f>
        <v/>
      </c>
      <c r="E36" s="232" t="str">
        <f>IF(SUMIFS('Order Level'!$O:$O,'Order Level'!$I:$I,"Delivered",'Order Level'!$G:$G,'Discounts Summary'!$C36)=0,"",SUMIFS('Order Level'!$O:$O,'Order Level'!$I:$I,"Delivered",'Order Level'!$G:$G,'Discounts Summary'!$C36))</f>
        <v/>
      </c>
      <c r="F36" s="232" t="str">
        <f>IF(SUMIF('Order Level'!$G:$G,$C36,'Order Level'!R:R)=0,"",SUMIF('Order Level'!$G:$G,$C36,'Order Level'!R:R))</f>
        <v/>
      </c>
      <c r="G36" s="232" t="str">
        <f t="shared" si="1"/>
        <v/>
      </c>
      <c r="H36" s="233" t="str">
        <f t="shared" si="2"/>
        <v/>
      </c>
      <c r="I36" s="3"/>
      <c r="J36" s="3"/>
      <c r="K36" s="3"/>
      <c r="L36" s="3"/>
      <c r="M36" s="3"/>
      <c r="N36" s="3"/>
      <c r="O36" s="3"/>
      <c r="P36" s="3"/>
      <c r="Q36" s="3"/>
      <c r="R36" s="3"/>
      <c r="S36" s="3"/>
      <c r="T36" s="3"/>
      <c r="U36" s="3"/>
      <c r="V36" s="3"/>
      <c r="W36" s="3"/>
      <c r="X36" s="3"/>
      <c r="Y36" s="3"/>
      <c r="Z36" s="3"/>
    </row>
    <row r="37" ht="15.75" customHeight="1">
      <c r="A37" s="3"/>
      <c r="B37" s="3"/>
      <c r="C37" s="230"/>
      <c r="D37" s="231" t="str">
        <f>IF(COUNTIFS('Order Level'!$I:$I,"delivered",'Order Level'!$G:$G,'Discounts Summary'!$C37)=0,"",COUNTIFS('Order Level'!$I:$I,"delivered",'Order Level'!$G:$G,'Discounts Summary'!$C37))</f>
        <v/>
      </c>
      <c r="E37" s="232" t="str">
        <f>IF(SUMIFS('Order Level'!$O:$O,'Order Level'!$I:$I,"Delivered",'Order Level'!$G:$G,'Discounts Summary'!$C37)=0,"",SUMIFS('Order Level'!$O:$O,'Order Level'!$I:$I,"Delivered",'Order Level'!$G:$G,'Discounts Summary'!$C37))</f>
        <v/>
      </c>
      <c r="F37" s="232" t="str">
        <f>IF(SUMIF('Order Level'!$G:$G,$C37,'Order Level'!R:R)=0,"",SUMIF('Order Level'!$G:$G,$C37,'Order Level'!R:R))</f>
        <v/>
      </c>
      <c r="G37" s="232" t="str">
        <f t="shared" si="1"/>
        <v/>
      </c>
      <c r="H37" s="233" t="str">
        <f t="shared" si="2"/>
        <v/>
      </c>
      <c r="I37" s="3"/>
      <c r="J37" s="3"/>
      <c r="K37" s="3"/>
      <c r="L37" s="3"/>
      <c r="M37" s="3"/>
      <c r="N37" s="3"/>
      <c r="O37" s="3"/>
      <c r="P37" s="3"/>
      <c r="Q37" s="3"/>
      <c r="R37" s="3"/>
      <c r="S37" s="3"/>
      <c r="T37" s="3"/>
      <c r="U37" s="3"/>
      <c r="V37" s="3"/>
      <c r="W37" s="3"/>
      <c r="X37" s="3"/>
      <c r="Y37" s="3"/>
      <c r="Z37" s="3"/>
    </row>
    <row r="38" ht="15.75" customHeight="1">
      <c r="A38" s="3"/>
      <c r="B38" s="3"/>
      <c r="C38" s="230"/>
      <c r="D38" s="231" t="str">
        <f>IF(COUNTIFS('Order Level'!$I:$I,"delivered",'Order Level'!$G:$G,'Discounts Summary'!$C38)=0,"",COUNTIFS('Order Level'!$I:$I,"delivered",'Order Level'!$G:$G,'Discounts Summary'!$C38))</f>
        <v/>
      </c>
      <c r="E38" s="232" t="str">
        <f>IF(SUMIFS('Order Level'!$O:$O,'Order Level'!$I:$I,"Delivered",'Order Level'!$G:$G,'Discounts Summary'!$C38)=0,"",SUMIFS('Order Level'!$O:$O,'Order Level'!$I:$I,"Delivered",'Order Level'!$G:$G,'Discounts Summary'!$C38))</f>
        <v/>
      </c>
      <c r="F38" s="232" t="str">
        <f>IF(SUMIF('Order Level'!$G:$G,$C38,'Order Level'!R:R)=0,"",SUMIF('Order Level'!$G:$G,$C38,'Order Level'!R:R))</f>
        <v/>
      </c>
      <c r="G38" s="232" t="str">
        <f t="shared" si="1"/>
        <v/>
      </c>
      <c r="H38" s="233" t="str">
        <f t="shared" si="2"/>
        <v/>
      </c>
      <c r="I38" s="3"/>
      <c r="J38" s="3"/>
      <c r="K38" s="3"/>
      <c r="L38" s="3"/>
      <c r="M38" s="3"/>
      <c r="N38" s="3"/>
      <c r="O38" s="3"/>
      <c r="P38" s="3"/>
      <c r="Q38" s="3"/>
      <c r="R38" s="3"/>
      <c r="S38" s="3"/>
      <c r="T38" s="3"/>
      <c r="U38" s="3"/>
      <c r="V38" s="3"/>
      <c r="W38" s="3"/>
      <c r="X38" s="3"/>
      <c r="Y38" s="3"/>
      <c r="Z38" s="3"/>
    </row>
    <row r="39" ht="15.75" customHeight="1">
      <c r="A39" s="3"/>
      <c r="B39" s="3"/>
      <c r="C39" s="230"/>
      <c r="D39" s="231" t="str">
        <f>IF(COUNTIFS('Order Level'!$I:$I,"delivered",'Order Level'!$G:$G,'Discounts Summary'!$C39)=0,"",COUNTIFS('Order Level'!$I:$I,"delivered",'Order Level'!$G:$G,'Discounts Summary'!$C39))</f>
        <v/>
      </c>
      <c r="E39" s="232" t="str">
        <f>IF(SUMIFS('Order Level'!$O:$O,'Order Level'!$I:$I,"Delivered",'Order Level'!$G:$G,'Discounts Summary'!$C39)=0,"",SUMIFS('Order Level'!$O:$O,'Order Level'!$I:$I,"Delivered",'Order Level'!$G:$G,'Discounts Summary'!$C39))</f>
        <v/>
      </c>
      <c r="F39" s="232" t="str">
        <f>IF(SUMIF('Order Level'!$G:$G,$C39,'Order Level'!R:R)=0,"",SUMIF('Order Level'!$G:$G,$C39,'Order Level'!R:R))</f>
        <v/>
      </c>
      <c r="G39" s="232" t="str">
        <f t="shared" si="1"/>
        <v/>
      </c>
      <c r="H39" s="233" t="str">
        <f t="shared" si="2"/>
        <v/>
      </c>
      <c r="I39" s="3"/>
      <c r="J39" s="3"/>
      <c r="K39" s="3"/>
      <c r="L39" s="3"/>
      <c r="M39" s="3"/>
      <c r="N39" s="3"/>
      <c r="O39" s="3"/>
      <c r="P39" s="3"/>
      <c r="Q39" s="3"/>
      <c r="R39" s="3"/>
      <c r="S39" s="3"/>
      <c r="T39" s="3"/>
      <c r="U39" s="3"/>
      <c r="V39" s="3"/>
      <c r="W39" s="3"/>
      <c r="X39" s="3"/>
      <c r="Y39" s="3"/>
      <c r="Z39" s="3"/>
    </row>
    <row r="40" ht="15.75" customHeight="1">
      <c r="A40" s="3"/>
      <c r="B40" s="3"/>
      <c r="C40" s="230"/>
      <c r="D40" s="231" t="str">
        <f>IF(COUNTIFS('Order Level'!$I:$I,"delivered",'Order Level'!$G:$G,'Discounts Summary'!$C40)=0,"",COUNTIFS('Order Level'!$I:$I,"delivered",'Order Level'!$G:$G,'Discounts Summary'!$C40))</f>
        <v/>
      </c>
      <c r="E40" s="232" t="str">
        <f>IF(SUMIFS('Order Level'!$O:$O,'Order Level'!$I:$I,"Delivered",'Order Level'!$G:$G,'Discounts Summary'!$C40)=0,"",SUMIFS('Order Level'!$O:$O,'Order Level'!$I:$I,"Delivered",'Order Level'!$G:$G,'Discounts Summary'!$C40))</f>
        <v/>
      </c>
      <c r="F40" s="232" t="str">
        <f>IF(SUMIF('Order Level'!$G:$G,$C40,'Order Level'!R:R)=0,"",SUMIF('Order Level'!$G:$G,$C40,'Order Level'!R:R))</f>
        <v/>
      </c>
      <c r="G40" s="232" t="str">
        <f t="shared" si="1"/>
        <v/>
      </c>
      <c r="H40" s="233" t="str">
        <f t="shared" si="2"/>
        <v/>
      </c>
      <c r="I40" s="3"/>
      <c r="J40" s="3"/>
      <c r="K40" s="3"/>
      <c r="L40" s="3"/>
      <c r="M40" s="3"/>
      <c r="N40" s="3"/>
      <c r="O40" s="3"/>
      <c r="P40" s="3"/>
      <c r="Q40" s="3"/>
      <c r="R40" s="3"/>
      <c r="S40" s="3"/>
      <c r="T40" s="3"/>
      <c r="U40" s="3"/>
      <c r="V40" s="3"/>
      <c r="W40" s="3"/>
      <c r="X40" s="3"/>
      <c r="Y40" s="3"/>
      <c r="Z40" s="3"/>
    </row>
    <row r="41" ht="15.75" customHeight="1">
      <c r="A41" s="3"/>
      <c r="B41" s="3"/>
      <c r="C41" s="230"/>
      <c r="D41" s="231" t="str">
        <f>IF(COUNTIFS('Order Level'!$I:$I,"delivered",'Order Level'!$G:$G,'Discounts Summary'!$C41)=0,"",COUNTIFS('Order Level'!$I:$I,"delivered",'Order Level'!$G:$G,'Discounts Summary'!$C41))</f>
        <v/>
      </c>
      <c r="E41" s="232" t="str">
        <f>IF(SUMIFS('Order Level'!$O:$O,'Order Level'!$I:$I,"Delivered",'Order Level'!$G:$G,'Discounts Summary'!$C41)=0,"",SUMIFS('Order Level'!$O:$O,'Order Level'!$I:$I,"Delivered",'Order Level'!$G:$G,'Discounts Summary'!$C41))</f>
        <v/>
      </c>
      <c r="F41" s="232" t="str">
        <f>IF(SUMIF('Order Level'!$G:$G,$C41,'Order Level'!R:R)=0,"",SUMIF('Order Level'!$G:$G,$C41,'Order Level'!R:R))</f>
        <v/>
      </c>
      <c r="G41" s="232" t="str">
        <f t="shared" si="1"/>
        <v/>
      </c>
      <c r="H41" s="233" t="str">
        <f t="shared" si="2"/>
        <v/>
      </c>
      <c r="I41" s="3"/>
      <c r="J41" s="3"/>
      <c r="K41" s="3"/>
      <c r="L41" s="3"/>
      <c r="M41" s="3"/>
      <c r="N41" s="3"/>
      <c r="O41" s="3"/>
      <c r="P41" s="3"/>
      <c r="Q41" s="3"/>
      <c r="R41" s="3"/>
      <c r="S41" s="3"/>
      <c r="T41" s="3"/>
      <c r="U41" s="3"/>
      <c r="V41" s="3"/>
      <c r="W41" s="3"/>
      <c r="X41" s="3"/>
      <c r="Y41" s="3"/>
      <c r="Z41" s="3"/>
    </row>
    <row r="42" ht="15.75" customHeight="1">
      <c r="A42" s="3"/>
      <c r="B42" s="3"/>
      <c r="C42" s="230"/>
      <c r="D42" s="231" t="str">
        <f>IF(COUNTIFS('Order Level'!$I:$I,"delivered",'Order Level'!$G:$G,'Discounts Summary'!$C42)=0,"",COUNTIFS('Order Level'!$I:$I,"delivered",'Order Level'!$G:$G,'Discounts Summary'!$C42))</f>
        <v/>
      </c>
      <c r="E42" s="232" t="str">
        <f>IF(SUMIFS('Order Level'!$O:$O,'Order Level'!$I:$I,"Delivered",'Order Level'!$G:$G,'Discounts Summary'!$C42)=0,"",SUMIFS('Order Level'!$O:$O,'Order Level'!$I:$I,"Delivered",'Order Level'!$G:$G,'Discounts Summary'!$C42))</f>
        <v/>
      </c>
      <c r="F42" s="232" t="str">
        <f>IF(SUMIF('Order Level'!$G:$G,$C42,'Order Level'!R:R)=0,"",SUMIF('Order Level'!$G:$G,$C42,'Order Level'!R:R))</f>
        <v/>
      </c>
      <c r="G42" s="232" t="str">
        <f t="shared" si="1"/>
        <v/>
      </c>
      <c r="H42" s="233" t="str">
        <f t="shared" si="2"/>
        <v/>
      </c>
      <c r="I42" s="3"/>
      <c r="J42" s="3"/>
      <c r="K42" s="3"/>
      <c r="L42" s="3"/>
      <c r="M42" s="3"/>
      <c r="N42" s="3"/>
      <c r="O42" s="3"/>
      <c r="P42" s="3"/>
      <c r="Q42" s="3"/>
      <c r="R42" s="3"/>
      <c r="S42" s="3"/>
      <c r="T42" s="3"/>
      <c r="U42" s="3"/>
      <c r="V42" s="3"/>
      <c r="W42" s="3"/>
      <c r="X42" s="3"/>
      <c r="Y42" s="3"/>
      <c r="Z42" s="3"/>
    </row>
    <row r="43" ht="15.75" customHeight="1">
      <c r="A43" s="3"/>
      <c r="B43" s="3"/>
      <c r="C43" s="230"/>
      <c r="D43" s="231" t="str">
        <f>IF(COUNTIFS('Order Level'!$I:$I,"delivered",'Order Level'!$G:$G,'Discounts Summary'!$C43)=0,"",COUNTIFS('Order Level'!$I:$I,"delivered",'Order Level'!$G:$G,'Discounts Summary'!$C43))</f>
        <v/>
      </c>
      <c r="E43" s="232" t="str">
        <f>IF(SUMIFS('Order Level'!$O:$O,'Order Level'!$I:$I,"Delivered",'Order Level'!$G:$G,'Discounts Summary'!$C43)=0,"",SUMIFS('Order Level'!$O:$O,'Order Level'!$I:$I,"Delivered",'Order Level'!$G:$G,'Discounts Summary'!$C43))</f>
        <v/>
      </c>
      <c r="F43" s="232" t="str">
        <f>IF(SUMIF('Order Level'!$G:$G,$C43,'Order Level'!R:R)=0,"",SUMIF('Order Level'!$G:$G,$C43,'Order Level'!R:R))</f>
        <v/>
      </c>
      <c r="G43" s="232" t="str">
        <f t="shared" si="1"/>
        <v/>
      </c>
      <c r="H43" s="233" t="str">
        <f t="shared" si="2"/>
        <v/>
      </c>
      <c r="I43" s="3"/>
      <c r="J43" s="3"/>
      <c r="K43" s="3"/>
      <c r="L43" s="3"/>
      <c r="M43" s="3"/>
      <c r="N43" s="3"/>
      <c r="O43" s="3"/>
      <c r="P43" s="3"/>
      <c r="Q43" s="3"/>
      <c r="R43" s="3"/>
      <c r="S43" s="3"/>
      <c r="T43" s="3"/>
      <c r="U43" s="3"/>
      <c r="V43" s="3"/>
      <c r="W43" s="3"/>
      <c r="X43" s="3"/>
      <c r="Y43" s="3"/>
      <c r="Z43" s="3"/>
    </row>
    <row r="44" ht="15.75" customHeight="1">
      <c r="A44" s="3"/>
      <c r="B44" s="3"/>
      <c r="C44" s="230"/>
      <c r="D44" s="231" t="str">
        <f>IF(COUNTIFS('Order Level'!$I:$I,"delivered",'Order Level'!$G:$G,'Discounts Summary'!$C44)=0,"",COUNTIFS('Order Level'!$I:$I,"delivered",'Order Level'!$G:$G,'Discounts Summary'!$C44))</f>
        <v/>
      </c>
      <c r="E44" s="232" t="str">
        <f>IF(SUMIFS('Order Level'!$O:$O,'Order Level'!$I:$I,"Delivered",'Order Level'!$G:$G,'Discounts Summary'!$C44)=0,"",SUMIFS('Order Level'!$O:$O,'Order Level'!$I:$I,"Delivered",'Order Level'!$G:$G,'Discounts Summary'!$C44))</f>
        <v/>
      </c>
      <c r="F44" s="232" t="str">
        <f>IF(SUMIF('Order Level'!$G:$G,$C44,'Order Level'!R:R)=0,"",SUMIF('Order Level'!$G:$G,$C44,'Order Level'!R:R))</f>
        <v/>
      </c>
      <c r="G44" s="232" t="str">
        <f t="shared" si="1"/>
        <v/>
      </c>
      <c r="H44" s="233" t="str">
        <f t="shared" si="2"/>
        <v/>
      </c>
      <c r="I44" s="3"/>
      <c r="J44" s="3"/>
      <c r="K44" s="3"/>
      <c r="L44" s="3"/>
      <c r="M44" s="3"/>
      <c r="N44" s="3"/>
      <c r="O44" s="3"/>
      <c r="P44" s="3"/>
      <c r="Q44" s="3"/>
      <c r="R44" s="3"/>
      <c r="S44" s="3"/>
      <c r="T44" s="3"/>
      <c r="U44" s="3"/>
      <c r="V44" s="3"/>
      <c r="W44" s="3"/>
      <c r="X44" s="3"/>
      <c r="Y44" s="3"/>
      <c r="Z44" s="3"/>
    </row>
    <row r="45" ht="15.75" customHeight="1">
      <c r="A45" s="3"/>
      <c r="B45" s="3"/>
      <c r="C45" s="230"/>
      <c r="D45" s="231" t="str">
        <f>IF(COUNTIFS('Order Level'!$I:$I,"delivered",'Order Level'!$G:$G,'Discounts Summary'!$C45)=0,"",COUNTIFS('Order Level'!$I:$I,"delivered",'Order Level'!$G:$G,'Discounts Summary'!$C45))</f>
        <v/>
      </c>
      <c r="E45" s="232" t="str">
        <f>IF(SUMIFS('Order Level'!$O:$O,'Order Level'!$I:$I,"Delivered",'Order Level'!$G:$G,'Discounts Summary'!$C45)=0,"",SUMIFS('Order Level'!$O:$O,'Order Level'!$I:$I,"Delivered",'Order Level'!$G:$G,'Discounts Summary'!$C45))</f>
        <v/>
      </c>
      <c r="F45" s="232" t="str">
        <f>IF(SUMIF('Order Level'!$G:$G,$C45,'Order Level'!R:R)=0,"",SUMIF('Order Level'!$G:$G,$C45,'Order Level'!R:R))</f>
        <v/>
      </c>
      <c r="G45" s="232" t="str">
        <f t="shared" si="1"/>
        <v/>
      </c>
      <c r="H45" s="233" t="str">
        <f t="shared" si="2"/>
        <v/>
      </c>
      <c r="I45" s="3"/>
      <c r="J45" s="3"/>
      <c r="K45" s="3"/>
      <c r="L45" s="3"/>
      <c r="M45" s="3"/>
      <c r="N45" s="3"/>
      <c r="O45" s="3"/>
      <c r="P45" s="3"/>
      <c r="Q45" s="3"/>
      <c r="R45" s="3"/>
      <c r="S45" s="3"/>
      <c r="T45" s="3"/>
      <c r="U45" s="3"/>
      <c r="V45" s="3"/>
      <c r="W45" s="3"/>
      <c r="X45" s="3"/>
      <c r="Y45" s="3"/>
      <c r="Z45" s="3"/>
    </row>
    <row r="46" ht="15.75" customHeight="1">
      <c r="A46" s="3"/>
      <c r="B46" s="3"/>
      <c r="C46" s="230"/>
      <c r="D46" s="231" t="str">
        <f>IF(COUNTIFS('Order Level'!$I:$I,"delivered",'Order Level'!$G:$G,'Discounts Summary'!$C46)=0,"",COUNTIFS('Order Level'!$I:$I,"delivered",'Order Level'!$G:$G,'Discounts Summary'!$C46))</f>
        <v/>
      </c>
      <c r="E46" s="232" t="str">
        <f>IF(SUMIFS('Order Level'!$O:$O,'Order Level'!$I:$I,"Delivered",'Order Level'!$G:$G,'Discounts Summary'!$C46)=0,"",SUMIFS('Order Level'!$O:$O,'Order Level'!$I:$I,"Delivered",'Order Level'!$G:$G,'Discounts Summary'!$C46))</f>
        <v/>
      </c>
      <c r="F46" s="232" t="str">
        <f>IF(SUMIF('Order Level'!$G:$G,$C46,'Order Level'!R:R)=0,"",SUMIF('Order Level'!$G:$G,$C46,'Order Level'!R:R))</f>
        <v/>
      </c>
      <c r="G46" s="232" t="str">
        <f t="shared" si="1"/>
        <v/>
      </c>
      <c r="H46" s="233" t="str">
        <f t="shared" si="2"/>
        <v/>
      </c>
      <c r="I46" s="3"/>
      <c r="J46" s="3"/>
      <c r="K46" s="3"/>
      <c r="L46" s="3"/>
      <c r="M46" s="3"/>
      <c r="N46" s="3"/>
      <c r="O46" s="3"/>
      <c r="P46" s="3"/>
      <c r="Q46" s="3"/>
      <c r="R46" s="3"/>
      <c r="S46" s="3"/>
      <c r="T46" s="3"/>
      <c r="U46" s="3"/>
      <c r="V46" s="3"/>
      <c r="W46" s="3"/>
      <c r="X46" s="3"/>
      <c r="Y46" s="3"/>
      <c r="Z46" s="3"/>
    </row>
    <row r="47" ht="15.75" customHeight="1">
      <c r="A47" s="3"/>
      <c r="B47" s="3"/>
      <c r="C47" s="230"/>
      <c r="D47" s="231" t="str">
        <f>IF(COUNTIFS('Order Level'!$I:$I,"delivered",'Order Level'!$G:$G,'Discounts Summary'!$C47)=0,"",COUNTIFS('Order Level'!$I:$I,"delivered",'Order Level'!$G:$G,'Discounts Summary'!$C47))</f>
        <v/>
      </c>
      <c r="E47" s="232" t="str">
        <f>IF(SUMIFS('Order Level'!$O:$O,'Order Level'!$I:$I,"Delivered",'Order Level'!$G:$G,'Discounts Summary'!$C47)=0,"",SUMIFS('Order Level'!$O:$O,'Order Level'!$I:$I,"Delivered",'Order Level'!$G:$G,'Discounts Summary'!$C47))</f>
        <v/>
      </c>
      <c r="F47" s="232" t="str">
        <f>IF(SUMIF('Order Level'!$G:$G,$C47,'Order Level'!R:R)=0,"",SUMIF('Order Level'!$G:$G,$C47,'Order Level'!R:R))</f>
        <v/>
      </c>
      <c r="G47" s="232" t="str">
        <f t="shared" si="1"/>
        <v/>
      </c>
      <c r="H47" s="233" t="str">
        <f t="shared" si="2"/>
        <v/>
      </c>
      <c r="I47" s="3"/>
      <c r="J47" s="3"/>
      <c r="K47" s="3"/>
      <c r="L47" s="3"/>
      <c r="M47" s="3"/>
      <c r="N47" s="3"/>
      <c r="O47" s="3"/>
      <c r="P47" s="3"/>
      <c r="Q47" s="3"/>
      <c r="R47" s="3"/>
      <c r="S47" s="3"/>
      <c r="T47" s="3"/>
      <c r="U47" s="3"/>
      <c r="V47" s="3"/>
      <c r="W47" s="3"/>
      <c r="X47" s="3"/>
      <c r="Y47" s="3"/>
      <c r="Z47" s="3"/>
    </row>
    <row r="48" ht="15.75" customHeight="1">
      <c r="A48" s="3"/>
      <c r="B48" s="3"/>
      <c r="C48" s="230"/>
      <c r="D48" s="231" t="str">
        <f>IF(COUNTIFS('Order Level'!$I:$I,"delivered",'Order Level'!$G:$G,'Discounts Summary'!$C48)=0,"",COUNTIFS('Order Level'!$I:$I,"delivered",'Order Level'!$G:$G,'Discounts Summary'!$C48))</f>
        <v/>
      </c>
      <c r="E48" s="232" t="str">
        <f>IF(SUMIFS('Order Level'!$O:$O,'Order Level'!$I:$I,"Delivered",'Order Level'!$G:$G,'Discounts Summary'!$C48)=0,"",SUMIFS('Order Level'!$O:$O,'Order Level'!$I:$I,"Delivered",'Order Level'!$G:$G,'Discounts Summary'!$C48))</f>
        <v/>
      </c>
      <c r="F48" s="232" t="str">
        <f>IF(SUMIF('Order Level'!$G:$G,$C48,'Order Level'!R:R)=0,"",SUMIF('Order Level'!$G:$G,$C48,'Order Level'!R:R))</f>
        <v/>
      </c>
      <c r="G48" s="232" t="str">
        <f t="shared" si="1"/>
        <v/>
      </c>
      <c r="H48" s="233" t="str">
        <f t="shared" si="2"/>
        <v/>
      </c>
      <c r="I48" s="3"/>
      <c r="J48" s="3"/>
      <c r="K48" s="3"/>
      <c r="L48" s="3"/>
      <c r="M48" s="3"/>
      <c r="N48" s="3"/>
      <c r="O48" s="3"/>
      <c r="P48" s="3"/>
      <c r="Q48" s="3"/>
      <c r="R48" s="3"/>
      <c r="S48" s="3"/>
      <c r="T48" s="3"/>
      <c r="U48" s="3"/>
      <c r="V48" s="3"/>
      <c r="W48" s="3"/>
      <c r="X48" s="3"/>
      <c r="Y48" s="3"/>
      <c r="Z48" s="3"/>
    </row>
    <row r="49" ht="12.0"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2.0"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2.0"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2.0"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2.0"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2.0"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2.0"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2.0"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2.0"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2.0"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2.0"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2.0"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2.0"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2.0"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2.0"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2.0"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2.0"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2.0"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2.0"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0"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2.0"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2.0"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2.0"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2.0"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2.0"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2.0"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2.0"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2.0"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0"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0"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0"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0"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0"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0"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0"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0"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0"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0"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0"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0"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0"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0"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0"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0"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0"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0"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0"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0"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0"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0"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0"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H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9.25"/>
    <col min="2" max="2" customWidth="true" width="44.38"/>
    <col min="3" max="3" customWidth="true" width="92.88"/>
    <col min="4" max="23" customWidth="true" width="12.63"/>
  </cols>
  <sheetData>
    <row r="1" ht="24.75" customHeight="1">
      <c r="A1" s="234" t="s">
        <v>28</v>
      </c>
      <c r="B1" s="235"/>
      <c r="C1" s="235"/>
      <c r="D1" s="236"/>
      <c r="E1" s="236"/>
      <c r="F1" s="236"/>
      <c r="G1" s="236"/>
      <c r="H1" s="236"/>
      <c r="I1" s="236"/>
      <c r="J1" s="236"/>
      <c r="K1" s="236"/>
      <c r="L1" s="236"/>
      <c r="M1" s="236"/>
      <c r="N1" s="236"/>
      <c r="O1" s="236"/>
      <c r="P1" s="236"/>
      <c r="Q1" s="236"/>
      <c r="R1" s="236"/>
      <c r="S1" s="236"/>
      <c r="T1" s="236"/>
      <c r="U1" s="236"/>
      <c r="V1" s="236"/>
      <c r="W1" s="236"/>
      <c r="X1" s="237"/>
      <c r="Y1" s="237"/>
      <c r="Z1" s="237"/>
    </row>
    <row r="2" ht="21.0" customHeight="1">
      <c r="A2" s="238" t="str">
        <f>Summary!C29</f>
        <v>Descriptions of the terms used in the Order Level tab</v>
      </c>
      <c r="B2" s="236"/>
      <c r="C2" s="236"/>
      <c r="D2" s="236"/>
      <c r="E2" s="236"/>
      <c r="F2" s="236"/>
      <c r="G2" s="236"/>
      <c r="H2" s="236"/>
      <c r="I2" s="236"/>
      <c r="J2" s="236"/>
      <c r="K2" s="236"/>
      <c r="L2" s="236"/>
      <c r="M2" s="236"/>
      <c r="N2" s="236"/>
      <c r="O2" s="236"/>
      <c r="P2" s="236"/>
      <c r="Q2" s="236"/>
      <c r="R2" s="236"/>
      <c r="S2" s="236"/>
      <c r="T2" s="236"/>
      <c r="U2" s="236"/>
      <c r="V2" s="236"/>
      <c r="W2" s="236"/>
      <c r="X2" s="237"/>
      <c r="Y2" s="237"/>
      <c r="Z2" s="237"/>
    </row>
    <row r="3" ht="22.5" customHeight="1">
      <c r="A3" s="239" t="s">
        <v>228</v>
      </c>
      <c r="B3" s="240" t="s">
        <v>229</v>
      </c>
      <c r="C3" s="240" t="s">
        <v>230</v>
      </c>
      <c r="D3" s="236"/>
      <c r="E3" s="236"/>
      <c r="F3" s="236"/>
      <c r="G3" s="236"/>
      <c r="H3" s="236"/>
      <c r="I3" s="236"/>
      <c r="J3" s="236"/>
      <c r="K3" s="236"/>
      <c r="L3" s="236"/>
      <c r="M3" s="236"/>
      <c r="N3" s="236"/>
      <c r="O3" s="236"/>
      <c r="P3" s="236"/>
      <c r="Q3" s="236"/>
      <c r="R3" s="236"/>
      <c r="S3" s="236"/>
      <c r="T3" s="236"/>
      <c r="U3" s="236"/>
      <c r="V3" s="236"/>
      <c r="W3" s="236"/>
      <c r="X3" s="237"/>
      <c r="Y3" s="237"/>
      <c r="Z3" s="237"/>
    </row>
    <row r="4">
      <c r="A4" s="241">
        <v>1.0</v>
      </c>
      <c r="B4" s="242" t="s">
        <v>231</v>
      </c>
      <c r="C4" s="243" t="s">
        <v>232</v>
      </c>
      <c r="D4" s="236"/>
      <c r="E4" s="236"/>
      <c r="F4" s="236"/>
      <c r="G4" s="236"/>
      <c r="H4" s="236"/>
      <c r="I4" s="236"/>
      <c r="J4" s="236"/>
      <c r="K4" s="236"/>
      <c r="L4" s="236"/>
      <c r="M4" s="236"/>
      <c r="N4" s="236"/>
      <c r="O4" s="236"/>
      <c r="P4" s="236"/>
      <c r="Q4" s="236"/>
      <c r="R4" s="236"/>
      <c r="S4" s="236"/>
      <c r="T4" s="236"/>
      <c r="U4" s="236"/>
      <c r="V4" s="236"/>
      <c r="W4" s="236"/>
      <c r="X4" s="237"/>
      <c r="Y4" s="237"/>
      <c r="Z4" s="237"/>
    </row>
    <row r="5">
      <c r="A5" s="241">
        <v>2.0</v>
      </c>
      <c r="B5" s="242" t="s">
        <v>177</v>
      </c>
      <c r="C5" s="243" t="s">
        <v>233</v>
      </c>
      <c r="D5" s="236"/>
      <c r="E5" s="236"/>
      <c r="F5" s="236"/>
      <c r="G5" s="236"/>
      <c r="H5" s="236"/>
      <c r="I5" s="236"/>
      <c r="J5" s="236"/>
      <c r="K5" s="236"/>
      <c r="L5" s="236"/>
      <c r="M5" s="236"/>
      <c r="N5" s="236"/>
      <c r="O5" s="236"/>
      <c r="P5" s="236"/>
      <c r="Q5" s="236"/>
      <c r="R5" s="236"/>
      <c r="S5" s="236"/>
      <c r="T5" s="236"/>
      <c r="U5" s="236"/>
      <c r="V5" s="236"/>
      <c r="W5" s="236"/>
      <c r="X5" s="237"/>
      <c r="Y5" s="237"/>
      <c r="Z5" s="237"/>
    </row>
    <row r="6">
      <c r="A6" s="241">
        <v>3.0</v>
      </c>
      <c r="B6" s="242" t="s">
        <v>178</v>
      </c>
      <c r="C6" s="243" t="s">
        <v>234</v>
      </c>
      <c r="D6" s="236"/>
      <c r="E6" s="236"/>
      <c r="F6" s="236"/>
      <c r="G6" s="236"/>
      <c r="H6" s="236"/>
      <c r="I6" s="236"/>
      <c r="J6" s="236"/>
      <c r="K6" s="236"/>
      <c r="L6" s="236"/>
      <c r="M6" s="236"/>
      <c r="N6" s="236"/>
      <c r="O6" s="236"/>
      <c r="P6" s="236"/>
      <c r="Q6" s="236"/>
      <c r="R6" s="236"/>
      <c r="S6" s="236"/>
      <c r="T6" s="236"/>
      <c r="U6" s="236"/>
      <c r="V6" s="236"/>
      <c r="W6" s="236"/>
      <c r="X6" s="237"/>
      <c r="Y6" s="237"/>
      <c r="Z6" s="237"/>
    </row>
    <row r="7">
      <c r="A7" s="241">
        <v>4.0</v>
      </c>
      <c r="B7" s="242" t="s">
        <v>235</v>
      </c>
      <c r="C7" s="243" t="s">
        <v>236</v>
      </c>
      <c r="D7" s="236"/>
      <c r="E7" s="236"/>
      <c r="F7" s="236"/>
      <c r="G7" s="236"/>
      <c r="H7" s="236"/>
      <c r="I7" s="236"/>
      <c r="J7" s="236"/>
      <c r="K7" s="236"/>
      <c r="L7" s="236"/>
      <c r="M7" s="236"/>
      <c r="N7" s="236"/>
      <c r="O7" s="236"/>
      <c r="P7" s="236"/>
      <c r="Q7" s="236"/>
      <c r="R7" s="236"/>
      <c r="S7" s="236"/>
      <c r="T7" s="236"/>
      <c r="U7" s="236"/>
      <c r="V7" s="236"/>
      <c r="W7" s="236"/>
      <c r="X7" s="237"/>
      <c r="Y7" s="237"/>
      <c r="Z7" s="237"/>
    </row>
    <row r="8">
      <c r="A8" s="241">
        <v>5.0</v>
      </c>
      <c r="B8" s="242" t="s">
        <v>237</v>
      </c>
      <c r="C8" s="243" t="s">
        <v>238</v>
      </c>
      <c r="D8" s="236"/>
      <c r="E8" s="236"/>
      <c r="F8" s="236"/>
      <c r="G8" s="236"/>
      <c r="H8" s="236"/>
      <c r="I8" s="236"/>
      <c r="J8" s="236"/>
      <c r="K8" s="236"/>
      <c r="L8" s="236"/>
      <c r="M8" s="236"/>
      <c r="N8" s="236"/>
      <c r="O8" s="236"/>
      <c r="P8" s="236"/>
      <c r="Q8" s="236"/>
      <c r="R8" s="236"/>
      <c r="S8" s="236"/>
      <c r="T8" s="236"/>
      <c r="U8" s="236"/>
      <c r="V8" s="236"/>
      <c r="W8" s="236"/>
      <c r="X8" s="237"/>
      <c r="Y8" s="237"/>
      <c r="Z8" s="237"/>
    </row>
    <row r="9">
      <c r="A9" s="241">
        <v>6.0</v>
      </c>
      <c r="B9" s="242" t="s">
        <v>239</v>
      </c>
      <c r="C9" s="243" t="s">
        <v>240</v>
      </c>
      <c r="D9" s="236"/>
      <c r="E9" s="236"/>
      <c r="F9" s="236"/>
      <c r="G9" s="236"/>
      <c r="H9" s="236"/>
      <c r="I9" s="236"/>
      <c r="J9" s="236"/>
      <c r="K9" s="236"/>
      <c r="L9" s="236"/>
      <c r="M9" s="236"/>
      <c r="N9" s="236"/>
      <c r="O9" s="236"/>
      <c r="P9" s="236"/>
      <c r="Q9" s="236"/>
      <c r="R9" s="236"/>
      <c r="S9" s="236"/>
      <c r="T9" s="236"/>
      <c r="U9" s="236"/>
      <c r="V9" s="236"/>
      <c r="W9" s="236"/>
      <c r="X9" s="237"/>
      <c r="Y9" s="237"/>
      <c r="Z9" s="237"/>
    </row>
    <row r="10">
      <c r="A10" s="241">
        <v>7.0</v>
      </c>
      <c r="B10" s="242" t="s">
        <v>241</v>
      </c>
      <c r="C10" s="243" t="s">
        <v>242</v>
      </c>
      <c r="D10" s="236"/>
      <c r="E10" s="236"/>
      <c r="F10" s="236"/>
      <c r="G10" s="236"/>
      <c r="H10" s="236"/>
      <c r="I10" s="236"/>
      <c r="J10" s="236"/>
      <c r="K10" s="236"/>
      <c r="L10" s="236"/>
      <c r="M10" s="236"/>
      <c r="N10" s="236"/>
      <c r="O10" s="236"/>
      <c r="P10" s="236"/>
      <c r="Q10" s="236"/>
      <c r="R10" s="236"/>
      <c r="S10" s="236"/>
      <c r="T10" s="236"/>
      <c r="U10" s="236"/>
      <c r="V10" s="236"/>
      <c r="W10" s="236"/>
      <c r="X10" s="237"/>
      <c r="Y10" s="237"/>
      <c r="Z10" s="237"/>
    </row>
    <row r="11">
      <c r="A11" s="241">
        <v>8.0</v>
      </c>
      <c r="B11" s="242" t="s">
        <v>183</v>
      </c>
      <c r="C11" s="243" t="s">
        <v>243</v>
      </c>
      <c r="D11" s="236"/>
      <c r="E11" s="236"/>
      <c r="F11" s="236"/>
      <c r="G11" s="236"/>
      <c r="H11" s="236"/>
      <c r="I11" s="236"/>
      <c r="J11" s="236"/>
      <c r="K11" s="236"/>
      <c r="L11" s="236"/>
      <c r="M11" s="236"/>
      <c r="N11" s="236"/>
      <c r="O11" s="236"/>
      <c r="P11" s="236"/>
      <c r="Q11" s="236"/>
      <c r="R11" s="236"/>
      <c r="S11" s="236"/>
      <c r="T11" s="236"/>
      <c r="U11" s="236"/>
      <c r="V11" s="236"/>
      <c r="W11" s="236"/>
      <c r="X11" s="237"/>
      <c r="Y11" s="237"/>
      <c r="Z11" s="237"/>
    </row>
    <row r="12">
      <c r="A12" s="241" t="s">
        <v>37</v>
      </c>
      <c r="B12" s="242" t="s">
        <v>244</v>
      </c>
      <c r="C12" s="243" t="s">
        <v>245</v>
      </c>
      <c r="D12" s="236"/>
      <c r="E12" s="236"/>
      <c r="F12" s="236"/>
      <c r="G12" s="236"/>
      <c r="H12" s="236"/>
      <c r="I12" s="236"/>
      <c r="J12" s="236"/>
      <c r="K12" s="236"/>
      <c r="L12" s="236"/>
      <c r="M12" s="236"/>
      <c r="N12" s="236"/>
      <c r="O12" s="236"/>
      <c r="P12" s="236"/>
      <c r="Q12" s="236"/>
      <c r="R12" s="236"/>
      <c r="S12" s="236"/>
      <c r="T12" s="236"/>
      <c r="U12" s="236"/>
      <c r="V12" s="236"/>
      <c r="W12" s="236"/>
      <c r="X12" s="237"/>
      <c r="Y12" s="237"/>
      <c r="Z12" s="237"/>
    </row>
    <row r="13">
      <c r="A13" s="241">
        <v>9.0</v>
      </c>
      <c r="B13" s="242" t="s">
        <v>246</v>
      </c>
      <c r="C13" s="243" t="s">
        <v>247</v>
      </c>
      <c r="D13" s="236"/>
      <c r="E13" s="236"/>
      <c r="F13" s="236"/>
      <c r="G13" s="236"/>
      <c r="H13" s="236"/>
      <c r="I13" s="236"/>
      <c r="J13" s="236"/>
      <c r="K13" s="236"/>
      <c r="L13" s="236"/>
      <c r="M13" s="236"/>
      <c r="N13" s="236"/>
      <c r="O13" s="236"/>
      <c r="P13" s="236"/>
      <c r="Q13" s="236"/>
      <c r="R13" s="236"/>
      <c r="S13" s="236"/>
      <c r="T13" s="236"/>
      <c r="U13" s="236"/>
      <c r="V13" s="236"/>
      <c r="W13" s="236"/>
      <c r="X13" s="237"/>
      <c r="Y13" s="237"/>
      <c r="Z13" s="237"/>
    </row>
    <row r="14">
      <c r="A14" s="241">
        <v>10.0</v>
      </c>
      <c r="B14" s="242" t="s">
        <v>53</v>
      </c>
      <c r="C14" s="243" t="s">
        <v>248</v>
      </c>
      <c r="D14" s="236"/>
      <c r="E14" s="236"/>
      <c r="F14" s="236"/>
      <c r="G14" s="236"/>
      <c r="H14" s="236"/>
      <c r="I14" s="236"/>
      <c r="J14" s="236"/>
      <c r="K14" s="236"/>
      <c r="L14" s="236"/>
      <c r="M14" s="236"/>
      <c r="N14" s="236"/>
      <c r="O14" s="236"/>
      <c r="P14" s="236"/>
      <c r="Q14" s="236"/>
      <c r="R14" s="236"/>
      <c r="S14" s="236"/>
      <c r="T14" s="236"/>
      <c r="U14" s="236"/>
      <c r="V14" s="236"/>
      <c r="W14" s="236"/>
      <c r="X14" s="237"/>
      <c r="Y14" s="237"/>
      <c r="Z14" s="237"/>
    </row>
    <row r="15">
      <c r="A15" s="241">
        <v>11.0</v>
      </c>
      <c r="B15" s="242" t="s">
        <v>249</v>
      </c>
      <c r="C15" s="243" t="s">
        <v>250</v>
      </c>
      <c r="D15" s="236"/>
      <c r="E15" s="236"/>
      <c r="F15" s="236"/>
      <c r="G15" s="236"/>
      <c r="H15" s="236"/>
      <c r="I15" s="236"/>
      <c r="J15" s="236"/>
      <c r="K15" s="236"/>
      <c r="L15" s="236"/>
      <c r="M15" s="236"/>
      <c r="N15" s="236"/>
      <c r="O15" s="236"/>
      <c r="P15" s="236"/>
      <c r="Q15" s="236"/>
      <c r="R15" s="236"/>
      <c r="S15" s="236"/>
      <c r="T15" s="236"/>
      <c r="U15" s="236"/>
      <c r="V15" s="236"/>
      <c r="W15" s="236"/>
      <c r="X15" s="237"/>
      <c r="Y15" s="237"/>
      <c r="Z15" s="237"/>
    </row>
    <row r="16">
      <c r="A16" s="241" t="s">
        <v>48</v>
      </c>
      <c r="B16" s="242" t="s">
        <v>251</v>
      </c>
      <c r="C16" s="243" t="s">
        <v>252</v>
      </c>
      <c r="D16" s="236"/>
      <c r="E16" s="236"/>
      <c r="F16" s="236"/>
      <c r="G16" s="236"/>
      <c r="H16" s="236"/>
      <c r="I16" s="236"/>
      <c r="J16" s="236"/>
      <c r="K16" s="236"/>
      <c r="L16" s="236"/>
      <c r="M16" s="236"/>
      <c r="N16" s="236"/>
      <c r="O16" s="236"/>
      <c r="P16" s="236"/>
      <c r="Q16" s="236"/>
      <c r="R16" s="236"/>
      <c r="S16" s="236"/>
      <c r="T16" s="236"/>
      <c r="U16" s="236"/>
      <c r="V16" s="236"/>
      <c r="W16" s="236"/>
      <c r="X16" s="237"/>
      <c r="Y16" s="237"/>
      <c r="Z16" s="237"/>
    </row>
    <row r="17">
      <c r="A17" s="241">
        <v>12.0</v>
      </c>
      <c r="B17" s="242" t="s">
        <v>187</v>
      </c>
      <c r="C17" s="243" t="s">
        <v>253</v>
      </c>
      <c r="D17" s="236"/>
      <c r="E17" s="236"/>
      <c r="F17" s="236"/>
      <c r="G17" s="236"/>
      <c r="H17" s="236"/>
      <c r="I17" s="236"/>
      <c r="J17" s="236"/>
      <c r="K17" s="236"/>
      <c r="L17" s="236"/>
      <c r="M17" s="236"/>
      <c r="N17" s="236"/>
      <c r="O17" s="236"/>
      <c r="P17" s="236"/>
      <c r="Q17" s="236"/>
      <c r="R17" s="236"/>
      <c r="S17" s="236"/>
      <c r="T17" s="236"/>
      <c r="U17" s="236"/>
      <c r="V17" s="236"/>
      <c r="W17" s="236"/>
      <c r="X17" s="237"/>
      <c r="Y17" s="237"/>
      <c r="Z17" s="237"/>
    </row>
    <row r="18">
      <c r="A18" s="241">
        <v>13.0</v>
      </c>
      <c r="B18" s="242" t="s">
        <v>254</v>
      </c>
      <c r="C18" s="243" t="s">
        <v>255</v>
      </c>
      <c r="D18" s="236"/>
      <c r="E18" s="236"/>
      <c r="F18" s="236"/>
      <c r="G18" s="236"/>
      <c r="H18" s="236"/>
      <c r="I18" s="236"/>
      <c r="J18" s="236"/>
      <c r="K18" s="236"/>
      <c r="L18" s="236"/>
      <c r="M18" s="236"/>
      <c r="N18" s="236"/>
      <c r="O18" s="236"/>
      <c r="P18" s="236"/>
      <c r="Q18" s="236"/>
      <c r="R18" s="236"/>
      <c r="S18" s="236"/>
      <c r="T18" s="236"/>
      <c r="U18" s="236"/>
      <c r="V18" s="236"/>
      <c r="W18" s="236"/>
      <c r="X18" s="237"/>
      <c r="Y18" s="237"/>
      <c r="Z18" s="237"/>
    </row>
    <row r="19">
      <c r="A19" s="241">
        <v>14.0</v>
      </c>
      <c r="B19" s="242" t="s">
        <v>256</v>
      </c>
      <c r="C19" s="243" t="s">
        <v>257</v>
      </c>
      <c r="D19" s="236"/>
      <c r="E19" s="236"/>
      <c r="F19" s="236"/>
      <c r="G19" s="236"/>
      <c r="H19" s="236"/>
      <c r="I19" s="236"/>
      <c r="J19" s="236"/>
      <c r="K19" s="236"/>
      <c r="L19" s="236"/>
      <c r="M19" s="236"/>
      <c r="N19" s="236"/>
      <c r="O19" s="236"/>
      <c r="P19" s="236"/>
      <c r="Q19" s="236"/>
      <c r="R19" s="236"/>
      <c r="S19" s="236"/>
      <c r="T19" s="236"/>
      <c r="U19" s="236"/>
      <c r="V19" s="236"/>
      <c r="W19" s="236"/>
      <c r="X19" s="237"/>
      <c r="Y19" s="237"/>
      <c r="Z19" s="237"/>
    </row>
    <row r="20">
      <c r="A20" s="241">
        <v>15.0</v>
      </c>
      <c r="B20" s="242" t="s">
        <v>258</v>
      </c>
      <c r="C20" s="243" t="s">
        <v>259</v>
      </c>
      <c r="D20" s="236"/>
      <c r="E20" s="236"/>
      <c r="F20" s="236"/>
      <c r="G20" s="236"/>
      <c r="H20" s="236"/>
      <c r="I20" s="236"/>
      <c r="J20" s="236"/>
      <c r="K20" s="236"/>
      <c r="L20" s="236"/>
      <c r="M20" s="236"/>
      <c r="N20" s="236"/>
      <c r="O20" s="236"/>
      <c r="P20" s="236"/>
      <c r="Q20" s="236"/>
      <c r="R20" s="236"/>
      <c r="S20" s="236"/>
      <c r="T20" s="236"/>
      <c r="U20" s="236"/>
      <c r="V20" s="236"/>
      <c r="W20" s="236"/>
      <c r="X20" s="237"/>
      <c r="Y20" s="237"/>
      <c r="Z20" s="237"/>
    </row>
    <row r="21" ht="15.75" customHeight="1">
      <c r="A21" s="241">
        <v>16.0</v>
      </c>
      <c r="B21" s="242" t="s">
        <v>260</v>
      </c>
      <c r="C21" s="243" t="s">
        <v>261</v>
      </c>
      <c r="D21" s="236"/>
      <c r="E21" s="236"/>
      <c r="F21" s="236"/>
      <c r="G21" s="236"/>
      <c r="H21" s="236"/>
      <c r="I21" s="236"/>
      <c r="J21" s="236"/>
      <c r="K21" s="236"/>
      <c r="L21" s="236"/>
      <c r="M21" s="236"/>
      <c r="N21" s="236"/>
      <c r="O21" s="236"/>
      <c r="P21" s="236"/>
      <c r="Q21" s="236"/>
      <c r="R21" s="236"/>
      <c r="S21" s="236"/>
      <c r="T21" s="236"/>
      <c r="U21" s="236"/>
      <c r="V21" s="236"/>
      <c r="W21" s="236"/>
      <c r="X21" s="237"/>
      <c r="Y21" s="237"/>
      <c r="Z21" s="237"/>
    </row>
    <row r="22" ht="27.75" customHeight="1">
      <c r="A22" s="241">
        <v>17.0</v>
      </c>
      <c r="B22" s="242" t="s">
        <v>262</v>
      </c>
      <c r="C22" s="243" t="s">
        <v>263</v>
      </c>
      <c r="D22" s="236"/>
      <c r="E22" s="236"/>
      <c r="F22" s="236"/>
      <c r="G22" s="236"/>
      <c r="H22" s="236"/>
      <c r="I22" s="236"/>
      <c r="J22" s="236"/>
      <c r="K22" s="236"/>
      <c r="L22" s="236"/>
      <c r="M22" s="236"/>
      <c r="N22" s="236"/>
      <c r="O22" s="236"/>
      <c r="P22" s="236"/>
      <c r="Q22" s="236"/>
      <c r="R22" s="236"/>
      <c r="S22" s="236"/>
      <c r="T22" s="236"/>
      <c r="U22" s="236"/>
      <c r="V22" s="236"/>
      <c r="W22" s="236"/>
      <c r="X22" s="237"/>
      <c r="Y22" s="237"/>
      <c r="Z22" s="237"/>
    </row>
    <row r="23" ht="31.5" customHeight="1">
      <c r="A23" s="241">
        <v>18.0</v>
      </c>
      <c r="B23" s="242" t="s">
        <v>193</v>
      </c>
      <c r="C23" s="243" t="s">
        <v>264</v>
      </c>
      <c r="D23" s="236"/>
      <c r="E23" s="236"/>
      <c r="F23" s="236"/>
      <c r="G23" s="236"/>
      <c r="H23" s="236"/>
      <c r="I23" s="236"/>
      <c r="J23" s="236"/>
      <c r="K23" s="236"/>
      <c r="L23" s="236"/>
      <c r="M23" s="236"/>
      <c r="N23" s="236"/>
      <c r="O23" s="236"/>
      <c r="P23" s="236"/>
      <c r="Q23" s="236"/>
      <c r="R23" s="236"/>
      <c r="S23" s="236"/>
      <c r="T23" s="236"/>
      <c r="U23" s="236"/>
      <c r="V23" s="236"/>
      <c r="W23" s="236"/>
      <c r="X23" s="237"/>
      <c r="Y23" s="237"/>
      <c r="Z23" s="237"/>
    </row>
    <row r="24" ht="15.75" customHeight="1">
      <c r="A24" s="241" t="s">
        <v>56</v>
      </c>
      <c r="B24" s="242" t="s">
        <v>265</v>
      </c>
      <c r="C24" s="243" t="s">
        <v>266</v>
      </c>
      <c r="D24" s="236"/>
      <c r="E24" s="236"/>
      <c r="F24" s="236"/>
      <c r="G24" s="236"/>
      <c r="H24" s="236"/>
      <c r="I24" s="236"/>
      <c r="J24" s="236"/>
      <c r="K24" s="236"/>
      <c r="L24" s="236"/>
      <c r="M24" s="236"/>
      <c r="N24" s="236"/>
      <c r="O24" s="236"/>
      <c r="P24" s="236"/>
      <c r="Q24" s="236"/>
      <c r="R24" s="236"/>
      <c r="S24" s="236"/>
      <c r="T24" s="236"/>
      <c r="U24" s="236"/>
      <c r="V24" s="236"/>
      <c r="W24" s="236"/>
      <c r="X24" s="237"/>
      <c r="Y24" s="237"/>
      <c r="Z24" s="237"/>
    </row>
    <row r="25" ht="15.75" customHeight="1">
      <c r="A25" s="241">
        <v>19.0</v>
      </c>
      <c r="B25" s="242" t="s">
        <v>267</v>
      </c>
      <c r="C25" s="243" t="s">
        <v>268</v>
      </c>
      <c r="D25" s="236"/>
      <c r="E25" s="236"/>
      <c r="F25" s="236"/>
      <c r="G25" s="236"/>
      <c r="H25" s="236"/>
      <c r="I25" s="236"/>
      <c r="J25" s="236"/>
      <c r="K25" s="236"/>
      <c r="L25" s="236"/>
      <c r="M25" s="236"/>
      <c r="N25" s="236"/>
      <c r="O25" s="236"/>
      <c r="P25" s="236"/>
      <c r="Q25" s="236"/>
      <c r="R25" s="236"/>
      <c r="S25" s="236"/>
      <c r="T25" s="236"/>
      <c r="U25" s="236"/>
      <c r="V25" s="236"/>
      <c r="W25" s="236"/>
      <c r="X25" s="237"/>
      <c r="Y25" s="237"/>
      <c r="Z25" s="237"/>
    </row>
    <row r="26" ht="28.5" customHeight="1">
      <c r="A26" s="241">
        <v>20.0</v>
      </c>
      <c r="B26" s="242" t="s">
        <v>196</v>
      </c>
      <c r="C26" s="243" t="s">
        <v>269</v>
      </c>
      <c r="D26" s="236"/>
      <c r="E26" s="236"/>
      <c r="F26" s="236"/>
      <c r="G26" s="236"/>
      <c r="H26" s="236"/>
      <c r="I26" s="236"/>
      <c r="J26" s="236"/>
      <c r="K26" s="236"/>
      <c r="L26" s="236"/>
      <c r="M26" s="236"/>
      <c r="N26" s="236"/>
      <c r="O26" s="236"/>
      <c r="P26" s="236"/>
      <c r="Q26" s="236"/>
      <c r="R26" s="236"/>
      <c r="S26" s="236"/>
      <c r="T26" s="236"/>
      <c r="U26" s="236"/>
      <c r="V26" s="236"/>
      <c r="W26" s="236"/>
      <c r="X26" s="237"/>
      <c r="Y26" s="237"/>
      <c r="Z26" s="237"/>
    </row>
    <row r="27" ht="27.0" customHeight="1">
      <c r="A27" s="241">
        <v>21.0</v>
      </c>
      <c r="B27" s="242" t="s">
        <v>197</v>
      </c>
      <c r="C27" s="243" t="s">
        <v>270</v>
      </c>
      <c r="D27" s="236"/>
      <c r="E27" s="236"/>
      <c r="F27" s="236"/>
      <c r="G27" s="236"/>
      <c r="H27" s="236"/>
      <c r="I27" s="236"/>
      <c r="J27" s="236"/>
      <c r="K27" s="236"/>
      <c r="L27" s="236"/>
      <c r="M27" s="236"/>
      <c r="N27" s="236"/>
      <c r="O27" s="236"/>
      <c r="P27" s="236"/>
      <c r="Q27" s="236"/>
      <c r="R27" s="236"/>
      <c r="S27" s="236"/>
      <c r="T27" s="236"/>
      <c r="U27" s="236"/>
      <c r="V27" s="236"/>
      <c r="W27" s="236"/>
      <c r="X27" s="237"/>
      <c r="Y27" s="237"/>
      <c r="Z27" s="237"/>
    </row>
    <row r="28" ht="29.25" customHeight="1">
      <c r="A28" s="241">
        <v>22.0</v>
      </c>
      <c r="B28" s="242" t="s">
        <v>271</v>
      </c>
      <c r="C28" s="243" t="s">
        <v>272</v>
      </c>
      <c r="D28" s="236"/>
      <c r="E28" s="236"/>
      <c r="F28" s="236"/>
      <c r="G28" s="236"/>
      <c r="H28" s="236"/>
      <c r="I28" s="236"/>
      <c r="J28" s="236"/>
      <c r="K28" s="236"/>
      <c r="L28" s="236"/>
      <c r="M28" s="236"/>
      <c r="N28" s="236"/>
      <c r="O28" s="236"/>
      <c r="P28" s="236"/>
      <c r="Q28" s="236"/>
      <c r="R28" s="236"/>
      <c r="S28" s="236"/>
      <c r="T28" s="236"/>
      <c r="U28" s="236"/>
      <c r="V28" s="236"/>
      <c r="W28" s="236"/>
      <c r="X28" s="237"/>
      <c r="Y28" s="237"/>
      <c r="Z28" s="237"/>
    </row>
    <row r="29" ht="15.75" customHeight="1">
      <c r="A29" s="241">
        <v>23.0</v>
      </c>
      <c r="B29" s="242" t="s">
        <v>199</v>
      </c>
      <c r="C29" s="243" t="s">
        <v>273</v>
      </c>
      <c r="D29" s="236"/>
      <c r="E29" s="236"/>
      <c r="F29" s="236"/>
      <c r="G29" s="236"/>
      <c r="H29" s="236"/>
      <c r="I29" s="236"/>
      <c r="J29" s="236"/>
      <c r="K29" s="236"/>
      <c r="L29" s="236"/>
      <c r="M29" s="236"/>
      <c r="N29" s="236"/>
      <c r="O29" s="236"/>
      <c r="P29" s="236"/>
      <c r="Q29" s="236"/>
      <c r="R29" s="236"/>
      <c r="S29" s="236"/>
      <c r="T29" s="236"/>
      <c r="U29" s="236"/>
      <c r="V29" s="236"/>
      <c r="W29" s="236"/>
      <c r="X29" s="237"/>
      <c r="Y29" s="237"/>
      <c r="Z29" s="237"/>
    </row>
    <row r="30" ht="39.75" customHeight="1">
      <c r="A30" s="241">
        <v>24.0</v>
      </c>
      <c r="B30" s="242" t="s">
        <v>274</v>
      </c>
      <c r="C30" s="243" t="s">
        <v>275</v>
      </c>
      <c r="D30" s="236"/>
      <c r="E30" s="236"/>
      <c r="F30" s="236"/>
      <c r="G30" s="236"/>
      <c r="H30" s="236"/>
      <c r="I30" s="236"/>
      <c r="J30" s="236"/>
      <c r="K30" s="236"/>
      <c r="L30" s="236"/>
      <c r="M30" s="236"/>
      <c r="N30" s="236"/>
      <c r="O30" s="236"/>
      <c r="P30" s="236"/>
      <c r="Q30" s="236"/>
      <c r="R30" s="236"/>
      <c r="S30" s="236"/>
      <c r="T30" s="236"/>
      <c r="U30" s="236"/>
      <c r="V30" s="236"/>
      <c r="W30" s="236"/>
      <c r="X30" s="237"/>
      <c r="Y30" s="237"/>
      <c r="Z30" s="237"/>
    </row>
    <row r="31" ht="26.25" customHeight="1">
      <c r="A31" s="241">
        <v>25.0</v>
      </c>
      <c r="B31" s="242" t="s">
        <v>201</v>
      </c>
      <c r="C31" s="243" t="s">
        <v>276</v>
      </c>
      <c r="D31" s="236"/>
      <c r="E31" s="236"/>
      <c r="F31" s="236"/>
      <c r="G31" s="236"/>
      <c r="H31" s="236"/>
      <c r="I31" s="236"/>
      <c r="J31" s="236"/>
      <c r="K31" s="236"/>
      <c r="L31" s="236"/>
      <c r="M31" s="236"/>
      <c r="N31" s="236"/>
      <c r="O31" s="236"/>
      <c r="P31" s="236"/>
      <c r="Q31" s="236"/>
      <c r="R31" s="236"/>
      <c r="S31" s="236"/>
      <c r="T31" s="236"/>
      <c r="U31" s="236"/>
      <c r="V31" s="236"/>
      <c r="W31" s="236"/>
      <c r="X31" s="237"/>
      <c r="Y31" s="237"/>
      <c r="Z31" s="237"/>
    </row>
    <row r="32" ht="28.5" customHeight="1">
      <c r="A32" s="241">
        <v>26.0</v>
      </c>
      <c r="B32" s="242" t="s">
        <v>277</v>
      </c>
      <c r="C32" s="243" t="s">
        <v>278</v>
      </c>
      <c r="D32" s="236"/>
      <c r="E32" s="236"/>
      <c r="F32" s="236"/>
      <c r="G32" s="236"/>
      <c r="H32" s="236"/>
      <c r="I32" s="236"/>
      <c r="J32" s="236"/>
      <c r="K32" s="236"/>
      <c r="L32" s="236"/>
      <c r="M32" s="236"/>
      <c r="N32" s="236"/>
      <c r="O32" s="236"/>
      <c r="P32" s="236"/>
      <c r="Q32" s="236"/>
      <c r="R32" s="236"/>
      <c r="S32" s="236"/>
      <c r="T32" s="236"/>
      <c r="U32" s="236"/>
      <c r="V32" s="236"/>
      <c r="W32" s="236"/>
      <c r="X32" s="237"/>
      <c r="Y32" s="237"/>
      <c r="Z32" s="237"/>
    </row>
    <row r="33" ht="15.75" customHeight="1">
      <c r="A33" s="241" t="s">
        <v>64</v>
      </c>
      <c r="B33" s="242" t="s">
        <v>279</v>
      </c>
      <c r="C33" s="243" t="s">
        <v>280</v>
      </c>
      <c r="D33" s="236"/>
      <c r="E33" s="236"/>
      <c r="F33" s="236"/>
      <c r="G33" s="236"/>
      <c r="H33" s="236"/>
      <c r="I33" s="236"/>
      <c r="J33" s="236"/>
      <c r="K33" s="236"/>
      <c r="L33" s="236"/>
      <c r="M33" s="236"/>
      <c r="N33" s="236"/>
      <c r="O33" s="236"/>
      <c r="P33" s="236"/>
      <c r="Q33" s="236"/>
      <c r="R33" s="236"/>
      <c r="S33" s="236"/>
      <c r="T33" s="236"/>
      <c r="U33" s="236"/>
      <c r="V33" s="236"/>
      <c r="W33" s="236"/>
      <c r="X33" s="237"/>
      <c r="Y33" s="237"/>
      <c r="Z33" s="237"/>
    </row>
    <row r="34" ht="15.75" customHeight="1">
      <c r="A34" s="241">
        <v>27.0</v>
      </c>
      <c r="B34" s="242" t="s">
        <v>281</v>
      </c>
      <c r="C34" s="243" t="s">
        <v>282</v>
      </c>
      <c r="D34" s="236"/>
      <c r="E34" s="236"/>
      <c r="F34" s="236"/>
      <c r="G34" s="236"/>
      <c r="H34" s="236"/>
      <c r="I34" s="236"/>
      <c r="J34" s="236"/>
      <c r="K34" s="236"/>
      <c r="L34" s="236"/>
      <c r="M34" s="236"/>
      <c r="N34" s="236"/>
      <c r="O34" s="236"/>
      <c r="P34" s="236"/>
      <c r="Q34" s="236"/>
      <c r="R34" s="236"/>
      <c r="S34" s="236"/>
      <c r="T34" s="236"/>
      <c r="U34" s="236"/>
      <c r="V34" s="236"/>
      <c r="W34" s="236"/>
      <c r="X34" s="237"/>
      <c r="Y34" s="237"/>
      <c r="Z34" s="237"/>
    </row>
    <row r="35" ht="27.0" customHeight="1">
      <c r="A35" s="241">
        <v>28.0</v>
      </c>
      <c r="B35" s="242" t="s">
        <v>205</v>
      </c>
      <c r="C35" s="243" t="s">
        <v>283</v>
      </c>
      <c r="D35" s="236"/>
      <c r="E35" s="236"/>
      <c r="F35" s="236"/>
      <c r="G35" s="236"/>
      <c r="H35" s="236"/>
      <c r="I35" s="236"/>
      <c r="J35" s="236"/>
      <c r="K35" s="236"/>
      <c r="L35" s="236"/>
      <c r="M35" s="236"/>
      <c r="N35" s="236"/>
      <c r="O35" s="236"/>
      <c r="P35" s="236"/>
      <c r="Q35" s="236"/>
      <c r="R35" s="236"/>
      <c r="S35" s="236"/>
      <c r="T35" s="236"/>
      <c r="U35" s="236"/>
      <c r="V35" s="236"/>
      <c r="W35" s="236"/>
      <c r="X35" s="237"/>
      <c r="Y35" s="237"/>
      <c r="Z35" s="237"/>
    </row>
    <row r="36" ht="25.5" customHeight="1">
      <c r="A36" s="241">
        <v>29.0</v>
      </c>
      <c r="B36" s="242" t="s">
        <v>284</v>
      </c>
      <c r="C36" s="243" t="s">
        <v>285</v>
      </c>
      <c r="D36" s="236"/>
      <c r="E36" s="236"/>
      <c r="F36" s="236"/>
      <c r="G36" s="236"/>
      <c r="H36" s="236"/>
      <c r="I36" s="236"/>
      <c r="J36" s="236"/>
      <c r="K36" s="236"/>
      <c r="L36" s="236"/>
      <c r="M36" s="236"/>
      <c r="N36" s="236"/>
      <c r="O36" s="236"/>
      <c r="P36" s="236"/>
      <c r="Q36" s="236"/>
      <c r="R36" s="236"/>
      <c r="S36" s="236"/>
      <c r="T36" s="236"/>
      <c r="U36" s="236"/>
      <c r="V36" s="236"/>
      <c r="W36" s="236"/>
      <c r="X36" s="237"/>
      <c r="Y36" s="237"/>
      <c r="Z36" s="237"/>
    </row>
    <row r="37" ht="15.75" customHeight="1">
      <c r="A37" s="241">
        <v>30.0</v>
      </c>
      <c r="B37" s="242" t="s">
        <v>286</v>
      </c>
      <c r="C37" s="243" t="s">
        <v>287</v>
      </c>
      <c r="D37" s="236"/>
      <c r="E37" s="236"/>
      <c r="F37" s="236"/>
      <c r="G37" s="236"/>
      <c r="H37" s="236"/>
      <c r="I37" s="236"/>
      <c r="J37" s="236"/>
      <c r="K37" s="236"/>
      <c r="L37" s="236"/>
      <c r="M37" s="236"/>
      <c r="N37" s="236"/>
      <c r="O37" s="236"/>
      <c r="P37" s="236"/>
      <c r="Q37" s="236"/>
      <c r="R37" s="236"/>
      <c r="S37" s="236"/>
      <c r="T37" s="236"/>
      <c r="U37" s="236"/>
      <c r="V37" s="236"/>
      <c r="W37" s="236"/>
      <c r="X37" s="237"/>
      <c r="Y37" s="237"/>
      <c r="Z37" s="237"/>
    </row>
    <row r="38" ht="15.75" customHeight="1">
      <c r="A38" s="241">
        <v>31.0</v>
      </c>
      <c r="B38" s="242" t="s">
        <v>208</v>
      </c>
      <c r="C38" s="243" t="s">
        <v>288</v>
      </c>
      <c r="D38" s="236"/>
      <c r="E38" s="236"/>
      <c r="F38" s="236"/>
      <c r="G38" s="236"/>
      <c r="H38" s="236"/>
      <c r="I38" s="236"/>
      <c r="J38" s="236"/>
      <c r="K38" s="236"/>
      <c r="L38" s="236"/>
      <c r="M38" s="236"/>
      <c r="N38" s="236"/>
      <c r="O38" s="236"/>
      <c r="P38" s="236"/>
      <c r="Q38" s="236"/>
      <c r="R38" s="236"/>
      <c r="S38" s="236"/>
      <c r="T38" s="236"/>
      <c r="U38" s="236"/>
      <c r="V38" s="236"/>
      <c r="W38" s="236"/>
      <c r="X38" s="237"/>
      <c r="Y38" s="237"/>
      <c r="Z38" s="237"/>
    </row>
    <row r="39" ht="15.75" customHeight="1">
      <c r="A39" s="241">
        <v>32.0</v>
      </c>
      <c r="B39" s="242" t="s">
        <v>289</v>
      </c>
      <c r="C39" s="243" t="s">
        <v>290</v>
      </c>
      <c r="D39" s="236"/>
      <c r="E39" s="236"/>
      <c r="F39" s="236"/>
      <c r="G39" s="236"/>
      <c r="H39" s="236"/>
      <c r="I39" s="236"/>
      <c r="J39" s="236"/>
      <c r="K39" s="236"/>
      <c r="L39" s="236"/>
      <c r="M39" s="236"/>
      <c r="N39" s="236"/>
      <c r="O39" s="236"/>
      <c r="P39" s="236"/>
      <c r="Q39" s="236"/>
      <c r="R39" s="236"/>
      <c r="S39" s="236"/>
      <c r="T39" s="236"/>
      <c r="U39" s="236"/>
      <c r="V39" s="236"/>
      <c r="W39" s="236"/>
      <c r="X39" s="237"/>
      <c r="Y39" s="237"/>
      <c r="Z39" s="237"/>
    </row>
    <row r="40" ht="15.75" customHeight="1">
      <c r="A40" s="241" t="s">
        <v>70</v>
      </c>
      <c r="B40" s="242" t="s">
        <v>291</v>
      </c>
      <c r="C40" s="243" t="s">
        <v>292</v>
      </c>
      <c r="D40" s="236"/>
      <c r="E40" s="236"/>
      <c r="F40" s="236"/>
      <c r="G40" s="236"/>
      <c r="H40" s="236"/>
      <c r="I40" s="236"/>
      <c r="J40" s="236"/>
      <c r="K40" s="236"/>
      <c r="L40" s="236"/>
      <c r="M40" s="236"/>
      <c r="N40" s="236"/>
      <c r="O40" s="236"/>
      <c r="P40" s="236"/>
      <c r="Q40" s="236"/>
      <c r="R40" s="236"/>
      <c r="S40" s="236"/>
      <c r="T40" s="236"/>
      <c r="U40" s="236"/>
      <c r="V40" s="236"/>
      <c r="W40" s="236"/>
      <c r="X40" s="237"/>
      <c r="Y40" s="237"/>
      <c r="Z40" s="237"/>
    </row>
    <row r="41" ht="15.75" customHeight="1">
      <c r="A41" s="241" t="s">
        <v>79</v>
      </c>
      <c r="B41" s="242" t="s">
        <v>293</v>
      </c>
      <c r="C41" s="243" t="s">
        <v>294</v>
      </c>
      <c r="D41" s="236"/>
      <c r="E41" s="236"/>
      <c r="F41" s="236"/>
      <c r="G41" s="236"/>
      <c r="H41" s="236"/>
      <c r="I41" s="236"/>
      <c r="J41" s="236"/>
      <c r="K41" s="236"/>
      <c r="L41" s="236"/>
      <c r="M41" s="236"/>
      <c r="N41" s="236"/>
      <c r="O41" s="236"/>
      <c r="P41" s="236"/>
      <c r="Q41" s="236"/>
      <c r="R41" s="236"/>
      <c r="S41" s="236"/>
      <c r="T41" s="236"/>
      <c r="U41" s="236"/>
      <c r="V41" s="236"/>
      <c r="W41" s="236"/>
      <c r="X41" s="237"/>
      <c r="Y41" s="237"/>
      <c r="Z41" s="237"/>
    </row>
    <row r="42" ht="15.75" customHeight="1">
      <c r="A42" s="241" t="s">
        <v>87</v>
      </c>
      <c r="B42" s="242" t="s">
        <v>295</v>
      </c>
      <c r="C42" s="243" t="s">
        <v>296</v>
      </c>
      <c r="D42" s="236"/>
      <c r="E42" s="236"/>
      <c r="F42" s="236"/>
      <c r="G42" s="236"/>
      <c r="H42" s="236"/>
      <c r="I42" s="236"/>
      <c r="J42" s="236"/>
      <c r="K42" s="236"/>
      <c r="L42" s="236"/>
      <c r="M42" s="236"/>
      <c r="N42" s="236"/>
      <c r="O42" s="236"/>
      <c r="P42" s="236"/>
      <c r="Q42" s="236"/>
      <c r="R42" s="236"/>
      <c r="S42" s="236"/>
      <c r="T42" s="236"/>
      <c r="U42" s="236"/>
      <c r="V42" s="236"/>
      <c r="W42" s="236"/>
      <c r="X42" s="237"/>
      <c r="Y42" s="237"/>
      <c r="Z42" s="237"/>
    </row>
    <row r="43" ht="15.75" customHeight="1">
      <c r="A43" s="241" t="s">
        <v>91</v>
      </c>
      <c r="B43" s="242" t="s">
        <v>297</v>
      </c>
      <c r="C43" s="243" t="s">
        <v>298</v>
      </c>
      <c r="D43" s="236"/>
      <c r="E43" s="236"/>
      <c r="F43" s="236"/>
      <c r="G43" s="236"/>
      <c r="H43" s="236"/>
      <c r="I43" s="236"/>
      <c r="J43" s="236"/>
      <c r="K43" s="236"/>
      <c r="L43" s="236"/>
      <c r="M43" s="236"/>
      <c r="N43" s="236"/>
      <c r="O43" s="236"/>
      <c r="P43" s="236"/>
      <c r="Q43" s="236"/>
      <c r="R43" s="236"/>
      <c r="S43" s="236"/>
      <c r="T43" s="236"/>
      <c r="U43" s="236"/>
      <c r="V43" s="236"/>
      <c r="W43" s="236"/>
      <c r="X43" s="237"/>
      <c r="Y43" s="237"/>
      <c r="Z43" s="237"/>
    </row>
    <row r="44" ht="28.5" customHeight="1">
      <c r="A44" s="241">
        <v>33.0</v>
      </c>
      <c r="B44" s="242" t="s">
        <v>216</v>
      </c>
      <c r="C44" s="243" t="s">
        <v>299</v>
      </c>
      <c r="D44" s="236"/>
      <c r="E44" s="236"/>
      <c r="F44" s="236"/>
      <c r="G44" s="236"/>
      <c r="H44" s="236"/>
      <c r="I44" s="236"/>
      <c r="J44" s="236"/>
      <c r="K44" s="236"/>
      <c r="L44" s="236"/>
      <c r="M44" s="236"/>
      <c r="N44" s="236"/>
      <c r="O44" s="236"/>
      <c r="P44" s="236"/>
      <c r="Q44" s="236"/>
      <c r="R44" s="236"/>
      <c r="S44" s="236"/>
      <c r="T44" s="236"/>
      <c r="U44" s="236"/>
      <c r="V44" s="236"/>
      <c r="W44" s="236"/>
      <c r="X44" s="237"/>
      <c r="Y44" s="237"/>
      <c r="Z44" s="237"/>
    </row>
    <row r="45" ht="15.75" customHeight="1">
      <c r="A45" s="241">
        <v>34.0</v>
      </c>
      <c r="B45" s="242" t="s">
        <v>217</v>
      </c>
      <c r="C45" s="243" t="s">
        <v>300</v>
      </c>
      <c r="D45" s="236"/>
      <c r="E45" s="236"/>
      <c r="F45" s="236"/>
      <c r="G45" s="236"/>
      <c r="H45" s="236"/>
      <c r="I45" s="236"/>
      <c r="J45" s="236"/>
      <c r="K45" s="236"/>
      <c r="L45" s="236"/>
      <c r="M45" s="236"/>
      <c r="N45" s="236"/>
      <c r="O45" s="236"/>
      <c r="P45" s="236"/>
      <c r="Q45" s="236"/>
      <c r="R45" s="236"/>
      <c r="S45" s="236"/>
      <c r="T45" s="236"/>
      <c r="U45" s="236"/>
      <c r="V45" s="236"/>
      <c r="W45" s="236"/>
      <c r="X45" s="237"/>
      <c r="Y45" s="237"/>
      <c r="Z45" s="237"/>
    </row>
    <row r="46" ht="15.75" customHeight="1">
      <c r="A46" s="241">
        <v>35.0</v>
      </c>
      <c r="B46" s="242" t="s">
        <v>15</v>
      </c>
      <c r="C46" s="243" t="s">
        <v>301</v>
      </c>
      <c r="D46" s="236"/>
      <c r="E46" s="236"/>
      <c r="F46" s="236"/>
      <c r="G46" s="236"/>
      <c r="H46" s="236"/>
      <c r="I46" s="236"/>
      <c r="J46" s="236"/>
      <c r="K46" s="236"/>
      <c r="L46" s="236"/>
      <c r="M46" s="236"/>
      <c r="N46" s="236"/>
      <c r="O46" s="236"/>
      <c r="P46" s="236"/>
      <c r="Q46" s="236"/>
      <c r="R46" s="236"/>
      <c r="S46" s="236"/>
      <c r="T46" s="236"/>
      <c r="U46" s="236"/>
      <c r="V46" s="236"/>
      <c r="W46" s="236"/>
      <c r="X46" s="237"/>
      <c r="Y46" s="237"/>
      <c r="Z46" s="237"/>
    </row>
    <row r="47" ht="15.75" customHeight="1">
      <c r="A47" s="241">
        <v>36.0</v>
      </c>
      <c r="B47" s="242" t="s">
        <v>218</v>
      </c>
      <c r="C47" s="243" t="s">
        <v>302</v>
      </c>
      <c r="D47" s="236"/>
      <c r="E47" s="236"/>
      <c r="F47" s="236"/>
      <c r="G47" s="236"/>
      <c r="H47" s="236"/>
      <c r="I47" s="236"/>
      <c r="J47" s="236"/>
      <c r="K47" s="236"/>
      <c r="L47" s="236"/>
      <c r="M47" s="236"/>
      <c r="N47" s="236"/>
      <c r="O47" s="236"/>
      <c r="P47" s="236"/>
      <c r="Q47" s="236"/>
      <c r="R47" s="236"/>
      <c r="S47" s="236"/>
      <c r="T47" s="236"/>
      <c r="U47" s="236"/>
      <c r="V47" s="236"/>
      <c r="W47" s="236"/>
      <c r="X47" s="237"/>
      <c r="Y47" s="237"/>
      <c r="Z47" s="237"/>
    </row>
    <row r="48" ht="15.75" customHeight="1">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7"/>
      <c r="Y48" s="237"/>
      <c r="Z48" s="237"/>
    </row>
    <row r="49" ht="15.75" customHeight="1">
      <c r="A49" s="236"/>
      <c r="B49" s="236"/>
      <c r="C49" s="236"/>
      <c r="D49" s="236"/>
      <c r="E49" s="236"/>
      <c r="F49" s="236"/>
      <c r="G49" s="236"/>
      <c r="H49" s="236"/>
      <c r="I49" s="236"/>
      <c r="J49" s="236"/>
      <c r="K49" s="236"/>
      <c r="L49" s="236"/>
      <c r="M49" s="236"/>
      <c r="N49" s="236"/>
      <c r="O49" s="236"/>
      <c r="P49" s="236"/>
      <c r="Q49" s="236"/>
      <c r="R49" s="236"/>
      <c r="S49" s="236"/>
      <c r="T49" s="236"/>
      <c r="U49" s="236"/>
      <c r="V49" s="236"/>
      <c r="W49" s="236"/>
      <c r="X49" s="237"/>
      <c r="Y49" s="237"/>
      <c r="Z49" s="237"/>
    </row>
    <row r="50" ht="15.75" customHeight="1">
      <c r="A50" s="236"/>
      <c r="B50" s="236"/>
      <c r="C50" s="236"/>
      <c r="D50" s="236"/>
      <c r="E50" s="236"/>
      <c r="F50" s="236"/>
      <c r="G50" s="236"/>
      <c r="H50" s="236"/>
      <c r="I50" s="236"/>
      <c r="J50" s="236"/>
      <c r="K50" s="236"/>
      <c r="L50" s="236"/>
      <c r="M50" s="236"/>
      <c r="N50" s="236"/>
      <c r="O50" s="236"/>
      <c r="P50" s="236"/>
      <c r="Q50" s="236"/>
      <c r="R50" s="236"/>
      <c r="S50" s="236"/>
      <c r="T50" s="236"/>
      <c r="U50" s="236"/>
      <c r="V50" s="236"/>
      <c r="W50" s="236"/>
      <c r="X50" s="237"/>
      <c r="Y50" s="237"/>
      <c r="Z50" s="237"/>
    </row>
    <row r="51" ht="15.75" customHeight="1">
      <c r="A51" s="236"/>
      <c r="B51" s="236"/>
      <c r="C51" s="236"/>
      <c r="D51" s="236"/>
      <c r="E51" s="236"/>
      <c r="F51" s="236"/>
      <c r="G51" s="236"/>
      <c r="H51" s="236"/>
      <c r="I51" s="236"/>
      <c r="J51" s="236"/>
      <c r="K51" s="236"/>
      <c r="L51" s="236"/>
      <c r="M51" s="236"/>
      <c r="N51" s="236"/>
      <c r="O51" s="236"/>
      <c r="P51" s="236"/>
      <c r="Q51" s="236"/>
      <c r="R51" s="236"/>
      <c r="S51" s="236"/>
      <c r="T51" s="236"/>
      <c r="U51" s="236"/>
      <c r="V51" s="236"/>
      <c r="W51" s="236"/>
      <c r="X51" s="237"/>
      <c r="Y51" s="237"/>
      <c r="Z51" s="237"/>
    </row>
    <row r="52" ht="15.75" customHeight="1">
      <c r="A52" s="236"/>
      <c r="B52" s="236"/>
      <c r="C52" s="236"/>
      <c r="D52" s="236"/>
      <c r="E52" s="236"/>
      <c r="F52" s="236"/>
      <c r="G52" s="236"/>
      <c r="H52" s="236"/>
      <c r="I52" s="236"/>
      <c r="J52" s="236"/>
      <c r="K52" s="236"/>
      <c r="L52" s="236"/>
      <c r="M52" s="236"/>
      <c r="N52" s="236"/>
      <c r="O52" s="236"/>
      <c r="P52" s="236"/>
      <c r="Q52" s="236"/>
      <c r="R52" s="236"/>
      <c r="S52" s="236"/>
      <c r="T52" s="236"/>
      <c r="U52" s="236"/>
      <c r="V52" s="236"/>
      <c r="W52" s="236"/>
      <c r="X52" s="237"/>
      <c r="Y52" s="237"/>
      <c r="Z52" s="237"/>
    </row>
    <row r="53" ht="15.75" customHeight="1">
      <c r="A53" s="236"/>
      <c r="B53" s="236"/>
      <c r="C53" s="236"/>
      <c r="D53" s="236"/>
      <c r="E53" s="236"/>
      <c r="F53" s="236"/>
      <c r="G53" s="236"/>
      <c r="H53" s="236"/>
      <c r="I53" s="236"/>
      <c r="J53" s="236"/>
      <c r="K53" s="236"/>
      <c r="L53" s="236"/>
      <c r="M53" s="236"/>
      <c r="N53" s="236"/>
      <c r="O53" s="236"/>
      <c r="P53" s="236"/>
      <c r="Q53" s="236"/>
      <c r="R53" s="236"/>
      <c r="S53" s="236"/>
      <c r="T53" s="236"/>
      <c r="U53" s="236"/>
      <c r="V53" s="236"/>
      <c r="W53" s="236"/>
      <c r="X53" s="237"/>
      <c r="Y53" s="237"/>
      <c r="Z53" s="237"/>
    </row>
    <row r="54" ht="15.75" customHeight="1">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7"/>
      <c r="Y54" s="237"/>
      <c r="Z54" s="237"/>
    </row>
    <row r="55" ht="15.75" customHeight="1">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7"/>
      <c r="Y55" s="237"/>
      <c r="Z55" s="237"/>
    </row>
    <row r="56" ht="15.75" customHeight="1">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7"/>
      <c r="Y56" s="237"/>
      <c r="Z56" s="237"/>
    </row>
    <row r="57" ht="15.75" customHeight="1">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7"/>
      <c r="Y57" s="237"/>
      <c r="Z57" s="237"/>
    </row>
    <row r="58" ht="15.75" customHeight="1">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7"/>
      <c r="Y58" s="237"/>
      <c r="Z58" s="237"/>
    </row>
    <row r="59" ht="15.75" customHeight="1">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7"/>
      <c r="Y59" s="237"/>
      <c r="Z59" s="237"/>
    </row>
    <row r="60" ht="15.75" customHeight="1">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7"/>
      <c r="Y60" s="237"/>
      <c r="Z60" s="237"/>
    </row>
    <row r="61" ht="15.75" customHeight="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7"/>
      <c r="Y61" s="237"/>
      <c r="Z61" s="237"/>
    </row>
    <row r="62" ht="15.75" customHeight="1">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7"/>
      <c r="Y62" s="237"/>
      <c r="Z62" s="237"/>
    </row>
    <row r="63" ht="15.75" customHeight="1">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7"/>
      <c r="Y63" s="237"/>
      <c r="Z63" s="237"/>
    </row>
    <row r="64" ht="15.75" customHeight="1">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7"/>
      <c r="Y64" s="237"/>
      <c r="Z64" s="237"/>
    </row>
    <row r="65" ht="15.75" customHeight="1">
      <c r="A65" s="236"/>
      <c r="B65" s="236"/>
      <c r="C65" s="236"/>
      <c r="D65" s="236"/>
      <c r="E65" s="236"/>
      <c r="F65" s="236"/>
      <c r="G65" s="236"/>
      <c r="H65" s="236"/>
      <c r="I65" s="236"/>
      <c r="J65" s="236"/>
      <c r="K65" s="236"/>
      <c r="L65" s="236"/>
      <c r="M65" s="236"/>
      <c r="N65" s="236"/>
      <c r="O65" s="236"/>
      <c r="P65" s="236"/>
      <c r="Q65" s="236"/>
      <c r="R65" s="236"/>
      <c r="S65" s="236"/>
      <c r="T65" s="236"/>
      <c r="U65" s="236"/>
      <c r="V65" s="236"/>
      <c r="W65" s="236"/>
      <c r="X65" s="237"/>
      <c r="Y65" s="237"/>
      <c r="Z65" s="237"/>
    </row>
    <row r="66" ht="15.75" customHeight="1">
      <c r="A66" s="236"/>
      <c r="B66" s="236"/>
      <c r="C66" s="236"/>
      <c r="D66" s="236"/>
      <c r="E66" s="236"/>
      <c r="F66" s="236"/>
      <c r="G66" s="236"/>
      <c r="H66" s="236"/>
      <c r="I66" s="236"/>
      <c r="J66" s="236"/>
      <c r="K66" s="236"/>
      <c r="L66" s="236"/>
      <c r="M66" s="236"/>
      <c r="N66" s="236"/>
      <c r="O66" s="236"/>
      <c r="P66" s="236"/>
      <c r="Q66" s="236"/>
      <c r="R66" s="236"/>
      <c r="S66" s="236"/>
      <c r="T66" s="236"/>
      <c r="U66" s="236"/>
      <c r="V66" s="236"/>
      <c r="W66" s="236"/>
      <c r="X66" s="237"/>
      <c r="Y66" s="237"/>
      <c r="Z66" s="237"/>
    </row>
    <row r="67" ht="15.75" customHeight="1">
      <c r="A67" s="236"/>
      <c r="B67" s="236"/>
      <c r="C67" s="236"/>
      <c r="D67" s="236"/>
      <c r="E67" s="236"/>
      <c r="F67" s="236"/>
      <c r="G67" s="236"/>
      <c r="H67" s="236"/>
      <c r="I67" s="236"/>
      <c r="J67" s="236"/>
      <c r="K67" s="236"/>
      <c r="L67" s="236"/>
      <c r="M67" s="236"/>
      <c r="N67" s="236"/>
      <c r="O67" s="236"/>
      <c r="P67" s="236"/>
      <c r="Q67" s="236"/>
      <c r="R67" s="236"/>
      <c r="S67" s="236"/>
      <c r="T67" s="236"/>
      <c r="U67" s="236"/>
      <c r="V67" s="236"/>
      <c r="W67" s="236"/>
      <c r="X67" s="237"/>
      <c r="Y67" s="237"/>
      <c r="Z67" s="237"/>
    </row>
    <row r="68" ht="15.75" customHeight="1">
      <c r="A68" s="236"/>
      <c r="B68" s="236"/>
      <c r="C68" s="236"/>
      <c r="D68" s="236"/>
      <c r="E68" s="236"/>
      <c r="F68" s="236"/>
      <c r="G68" s="236"/>
      <c r="H68" s="236"/>
      <c r="I68" s="236"/>
      <c r="J68" s="236"/>
      <c r="K68" s="236"/>
      <c r="L68" s="236"/>
      <c r="M68" s="236"/>
      <c r="N68" s="236"/>
      <c r="O68" s="236"/>
      <c r="P68" s="236"/>
      <c r="Q68" s="236"/>
      <c r="R68" s="236"/>
      <c r="S68" s="236"/>
      <c r="T68" s="236"/>
      <c r="U68" s="236"/>
      <c r="V68" s="236"/>
      <c r="W68" s="236"/>
      <c r="X68" s="237"/>
      <c r="Y68" s="237"/>
      <c r="Z68" s="237"/>
    </row>
    <row r="69" ht="15.75" customHeight="1">
      <c r="A69" s="236"/>
      <c r="B69" s="236"/>
      <c r="C69" s="236"/>
      <c r="D69" s="236"/>
      <c r="E69" s="236"/>
      <c r="F69" s="236"/>
      <c r="G69" s="236"/>
      <c r="H69" s="236"/>
      <c r="I69" s="236"/>
      <c r="J69" s="236"/>
      <c r="K69" s="236"/>
      <c r="L69" s="236"/>
      <c r="M69" s="236"/>
      <c r="N69" s="236"/>
      <c r="O69" s="236"/>
      <c r="P69" s="236"/>
      <c r="Q69" s="236"/>
      <c r="R69" s="236"/>
      <c r="S69" s="236"/>
      <c r="T69" s="236"/>
      <c r="U69" s="236"/>
      <c r="V69" s="236"/>
      <c r="W69" s="236"/>
      <c r="X69" s="237"/>
      <c r="Y69" s="237"/>
      <c r="Z69" s="237"/>
    </row>
    <row r="70" ht="15.75" customHeight="1">
      <c r="A70" s="236"/>
      <c r="B70" s="236"/>
      <c r="C70" s="236"/>
      <c r="D70" s="236"/>
      <c r="E70" s="236"/>
      <c r="F70" s="236"/>
      <c r="G70" s="236"/>
      <c r="H70" s="236"/>
      <c r="I70" s="236"/>
      <c r="J70" s="236"/>
      <c r="K70" s="236"/>
      <c r="L70" s="236"/>
      <c r="M70" s="236"/>
      <c r="N70" s="236"/>
      <c r="O70" s="236"/>
      <c r="P70" s="236"/>
      <c r="Q70" s="236"/>
      <c r="R70" s="236"/>
      <c r="S70" s="236"/>
      <c r="T70" s="236"/>
      <c r="U70" s="236"/>
      <c r="V70" s="236"/>
      <c r="W70" s="236"/>
      <c r="X70" s="237"/>
      <c r="Y70" s="237"/>
      <c r="Z70" s="237"/>
    </row>
    <row r="71" ht="15.75" customHeight="1">
      <c r="A71" s="236"/>
      <c r="B71" s="236"/>
      <c r="C71" s="236"/>
      <c r="D71" s="236"/>
      <c r="E71" s="236"/>
      <c r="F71" s="236"/>
      <c r="G71" s="236"/>
      <c r="H71" s="236"/>
      <c r="I71" s="236"/>
      <c r="J71" s="236"/>
      <c r="K71" s="236"/>
      <c r="L71" s="236"/>
      <c r="M71" s="236"/>
      <c r="N71" s="236"/>
      <c r="O71" s="236"/>
      <c r="P71" s="236"/>
      <c r="Q71" s="236"/>
      <c r="R71" s="236"/>
      <c r="S71" s="236"/>
      <c r="T71" s="236"/>
      <c r="U71" s="236"/>
      <c r="V71" s="236"/>
      <c r="W71" s="236"/>
      <c r="X71" s="237"/>
      <c r="Y71" s="237"/>
      <c r="Z71" s="237"/>
    </row>
    <row r="72" ht="15.75" customHeight="1">
      <c r="A72" s="236"/>
      <c r="B72" s="236"/>
      <c r="C72" s="236"/>
      <c r="D72" s="236"/>
      <c r="E72" s="236"/>
      <c r="F72" s="236"/>
      <c r="G72" s="236"/>
      <c r="H72" s="236"/>
      <c r="I72" s="236"/>
      <c r="J72" s="236"/>
      <c r="K72" s="236"/>
      <c r="L72" s="236"/>
      <c r="M72" s="236"/>
      <c r="N72" s="236"/>
      <c r="O72" s="236"/>
      <c r="P72" s="236"/>
      <c r="Q72" s="236"/>
      <c r="R72" s="236"/>
      <c r="S72" s="236"/>
      <c r="T72" s="236"/>
      <c r="U72" s="236"/>
      <c r="V72" s="236"/>
      <c r="W72" s="236"/>
      <c r="X72" s="237"/>
      <c r="Y72" s="237"/>
      <c r="Z72" s="237"/>
    </row>
    <row r="73" ht="15.75" customHeight="1">
      <c r="A73" s="236"/>
      <c r="B73" s="236"/>
      <c r="C73" s="236"/>
      <c r="D73" s="236"/>
      <c r="E73" s="236"/>
      <c r="F73" s="236"/>
      <c r="G73" s="236"/>
      <c r="H73" s="236"/>
      <c r="I73" s="236"/>
      <c r="J73" s="236"/>
      <c r="K73" s="236"/>
      <c r="L73" s="236"/>
      <c r="M73" s="236"/>
      <c r="N73" s="236"/>
      <c r="O73" s="236"/>
      <c r="P73" s="236"/>
      <c r="Q73" s="236"/>
      <c r="R73" s="236"/>
      <c r="S73" s="236"/>
      <c r="T73" s="236"/>
      <c r="U73" s="236"/>
      <c r="V73" s="236"/>
      <c r="W73" s="236"/>
      <c r="X73" s="237"/>
      <c r="Y73" s="237"/>
      <c r="Z73" s="237"/>
    </row>
    <row r="74" ht="15.75" customHeight="1">
      <c r="A74" s="236"/>
      <c r="B74" s="236"/>
      <c r="C74" s="236"/>
      <c r="D74" s="236"/>
      <c r="E74" s="236"/>
      <c r="F74" s="236"/>
      <c r="G74" s="236"/>
      <c r="H74" s="236"/>
      <c r="I74" s="236"/>
      <c r="J74" s="236"/>
      <c r="K74" s="236"/>
      <c r="L74" s="236"/>
      <c r="M74" s="236"/>
      <c r="N74" s="236"/>
      <c r="O74" s="236"/>
      <c r="P74" s="236"/>
      <c r="Q74" s="236"/>
      <c r="R74" s="236"/>
      <c r="S74" s="236"/>
      <c r="T74" s="236"/>
      <c r="U74" s="236"/>
      <c r="V74" s="236"/>
      <c r="W74" s="236"/>
      <c r="X74" s="237"/>
      <c r="Y74" s="237"/>
      <c r="Z74" s="237"/>
    </row>
    <row r="75" ht="15.75" customHeight="1">
      <c r="A75" s="236"/>
      <c r="B75" s="236"/>
      <c r="C75" s="236"/>
      <c r="D75" s="236"/>
      <c r="E75" s="236"/>
      <c r="F75" s="236"/>
      <c r="G75" s="236"/>
      <c r="H75" s="236"/>
      <c r="I75" s="236"/>
      <c r="J75" s="236"/>
      <c r="K75" s="236"/>
      <c r="L75" s="236"/>
      <c r="M75" s="236"/>
      <c r="N75" s="236"/>
      <c r="O75" s="236"/>
      <c r="P75" s="236"/>
      <c r="Q75" s="236"/>
      <c r="R75" s="236"/>
      <c r="S75" s="236"/>
      <c r="T75" s="236"/>
      <c r="U75" s="236"/>
      <c r="V75" s="236"/>
      <c r="W75" s="236"/>
      <c r="X75" s="237"/>
      <c r="Y75" s="237"/>
      <c r="Z75" s="237"/>
    </row>
    <row r="76" ht="15.75" customHeight="1">
      <c r="A76" s="236"/>
      <c r="B76" s="236"/>
      <c r="C76" s="236"/>
      <c r="D76" s="236"/>
      <c r="E76" s="236"/>
      <c r="F76" s="236"/>
      <c r="G76" s="236"/>
      <c r="H76" s="236"/>
      <c r="I76" s="236"/>
      <c r="J76" s="236"/>
      <c r="K76" s="236"/>
      <c r="L76" s="236"/>
      <c r="M76" s="236"/>
      <c r="N76" s="236"/>
      <c r="O76" s="236"/>
      <c r="P76" s="236"/>
      <c r="Q76" s="236"/>
      <c r="R76" s="236"/>
      <c r="S76" s="236"/>
      <c r="T76" s="236"/>
      <c r="U76" s="236"/>
      <c r="V76" s="236"/>
      <c r="W76" s="236"/>
      <c r="X76" s="237"/>
      <c r="Y76" s="237"/>
      <c r="Z76" s="237"/>
    </row>
    <row r="77" ht="15.75" customHeight="1">
      <c r="A77" s="236"/>
      <c r="B77" s="236"/>
      <c r="C77" s="236"/>
      <c r="D77" s="236"/>
      <c r="E77" s="236"/>
      <c r="F77" s="236"/>
      <c r="G77" s="236"/>
      <c r="H77" s="236"/>
      <c r="I77" s="236"/>
      <c r="J77" s="236"/>
      <c r="K77" s="236"/>
      <c r="L77" s="236"/>
      <c r="M77" s="236"/>
      <c r="N77" s="236"/>
      <c r="O77" s="236"/>
      <c r="P77" s="236"/>
      <c r="Q77" s="236"/>
      <c r="R77" s="236"/>
      <c r="S77" s="236"/>
      <c r="T77" s="236"/>
      <c r="U77" s="236"/>
      <c r="V77" s="236"/>
      <c r="W77" s="236"/>
      <c r="X77" s="237"/>
      <c r="Y77" s="237"/>
      <c r="Z77" s="237"/>
    </row>
    <row r="78" ht="15.75" customHeight="1">
      <c r="A78" s="236"/>
      <c r="B78" s="236"/>
      <c r="C78" s="236"/>
      <c r="D78" s="236"/>
      <c r="E78" s="236"/>
      <c r="F78" s="236"/>
      <c r="G78" s="236"/>
      <c r="H78" s="236"/>
      <c r="I78" s="236"/>
      <c r="J78" s="236"/>
      <c r="K78" s="236"/>
      <c r="L78" s="236"/>
      <c r="M78" s="236"/>
      <c r="N78" s="236"/>
      <c r="O78" s="236"/>
      <c r="P78" s="236"/>
      <c r="Q78" s="236"/>
      <c r="R78" s="236"/>
      <c r="S78" s="236"/>
      <c r="T78" s="236"/>
      <c r="U78" s="236"/>
      <c r="V78" s="236"/>
      <c r="W78" s="236"/>
      <c r="X78" s="237"/>
      <c r="Y78" s="237"/>
      <c r="Z78" s="237"/>
    </row>
    <row r="79" ht="15.75" customHeight="1">
      <c r="A79" s="236"/>
      <c r="B79" s="236"/>
      <c r="C79" s="236"/>
      <c r="D79" s="236"/>
      <c r="E79" s="236"/>
      <c r="F79" s="236"/>
      <c r="G79" s="236"/>
      <c r="H79" s="236"/>
      <c r="I79" s="236"/>
      <c r="J79" s="236"/>
      <c r="K79" s="236"/>
      <c r="L79" s="236"/>
      <c r="M79" s="236"/>
      <c r="N79" s="236"/>
      <c r="O79" s="236"/>
      <c r="P79" s="236"/>
      <c r="Q79" s="236"/>
      <c r="R79" s="236"/>
      <c r="S79" s="236"/>
      <c r="T79" s="236"/>
      <c r="U79" s="236"/>
      <c r="V79" s="236"/>
      <c r="W79" s="236"/>
      <c r="X79" s="237"/>
      <c r="Y79" s="237"/>
      <c r="Z79" s="237"/>
    </row>
    <row r="80" ht="15.75" customHeight="1">
      <c r="A80" s="236"/>
      <c r="B80" s="236"/>
      <c r="C80" s="236"/>
      <c r="D80" s="236"/>
      <c r="E80" s="236"/>
      <c r="F80" s="236"/>
      <c r="G80" s="236"/>
      <c r="H80" s="236"/>
      <c r="I80" s="236"/>
      <c r="J80" s="236"/>
      <c r="K80" s="236"/>
      <c r="L80" s="236"/>
      <c r="M80" s="236"/>
      <c r="N80" s="236"/>
      <c r="O80" s="236"/>
      <c r="P80" s="236"/>
      <c r="Q80" s="236"/>
      <c r="R80" s="236"/>
      <c r="S80" s="236"/>
      <c r="T80" s="236"/>
      <c r="U80" s="236"/>
      <c r="V80" s="236"/>
      <c r="W80" s="236"/>
      <c r="X80" s="237"/>
      <c r="Y80" s="237"/>
      <c r="Z80" s="237"/>
    </row>
    <row r="81" ht="15.75" customHeight="1">
      <c r="A81" s="236"/>
      <c r="B81" s="236"/>
      <c r="C81" s="236"/>
      <c r="D81" s="236"/>
      <c r="E81" s="236"/>
      <c r="F81" s="236"/>
      <c r="G81" s="236"/>
      <c r="H81" s="236"/>
      <c r="I81" s="236"/>
      <c r="J81" s="236"/>
      <c r="K81" s="236"/>
      <c r="L81" s="236"/>
      <c r="M81" s="236"/>
      <c r="N81" s="236"/>
      <c r="O81" s="236"/>
      <c r="P81" s="236"/>
      <c r="Q81" s="236"/>
      <c r="R81" s="236"/>
      <c r="S81" s="236"/>
      <c r="T81" s="236"/>
      <c r="U81" s="236"/>
      <c r="V81" s="236"/>
      <c r="W81" s="236"/>
      <c r="X81" s="237"/>
      <c r="Y81" s="237"/>
      <c r="Z81" s="237"/>
    </row>
    <row r="82" ht="15.75" customHeight="1">
      <c r="A82" s="236"/>
      <c r="B82" s="236"/>
      <c r="C82" s="236"/>
      <c r="D82" s="236"/>
      <c r="E82" s="236"/>
      <c r="F82" s="236"/>
      <c r="G82" s="236"/>
      <c r="H82" s="236"/>
      <c r="I82" s="236"/>
      <c r="J82" s="236"/>
      <c r="K82" s="236"/>
      <c r="L82" s="236"/>
      <c r="M82" s="236"/>
      <c r="N82" s="236"/>
      <c r="O82" s="236"/>
      <c r="P82" s="236"/>
      <c r="Q82" s="236"/>
      <c r="R82" s="236"/>
      <c r="S82" s="236"/>
      <c r="T82" s="236"/>
      <c r="U82" s="236"/>
      <c r="V82" s="236"/>
      <c r="W82" s="236"/>
      <c r="X82" s="237"/>
      <c r="Y82" s="237"/>
      <c r="Z82" s="237"/>
    </row>
    <row r="83" ht="15.75" customHeight="1">
      <c r="A83" s="236"/>
      <c r="B83" s="236"/>
      <c r="C83" s="236"/>
      <c r="D83" s="236"/>
      <c r="E83" s="236"/>
      <c r="F83" s="236"/>
      <c r="G83" s="236"/>
      <c r="H83" s="236"/>
      <c r="I83" s="236"/>
      <c r="J83" s="236"/>
      <c r="K83" s="236"/>
      <c r="L83" s="236"/>
      <c r="M83" s="236"/>
      <c r="N83" s="236"/>
      <c r="O83" s="236"/>
      <c r="P83" s="236"/>
      <c r="Q83" s="236"/>
      <c r="R83" s="236"/>
      <c r="S83" s="236"/>
      <c r="T83" s="236"/>
      <c r="U83" s="236"/>
      <c r="V83" s="236"/>
      <c r="W83" s="236"/>
      <c r="X83" s="237"/>
      <c r="Y83" s="237"/>
      <c r="Z83" s="237"/>
    </row>
    <row r="84" ht="15.75" customHeight="1">
      <c r="A84" s="236"/>
      <c r="B84" s="236"/>
      <c r="C84" s="236"/>
      <c r="D84" s="236"/>
      <c r="E84" s="236"/>
      <c r="F84" s="236"/>
      <c r="G84" s="236"/>
      <c r="H84" s="236"/>
      <c r="I84" s="236"/>
      <c r="J84" s="236"/>
      <c r="K84" s="236"/>
      <c r="L84" s="236"/>
      <c r="M84" s="236"/>
      <c r="N84" s="236"/>
      <c r="O84" s="236"/>
      <c r="P84" s="236"/>
      <c r="Q84" s="236"/>
      <c r="R84" s="236"/>
      <c r="S84" s="236"/>
      <c r="T84" s="236"/>
      <c r="U84" s="236"/>
      <c r="V84" s="236"/>
      <c r="W84" s="236"/>
      <c r="X84" s="237"/>
      <c r="Y84" s="237"/>
      <c r="Z84" s="237"/>
    </row>
    <row r="85" ht="15.75" customHeight="1">
      <c r="A85" s="236"/>
      <c r="B85" s="236"/>
      <c r="C85" s="236"/>
      <c r="D85" s="236"/>
      <c r="E85" s="236"/>
      <c r="F85" s="236"/>
      <c r="G85" s="236"/>
      <c r="H85" s="236"/>
      <c r="I85" s="236"/>
      <c r="J85" s="236"/>
      <c r="K85" s="236"/>
      <c r="L85" s="236"/>
      <c r="M85" s="236"/>
      <c r="N85" s="236"/>
      <c r="O85" s="236"/>
      <c r="P85" s="236"/>
      <c r="Q85" s="236"/>
      <c r="R85" s="236"/>
      <c r="S85" s="236"/>
      <c r="T85" s="236"/>
      <c r="U85" s="236"/>
      <c r="V85" s="236"/>
      <c r="W85" s="236"/>
      <c r="X85" s="237"/>
      <c r="Y85" s="237"/>
      <c r="Z85" s="237"/>
    </row>
    <row r="86" ht="15.75" customHeight="1">
      <c r="A86" s="236"/>
      <c r="B86" s="236"/>
      <c r="C86" s="236"/>
      <c r="D86" s="236"/>
      <c r="E86" s="236"/>
      <c r="F86" s="236"/>
      <c r="G86" s="236"/>
      <c r="H86" s="236"/>
      <c r="I86" s="236"/>
      <c r="J86" s="236"/>
      <c r="K86" s="236"/>
      <c r="L86" s="236"/>
      <c r="M86" s="236"/>
      <c r="N86" s="236"/>
      <c r="O86" s="236"/>
      <c r="P86" s="236"/>
      <c r="Q86" s="236"/>
      <c r="R86" s="236"/>
      <c r="S86" s="236"/>
      <c r="T86" s="236"/>
      <c r="U86" s="236"/>
      <c r="V86" s="236"/>
      <c r="W86" s="236"/>
      <c r="X86" s="237"/>
      <c r="Y86" s="237"/>
      <c r="Z86" s="237"/>
    </row>
    <row r="87" ht="15.75" customHeight="1">
      <c r="A87" s="236"/>
      <c r="B87" s="236"/>
      <c r="C87" s="236"/>
      <c r="D87" s="236"/>
      <c r="E87" s="236"/>
      <c r="F87" s="236"/>
      <c r="G87" s="236"/>
      <c r="H87" s="236"/>
      <c r="I87" s="236"/>
      <c r="J87" s="236"/>
      <c r="K87" s="236"/>
      <c r="L87" s="236"/>
      <c r="M87" s="236"/>
      <c r="N87" s="236"/>
      <c r="O87" s="236"/>
      <c r="P87" s="236"/>
      <c r="Q87" s="236"/>
      <c r="R87" s="236"/>
      <c r="S87" s="236"/>
      <c r="T87" s="236"/>
      <c r="U87" s="236"/>
      <c r="V87" s="236"/>
      <c r="W87" s="236"/>
      <c r="X87" s="237"/>
      <c r="Y87" s="237"/>
      <c r="Z87" s="237"/>
    </row>
    <row r="88" ht="15.75" customHeight="1">
      <c r="A88" s="236"/>
      <c r="B88" s="236"/>
      <c r="C88" s="236"/>
      <c r="D88" s="236"/>
      <c r="E88" s="236"/>
      <c r="F88" s="236"/>
      <c r="G88" s="236"/>
      <c r="H88" s="236"/>
      <c r="I88" s="236"/>
      <c r="J88" s="236"/>
      <c r="K88" s="236"/>
      <c r="L88" s="236"/>
      <c r="M88" s="236"/>
      <c r="N88" s="236"/>
      <c r="O88" s="236"/>
      <c r="P88" s="236"/>
      <c r="Q88" s="236"/>
      <c r="R88" s="236"/>
      <c r="S88" s="236"/>
      <c r="T88" s="236"/>
      <c r="U88" s="236"/>
      <c r="V88" s="236"/>
      <c r="W88" s="236"/>
      <c r="X88" s="237"/>
      <c r="Y88" s="237"/>
      <c r="Z88" s="237"/>
    </row>
    <row r="89" ht="15.75" customHeight="1">
      <c r="A89" s="236"/>
      <c r="B89" s="236"/>
      <c r="C89" s="236"/>
      <c r="D89" s="236"/>
      <c r="E89" s="236"/>
      <c r="F89" s="236"/>
      <c r="G89" s="236"/>
      <c r="H89" s="236"/>
      <c r="I89" s="236"/>
      <c r="J89" s="236"/>
      <c r="K89" s="236"/>
      <c r="L89" s="236"/>
      <c r="M89" s="236"/>
      <c r="N89" s="236"/>
      <c r="O89" s="236"/>
      <c r="P89" s="236"/>
      <c r="Q89" s="236"/>
      <c r="R89" s="236"/>
      <c r="S89" s="236"/>
      <c r="T89" s="236"/>
      <c r="U89" s="236"/>
      <c r="V89" s="236"/>
      <c r="W89" s="236"/>
      <c r="X89" s="237"/>
      <c r="Y89" s="237"/>
      <c r="Z89" s="237"/>
    </row>
    <row r="90" ht="15.75" customHeight="1">
      <c r="A90" s="236"/>
      <c r="B90" s="236"/>
      <c r="C90" s="236"/>
      <c r="D90" s="236"/>
      <c r="E90" s="236"/>
      <c r="F90" s="236"/>
      <c r="G90" s="236"/>
      <c r="H90" s="236"/>
      <c r="I90" s="236"/>
      <c r="J90" s="236"/>
      <c r="K90" s="236"/>
      <c r="L90" s="236"/>
      <c r="M90" s="236"/>
      <c r="N90" s="236"/>
      <c r="O90" s="236"/>
      <c r="P90" s="236"/>
      <c r="Q90" s="236"/>
      <c r="R90" s="236"/>
      <c r="S90" s="236"/>
      <c r="T90" s="236"/>
      <c r="U90" s="236"/>
      <c r="V90" s="236"/>
      <c r="W90" s="236"/>
      <c r="X90" s="237"/>
      <c r="Y90" s="237"/>
      <c r="Z90" s="237"/>
    </row>
    <row r="91" ht="15.75" customHeight="1">
      <c r="A91" s="236"/>
      <c r="B91" s="236"/>
      <c r="C91" s="236"/>
      <c r="D91" s="236"/>
      <c r="E91" s="236"/>
      <c r="F91" s="236"/>
      <c r="G91" s="236"/>
      <c r="H91" s="236"/>
      <c r="I91" s="236"/>
      <c r="J91" s="236"/>
      <c r="K91" s="236"/>
      <c r="L91" s="236"/>
      <c r="M91" s="236"/>
      <c r="N91" s="236"/>
      <c r="O91" s="236"/>
      <c r="P91" s="236"/>
      <c r="Q91" s="236"/>
      <c r="R91" s="236"/>
      <c r="S91" s="236"/>
      <c r="T91" s="236"/>
      <c r="U91" s="236"/>
      <c r="V91" s="236"/>
      <c r="W91" s="236"/>
      <c r="X91" s="237"/>
      <c r="Y91" s="237"/>
      <c r="Z91" s="237"/>
    </row>
    <row r="92" ht="15.75" customHeight="1">
      <c r="A92" s="236"/>
      <c r="B92" s="236"/>
      <c r="C92" s="236"/>
      <c r="D92" s="236"/>
      <c r="E92" s="236"/>
      <c r="F92" s="236"/>
      <c r="G92" s="236"/>
      <c r="H92" s="236"/>
      <c r="I92" s="236"/>
      <c r="J92" s="236"/>
      <c r="K92" s="236"/>
      <c r="L92" s="236"/>
      <c r="M92" s="236"/>
      <c r="N92" s="236"/>
      <c r="O92" s="236"/>
      <c r="P92" s="236"/>
      <c r="Q92" s="236"/>
      <c r="R92" s="236"/>
      <c r="S92" s="236"/>
      <c r="T92" s="236"/>
      <c r="U92" s="236"/>
      <c r="V92" s="236"/>
      <c r="W92" s="236"/>
      <c r="X92" s="237"/>
      <c r="Y92" s="237"/>
      <c r="Z92" s="237"/>
    </row>
    <row r="93" ht="15.75" customHeight="1">
      <c r="A93" s="236"/>
      <c r="B93" s="236"/>
      <c r="C93" s="236"/>
      <c r="D93" s="236"/>
      <c r="E93" s="236"/>
      <c r="F93" s="236"/>
      <c r="G93" s="236"/>
      <c r="H93" s="236"/>
      <c r="I93" s="236"/>
      <c r="J93" s="236"/>
      <c r="K93" s="236"/>
      <c r="L93" s="236"/>
      <c r="M93" s="236"/>
      <c r="N93" s="236"/>
      <c r="O93" s="236"/>
      <c r="P93" s="236"/>
      <c r="Q93" s="236"/>
      <c r="R93" s="236"/>
      <c r="S93" s="236"/>
      <c r="T93" s="236"/>
      <c r="U93" s="236"/>
      <c r="V93" s="236"/>
      <c r="W93" s="236"/>
      <c r="X93" s="237"/>
      <c r="Y93" s="237"/>
      <c r="Z93" s="237"/>
    </row>
    <row r="94" ht="15.75" customHeight="1">
      <c r="A94" s="236"/>
      <c r="B94" s="236"/>
      <c r="C94" s="236"/>
      <c r="D94" s="236"/>
      <c r="E94" s="236"/>
      <c r="F94" s="236"/>
      <c r="G94" s="236"/>
      <c r="H94" s="236"/>
      <c r="I94" s="236"/>
      <c r="J94" s="236"/>
      <c r="K94" s="236"/>
      <c r="L94" s="236"/>
      <c r="M94" s="236"/>
      <c r="N94" s="236"/>
      <c r="O94" s="236"/>
      <c r="P94" s="236"/>
      <c r="Q94" s="236"/>
      <c r="R94" s="236"/>
      <c r="S94" s="236"/>
      <c r="T94" s="236"/>
      <c r="U94" s="236"/>
      <c r="V94" s="236"/>
      <c r="W94" s="236"/>
      <c r="X94" s="237"/>
      <c r="Y94" s="237"/>
      <c r="Z94" s="237"/>
    </row>
    <row r="95" ht="15.75" customHeight="1">
      <c r="A95" s="236"/>
      <c r="B95" s="236"/>
      <c r="C95" s="236"/>
      <c r="D95" s="236"/>
      <c r="E95" s="236"/>
      <c r="F95" s="236"/>
      <c r="G95" s="236"/>
      <c r="H95" s="236"/>
      <c r="I95" s="236"/>
      <c r="J95" s="236"/>
      <c r="K95" s="236"/>
      <c r="L95" s="236"/>
      <c r="M95" s="236"/>
      <c r="N95" s="236"/>
      <c r="O95" s="236"/>
      <c r="P95" s="236"/>
      <c r="Q95" s="236"/>
      <c r="R95" s="236"/>
      <c r="S95" s="236"/>
      <c r="T95" s="236"/>
      <c r="U95" s="236"/>
      <c r="V95" s="236"/>
      <c r="W95" s="236"/>
      <c r="X95" s="237"/>
      <c r="Y95" s="237"/>
      <c r="Z95" s="237"/>
    </row>
    <row r="96" ht="15.75" customHeight="1">
      <c r="A96" s="236"/>
      <c r="B96" s="236"/>
      <c r="C96" s="236"/>
      <c r="D96" s="236"/>
      <c r="E96" s="236"/>
      <c r="F96" s="236"/>
      <c r="G96" s="236"/>
      <c r="H96" s="236"/>
      <c r="I96" s="236"/>
      <c r="J96" s="236"/>
      <c r="K96" s="236"/>
      <c r="L96" s="236"/>
      <c r="M96" s="236"/>
      <c r="N96" s="236"/>
      <c r="O96" s="236"/>
      <c r="P96" s="236"/>
      <c r="Q96" s="236"/>
      <c r="R96" s="236"/>
      <c r="S96" s="236"/>
      <c r="T96" s="236"/>
      <c r="U96" s="236"/>
      <c r="V96" s="236"/>
      <c r="W96" s="236"/>
      <c r="X96" s="237"/>
      <c r="Y96" s="237"/>
      <c r="Z96" s="237"/>
    </row>
    <row r="97" ht="15.75" customHeight="1">
      <c r="A97" s="236"/>
      <c r="B97" s="236"/>
      <c r="C97" s="236"/>
      <c r="D97" s="236"/>
      <c r="E97" s="236"/>
      <c r="F97" s="236"/>
      <c r="G97" s="236"/>
      <c r="H97" s="236"/>
      <c r="I97" s="236"/>
      <c r="J97" s="236"/>
      <c r="K97" s="236"/>
      <c r="L97" s="236"/>
      <c r="M97" s="236"/>
      <c r="N97" s="236"/>
      <c r="O97" s="236"/>
      <c r="P97" s="236"/>
      <c r="Q97" s="236"/>
      <c r="R97" s="236"/>
      <c r="S97" s="236"/>
      <c r="T97" s="236"/>
      <c r="U97" s="236"/>
      <c r="V97" s="236"/>
      <c r="W97" s="236"/>
      <c r="X97" s="237"/>
      <c r="Y97" s="237"/>
      <c r="Z97" s="237"/>
    </row>
    <row r="98" ht="15.75" customHeight="1">
      <c r="A98" s="236"/>
      <c r="B98" s="236"/>
      <c r="C98" s="236"/>
      <c r="D98" s="236"/>
      <c r="E98" s="236"/>
      <c r="F98" s="236"/>
      <c r="G98" s="236"/>
      <c r="H98" s="236"/>
      <c r="I98" s="236"/>
      <c r="J98" s="236"/>
      <c r="K98" s="236"/>
      <c r="L98" s="236"/>
      <c r="M98" s="236"/>
      <c r="N98" s="236"/>
      <c r="O98" s="236"/>
      <c r="P98" s="236"/>
      <c r="Q98" s="236"/>
      <c r="R98" s="236"/>
      <c r="S98" s="236"/>
      <c r="T98" s="236"/>
      <c r="U98" s="236"/>
      <c r="V98" s="236"/>
      <c r="W98" s="236"/>
      <c r="X98" s="237"/>
      <c r="Y98" s="237"/>
      <c r="Z98" s="237"/>
    </row>
    <row r="99" ht="15.75" customHeight="1">
      <c r="A99" s="236"/>
      <c r="B99" s="236"/>
      <c r="C99" s="236"/>
      <c r="D99" s="236"/>
      <c r="E99" s="236"/>
      <c r="F99" s="236"/>
      <c r="G99" s="236"/>
      <c r="H99" s="236"/>
      <c r="I99" s="236"/>
      <c r="J99" s="236"/>
      <c r="K99" s="236"/>
      <c r="L99" s="236"/>
      <c r="M99" s="236"/>
      <c r="N99" s="236"/>
      <c r="O99" s="236"/>
      <c r="P99" s="236"/>
      <c r="Q99" s="236"/>
      <c r="R99" s="236"/>
      <c r="S99" s="236"/>
      <c r="T99" s="236"/>
      <c r="U99" s="236"/>
      <c r="V99" s="236"/>
      <c r="W99" s="236"/>
      <c r="X99" s="237"/>
      <c r="Y99" s="237"/>
      <c r="Z99" s="237"/>
    </row>
    <row r="100" ht="15.75" customHeight="1">
      <c r="A100" s="236"/>
      <c r="B100" s="236"/>
      <c r="C100" s="236"/>
      <c r="D100" s="236"/>
      <c r="E100" s="236"/>
      <c r="F100" s="236"/>
      <c r="G100" s="236"/>
      <c r="H100" s="236"/>
      <c r="I100" s="236"/>
      <c r="J100" s="236"/>
      <c r="K100" s="236"/>
      <c r="L100" s="236"/>
      <c r="M100" s="236"/>
      <c r="N100" s="236"/>
      <c r="O100" s="236"/>
      <c r="P100" s="236"/>
      <c r="Q100" s="236"/>
      <c r="R100" s="236"/>
      <c r="S100" s="236"/>
      <c r="T100" s="236"/>
      <c r="U100" s="236"/>
      <c r="V100" s="236"/>
      <c r="W100" s="236"/>
      <c r="X100" s="237"/>
      <c r="Y100" s="237"/>
      <c r="Z100" s="237"/>
    </row>
    <row r="101" ht="15.75" customHeight="1">
      <c r="A101" s="236"/>
      <c r="B101" s="236"/>
      <c r="C101" s="236"/>
      <c r="D101" s="236"/>
      <c r="E101" s="236"/>
      <c r="F101" s="236"/>
      <c r="G101" s="236"/>
      <c r="H101" s="236"/>
      <c r="I101" s="236"/>
      <c r="J101" s="236"/>
      <c r="K101" s="236"/>
      <c r="L101" s="236"/>
      <c r="M101" s="236"/>
      <c r="N101" s="236"/>
      <c r="O101" s="236"/>
      <c r="P101" s="236"/>
      <c r="Q101" s="236"/>
      <c r="R101" s="236"/>
      <c r="S101" s="236"/>
      <c r="T101" s="236"/>
      <c r="U101" s="236"/>
      <c r="V101" s="236"/>
      <c r="W101" s="236"/>
      <c r="X101" s="237"/>
      <c r="Y101" s="237"/>
      <c r="Z101" s="237"/>
    </row>
    <row r="102" ht="15.75" customHeight="1">
      <c r="A102" s="236"/>
      <c r="B102" s="236"/>
      <c r="C102" s="236"/>
      <c r="D102" s="236"/>
      <c r="E102" s="236"/>
      <c r="F102" s="236"/>
      <c r="G102" s="236"/>
      <c r="H102" s="236"/>
      <c r="I102" s="236"/>
      <c r="J102" s="236"/>
      <c r="K102" s="236"/>
      <c r="L102" s="236"/>
      <c r="M102" s="236"/>
      <c r="N102" s="236"/>
      <c r="O102" s="236"/>
      <c r="P102" s="236"/>
      <c r="Q102" s="236"/>
      <c r="R102" s="236"/>
      <c r="S102" s="236"/>
      <c r="T102" s="236"/>
      <c r="U102" s="236"/>
      <c r="V102" s="236"/>
      <c r="W102" s="236"/>
      <c r="X102" s="237"/>
      <c r="Y102" s="237"/>
      <c r="Z102" s="237"/>
    </row>
    <row r="103" ht="15.75" customHeight="1">
      <c r="A103" s="236"/>
      <c r="B103" s="236"/>
      <c r="C103" s="236"/>
      <c r="D103" s="236"/>
      <c r="E103" s="236"/>
      <c r="F103" s="236"/>
      <c r="G103" s="236"/>
      <c r="H103" s="236"/>
      <c r="I103" s="236"/>
      <c r="J103" s="236"/>
      <c r="K103" s="236"/>
      <c r="L103" s="236"/>
      <c r="M103" s="236"/>
      <c r="N103" s="236"/>
      <c r="O103" s="236"/>
      <c r="P103" s="236"/>
      <c r="Q103" s="236"/>
      <c r="R103" s="236"/>
      <c r="S103" s="236"/>
      <c r="T103" s="236"/>
      <c r="U103" s="236"/>
      <c r="V103" s="236"/>
      <c r="W103" s="236"/>
      <c r="X103" s="237"/>
      <c r="Y103" s="237"/>
      <c r="Z103" s="237"/>
    </row>
    <row r="104" ht="15.75" customHeight="1">
      <c r="A104" s="236"/>
      <c r="B104" s="236"/>
      <c r="C104" s="236"/>
      <c r="D104" s="236"/>
      <c r="E104" s="236"/>
      <c r="F104" s="236"/>
      <c r="G104" s="236"/>
      <c r="H104" s="236"/>
      <c r="I104" s="236"/>
      <c r="J104" s="236"/>
      <c r="K104" s="236"/>
      <c r="L104" s="236"/>
      <c r="M104" s="236"/>
      <c r="N104" s="236"/>
      <c r="O104" s="236"/>
      <c r="P104" s="236"/>
      <c r="Q104" s="236"/>
      <c r="R104" s="236"/>
      <c r="S104" s="236"/>
      <c r="T104" s="236"/>
      <c r="U104" s="236"/>
      <c r="V104" s="236"/>
      <c r="W104" s="236"/>
      <c r="X104" s="237"/>
      <c r="Y104" s="237"/>
      <c r="Z104" s="237"/>
    </row>
    <row r="105" ht="15.75" customHeight="1">
      <c r="A105" s="236"/>
      <c r="B105" s="236"/>
      <c r="C105" s="236"/>
      <c r="D105" s="236"/>
      <c r="E105" s="236"/>
      <c r="F105" s="236"/>
      <c r="G105" s="236"/>
      <c r="H105" s="236"/>
      <c r="I105" s="236"/>
      <c r="J105" s="236"/>
      <c r="K105" s="236"/>
      <c r="L105" s="236"/>
      <c r="M105" s="236"/>
      <c r="N105" s="236"/>
      <c r="O105" s="236"/>
      <c r="P105" s="236"/>
      <c r="Q105" s="236"/>
      <c r="R105" s="236"/>
      <c r="S105" s="236"/>
      <c r="T105" s="236"/>
      <c r="U105" s="236"/>
      <c r="V105" s="236"/>
      <c r="W105" s="236"/>
      <c r="X105" s="237"/>
      <c r="Y105" s="237"/>
      <c r="Z105" s="237"/>
    </row>
    <row r="106" ht="15.75" customHeight="1">
      <c r="A106" s="236"/>
      <c r="B106" s="236"/>
      <c r="C106" s="236"/>
      <c r="D106" s="236"/>
      <c r="E106" s="236"/>
      <c r="F106" s="236"/>
      <c r="G106" s="236"/>
      <c r="H106" s="236"/>
      <c r="I106" s="236"/>
      <c r="J106" s="236"/>
      <c r="K106" s="236"/>
      <c r="L106" s="236"/>
      <c r="M106" s="236"/>
      <c r="N106" s="236"/>
      <c r="O106" s="236"/>
      <c r="P106" s="236"/>
      <c r="Q106" s="236"/>
      <c r="R106" s="236"/>
      <c r="S106" s="236"/>
      <c r="T106" s="236"/>
      <c r="U106" s="236"/>
      <c r="V106" s="236"/>
      <c r="W106" s="236"/>
      <c r="X106" s="237"/>
      <c r="Y106" s="237"/>
      <c r="Z106" s="237"/>
    </row>
    <row r="107" ht="15.75" customHeight="1">
      <c r="A107" s="236"/>
      <c r="B107" s="236"/>
      <c r="C107" s="236"/>
      <c r="D107" s="236"/>
      <c r="E107" s="236"/>
      <c r="F107" s="236"/>
      <c r="G107" s="236"/>
      <c r="H107" s="236"/>
      <c r="I107" s="236"/>
      <c r="J107" s="236"/>
      <c r="K107" s="236"/>
      <c r="L107" s="236"/>
      <c r="M107" s="236"/>
      <c r="N107" s="236"/>
      <c r="O107" s="236"/>
      <c r="P107" s="236"/>
      <c r="Q107" s="236"/>
      <c r="R107" s="236"/>
      <c r="S107" s="236"/>
      <c r="T107" s="236"/>
      <c r="U107" s="236"/>
      <c r="V107" s="236"/>
      <c r="W107" s="236"/>
      <c r="X107" s="237"/>
      <c r="Y107" s="237"/>
      <c r="Z107" s="237"/>
    </row>
    <row r="108" ht="15.75" customHeight="1">
      <c r="A108" s="236"/>
      <c r="B108" s="236"/>
      <c r="C108" s="236"/>
      <c r="D108" s="236"/>
      <c r="E108" s="236"/>
      <c r="F108" s="236"/>
      <c r="G108" s="236"/>
      <c r="H108" s="236"/>
      <c r="I108" s="236"/>
      <c r="J108" s="236"/>
      <c r="K108" s="236"/>
      <c r="L108" s="236"/>
      <c r="M108" s="236"/>
      <c r="N108" s="236"/>
      <c r="O108" s="236"/>
      <c r="P108" s="236"/>
      <c r="Q108" s="236"/>
      <c r="R108" s="236"/>
      <c r="S108" s="236"/>
      <c r="T108" s="236"/>
      <c r="U108" s="236"/>
      <c r="V108" s="236"/>
      <c r="W108" s="236"/>
      <c r="X108" s="237"/>
      <c r="Y108" s="237"/>
      <c r="Z108" s="237"/>
    </row>
    <row r="109" ht="15.75" customHeight="1">
      <c r="A109" s="236"/>
      <c r="B109" s="236"/>
      <c r="C109" s="236"/>
      <c r="D109" s="236"/>
      <c r="E109" s="236"/>
      <c r="F109" s="236"/>
      <c r="G109" s="236"/>
      <c r="H109" s="236"/>
      <c r="I109" s="236"/>
      <c r="J109" s="236"/>
      <c r="K109" s="236"/>
      <c r="L109" s="236"/>
      <c r="M109" s="236"/>
      <c r="N109" s="236"/>
      <c r="O109" s="236"/>
      <c r="P109" s="236"/>
      <c r="Q109" s="236"/>
      <c r="R109" s="236"/>
      <c r="S109" s="236"/>
      <c r="T109" s="236"/>
      <c r="U109" s="236"/>
      <c r="V109" s="236"/>
      <c r="W109" s="236"/>
      <c r="X109" s="237"/>
      <c r="Y109" s="237"/>
      <c r="Z109" s="237"/>
    </row>
    <row r="110" ht="15.75" customHeight="1">
      <c r="A110" s="236"/>
      <c r="B110" s="236"/>
      <c r="C110" s="236"/>
      <c r="D110" s="236"/>
      <c r="E110" s="236"/>
      <c r="F110" s="236"/>
      <c r="G110" s="236"/>
      <c r="H110" s="236"/>
      <c r="I110" s="236"/>
      <c r="J110" s="236"/>
      <c r="K110" s="236"/>
      <c r="L110" s="236"/>
      <c r="M110" s="236"/>
      <c r="N110" s="236"/>
      <c r="O110" s="236"/>
      <c r="P110" s="236"/>
      <c r="Q110" s="236"/>
      <c r="R110" s="236"/>
      <c r="S110" s="236"/>
      <c r="T110" s="236"/>
      <c r="U110" s="236"/>
      <c r="V110" s="236"/>
      <c r="W110" s="236"/>
      <c r="X110" s="237"/>
      <c r="Y110" s="237"/>
      <c r="Z110" s="237"/>
    </row>
    <row r="111" ht="15.75" customHeight="1">
      <c r="A111" s="236"/>
      <c r="B111" s="236"/>
      <c r="C111" s="236"/>
      <c r="D111" s="236"/>
      <c r="E111" s="236"/>
      <c r="F111" s="236"/>
      <c r="G111" s="236"/>
      <c r="H111" s="236"/>
      <c r="I111" s="236"/>
      <c r="J111" s="236"/>
      <c r="K111" s="236"/>
      <c r="L111" s="236"/>
      <c r="M111" s="236"/>
      <c r="N111" s="236"/>
      <c r="O111" s="236"/>
      <c r="P111" s="236"/>
      <c r="Q111" s="236"/>
      <c r="R111" s="236"/>
      <c r="S111" s="236"/>
      <c r="T111" s="236"/>
      <c r="U111" s="236"/>
      <c r="V111" s="236"/>
      <c r="W111" s="236"/>
      <c r="X111" s="237"/>
      <c r="Y111" s="237"/>
      <c r="Z111" s="237"/>
    </row>
    <row r="112" ht="15.75" customHeight="1">
      <c r="A112" s="236"/>
      <c r="B112" s="236"/>
      <c r="C112" s="236"/>
      <c r="D112" s="236"/>
      <c r="E112" s="236"/>
      <c r="F112" s="236"/>
      <c r="G112" s="236"/>
      <c r="H112" s="236"/>
      <c r="I112" s="236"/>
      <c r="J112" s="236"/>
      <c r="K112" s="236"/>
      <c r="L112" s="236"/>
      <c r="M112" s="236"/>
      <c r="N112" s="236"/>
      <c r="O112" s="236"/>
      <c r="P112" s="236"/>
      <c r="Q112" s="236"/>
      <c r="R112" s="236"/>
      <c r="S112" s="236"/>
      <c r="T112" s="236"/>
      <c r="U112" s="236"/>
      <c r="V112" s="236"/>
      <c r="W112" s="236"/>
      <c r="X112" s="237"/>
      <c r="Y112" s="237"/>
      <c r="Z112" s="237"/>
    </row>
    <row r="113" ht="15.75" customHeight="1">
      <c r="A113" s="236"/>
      <c r="B113" s="236"/>
      <c r="C113" s="236"/>
      <c r="D113" s="236"/>
      <c r="E113" s="236"/>
      <c r="F113" s="236"/>
      <c r="G113" s="236"/>
      <c r="H113" s="236"/>
      <c r="I113" s="236"/>
      <c r="J113" s="236"/>
      <c r="K113" s="236"/>
      <c r="L113" s="236"/>
      <c r="M113" s="236"/>
      <c r="N113" s="236"/>
      <c r="O113" s="236"/>
      <c r="P113" s="236"/>
      <c r="Q113" s="236"/>
      <c r="R113" s="236"/>
      <c r="S113" s="236"/>
      <c r="T113" s="236"/>
      <c r="U113" s="236"/>
      <c r="V113" s="236"/>
      <c r="W113" s="236"/>
      <c r="X113" s="237"/>
      <c r="Y113" s="237"/>
      <c r="Z113" s="237"/>
    </row>
    <row r="114" ht="15.75" customHeight="1">
      <c r="A114" s="236"/>
      <c r="B114" s="236"/>
      <c r="C114" s="236"/>
      <c r="D114" s="236"/>
      <c r="E114" s="236"/>
      <c r="F114" s="236"/>
      <c r="G114" s="236"/>
      <c r="H114" s="236"/>
      <c r="I114" s="236"/>
      <c r="J114" s="236"/>
      <c r="K114" s="236"/>
      <c r="L114" s="236"/>
      <c r="M114" s="236"/>
      <c r="N114" s="236"/>
      <c r="O114" s="236"/>
      <c r="P114" s="236"/>
      <c r="Q114" s="236"/>
      <c r="R114" s="236"/>
      <c r="S114" s="236"/>
      <c r="T114" s="236"/>
      <c r="U114" s="236"/>
      <c r="V114" s="236"/>
      <c r="W114" s="236"/>
      <c r="X114" s="237"/>
      <c r="Y114" s="237"/>
      <c r="Z114" s="237"/>
    </row>
    <row r="115" ht="15.75" customHeight="1">
      <c r="A115" s="236"/>
      <c r="B115" s="236"/>
      <c r="C115" s="236"/>
      <c r="D115" s="236"/>
      <c r="E115" s="236"/>
      <c r="F115" s="236"/>
      <c r="G115" s="236"/>
      <c r="H115" s="236"/>
      <c r="I115" s="236"/>
      <c r="J115" s="236"/>
      <c r="K115" s="236"/>
      <c r="L115" s="236"/>
      <c r="M115" s="236"/>
      <c r="N115" s="236"/>
      <c r="O115" s="236"/>
      <c r="P115" s="236"/>
      <c r="Q115" s="236"/>
      <c r="R115" s="236"/>
      <c r="S115" s="236"/>
      <c r="T115" s="236"/>
      <c r="U115" s="236"/>
      <c r="V115" s="236"/>
      <c r="W115" s="236"/>
      <c r="X115" s="237"/>
      <c r="Y115" s="237"/>
      <c r="Z115" s="237"/>
    </row>
    <row r="116" ht="15.75" customHeight="1">
      <c r="A116" s="236"/>
      <c r="B116" s="236"/>
      <c r="C116" s="236"/>
      <c r="D116" s="236"/>
      <c r="E116" s="236"/>
      <c r="F116" s="236"/>
      <c r="G116" s="236"/>
      <c r="H116" s="236"/>
      <c r="I116" s="236"/>
      <c r="J116" s="236"/>
      <c r="K116" s="236"/>
      <c r="L116" s="236"/>
      <c r="M116" s="236"/>
      <c r="N116" s="236"/>
      <c r="O116" s="236"/>
      <c r="P116" s="236"/>
      <c r="Q116" s="236"/>
      <c r="R116" s="236"/>
      <c r="S116" s="236"/>
      <c r="T116" s="236"/>
      <c r="U116" s="236"/>
      <c r="V116" s="236"/>
      <c r="W116" s="236"/>
      <c r="X116" s="237"/>
      <c r="Y116" s="237"/>
      <c r="Z116" s="237"/>
    </row>
    <row r="117" ht="15.75" customHeight="1">
      <c r="A117" s="236"/>
      <c r="B117" s="236"/>
      <c r="C117" s="236"/>
      <c r="D117" s="236"/>
      <c r="E117" s="236"/>
      <c r="F117" s="236"/>
      <c r="G117" s="236"/>
      <c r="H117" s="236"/>
      <c r="I117" s="236"/>
      <c r="J117" s="236"/>
      <c r="K117" s="236"/>
      <c r="L117" s="236"/>
      <c r="M117" s="236"/>
      <c r="N117" s="236"/>
      <c r="O117" s="236"/>
      <c r="P117" s="236"/>
      <c r="Q117" s="236"/>
      <c r="R117" s="236"/>
      <c r="S117" s="236"/>
      <c r="T117" s="236"/>
      <c r="U117" s="236"/>
      <c r="V117" s="236"/>
      <c r="W117" s="236"/>
      <c r="X117" s="237"/>
      <c r="Y117" s="237"/>
      <c r="Z117" s="237"/>
    </row>
    <row r="118" ht="15.75" customHeight="1">
      <c r="A118" s="236"/>
      <c r="B118" s="236"/>
      <c r="C118" s="236"/>
      <c r="D118" s="236"/>
      <c r="E118" s="236"/>
      <c r="F118" s="236"/>
      <c r="G118" s="236"/>
      <c r="H118" s="236"/>
      <c r="I118" s="236"/>
      <c r="J118" s="236"/>
      <c r="K118" s="236"/>
      <c r="L118" s="236"/>
      <c r="M118" s="236"/>
      <c r="N118" s="236"/>
      <c r="O118" s="236"/>
      <c r="P118" s="236"/>
      <c r="Q118" s="236"/>
      <c r="R118" s="236"/>
      <c r="S118" s="236"/>
      <c r="T118" s="236"/>
      <c r="U118" s="236"/>
      <c r="V118" s="236"/>
      <c r="W118" s="236"/>
      <c r="X118" s="237"/>
      <c r="Y118" s="237"/>
      <c r="Z118" s="237"/>
    </row>
    <row r="119" ht="15.75" customHeight="1">
      <c r="A119" s="236"/>
      <c r="B119" s="236"/>
      <c r="C119" s="236"/>
      <c r="D119" s="236"/>
      <c r="E119" s="236"/>
      <c r="F119" s="236"/>
      <c r="G119" s="236"/>
      <c r="H119" s="236"/>
      <c r="I119" s="236"/>
      <c r="J119" s="236"/>
      <c r="K119" s="236"/>
      <c r="L119" s="236"/>
      <c r="M119" s="236"/>
      <c r="N119" s="236"/>
      <c r="O119" s="236"/>
      <c r="P119" s="236"/>
      <c r="Q119" s="236"/>
      <c r="R119" s="236"/>
      <c r="S119" s="236"/>
      <c r="T119" s="236"/>
      <c r="U119" s="236"/>
      <c r="V119" s="236"/>
      <c r="W119" s="236"/>
      <c r="X119" s="237"/>
      <c r="Y119" s="237"/>
      <c r="Z119" s="237"/>
    </row>
    <row r="120" ht="15.75" customHeight="1">
      <c r="A120" s="236"/>
      <c r="B120" s="236"/>
      <c r="C120" s="236"/>
      <c r="D120" s="236"/>
      <c r="E120" s="236"/>
      <c r="F120" s="236"/>
      <c r="G120" s="236"/>
      <c r="H120" s="236"/>
      <c r="I120" s="236"/>
      <c r="J120" s="236"/>
      <c r="K120" s="236"/>
      <c r="L120" s="236"/>
      <c r="M120" s="236"/>
      <c r="N120" s="236"/>
      <c r="O120" s="236"/>
      <c r="P120" s="236"/>
      <c r="Q120" s="236"/>
      <c r="R120" s="236"/>
      <c r="S120" s="236"/>
      <c r="T120" s="236"/>
      <c r="U120" s="236"/>
      <c r="V120" s="236"/>
      <c r="W120" s="236"/>
      <c r="X120" s="237"/>
      <c r="Y120" s="237"/>
      <c r="Z120" s="237"/>
    </row>
    <row r="121" ht="15.75" customHeight="1">
      <c r="A121" s="236"/>
      <c r="B121" s="236"/>
      <c r="C121" s="236"/>
      <c r="D121" s="236"/>
      <c r="E121" s="236"/>
      <c r="F121" s="236"/>
      <c r="G121" s="236"/>
      <c r="H121" s="236"/>
      <c r="I121" s="236"/>
      <c r="J121" s="236"/>
      <c r="K121" s="236"/>
      <c r="L121" s="236"/>
      <c r="M121" s="236"/>
      <c r="N121" s="236"/>
      <c r="O121" s="236"/>
      <c r="P121" s="236"/>
      <c r="Q121" s="236"/>
      <c r="R121" s="236"/>
      <c r="S121" s="236"/>
      <c r="T121" s="236"/>
      <c r="U121" s="236"/>
      <c r="V121" s="236"/>
      <c r="W121" s="236"/>
      <c r="X121" s="237"/>
      <c r="Y121" s="237"/>
      <c r="Z121" s="237"/>
    </row>
    <row r="122" ht="15.75" customHeight="1">
      <c r="A122" s="236"/>
      <c r="B122" s="236"/>
      <c r="C122" s="236"/>
      <c r="D122" s="236"/>
      <c r="E122" s="236"/>
      <c r="F122" s="236"/>
      <c r="G122" s="236"/>
      <c r="H122" s="236"/>
      <c r="I122" s="236"/>
      <c r="J122" s="236"/>
      <c r="K122" s="236"/>
      <c r="L122" s="236"/>
      <c r="M122" s="236"/>
      <c r="N122" s="236"/>
      <c r="O122" s="236"/>
      <c r="P122" s="236"/>
      <c r="Q122" s="236"/>
      <c r="R122" s="236"/>
      <c r="S122" s="236"/>
      <c r="T122" s="236"/>
      <c r="U122" s="236"/>
      <c r="V122" s="236"/>
      <c r="W122" s="236"/>
      <c r="X122" s="237"/>
      <c r="Y122" s="237"/>
      <c r="Z122" s="237"/>
    </row>
    <row r="123" ht="15.75" customHeight="1">
      <c r="A123" s="236"/>
      <c r="B123" s="236"/>
      <c r="C123" s="236"/>
      <c r="D123" s="236"/>
      <c r="E123" s="236"/>
      <c r="F123" s="236"/>
      <c r="G123" s="236"/>
      <c r="H123" s="236"/>
      <c r="I123" s="236"/>
      <c r="J123" s="236"/>
      <c r="K123" s="236"/>
      <c r="L123" s="236"/>
      <c r="M123" s="236"/>
      <c r="N123" s="236"/>
      <c r="O123" s="236"/>
      <c r="P123" s="236"/>
      <c r="Q123" s="236"/>
      <c r="R123" s="236"/>
      <c r="S123" s="236"/>
      <c r="T123" s="236"/>
      <c r="U123" s="236"/>
      <c r="V123" s="236"/>
      <c r="W123" s="236"/>
      <c r="X123" s="237"/>
      <c r="Y123" s="237"/>
      <c r="Z123" s="237"/>
    </row>
    <row r="124" ht="15.75" customHeight="1">
      <c r="A124" s="236"/>
      <c r="B124" s="236"/>
      <c r="C124" s="236"/>
      <c r="D124" s="236"/>
      <c r="E124" s="236"/>
      <c r="F124" s="236"/>
      <c r="G124" s="236"/>
      <c r="H124" s="236"/>
      <c r="I124" s="236"/>
      <c r="J124" s="236"/>
      <c r="K124" s="236"/>
      <c r="L124" s="236"/>
      <c r="M124" s="236"/>
      <c r="N124" s="236"/>
      <c r="O124" s="236"/>
      <c r="P124" s="236"/>
      <c r="Q124" s="236"/>
      <c r="R124" s="236"/>
      <c r="S124" s="236"/>
      <c r="T124" s="236"/>
      <c r="U124" s="236"/>
      <c r="V124" s="236"/>
      <c r="W124" s="236"/>
      <c r="X124" s="237"/>
      <c r="Y124" s="237"/>
      <c r="Z124" s="237"/>
    </row>
    <row r="125" ht="15.75" customHeight="1">
      <c r="A125" s="236"/>
      <c r="B125" s="236"/>
      <c r="C125" s="236"/>
      <c r="D125" s="236"/>
      <c r="E125" s="236"/>
      <c r="F125" s="236"/>
      <c r="G125" s="236"/>
      <c r="H125" s="236"/>
      <c r="I125" s="236"/>
      <c r="J125" s="236"/>
      <c r="K125" s="236"/>
      <c r="L125" s="236"/>
      <c r="M125" s="236"/>
      <c r="N125" s="236"/>
      <c r="O125" s="236"/>
      <c r="P125" s="236"/>
      <c r="Q125" s="236"/>
      <c r="R125" s="236"/>
      <c r="S125" s="236"/>
      <c r="T125" s="236"/>
      <c r="U125" s="236"/>
      <c r="V125" s="236"/>
      <c r="W125" s="236"/>
      <c r="X125" s="237"/>
      <c r="Y125" s="237"/>
      <c r="Z125" s="237"/>
    </row>
    <row r="126" ht="15.75" customHeight="1">
      <c r="A126" s="236"/>
      <c r="B126" s="236"/>
      <c r="C126" s="236"/>
      <c r="D126" s="236"/>
      <c r="E126" s="236"/>
      <c r="F126" s="236"/>
      <c r="G126" s="236"/>
      <c r="H126" s="236"/>
      <c r="I126" s="236"/>
      <c r="J126" s="236"/>
      <c r="K126" s="236"/>
      <c r="L126" s="236"/>
      <c r="M126" s="236"/>
      <c r="N126" s="236"/>
      <c r="O126" s="236"/>
      <c r="P126" s="236"/>
      <c r="Q126" s="236"/>
      <c r="R126" s="236"/>
      <c r="S126" s="236"/>
      <c r="T126" s="236"/>
      <c r="U126" s="236"/>
      <c r="V126" s="236"/>
      <c r="W126" s="236"/>
      <c r="X126" s="237"/>
      <c r="Y126" s="237"/>
      <c r="Z126" s="237"/>
    </row>
    <row r="127" ht="15.75" customHeight="1">
      <c r="A127" s="236"/>
      <c r="B127" s="236"/>
      <c r="C127" s="236"/>
      <c r="D127" s="236"/>
      <c r="E127" s="236"/>
      <c r="F127" s="236"/>
      <c r="G127" s="236"/>
      <c r="H127" s="236"/>
      <c r="I127" s="236"/>
      <c r="J127" s="236"/>
      <c r="K127" s="236"/>
      <c r="L127" s="236"/>
      <c r="M127" s="236"/>
      <c r="N127" s="236"/>
      <c r="O127" s="236"/>
      <c r="P127" s="236"/>
      <c r="Q127" s="236"/>
      <c r="R127" s="236"/>
      <c r="S127" s="236"/>
      <c r="T127" s="236"/>
      <c r="U127" s="236"/>
      <c r="V127" s="236"/>
      <c r="W127" s="236"/>
      <c r="X127" s="237"/>
      <c r="Y127" s="237"/>
      <c r="Z127" s="237"/>
    </row>
    <row r="128" ht="15.75" customHeight="1">
      <c r="A128" s="236"/>
      <c r="B128" s="236"/>
      <c r="C128" s="236"/>
      <c r="D128" s="236"/>
      <c r="E128" s="236"/>
      <c r="F128" s="236"/>
      <c r="G128" s="236"/>
      <c r="H128" s="236"/>
      <c r="I128" s="236"/>
      <c r="J128" s="236"/>
      <c r="K128" s="236"/>
      <c r="L128" s="236"/>
      <c r="M128" s="236"/>
      <c r="N128" s="236"/>
      <c r="O128" s="236"/>
      <c r="P128" s="236"/>
      <c r="Q128" s="236"/>
      <c r="R128" s="236"/>
      <c r="S128" s="236"/>
      <c r="T128" s="236"/>
      <c r="U128" s="236"/>
      <c r="V128" s="236"/>
      <c r="W128" s="236"/>
      <c r="X128" s="237"/>
      <c r="Y128" s="237"/>
      <c r="Z128" s="237"/>
    </row>
    <row r="129" ht="15.75" customHeight="1">
      <c r="A129" s="236"/>
      <c r="B129" s="236"/>
      <c r="C129" s="236"/>
      <c r="D129" s="236"/>
      <c r="E129" s="236"/>
      <c r="F129" s="236"/>
      <c r="G129" s="236"/>
      <c r="H129" s="236"/>
      <c r="I129" s="236"/>
      <c r="J129" s="236"/>
      <c r="K129" s="236"/>
      <c r="L129" s="236"/>
      <c r="M129" s="236"/>
      <c r="N129" s="236"/>
      <c r="O129" s="236"/>
      <c r="P129" s="236"/>
      <c r="Q129" s="236"/>
      <c r="R129" s="236"/>
      <c r="S129" s="236"/>
      <c r="T129" s="236"/>
      <c r="U129" s="236"/>
      <c r="V129" s="236"/>
      <c r="W129" s="236"/>
      <c r="X129" s="237"/>
      <c r="Y129" s="237"/>
      <c r="Z129" s="237"/>
    </row>
    <row r="130" ht="15.75" customHeight="1">
      <c r="A130" s="236"/>
      <c r="B130" s="236"/>
      <c r="C130" s="236"/>
      <c r="D130" s="236"/>
      <c r="E130" s="236"/>
      <c r="F130" s="236"/>
      <c r="G130" s="236"/>
      <c r="H130" s="236"/>
      <c r="I130" s="236"/>
      <c r="J130" s="236"/>
      <c r="K130" s="236"/>
      <c r="L130" s="236"/>
      <c r="M130" s="236"/>
      <c r="N130" s="236"/>
      <c r="O130" s="236"/>
      <c r="P130" s="236"/>
      <c r="Q130" s="236"/>
      <c r="R130" s="236"/>
      <c r="S130" s="236"/>
      <c r="T130" s="236"/>
      <c r="U130" s="236"/>
      <c r="V130" s="236"/>
      <c r="W130" s="236"/>
      <c r="X130" s="237"/>
      <c r="Y130" s="237"/>
      <c r="Z130" s="237"/>
    </row>
    <row r="131" ht="15.75" customHeight="1">
      <c r="A131" s="236"/>
      <c r="B131" s="236"/>
      <c r="C131" s="236"/>
      <c r="D131" s="236"/>
      <c r="E131" s="236"/>
      <c r="F131" s="236"/>
      <c r="G131" s="236"/>
      <c r="H131" s="236"/>
      <c r="I131" s="236"/>
      <c r="J131" s="236"/>
      <c r="K131" s="236"/>
      <c r="L131" s="236"/>
      <c r="M131" s="236"/>
      <c r="N131" s="236"/>
      <c r="O131" s="236"/>
      <c r="P131" s="236"/>
      <c r="Q131" s="236"/>
      <c r="R131" s="236"/>
      <c r="S131" s="236"/>
      <c r="T131" s="236"/>
      <c r="U131" s="236"/>
      <c r="V131" s="236"/>
      <c r="W131" s="236"/>
      <c r="X131" s="237"/>
      <c r="Y131" s="237"/>
      <c r="Z131" s="237"/>
    </row>
    <row r="132" ht="15.75" customHeight="1">
      <c r="A132" s="236"/>
      <c r="B132" s="236"/>
      <c r="C132" s="236"/>
      <c r="D132" s="236"/>
      <c r="E132" s="236"/>
      <c r="F132" s="236"/>
      <c r="G132" s="236"/>
      <c r="H132" s="236"/>
      <c r="I132" s="236"/>
      <c r="J132" s="236"/>
      <c r="K132" s="236"/>
      <c r="L132" s="236"/>
      <c r="M132" s="236"/>
      <c r="N132" s="236"/>
      <c r="O132" s="236"/>
      <c r="P132" s="236"/>
      <c r="Q132" s="236"/>
      <c r="R132" s="236"/>
      <c r="S132" s="236"/>
      <c r="T132" s="236"/>
      <c r="U132" s="236"/>
      <c r="V132" s="236"/>
      <c r="W132" s="236"/>
      <c r="X132" s="237"/>
      <c r="Y132" s="237"/>
      <c r="Z132" s="237"/>
    </row>
    <row r="133" ht="15.75" customHeight="1">
      <c r="A133" s="236"/>
      <c r="B133" s="236"/>
      <c r="C133" s="236"/>
      <c r="D133" s="236"/>
      <c r="E133" s="236"/>
      <c r="F133" s="236"/>
      <c r="G133" s="236"/>
      <c r="H133" s="236"/>
      <c r="I133" s="236"/>
      <c r="J133" s="236"/>
      <c r="K133" s="236"/>
      <c r="L133" s="236"/>
      <c r="M133" s="236"/>
      <c r="N133" s="236"/>
      <c r="O133" s="236"/>
      <c r="P133" s="236"/>
      <c r="Q133" s="236"/>
      <c r="R133" s="236"/>
      <c r="S133" s="236"/>
      <c r="T133" s="236"/>
      <c r="U133" s="236"/>
      <c r="V133" s="236"/>
      <c r="W133" s="236"/>
      <c r="X133" s="237"/>
      <c r="Y133" s="237"/>
      <c r="Z133" s="237"/>
    </row>
    <row r="134" ht="15.75" customHeight="1">
      <c r="A134" s="236"/>
      <c r="B134" s="236"/>
      <c r="C134" s="236"/>
      <c r="D134" s="236"/>
      <c r="E134" s="236"/>
      <c r="F134" s="236"/>
      <c r="G134" s="236"/>
      <c r="H134" s="236"/>
      <c r="I134" s="236"/>
      <c r="J134" s="236"/>
      <c r="K134" s="236"/>
      <c r="L134" s="236"/>
      <c r="M134" s="236"/>
      <c r="N134" s="236"/>
      <c r="O134" s="236"/>
      <c r="P134" s="236"/>
      <c r="Q134" s="236"/>
      <c r="R134" s="236"/>
      <c r="S134" s="236"/>
      <c r="T134" s="236"/>
      <c r="U134" s="236"/>
      <c r="V134" s="236"/>
      <c r="W134" s="236"/>
      <c r="X134" s="237"/>
      <c r="Y134" s="237"/>
      <c r="Z134" s="237"/>
    </row>
    <row r="135" ht="15.75" customHeight="1">
      <c r="A135" s="236"/>
      <c r="B135" s="236"/>
      <c r="C135" s="236"/>
      <c r="D135" s="236"/>
      <c r="E135" s="236"/>
      <c r="F135" s="236"/>
      <c r="G135" s="236"/>
      <c r="H135" s="236"/>
      <c r="I135" s="236"/>
      <c r="J135" s="236"/>
      <c r="K135" s="236"/>
      <c r="L135" s="236"/>
      <c r="M135" s="236"/>
      <c r="N135" s="236"/>
      <c r="O135" s="236"/>
      <c r="P135" s="236"/>
      <c r="Q135" s="236"/>
      <c r="R135" s="236"/>
      <c r="S135" s="236"/>
      <c r="T135" s="236"/>
      <c r="U135" s="236"/>
      <c r="V135" s="236"/>
      <c r="W135" s="236"/>
      <c r="X135" s="237"/>
      <c r="Y135" s="237"/>
      <c r="Z135" s="237"/>
    </row>
    <row r="136" ht="15.75" customHeight="1">
      <c r="A136" s="236"/>
      <c r="B136" s="236"/>
      <c r="C136" s="236"/>
      <c r="D136" s="236"/>
      <c r="E136" s="236"/>
      <c r="F136" s="236"/>
      <c r="G136" s="236"/>
      <c r="H136" s="236"/>
      <c r="I136" s="236"/>
      <c r="J136" s="236"/>
      <c r="K136" s="236"/>
      <c r="L136" s="236"/>
      <c r="M136" s="236"/>
      <c r="N136" s="236"/>
      <c r="O136" s="236"/>
      <c r="P136" s="236"/>
      <c r="Q136" s="236"/>
      <c r="R136" s="236"/>
      <c r="S136" s="236"/>
      <c r="T136" s="236"/>
      <c r="U136" s="236"/>
      <c r="V136" s="236"/>
      <c r="W136" s="236"/>
      <c r="X136" s="237"/>
      <c r="Y136" s="237"/>
      <c r="Z136" s="237"/>
    </row>
    <row r="137" ht="15.75" customHeight="1">
      <c r="A137" s="236"/>
      <c r="B137" s="236"/>
      <c r="C137" s="236"/>
      <c r="D137" s="236"/>
      <c r="E137" s="236"/>
      <c r="F137" s="236"/>
      <c r="G137" s="236"/>
      <c r="H137" s="236"/>
      <c r="I137" s="236"/>
      <c r="J137" s="236"/>
      <c r="K137" s="236"/>
      <c r="L137" s="236"/>
      <c r="M137" s="236"/>
      <c r="N137" s="236"/>
      <c r="O137" s="236"/>
      <c r="P137" s="236"/>
      <c r="Q137" s="236"/>
      <c r="R137" s="236"/>
      <c r="S137" s="236"/>
      <c r="T137" s="236"/>
      <c r="U137" s="236"/>
      <c r="V137" s="236"/>
      <c r="W137" s="236"/>
      <c r="X137" s="237"/>
      <c r="Y137" s="237"/>
      <c r="Z137" s="237"/>
    </row>
    <row r="138" ht="15.75" customHeight="1">
      <c r="A138" s="236"/>
      <c r="B138" s="236"/>
      <c r="C138" s="236"/>
      <c r="D138" s="236"/>
      <c r="E138" s="236"/>
      <c r="F138" s="236"/>
      <c r="G138" s="236"/>
      <c r="H138" s="236"/>
      <c r="I138" s="236"/>
      <c r="J138" s="236"/>
      <c r="K138" s="236"/>
      <c r="L138" s="236"/>
      <c r="M138" s="236"/>
      <c r="N138" s="236"/>
      <c r="O138" s="236"/>
      <c r="P138" s="236"/>
      <c r="Q138" s="236"/>
      <c r="R138" s="236"/>
      <c r="S138" s="236"/>
      <c r="T138" s="236"/>
      <c r="U138" s="236"/>
      <c r="V138" s="236"/>
      <c r="W138" s="236"/>
      <c r="X138" s="237"/>
      <c r="Y138" s="237"/>
      <c r="Z138" s="237"/>
    </row>
    <row r="139" ht="15.75" customHeight="1">
      <c r="A139" s="236"/>
      <c r="B139" s="236"/>
      <c r="C139" s="236"/>
      <c r="D139" s="236"/>
      <c r="E139" s="236"/>
      <c r="F139" s="236"/>
      <c r="G139" s="236"/>
      <c r="H139" s="236"/>
      <c r="I139" s="236"/>
      <c r="J139" s="236"/>
      <c r="K139" s="236"/>
      <c r="L139" s="236"/>
      <c r="M139" s="236"/>
      <c r="N139" s="236"/>
      <c r="O139" s="236"/>
      <c r="P139" s="236"/>
      <c r="Q139" s="236"/>
      <c r="R139" s="236"/>
      <c r="S139" s="236"/>
      <c r="T139" s="236"/>
      <c r="U139" s="236"/>
      <c r="V139" s="236"/>
      <c r="W139" s="236"/>
      <c r="X139" s="237"/>
      <c r="Y139" s="237"/>
      <c r="Z139" s="237"/>
    </row>
    <row r="140" ht="15.75" customHeight="1">
      <c r="A140" s="236"/>
      <c r="B140" s="236"/>
      <c r="C140" s="236"/>
      <c r="D140" s="236"/>
      <c r="E140" s="236"/>
      <c r="F140" s="236"/>
      <c r="G140" s="236"/>
      <c r="H140" s="236"/>
      <c r="I140" s="236"/>
      <c r="J140" s="236"/>
      <c r="K140" s="236"/>
      <c r="L140" s="236"/>
      <c r="M140" s="236"/>
      <c r="N140" s="236"/>
      <c r="O140" s="236"/>
      <c r="P140" s="236"/>
      <c r="Q140" s="236"/>
      <c r="R140" s="236"/>
      <c r="S140" s="236"/>
      <c r="T140" s="236"/>
      <c r="U140" s="236"/>
      <c r="V140" s="236"/>
      <c r="W140" s="236"/>
      <c r="X140" s="237"/>
      <c r="Y140" s="237"/>
      <c r="Z140" s="237"/>
    </row>
    <row r="141" ht="15.75" customHeight="1">
      <c r="A141" s="236"/>
      <c r="B141" s="236"/>
      <c r="C141" s="236"/>
      <c r="D141" s="236"/>
      <c r="E141" s="236"/>
      <c r="F141" s="236"/>
      <c r="G141" s="236"/>
      <c r="H141" s="236"/>
      <c r="I141" s="236"/>
      <c r="J141" s="236"/>
      <c r="K141" s="236"/>
      <c r="L141" s="236"/>
      <c r="M141" s="236"/>
      <c r="N141" s="236"/>
      <c r="O141" s="236"/>
      <c r="P141" s="236"/>
      <c r="Q141" s="236"/>
      <c r="R141" s="236"/>
      <c r="S141" s="236"/>
      <c r="T141" s="236"/>
      <c r="U141" s="236"/>
      <c r="V141" s="236"/>
      <c r="W141" s="236"/>
      <c r="X141" s="237"/>
      <c r="Y141" s="237"/>
      <c r="Z141" s="237"/>
    </row>
    <row r="142" ht="15.75" customHeight="1">
      <c r="A142" s="236"/>
      <c r="B142" s="236"/>
      <c r="C142" s="236"/>
      <c r="D142" s="236"/>
      <c r="E142" s="236"/>
      <c r="F142" s="236"/>
      <c r="G142" s="236"/>
      <c r="H142" s="236"/>
      <c r="I142" s="236"/>
      <c r="J142" s="236"/>
      <c r="K142" s="236"/>
      <c r="L142" s="236"/>
      <c r="M142" s="236"/>
      <c r="N142" s="236"/>
      <c r="O142" s="236"/>
      <c r="P142" s="236"/>
      <c r="Q142" s="236"/>
      <c r="R142" s="236"/>
      <c r="S142" s="236"/>
      <c r="T142" s="236"/>
      <c r="U142" s="236"/>
      <c r="V142" s="236"/>
      <c r="W142" s="236"/>
      <c r="X142" s="237"/>
      <c r="Y142" s="237"/>
      <c r="Z142" s="237"/>
    </row>
    <row r="143" ht="15.75" customHeight="1">
      <c r="A143" s="236"/>
      <c r="B143" s="236"/>
      <c r="C143" s="236"/>
      <c r="D143" s="236"/>
      <c r="E143" s="236"/>
      <c r="F143" s="236"/>
      <c r="G143" s="236"/>
      <c r="H143" s="236"/>
      <c r="I143" s="236"/>
      <c r="J143" s="236"/>
      <c r="K143" s="236"/>
      <c r="L143" s="236"/>
      <c r="M143" s="236"/>
      <c r="N143" s="236"/>
      <c r="O143" s="236"/>
      <c r="P143" s="236"/>
      <c r="Q143" s="236"/>
      <c r="R143" s="236"/>
      <c r="S143" s="236"/>
      <c r="T143" s="236"/>
      <c r="U143" s="236"/>
      <c r="V143" s="236"/>
      <c r="W143" s="236"/>
      <c r="X143" s="237"/>
      <c r="Y143" s="237"/>
      <c r="Z143" s="237"/>
    </row>
    <row r="144" ht="15.75" customHeight="1">
      <c r="A144" s="236"/>
      <c r="B144" s="236"/>
      <c r="C144" s="236"/>
      <c r="D144" s="236"/>
      <c r="E144" s="236"/>
      <c r="F144" s="236"/>
      <c r="G144" s="236"/>
      <c r="H144" s="236"/>
      <c r="I144" s="236"/>
      <c r="J144" s="236"/>
      <c r="K144" s="236"/>
      <c r="L144" s="236"/>
      <c r="M144" s="236"/>
      <c r="N144" s="236"/>
      <c r="O144" s="236"/>
      <c r="P144" s="236"/>
      <c r="Q144" s="236"/>
      <c r="R144" s="236"/>
      <c r="S144" s="236"/>
      <c r="T144" s="236"/>
      <c r="U144" s="236"/>
      <c r="V144" s="236"/>
      <c r="W144" s="236"/>
      <c r="X144" s="237"/>
      <c r="Y144" s="237"/>
      <c r="Z144" s="237"/>
    </row>
    <row r="145" ht="15.75" customHeight="1">
      <c r="A145" s="236"/>
      <c r="B145" s="236"/>
      <c r="C145" s="236"/>
      <c r="D145" s="236"/>
      <c r="E145" s="236"/>
      <c r="F145" s="236"/>
      <c r="G145" s="236"/>
      <c r="H145" s="236"/>
      <c r="I145" s="236"/>
      <c r="J145" s="236"/>
      <c r="K145" s="236"/>
      <c r="L145" s="236"/>
      <c r="M145" s="236"/>
      <c r="N145" s="236"/>
      <c r="O145" s="236"/>
      <c r="P145" s="236"/>
      <c r="Q145" s="236"/>
      <c r="R145" s="236"/>
      <c r="S145" s="236"/>
      <c r="T145" s="236"/>
      <c r="U145" s="236"/>
      <c r="V145" s="236"/>
      <c r="W145" s="236"/>
      <c r="X145" s="237"/>
      <c r="Y145" s="237"/>
      <c r="Z145" s="237"/>
    </row>
    <row r="146" ht="15.75" customHeight="1">
      <c r="A146" s="236"/>
      <c r="B146" s="236"/>
      <c r="C146" s="236"/>
      <c r="D146" s="236"/>
      <c r="E146" s="236"/>
      <c r="F146" s="236"/>
      <c r="G146" s="236"/>
      <c r="H146" s="236"/>
      <c r="I146" s="236"/>
      <c r="J146" s="236"/>
      <c r="K146" s="236"/>
      <c r="L146" s="236"/>
      <c r="M146" s="236"/>
      <c r="N146" s="236"/>
      <c r="O146" s="236"/>
      <c r="P146" s="236"/>
      <c r="Q146" s="236"/>
      <c r="R146" s="236"/>
      <c r="S146" s="236"/>
      <c r="T146" s="236"/>
      <c r="U146" s="236"/>
      <c r="V146" s="236"/>
      <c r="W146" s="236"/>
      <c r="X146" s="237"/>
      <c r="Y146" s="237"/>
      <c r="Z146" s="237"/>
    </row>
    <row r="147" ht="15.75" customHeight="1">
      <c r="A147" s="236"/>
      <c r="B147" s="236"/>
      <c r="C147" s="236"/>
      <c r="D147" s="236"/>
      <c r="E147" s="236"/>
      <c r="F147" s="236"/>
      <c r="G147" s="236"/>
      <c r="H147" s="236"/>
      <c r="I147" s="236"/>
      <c r="J147" s="236"/>
      <c r="K147" s="236"/>
      <c r="L147" s="236"/>
      <c r="M147" s="236"/>
      <c r="N147" s="236"/>
      <c r="O147" s="236"/>
      <c r="P147" s="236"/>
      <c r="Q147" s="236"/>
      <c r="R147" s="236"/>
      <c r="S147" s="236"/>
      <c r="T147" s="236"/>
      <c r="U147" s="236"/>
      <c r="V147" s="236"/>
      <c r="W147" s="236"/>
      <c r="X147" s="237"/>
      <c r="Y147" s="237"/>
      <c r="Z147" s="237"/>
    </row>
    <row r="148" ht="15.75" customHeight="1">
      <c r="A148" s="236"/>
      <c r="B148" s="236"/>
      <c r="C148" s="236"/>
      <c r="D148" s="236"/>
      <c r="E148" s="236"/>
      <c r="F148" s="236"/>
      <c r="G148" s="236"/>
      <c r="H148" s="236"/>
      <c r="I148" s="236"/>
      <c r="J148" s="236"/>
      <c r="K148" s="236"/>
      <c r="L148" s="236"/>
      <c r="M148" s="236"/>
      <c r="N148" s="236"/>
      <c r="O148" s="236"/>
      <c r="P148" s="236"/>
      <c r="Q148" s="236"/>
      <c r="R148" s="236"/>
      <c r="S148" s="236"/>
      <c r="T148" s="236"/>
      <c r="U148" s="236"/>
      <c r="V148" s="236"/>
      <c r="W148" s="236"/>
      <c r="X148" s="237"/>
      <c r="Y148" s="237"/>
      <c r="Z148" s="237"/>
    </row>
    <row r="149" ht="15.75" customHeight="1">
      <c r="A149" s="236"/>
      <c r="B149" s="236"/>
      <c r="C149" s="236"/>
      <c r="D149" s="236"/>
      <c r="E149" s="236"/>
      <c r="F149" s="236"/>
      <c r="G149" s="236"/>
      <c r="H149" s="236"/>
      <c r="I149" s="236"/>
      <c r="J149" s="236"/>
      <c r="K149" s="236"/>
      <c r="L149" s="236"/>
      <c r="M149" s="236"/>
      <c r="N149" s="236"/>
      <c r="O149" s="236"/>
      <c r="P149" s="236"/>
      <c r="Q149" s="236"/>
      <c r="R149" s="236"/>
      <c r="S149" s="236"/>
      <c r="T149" s="236"/>
      <c r="U149" s="236"/>
      <c r="V149" s="236"/>
      <c r="W149" s="236"/>
      <c r="X149" s="237"/>
      <c r="Y149" s="237"/>
      <c r="Z149" s="237"/>
    </row>
    <row r="150" ht="15.75" customHeight="1">
      <c r="A150" s="236"/>
      <c r="B150" s="236"/>
      <c r="C150" s="236"/>
      <c r="D150" s="236"/>
      <c r="E150" s="236"/>
      <c r="F150" s="236"/>
      <c r="G150" s="236"/>
      <c r="H150" s="236"/>
      <c r="I150" s="236"/>
      <c r="J150" s="236"/>
      <c r="K150" s="236"/>
      <c r="L150" s="236"/>
      <c r="M150" s="236"/>
      <c r="N150" s="236"/>
      <c r="O150" s="236"/>
      <c r="P150" s="236"/>
      <c r="Q150" s="236"/>
      <c r="R150" s="236"/>
      <c r="S150" s="236"/>
      <c r="T150" s="236"/>
      <c r="U150" s="236"/>
      <c r="V150" s="236"/>
      <c r="W150" s="236"/>
      <c r="X150" s="237"/>
      <c r="Y150" s="237"/>
      <c r="Z150" s="237"/>
    </row>
    <row r="151" ht="15.75" customHeight="1">
      <c r="A151" s="236"/>
      <c r="B151" s="236"/>
      <c r="C151" s="236"/>
      <c r="D151" s="236"/>
      <c r="E151" s="236"/>
      <c r="F151" s="236"/>
      <c r="G151" s="236"/>
      <c r="H151" s="236"/>
      <c r="I151" s="236"/>
      <c r="J151" s="236"/>
      <c r="K151" s="236"/>
      <c r="L151" s="236"/>
      <c r="M151" s="236"/>
      <c r="N151" s="236"/>
      <c r="O151" s="236"/>
      <c r="P151" s="236"/>
      <c r="Q151" s="236"/>
      <c r="R151" s="236"/>
      <c r="S151" s="236"/>
      <c r="T151" s="236"/>
      <c r="U151" s="236"/>
      <c r="V151" s="236"/>
      <c r="W151" s="236"/>
      <c r="X151" s="237"/>
      <c r="Y151" s="237"/>
      <c r="Z151" s="237"/>
    </row>
    <row r="152" ht="15.75" customHeight="1">
      <c r="A152" s="236"/>
      <c r="B152" s="236"/>
      <c r="C152" s="236"/>
      <c r="D152" s="236"/>
      <c r="E152" s="236"/>
      <c r="F152" s="236"/>
      <c r="G152" s="236"/>
      <c r="H152" s="236"/>
      <c r="I152" s="236"/>
      <c r="J152" s="236"/>
      <c r="K152" s="236"/>
      <c r="L152" s="236"/>
      <c r="M152" s="236"/>
      <c r="N152" s="236"/>
      <c r="O152" s="236"/>
      <c r="P152" s="236"/>
      <c r="Q152" s="236"/>
      <c r="R152" s="236"/>
      <c r="S152" s="236"/>
      <c r="T152" s="236"/>
      <c r="U152" s="236"/>
      <c r="V152" s="236"/>
      <c r="W152" s="236"/>
      <c r="X152" s="237"/>
      <c r="Y152" s="237"/>
      <c r="Z152" s="237"/>
    </row>
    <row r="153" ht="15.75" customHeight="1">
      <c r="A153" s="236"/>
      <c r="B153" s="236"/>
      <c r="C153" s="236"/>
      <c r="D153" s="236"/>
      <c r="E153" s="236"/>
      <c r="F153" s="236"/>
      <c r="G153" s="236"/>
      <c r="H153" s="236"/>
      <c r="I153" s="236"/>
      <c r="J153" s="236"/>
      <c r="K153" s="236"/>
      <c r="L153" s="236"/>
      <c r="M153" s="236"/>
      <c r="N153" s="236"/>
      <c r="O153" s="236"/>
      <c r="P153" s="236"/>
      <c r="Q153" s="236"/>
      <c r="R153" s="236"/>
      <c r="S153" s="236"/>
      <c r="T153" s="236"/>
      <c r="U153" s="236"/>
      <c r="V153" s="236"/>
      <c r="W153" s="236"/>
      <c r="X153" s="237"/>
      <c r="Y153" s="237"/>
      <c r="Z153" s="237"/>
    </row>
    <row r="154" ht="15.75" customHeight="1">
      <c r="A154" s="236"/>
      <c r="B154" s="236"/>
      <c r="C154" s="236"/>
      <c r="D154" s="236"/>
      <c r="E154" s="236"/>
      <c r="F154" s="236"/>
      <c r="G154" s="236"/>
      <c r="H154" s="236"/>
      <c r="I154" s="236"/>
      <c r="J154" s="236"/>
      <c r="K154" s="236"/>
      <c r="L154" s="236"/>
      <c r="M154" s="236"/>
      <c r="N154" s="236"/>
      <c r="O154" s="236"/>
      <c r="P154" s="236"/>
      <c r="Q154" s="236"/>
      <c r="R154" s="236"/>
      <c r="S154" s="236"/>
      <c r="T154" s="236"/>
      <c r="U154" s="236"/>
      <c r="V154" s="236"/>
      <c r="W154" s="236"/>
      <c r="X154" s="237"/>
      <c r="Y154" s="237"/>
      <c r="Z154" s="237"/>
    </row>
    <row r="155" ht="15.75" customHeight="1">
      <c r="A155" s="236"/>
      <c r="B155" s="236"/>
      <c r="C155" s="236"/>
      <c r="D155" s="236"/>
      <c r="E155" s="236"/>
      <c r="F155" s="236"/>
      <c r="G155" s="236"/>
      <c r="H155" s="236"/>
      <c r="I155" s="236"/>
      <c r="J155" s="236"/>
      <c r="K155" s="236"/>
      <c r="L155" s="236"/>
      <c r="M155" s="236"/>
      <c r="N155" s="236"/>
      <c r="O155" s="236"/>
      <c r="P155" s="236"/>
      <c r="Q155" s="236"/>
      <c r="R155" s="236"/>
      <c r="S155" s="236"/>
      <c r="T155" s="236"/>
      <c r="U155" s="236"/>
      <c r="V155" s="236"/>
      <c r="W155" s="236"/>
      <c r="X155" s="237"/>
      <c r="Y155" s="237"/>
      <c r="Z155" s="237"/>
    </row>
    <row r="156" ht="15.75" customHeight="1">
      <c r="A156" s="236"/>
      <c r="B156" s="236"/>
      <c r="C156" s="236"/>
      <c r="D156" s="236"/>
      <c r="E156" s="236"/>
      <c r="F156" s="236"/>
      <c r="G156" s="236"/>
      <c r="H156" s="236"/>
      <c r="I156" s="236"/>
      <c r="J156" s="236"/>
      <c r="K156" s="236"/>
      <c r="L156" s="236"/>
      <c r="M156" s="236"/>
      <c r="N156" s="236"/>
      <c r="O156" s="236"/>
      <c r="P156" s="236"/>
      <c r="Q156" s="236"/>
      <c r="R156" s="236"/>
      <c r="S156" s="236"/>
      <c r="T156" s="236"/>
      <c r="U156" s="236"/>
      <c r="V156" s="236"/>
      <c r="W156" s="236"/>
      <c r="X156" s="237"/>
      <c r="Y156" s="237"/>
      <c r="Z156" s="237"/>
    </row>
    <row r="157" ht="15.75" customHeight="1">
      <c r="A157" s="236"/>
      <c r="B157" s="236"/>
      <c r="C157" s="236"/>
      <c r="D157" s="236"/>
      <c r="E157" s="236"/>
      <c r="F157" s="236"/>
      <c r="G157" s="236"/>
      <c r="H157" s="236"/>
      <c r="I157" s="236"/>
      <c r="J157" s="236"/>
      <c r="K157" s="236"/>
      <c r="L157" s="236"/>
      <c r="M157" s="236"/>
      <c r="N157" s="236"/>
      <c r="O157" s="236"/>
      <c r="P157" s="236"/>
      <c r="Q157" s="236"/>
      <c r="R157" s="236"/>
      <c r="S157" s="236"/>
      <c r="T157" s="236"/>
      <c r="U157" s="236"/>
      <c r="V157" s="236"/>
      <c r="W157" s="236"/>
      <c r="X157" s="237"/>
      <c r="Y157" s="237"/>
      <c r="Z157" s="237"/>
    </row>
    <row r="158" ht="15.75" customHeight="1">
      <c r="A158" s="236"/>
      <c r="B158" s="236"/>
      <c r="C158" s="236"/>
      <c r="D158" s="236"/>
      <c r="E158" s="236"/>
      <c r="F158" s="236"/>
      <c r="G158" s="236"/>
      <c r="H158" s="236"/>
      <c r="I158" s="236"/>
      <c r="J158" s="236"/>
      <c r="K158" s="236"/>
      <c r="L158" s="236"/>
      <c r="M158" s="236"/>
      <c r="N158" s="236"/>
      <c r="O158" s="236"/>
      <c r="P158" s="236"/>
      <c r="Q158" s="236"/>
      <c r="R158" s="236"/>
      <c r="S158" s="236"/>
      <c r="T158" s="236"/>
      <c r="U158" s="236"/>
      <c r="V158" s="236"/>
      <c r="W158" s="236"/>
      <c r="X158" s="237"/>
      <c r="Y158" s="237"/>
      <c r="Z158" s="237"/>
    </row>
    <row r="159" ht="15.75" customHeight="1">
      <c r="A159" s="236"/>
      <c r="B159" s="236"/>
      <c r="C159" s="236"/>
      <c r="D159" s="236"/>
      <c r="E159" s="236"/>
      <c r="F159" s="236"/>
      <c r="G159" s="236"/>
      <c r="H159" s="236"/>
      <c r="I159" s="236"/>
      <c r="J159" s="236"/>
      <c r="K159" s="236"/>
      <c r="L159" s="236"/>
      <c r="M159" s="236"/>
      <c r="N159" s="236"/>
      <c r="O159" s="236"/>
      <c r="P159" s="236"/>
      <c r="Q159" s="236"/>
      <c r="R159" s="236"/>
      <c r="S159" s="236"/>
      <c r="T159" s="236"/>
      <c r="U159" s="236"/>
      <c r="V159" s="236"/>
      <c r="W159" s="236"/>
      <c r="X159" s="237"/>
      <c r="Y159" s="237"/>
      <c r="Z159" s="237"/>
    </row>
    <row r="160" ht="15.75" customHeight="1">
      <c r="A160" s="236"/>
      <c r="B160" s="236"/>
      <c r="C160" s="236"/>
      <c r="D160" s="236"/>
      <c r="E160" s="236"/>
      <c r="F160" s="236"/>
      <c r="G160" s="236"/>
      <c r="H160" s="236"/>
      <c r="I160" s="236"/>
      <c r="J160" s="236"/>
      <c r="K160" s="236"/>
      <c r="L160" s="236"/>
      <c r="M160" s="236"/>
      <c r="N160" s="236"/>
      <c r="O160" s="236"/>
      <c r="P160" s="236"/>
      <c r="Q160" s="236"/>
      <c r="R160" s="236"/>
      <c r="S160" s="236"/>
      <c r="T160" s="236"/>
      <c r="U160" s="236"/>
      <c r="V160" s="236"/>
      <c r="W160" s="236"/>
      <c r="X160" s="237"/>
      <c r="Y160" s="237"/>
      <c r="Z160" s="237"/>
    </row>
    <row r="161" ht="15.75" customHeight="1">
      <c r="A161" s="236"/>
      <c r="B161" s="236"/>
      <c r="C161" s="236"/>
      <c r="D161" s="236"/>
      <c r="E161" s="236"/>
      <c r="F161" s="236"/>
      <c r="G161" s="236"/>
      <c r="H161" s="236"/>
      <c r="I161" s="236"/>
      <c r="J161" s="236"/>
      <c r="K161" s="236"/>
      <c r="L161" s="236"/>
      <c r="M161" s="236"/>
      <c r="N161" s="236"/>
      <c r="O161" s="236"/>
      <c r="P161" s="236"/>
      <c r="Q161" s="236"/>
      <c r="R161" s="236"/>
      <c r="S161" s="236"/>
      <c r="T161" s="236"/>
      <c r="U161" s="236"/>
      <c r="V161" s="236"/>
      <c r="W161" s="236"/>
      <c r="X161" s="237"/>
      <c r="Y161" s="237"/>
      <c r="Z161" s="237"/>
    </row>
    <row r="162" ht="15.75" customHeight="1">
      <c r="A162" s="236"/>
      <c r="B162" s="236"/>
      <c r="C162" s="236"/>
      <c r="D162" s="236"/>
      <c r="E162" s="236"/>
      <c r="F162" s="236"/>
      <c r="G162" s="236"/>
      <c r="H162" s="236"/>
      <c r="I162" s="236"/>
      <c r="J162" s="236"/>
      <c r="K162" s="236"/>
      <c r="L162" s="236"/>
      <c r="M162" s="236"/>
      <c r="N162" s="236"/>
      <c r="O162" s="236"/>
      <c r="P162" s="236"/>
      <c r="Q162" s="236"/>
      <c r="R162" s="236"/>
      <c r="S162" s="236"/>
      <c r="T162" s="236"/>
      <c r="U162" s="236"/>
      <c r="V162" s="236"/>
      <c r="W162" s="236"/>
      <c r="X162" s="237"/>
      <c r="Y162" s="237"/>
      <c r="Z162" s="237"/>
    </row>
    <row r="163" ht="15.75" customHeight="1">
      <c r="A163" s="236"/>
      <c r="B163" s="236"/>
      <c r="C163" s="236"/>
      <c r="D163" s="236"/>
      <c r="E163" s="236"/>
      <c r="F163" s="236"/>
      <c r="G163" s="236"/>
      <c r="H163" s="236"/>
      <c r="I163" s="236"/>
      <c r="J163" s="236"/>
      <c r="K163" s="236"/>
      <c r="L163" s="236"/>
      <c r="M163" s="236"/>
      <c r="N163" s="236"/>
      <c r="O163" s="236"/>
      <c r="P163" s="236"/>
      <c r="Q163" s="236"/>
      <c r="R163" s="236"/>
      <c r="S163" s="236"/>
      <c r="T163" s="236"/>
      <c r="U163" s="236"/>
      <c r="V163" s="236"/>
      <c r="W163" s="236"/>
      <c r="X163" s="237"/>
      <c r="Y163" s="237"/>
      <c r="Z163" s="237"/>
    </row>
    <row r="164" ht="15.75" customHeight="1">
      <c r="A164" s="236"/>
      <c r="B164" s="236"/>
      <c r="C164" s="236"/>
      <c r="D164" s="236"/>
      <c r="E164" s="236"/>
      <c r="F164" s="236"/>
      <c r="G164" s="236"/>
      <c r="H164" s="236"/>
      <c r="I164" s="236"/>
      <c r="J164" s="236"/>
      <c r="K164" s="236"/>
      <c r="L164" s="236"/>
      <c r="M164" s="236"/>
      <c r="N164" s="236"/>
      <c r="O164" s="236"/>
      <c r="P164" s="236"/>
      <c r="Q164" s="236"/>
      <c r="R164" s="236"/>
      <c r="S164" s="236"/>
      <c r="T164" s="236"/>
      <c r="U164" s="236"/>
      <c r="V164" s="236"/>
      <c r="W164" s="236"/>
      <c r="X164" s="237"/>
      <c r="Y164" s="237"/>
      <c r="Z164" s="237"/>
    </row>
    <row r="165" ht="15.75" customHeight="1">
      <c r="A165" s="236"/>
      <c r="B165" s="236"/>
      <c r="C165" s="236"/>
      <c r="D165" s="236"/>
      <c r="E165" s="236"/>
      <c r="F165" s="236"/>
      <c r="G165" s="236"/>
      <c r="H165" s="236"/>
      <c r="I165" s="236"/>
      <c r="J165" s="236"/>
      <c r="K165" s="236"/>
      <c r="L165" s="236"/>
      <c r="M165" s="236"/>
      <c r="N165" s="236"/>
      <c r="O165" s="236"/>
      <c r="P165" s="236"/>
      <c r="Q165" s="236"/>
      <c r="R165" s="236"/>
      <c r="S165" s="236"/>
      <c r="T165" s="236"/>
      <c r="U165" s="236"/>
      <c r="V165" s="236"/>
      <c r="W165" s="236"/>
      <c r="X165" s="237"/>
      <c r="Y165" s="237"/>
      <c r="Z165" s="237"/>
    </row>
    <row r="166" ht="15.75" customHeight="1">
      <c r="A166" s="236"/>
      <c r="B166" s="236"/>
      <c r="C166" s="236"/>
      <c r="D166" s="236"/>
      <c r="E166" s="236"/>
      <c r="F166" s="236"/>
      <c r="G166" s="236"/>
      <c r="H166" s="236"/>
      <c r="I166" s="236"/>
      <c r="J166" s="236"/>
      <c r="K166" s="236"/>
      <c r="L166" s="236"/>
      <c r="M166" s="236"/>
      <c r="N166" s="236"/>
      <c r="O166" s="236"/>
      <c r="P166" s="236"/>
      <c r="Q166" s="236"/>
      <c r="R166" s="236"/>
      <c r="S166" s="236"/>
      <c r="T166" s="236"/>
      <c r="U166" s="236"/>
      <c r="V166" s="236"/>
      <c r="W166" s="236"/>
      <c r="X166" s="237"/>
      <c r="Y166" s="237"/>
      <c r="Z166" s="237"/>
    </row>
    <row r="167" ht="15.75" customHeight="1">
      <c r="A167" s="236"/>
      <c r="B167" s="236"/>
      <c r="C167" s="236"/>
      <c r="D167" s="236"/>
      <c r="E167" s="236"/>
      <c r="F167" s="236"/>
      <c r="G167" s="236"/>
      <c r="H167" s="236"/>
      <c r="I167" s="236"/>
      <c r="J167" s="236"/>
      <c r="K167" s="236"/>
      <c r="L167" s="236"/>
      <c r="M167" s="236"/>
      <c r="N167" s="236"/>
      <c r="O167" s="236"/>
      <c r="P167" s="236"/>
      <c r="Q167" s="236"/>
      <c r="R167" s="236"/>
      <c r="S167" s="236"/>
      <c r="T167" s="236"/>
      <c r="U167" s="236"/>
      <c r="V167" s="236"/>
      <c r="W167" s="236"/>
      <c r="X167" s="237"/>
      <c r="Y167" s="237"/>
      <c r="Z167" s="237"/>
    </row>
    <row r="168" ht="15.75" customHeight="1">
      <c r="A168" s="236"/>
      <c r="B168" s="236"/>
      <c r="C168" s="236"/>
      <c r="D168" s="236"/>
      <c r="E168" s="236"/>
      <c r="F168" s="236"/>
      <c r="G168" s="236"/>
      <c r="H168" s="236"/>
      <c r="I168" s="236"/>
      <c r="J168" s="236"/>
      <c r="K168" s="236"/>
      <c r="L168" s="236"/>
      <c r="M168" s="236"/>
      <c r="N168" s="236"/>
      <c r="O168" s="236"/>
      <c r="P168" s="236"/>
      <c r="Q168" s="236"/>
      <c r="R168" s="236"/>
      <c r="S168" s="236"/>
      <c r="T168" s="236"/>
      <c r="U168" s="236"/>
      <c r="V168" s="236"/>
      <c r="W168" s="236"/>
      <c r="X168" s="237"/>
      <c r="Y168" s="237"/>
      <c r="Z168" s="237"/>
    </row>
    <row r="169" ht="15.75" customHeight="1">
      <c r="A169" s="236"/>
      <c r="B169" s="236"/>
      <c r="C169" s="236"/>
      <c r="D169" s="236"/>
      <c r="E169" s="236"/>
      <c r="F169" s="236"/>
      <c r="G169" s="236"/>
      <c r="H169" s="236"/>
      <c r="I169" s="236"/>
      <c r="J169" s="236"/>
      <c r="K169" s="236"/>
      <c r="L169" s="236"/>
      <c r="M169" s="236"/>
      <c r="N169" s="236"/>
      <c r="O169" s="236"/>
      <c r="P169" s="236"/>
      <c r="Q169" s="236"/>
      <c r="R169" s="236"/>
      <c r="S169" s="236"/>
      <c r="T169" s="236"/>
      <c r="U169" s="236"/>
      <c r="V169" s="236"/>
      <c r="W169" s="236"/>
      <c r="X169" s="237"/>
      <c r="Y169" s="237"/>
      <c r="Z169" s="237"/>
    </row>
    <row r="170" ht="15.75" customHeight="1">
      <c r="A170" s="236"/>
      <c r="B170" s="236"/>
      <c r="C170" s="236"/>
      <c r="D170" s="236"/>
      <c r="E170" s="236"/>
      <c r="F170" s="236"/>
      <c r="G170" s="236"/>
      <c r="H170" s="236"/>
      <c r="I170" s="236"/>
      <c r="J170" s="236"/>
      <c r="K170" s="236"/>
      <c r="L170" s="236"/>
      <c r="M170" s="236"/>
      <c r="N170" s="236"/>
      <c r="O170" s="236"/>
      <c r="P170" s="236"/>
      <c r="Q170" s="236"/>
      <c r="R170" s="236"/>
      <c r="S170" s="236"/>
      <c r="T170" s="236"/>
      <c r="U170" s="236"/>
      <c r="V170" s="236"/>
      <c r="W170" s="236"/>
      <c r="X170" s="237"/>
      <c r="Y170" s="237"/>
      <c r="Z170" s="237"/>
    </row>
    <row r="171" ht="15.75" customHeight="1">
      <c r="A171" s="236"/>
      <c r="B171" s="236"/>
      <c r="C171" s="236"/>
      <c r="D171" s="236"/>
      <c r="E171" s="236"/>
      <c r="F171" s="236"/>
      <c r="G171" s="236"/>
      <c r="H171" s="236"/>
      <c r="I171" s="236"/>
      <c r="J171" s="236"/>
      <c r="K171" s="236"/>
      <c r="L171" s="236"/>
      <c r="M171" s="236"/>
      <c r="N171" s="236"/>
      <c r="O171" s="236"/>
      <c r="P171" s="236"/>
      <c r="Q171" s="236"/>
      <c r="R171" s="236"/>
      <c r="S171" s="236"/>
      <c r="T171" s="236"/>
      <c r="U171" s="236"/>
      <c r="V171" s="236"/>
      <c r="W171" s="236"/>
      <c r="X171" s="237"/>
      <c r="Y171" s="237"/>
      <c r="Z171" s="237"/>
    </row>
    <row r="172" ht="15.75" customHeight="1">
      <c r="A172" s="236"/>
      <c r="B172" s="236"/>
      <c r="C172" s="236"/>
      <c r="D172" s="236"/>
      <c r="E172" s="236"/>
      <c r="F172" s="236"/>
      <c r="G172" s="236"/>
      <c r="H172" s="236"/>
      <c r="I172" s="236"/>
      <c r="J172" s="236"/>
      <c r="K172" s="236"/>
      <c r="L172" s="236"/>
      <c r="M172" s="236"/>
      <c r="N172" s="236"/>
      <c r="O172" s="236"/>
      <c r="P172" s="236"/>
      <c r="Q172" s="236"/>
      <c r="R172" s="236"/>
      <c r="S172" s="236"/>
      <c r="T172" s="236"/>
      <c r="U172" s="236"/>
      <c r="V172" s="236"/>
      <c r="W172" s="236"/>
      <c r="X172" s="237"/>
      <c r="Y172" s="237"/>
      <c r="Z172" s="237"/>
    </row>
    <row r="173" ht="15.75" customHeight="1">
      <c r="A173" s="236"/>
      <c r="B173" s="236"/>
      <c r="C173" s="236"/>
      <c r="D173" s="236"/>
      <c r="E173" s="236"/>
      <c r="F173" s="236"/>
      <c r="G173" s="236"/>
      <c r="H173" s="236"/>
      <c r="I173" s="236"/>
      <c r="J173" s="236"/>
      <c r="K173" s="236"/>
      <c r="L173" s="236"/>
      <c r="M173" s="236"/>
      <c r="N173" s="236"/>
      <c r="O173" s="236"/>
      <c r="P173" s="236"/>
      <c r="Q173" s="236"/>
      <c r="R173" s="236"/>
      <c r="S173" s="236"/>
      <c r="T173" s="236"/>
      <c r="U173" s="236"/>
      <c r="V173" s="236"/>
      <c r="W173" s="236"/>
      <c r="X173" s="237"/>
      <c r="Y173" s="237"/>
      <c r="Z173" s="237"/>
    </row>
    <row r="174" ht="15.75" customHeight="1">
      <c r="A174" s="236"/>
      <c r="B174" s="236"/>
      <c r="C174" s="236"/>
      <c r="D174" s="236"/>
      <c r="E174" s="236"/>
      <c r="F174" s="236"/>
      <c r="G174" s="236"/>
      <c r="H174" s="236"/>
      <c r="I174" s="236"/>
      <c r="J174" s="236"/>
      <c r="K174" s="236"/>
      <c r="L174" s="236"/>
      <c r="M174" s="236"/>
      <c r="N174" s="236"/>
      <c r="O174" s="236"/>
      <c r="P174" s="236"/>
      <c r="Q174" s="236"/>
      <c r="R174" s="236"/>
      <c r="S174" s="236"/>
      <c r="T174" s="236"/>
      <c r="U174" s="236"/>
      <c r="V174" s="236"/>
      <c r="W174" s="236"/>
      <c r="X174" s="237"/>
      <c r="Y174" s="237"/>
      <c r="Z174" s="237"/>
    </row>
    <row r="175" ht="15.75" customHeight="1">
      <c r="A175" s="236"/>
      <c r="B175" s="236"/>
      <c r="C175" s="236"/>
      <c r="D175" s="236"/>
      <c r="E175" s="236"/>
      <c r="F175" s="236"/>
      <c r="G175" s="236"/>
      <c r="H175" s="236"/>
      <c r="I175" s="236"/>
      <c r="J175" s="236"/>
      <c r="K175" s="236"/>
      <c r="L175" s="236"/>
      <c r="M175" s="236"/>
      <c r="N175" s="236"/>
      <c r="O175" s="236"/>
      <c r="P175" s="236"/>
      <c r="Q175" s="236"/>
      <c r="R175" s="236"/>
      <c r="S175" s="236"/>
      <c r="T175" s="236"/>
      <c r="U175" s="236"/>
      <c r="V175" s="236"/>
      <c r="W175" s="236"/>
      <c r="X175" s="237"/>
      <c r="Y175" s="237"/>
      <c r="Z175" s="237"/>
    </row>
    <row r="176" ht="15.75" customHeight="1">
      <c r="A176" s="236"/>
      <c r="B176" s="236"/>
      <c r="C176" s="236"/>
      <c r="D176" s="236"/>
      <c r="E176" s="236"/>
      <c r="F176" s="236"/>
      <c r="G176" s="236"/>
      <c r="H176" s="236"/>
      <c r="I176" s="236"/>
      <c r="J176" s="236"/>
      <c r="K176" s="236"/>
      <c r="L176" s="236"/>
      <c r="M176" s="236"/>
      <c r="N176" s="236"/>
      <c r="O176" s="236"/>
      <c r="P176" s="236"/>
      <c r="Q176" s="236"/>
      <c r="R176" s="236"/>
      <c r="S176" s="236"/>
      <c r="T176" s="236"/>
      <c r="U176" s="236"/>
      <c r="V176" s="236"/>
      <c r="W176" s="236"/>
      <c r="X176" s="237"/>
      <c r="Y176" s="237"/>
      <c r="Z176" s="237"/>
    </row>
    <row r="177" ht="15.75" customHeight="1">
      <c r="A177" s="236"/>
      <c r="B177" s="236"/>
      <c r="C177" s="236"/>
      <c r="D177" s="236"/>
      <c r="E177" s="236"/>
      <c r="F177" s="236"/>
      <c r="G177" s="236"/>
      <c r="H177" s="236"/>
      <c r="I177" s="236"/>
      <c r="J177" s="236"/>
      <c r="K177" s="236"/>
      <c r="L177" s="236"/>
      <c r="M177" s="236"/>
      <c r="N177" s="236"/>
      <c r="O177" s="236"/>
      <c r="P177" s="236"/>
      <c r="Q177" s="236"/>
      <c r="R177" s="236"/>
      <c r="S177" s="236"/>
      <c r="T177" s="236"/>
      <c r="U177" s="236"/>
      <c r="V177" s="236"/>
      <c r="W177" s="236"/>
      <c r="X177" s="237"/>
      <c r="Y177" s="237"/>
      <c r="Z177" s="237"/>
    </row>
    <row r="178" ht="15.75" customHeight="1">
      <c r="A178" s="236"/>
      <c r="B178" s="236"/>
      <c r="C178" s="236"/>
      <c r="D178" s="236"/>
      <c r="E178" s="236"/>
      <c r="F178" s="236"/>
      <c r="G178" s="236"/>
      <c r="H178" s="236"/>
      <c r="I178" s="236"/>
      <c r="J178" s="236"/>
      <c r="K178" s="236"/>
      <c r="L178" s="236"/>
      <c r="M178" s="236"/>
      <c r="N178" s="236"/>
      <c r="O178" s="236"/>
      <c r="P178" s="236"/>
      <c r="Q178" s="236"/>
      <c r="R178" s="236"/>
      <c r="S178" s="236"/>
      <c r="T178" s="236"/>
      <c r="U178" s="236"/>
      <c r="V178" s="236"/>
      <c r="W178" s="236"/>
      <c r="X178" s="237"/>
      <c r="Y178" s="237"/>
      <c r="Z178" s="237"/>
    </row>
    <row r="179" ht="15.75" customHeight="1">
      <c r="A179" s="236"/>
      <c r="B179" s="236"/>
      <c r="C179" s="236"/>
      <c r="D179" s="236"/>
      <c r="E179" s="236"/>
      <c r="F179" s="236"/>
      <c r="G179" s="236"/>
      <c r="H179" s="236"/>
      <c r="I179" s="236"/>
      <c r="J179" s="236"/>
      <c r="K179" s="236"/>
      <c r="L179" s="236"/>
      <c r="M179" s="236"/>
      <c r="N179" s="236"/>
      <c r="O179" s="236"/>
      <c r="P179" s="236"/>
      <c r="Q179" s="236"/>
      <c r="R179" s="236"/>
      <c r="S179" s="236"/>
      <c r="T179" s="236"/>
      <c r="U179" s="236"/>
      <c r="V179" s="236"/>
      <c r="W179" s="236"/>
      <c r="X179" s="237"/>
      <c r="Y179" s="237"/>
      <c r="Z179" s="237"/>
    </row>
    <row r="180" ht="15.75" customHeight="1">
      <c r="A180" s="236"/>
      <c r="B180" s="236"/>
      <c r="C180" s="236"/>
      <c r="D180" s="236"/>
      <c r="E180" s="236"/>
      <c r="F180" s="236"/>
      <c r="G180" s="236"/>
      <c r="H180" s="236"/>
      <c r="I180" s="236"/>
      <c r="J180" s="236"/>
      <c r="K180" s="236"/>
      <c r="L180" s="236"/>
      <c r="M180" s="236"/>
      <c r="N180" s="236"/>
      <c r="O180" s="236"/>
      <c r="P180" s="236"/>
      <c r="Q180" s="236"/>
      <c r="R180" s="236"/>
      <c r="S180" s="236"/>
      <c r="T180" s="236"/>
      <c r="U180" s="236"/>
      <c r="V180" s="236"/>
      <c r="W180" s="236"/>
      <c r="X180" s="237"/>
      <c r="Y180" s="237"/>
      <c r="Z180" s="237"/>
    </row>
    <row r="181" ht="15.75" customHeight="1">
      <c r="A181" s="236"/>
      <c r="B181" s="236"/>
      <c r="C181" s="236"/>
      <c r="D181" s="236"/>
      <c r="E181" s="236"/>
      <c r="F181" s="236"/>
      <c r="G181" s="236"/>
      <c r="H181" s="236"/>
      <c r="I181" s="236"/>
      <c r="J181" s="236"/>
      <c r="K181" s="236"/>
      <c r="L181" s="236"/>
      <c r="M181" s="236"/>
      <c r="N181" s="236"/>
      <c r="O181" s="236"/>
      <c r="P181" s="236"/>
      <c r="Q181" s="236"/>
      <c r="R181" s="236"/>
      <c r="S181" s="236"/>
      <c r="T181" s="236"/>
      <c r="U181" s="236"/>
      <c r="V181" s="236"/>
      <c r="W181" s="236"/>
      <c r="X181" s="237"/>
      <c r="Y181" s="237"/>
      <c r="Z181" s="237"/>
    </row>
    <row r="182" ht="15.75" customHeight="1">
      <c r="A182" s="236"/>
      <c r="B182" s="236"/>
      <c r="C182" s="236"/>
      <c r="D182" s="236"/>
      <c r="E182" s="236"/>
      <c r="F182" s="236"/>
      <c r="G182" s="236"/>
      <c r="H182" s="236"/>
      <c r="I182" s="236"/>
      <c r="J182" s="236"/>
      <c r="K182" s="236"/>
      <c r="L182" s="236"/>
      <c r="M182" s="236"/>
      <c r="N182" s="236"/>
      <c r="O182" s="236"/>
      <c r="P182" s="236"/>
      <c r="Q182" s="236"/>
      <c r="R182" s="236"/>
      <c r="S182" s="236"/>
      <c r="T182" s="236"/>
      <c r="U182" s="236"/>
      <c r="V182" s="236"/>
      <c r="W182" s="236"/>
      <c r="X182" s="237"/>
      <c r="Y182" s="237"/>
      <c r="Z182" s="237"/>
    </row>
    <row r="183" ht="15.75" customHeight="1">
      <c r="A183" s="236"/>
      <c r="B183" s="236"/>
      <c r="C183" s="236"/>
      <c r="D183" s="236"/>
      <c r="E183" s="236"/>
      <c r="F183" s="236"/>
      <c r="G183" s="236"/>
      <c r="H183" s="236"/>
      <c r="I183" s="236"/>
      <c r="J183" s="236"/>
      <c r="K183" s="236"/>
      <c r="L183" s="236"/>
      <c r="M183" s="236"/>
      <c r="N183" s="236"/>
      <c r="O183" s="236"/>
      <c r="P183" s="236"/>
      <c r="Q183" s="236"/>
      <c r="R183" s="236"/>
      <c r="S183" s="236"/>
      <c r="T183" s="236"/>
      <c r="U183" s="236"/>
      <c r="V183" s="236"/>
      <c r="W183" s="236"/>
      <c r="X183" s="237"/>
      <c r="Y183" s="237"/>
      <c r="Z183" s="237"/>
    </row>
    <row r="184" ht="15.75" customHeight="1">
      <c r="A184" s="236"/>
      <c r="B184" s="236"/>
      <c r="C184" s="236"/>
      <c r="D184" s="236"/>
      <c r="E184" s="236"/>
      <c r="F184" s="236"/>
      <c r="G184" s="236"/>
      <c r="H184" s="236"/>
      <c r="I184" s="236"/>
      <c r="J184" s="236"/>
      <c r="K184" s="236"/>
      <c r="L184" s="236"/>
      <c r="M184" s="236"/>
      <c r="N184" s="236"/>
      <c r="O184" s="236"/>
      <c r="P184" s="236"/>
      <c r="Q184" s="236"/>
      <c r="R184" s="236"/>
      <c r="S184" s="236"/>
      <c r="T184" s="236"/>
      <c r="U184" s="236"/>
      <c r="V184" s="236"/>
      <c r="W184" s="236"/>
      <c r="X184" s="237"/>
      <c r="Y184" s="237"/>
      <c r="Z184" s="237"/>
    </row>
    <row r="185" ht="15.75" customHeight="1">
      <c r="A185" s="236"/>
      <c r="B185" s="236"/>
      <c r="C185" s="236"/>
      <c r="D185" s="236"/>
      <c r="E185" s="236"/>
      <c r="F185" s="236"/>
      <c r="G185" s="236"/>
      <c r="H185" s="236"/>
      <c r="I185" s="236"/>
      <c r="J185" s="236"/>
      <c r="K185" s="236"/>
      <c r="L185" s="236"/>
      <c r="M185" s="236"/>
      <c r="N185" s="236"/>
      <c r="O185" s="236"/>
      <c r="P185" s="236"/>
      <c r="Q185" s="236"/>
      <c r="R185" s="236"/>
      <c r="S185" s="236"/>
      <c r="T185" s="236"/>
      <c r="U185" s="236"/>
      <c r="V185" s="236"/>
      <c r="W185" s="236"/>
      <c r="X185" s="237"/>
      <c r="Y185" s="237"/>
      <c r="Z185" s="237"/>
    </row>
    <row r="186" ht="15.75" customHeight="1">
      <c r="A186" s="236"/>
      <c r="B186" s="236"/>
      <c r="C186" s="236"/>
      <c r="D186" s="236"/>
      <c r="E186" s="236"/>
      <c r="F186" s="236"/>
      <c r="G186" s="236"/>
      <c r="H186" s="236"/>
      <c r="I186" s="236"/>
      <c r="J186" s="236"/>
      <c r="K186" s="236"/>
      <c r="L186" s="236"/>
      <c r="M186" s="236"/>
      <c r="N186" s="236"/>
      <c r="O186" s="236"/>
      <c r="P186" s="236"/>
      <c r="Q186" s="236"/>
      <c r="R186" s="236"/>
      <c r="S186" s="236"/>
      <c r="T186" s="236"/>
      <c r="U186" s="236"/>
      <c r="V186" s="236"/>
      <c r="W186" s="236"/>
      <c r="X186" s="237"/>
      <c r="Y186" s="237"/>
      <c r="Z186" s="237"/>
    </row>
    <row r="187" ht="15.75" customHeight="1">
      <c r="A187" s="236"/>
      <c r="B187" s="236"/>
      <c r="C187" s="236"/>
      <c r="D187" s="236"/>
      <c r="E187" s="236"/>
      <c r="F187" s="236"/>
      <c r="G187" s="236"/>
      <c r="H187" s="236"/>
      <c r="I187" s="236"/>
      <c r="J187" s="236"/>
      <c r="K187" s="236"/>
      <c r="L187" s="236"/>
      <c r="M187" s="236"/>
      <c r="N187" s="236"/>
      <c r="O187" s="236"/>
      <c r="P187" s="236"/>
      <c r="Q187" s="236"/>
      <c r="R187" s="236"/>
      <c r="S187" s="236"/>
      <c r="T187" s="236"/>
      <c r="U187" s="236"/>
      <c r="V187" s="236"/>
      <c r="W187" s="236"/>
      <c r="X187" s="237"/>
      <c r="Y187" s="237"/>
      <c r="Z187" s="237"/>
    </row>
    <row r="188" ht="15.75" customHeight="1">
      <c r="A188" s="236"/>
      <c r="B188" s="236"/>
      <c r="C188" s="236"/>
      <c r="D188" s="236"/>
      <c r="E188" s="236"/>
      <c r="F188" s="236"/>
      <c r="G188" s="236"/>
      <c r="H188" s="236"/>
      <c r="I188" s="236"/>
      <c r="J188" s="236"/>
      <c r="K188" s="236"/>
      <c r="L188" s="236"/>
      <c r="M188" s="236"/>
      <c r="N188" s="236"/>
      <c r="O188" s="236"/>
      <c r="P188" s="236"/>
      <c r="Q188" s="236"/>
      <c r="R188" s="236"/>
      <c r="S188" s="236"/>
      <c r="T188" s="236"/>
      <c r="U188" s="236"/>
      <c r="V188" s="236"/>
      <c r="W188" s="236"/>
      <c r="X188" s="237"/>
      <c r="Y188" s="237"/>
      <c r="Z188" s="237"/>
    </row>
    <row r="189" ht="15.75" customHeight="1">
      <c r="A189" s="236"/>
      <c r="B189" s="236"/>
      <c r="C189" s="236"/>
      <c r="D189" s="236"/>
      <c r="E189" s="236"/>
      <c r="F189" s="236"/>
      <c r="G189" s="236"/>
      <c r="H189" s="236"/>
      <c r="I189" s="236"/>
      <c r="J189" s="236"/>
      <c r="K189" s="236"/>
      <c r="L189" s="236"/>
      <c r="M189" s="236"/>
      <c r="N189" s="236"/>
      <c r="O189" s="236"/>
      <c r="P189" s="236"/>
      <c r="Q189" s="236"/>
      <c r="R189" s="236"/>
      <c r="S189" s="236"/>
      <c r="T189" s="236"/>
      <c r="U189" s="236"/>
      <c r="V189" s="236"/>
      <c r="W189" s="236"/>
      <c r="X189" s="237"/>
      <c r="Y189" s="237"/>
      <c r="Z189" s="237"/>
    </row>
    <row r="190" ht="15.75" customHeight="1">
      <c r="A190" s="236"/>
      <c r="B190" s="236"/>
      <c r="C190" s="236"/>
      <c r="D190" s="236"/>
      <c r="E190" s="236"/>
      <c r="F190" s="236"/>
      <c r="G190" s="236"/>
      <c r="H190" s="236"/>
      <c r="I190" s="236"/>
      <c r="J190" s="236"/>
      <c r="K190" s="236"/>
      <c r="L190" s="236"/>
      <c r="M190" s="236"/>
      <c r="N190" s="236"/>
      <c r="O190" s="236"/>
      <c r="P190" s="236"/>
      <c r="Q190" s="236"/>
      <c r="R190" s="236"/>
      <c r="S190" s="236"/>
      <c r="T190" s="236"/>
      <c r="U190" s="236"/>
      <c r="V190" s="236"/>
      <c r="W190" s="236"/>
      <c r="X190" s="237"/>
      <c r="Y190" s="237"/>
      <c r="Z190" s="237"/>
    </row>
    <row r="191" ht="15.75" customHeight="1">
      <c r="A191" s="236"/>
      <c r="B191" s="236"/>
      <c r="C191" s="236"/>
      <c r="D191" s="236"/>
      <c r="E191" s="236"/>
      <c r="F191" s="236"/>
      <c r="G191" s="236"/>
      <c r="H191" s="236"/>
      <c r="I191" s="236"/>
      <c r="J191" s="236"/>
      <c r="K191" s="236"/>
      <c r="L191" s="236"/>
      <c r="M191" s="236"/>
      <c r="N191" s="236"/>
      <c r="O191" s="236"/>
      <c r="P191" s="236"/>
      <c r="Q191" s="236"/>
      <c r="R191" s="236"/>
      <c r="S191" s="236"/>
      <c r="T191" s="236"/>
      <c r="U191" s="236"/>
      <c r="V191" s="236"/>
      <c r="W191" s="236"/>
      <c r="X191" s="237"/>
      <c r="Y191" s="237"/>
      <c r="Z191" s="237"/>
    </row>
    <row r="192" ht="15.75" customHeight="1">
      <c r="A192" s="236"/>
      <c r="B192" s="236"/>
      <c r="C192" s="236"/>
      <c r="D192" s="236"/>
      <c r="E192" s="236"/>
      <c r="F192" s="236"/>
      <c r="G192" s="236"/>
      <c r="H192" s="236"/>
      <c r="I192" s="236"/>
      <c r="J192" s="236"/>
      <c r="K192" s="236"/>
      <c r="L192" s="236"/>
      <c r="M192" s="236"/>
      <c r="N192" s="236"/>
      <c r="O192" s="236"/>
      <c r="P192" s="236"/>
      <c r="Q192" s="236"/>
      <c r="R192" s="236"/>
      <c r="S192" s="236"/>
      <c r="T192" s="236"/>
      <c r="U192" s="236"/>
      <c r="V192" s="236"/>
      <c r="W192" s="236"/>
      <c r="X192" s="237"/>
      <c r="Y192" s="237"/>
      <c r="Z192" s="237"/>
    </row>
    <row r="193" ht="15.75" customHeight="1">
      <c r="A193" s="236"/>
      <c r="B193" s="236"/>
      <c r="C193" s="236"/>
      <c r="D193" s="236"/>
      <c r="E193" s="236"/>
      <c r="F193" s="236"/>
      <c r="G193" s="236"/>
      <c r="H193" s="236"/>
      <c r="I193" s="236"/>
      <c r="J193" s="236"/>
      <c r="K193" s="236"/>
      <c r="L193" s="236"/>
      <c r="M193" s="236"/>
      <c r="N193" s="236"/>
      <c r="O193" s="236"/>
      <c r="P193" s="236"/>
      <c r="Q193" s="236"/>
      <c r="R193" s="236"/>
      <c r="S193" s="236"/>
      <c r="T193" s="236"/>
      <c r="U193" s="236"/>
      <c r="V193" s="236"/>
      <c r="W193" s="236"/>
      <c r="X193" s="237"/>
      <c r="Y193" s="237"/>
      <c r="Z193" s="237"/>
    </row>
    <row r="194" ht="15.75" customHeight="1">
      <c r="A194" s="236"/>
      <c r="B194" s="236"/>
      <c r="C194" s="236"/>
      <c r="D194" s="236"/>
      <c r="E194" s="236"/>
      <c r="F194" s="236"/>
      <c r="G194" s="236"/>
      <c r="H194" s="236"/>
      <c r="I194" s="236"/>
      <c r="J194" s="236"/>
      <c r="K194" s="236"/>
      <c r="L194" s="236"/>
      <c r="M194" s="236"/>
      <c r="N194" s="236"/>
      <c r="O194" s="236"/>
      <c r="P194" s="236"/>
      <c r="Q194" s="236"/>
      <c r="R194" s="236"/>
      <c r="S194" s="236"/>
      <c r="T194" s="236"/>
      <c r="U194" s="236"/>
      <c r="V194" s="236"/>
      <c r="W194" s="236"/>
      <c r="X194" s="237"/>
      <c r="Y194" s="237"/>
      <c r="Z194" s="237"/>
    </row>
    <row r="195" ht="15.75" customHeight="1">
      <c r="A195" s="236"/>
      <c r="B195" s="236"/>
      <c r="C195" s="236"/>
      <c r="D195" s="236"/>
      <c r="E195" s="236"/>
      <c r="F195" s="236"/>
      <c r="G195" s="236"/>
      <c r="H195" s="236"/>
      <c r="I195" s="236"/>
      <c r="J195" s="236"/>
      <c r="K195" s="236"/>
      <c r="L195" s="236"/>
      <c r="M195" s="236"/>
      <c r="N195" s="236"/>
      <c r="O195" s="236"/>
      <c r="P195" s="236"/>
      <c r="Q195" s="236"/>
      <c r="R195" s="236"/>
      <c r="S195" s="236"/>
      <c r="T195" s="236"/>
      <c r="U195" s="236"/>
      <c r="V195" s="236"/>
      <c r="W195" s="236"/>
      <c r="X195" s="237"/>
      <c r="Y195" s="237"/>
      <c r="Z195" s="237"/>
    </row>
    <row r="196" ht="15.75" customHeight="1">
      <c r="A196" s="236"/>
      <c r="B196" s="236"/>
      <c r="C196" s="236"/>
      <c r="D196" s="236"/>
      <c r="E196" s="236"/>
      <c r="F196" s="236"/>
      <c r="G196" s="236"/>
      <c r="H196" s="236"/>
      <c r="I196" s="236"/>
      <c r="J196" s="236"/>
      <c r="K196" s="236"/>
      <c r="L196" s="236"/>
      <c r="M196" s="236"/>
      <c r="N196" s="236"/>
      <c r="O196" s="236"/>
      <c r="P196" s="236"/>
      <c r="Q196" s="236"/>
      <c r="R196" s="236"/>
      <c r="S196" s="236"/>
      <c r="T196" s="236"/>
      <c r="U196" s="236"/>
      <c r="V196" s="236"/>
      <c r="W196" s="236"/>
      <c r="X196" s="237"/>
      <c r="Y196" s="237"/>
      <c r="Z196" s="237"/>
    </row>
    <row r="197" ht="15.75" customHeight="1">
      <c r="A197" s="236"/>
      <c r="B197" s="236"/>
      <c r="C197" s="236"/>
      <c r="D197" s="236"/>
      <c r="E197" s="236"/>
      <c r="F197" s="236"/>
      <c r="G197" s="236"/>
      <c r="H197" s="236"/>
      <c r="I197" s="236"/>
      <c r="J197" s="236"/>
      <c r="K197" s="236"/>
      <c r="L197" s="236"/>
      <c r="M197" s="236"/>
      <c r="N197" s="236"/>
      <c r="O197" s="236"/>
      <c r="P197" s="236"/>
      <c r="Q197" s="236"/>
      <c r="R197" s="236"/>
      <c r="S197" s="236"/>
      <c r="T197" s="236"/>
      <c r="U197" s="236"/>
      <c r="V197" s="236"/>
      <c r="W197" s="236"/>
      <c r="X197" s="237"/>
      <c r="Y197" s="237"/>
      <c r="Z197" s="237"/>
    </row>
    <row r="198" ht="15.75" customHeight="1">
      <c r="A198" s="236"/>
      <c r="B198" s="236"/>
      <c r="C198" s="236"/>
      <c r="D198" s="236"/>
      <c r="E198" s="236"/>
      <c r="F198" s="236"/>
      <c r="G198" s="236"/>
      <c r="H198" s="236"/>
      <c r="I198" s="236"/>
      <c r="J198" s="236"/>
      <c r="K198" s="236"/>
      <c r="L198" s="236"/>
      <c r="M198" s="236"/>
      <c r="N198" s="236"/>
      <c r="O198" s="236"/>
      <c r="P198" s="236"/>
      <c r="Q198" s="236"/>
      <c r="R198" s="236"/>
      <c r="S198" s="236"/>
      <c r="T198" s="236"/>
      <c r="U198" s="236"/>
      <c r="V198" s="236"/>
      <c r="W198" s="236"/>
      <c r="X198" s="237"/>
      <c r="Y198" s="237"/>
      <c r="Z198" s="237"/>
    </row>
    <row r="199" ht="15.75" customHeight="1">
      <c r="A199" s="236"/>
      <c r="B199" s="236"/>
      <c r="C199" s="236"/>
      <c r="D199" s="236"/>
      <c r="E199" s="236"/>
      <c r="F199" s="236"/>
      <c r="G199" s="236"/>
      <c r="H199" s="236"/>
      <c r="I199" s="236"/>
      <c r="J199" s="236"/>
      <c r="K199" s="236"/>
      <c r="L199" s="236"/>
      <c r="M199" s="236"/>
      <c r="N199" s="236"/>
      <c r="O199" s="236"/>
      <c r="P199" s="236"/>
      <c r="Q199" s="236"/>
      <c r="R199" s="236"/>
      <c r="S199" s="236"/>
      <c r="T199" s="236"/>
      <c r="U199" s="236"/>
      <c r="V199" s="236"/>
      <c r="W199" s="236"/>
      <c r="X199" s="237"/>
      <c r="Y199" s="237"/>
      <c r="Z199" s="237"/>
    </row>
    <row r="200" ht="15.75" customHeight="1">
      <c r="A200" s="236"/>
      <c r="B200" s="236"/>
      <c r="C200" s="236"/>
      <c r="D200" s="236"/>
      <c r="E200" s="236"/>
      <c r="F200" s="236"/>
      <c r="G200" s="236"/>
      <c r="H200" s="236"/>
      <c r="I200" s="236"/>
      <c r="J200" s="236"/>
      <c r="K200" s="236"/>
      <c r="L200" s="236"/>
      <c r="M200" s="236"/>
      <c r="N200" s="236"/>
      <c r="O200" s="236"/>
      <c r="P200" s="236"/>
      <c r="Q200" s="236"/>
      <c r="R200" s="236"/>
      <c r="S200" s="236"/>
      <c r="T200" s="236"/>
      <c r="U200" s="236"/>
      <c r="V200" s="236"/>
      <c r="W200" s="236"/>
      <c r="X200" s="237"/>
      <c r="Y200" s="237"/>
      <c r="Z200" s="237"/>
    </row>
    <row r="201" ht="15.75" customHeight="1">
      <c r="A201" s="236"/>
      <c r="B201" s="236"/>
      <c r="C201" s="236"/>
      <c r="D201" s="236"/>
      <c r="E201" s="236"/>
      <c r="F201" s="236"/>
      <c r="G201" s="236"/>
      <c r="H201" s="236"/>
      <c r="I201" s="236"/>
      <c r="J201" s="236"/>
      <c r="K201" s="236"/>
      <c r="L201" s="236"/>
      <c r="M201" s="236"/>
      <c r="N201" s="236"/>
      <c r="O201" s="236"/>
      <c r="P201" s="236"/>
      <c r="Q201" s="236"/>
      <c r="R201" s="236"/>
      <c r="S201" s="236"/>
      <c r="T201" s="236"/>
      <c r="U201" s="236"/>
      <c r="V201" s="236"/>
      <c r="W201" s="236"/>
      <c r="X201" s="237"/>
      <c r="Y201" s="237"/>
      <c r="Z201" s="237"/>
    </row>
    <row r="202" ht="15.75" customHeight="1">
      <c r="A202" s="236"/>
      <c r="B202" s="236"/>
      <c r="C202" s="236"/>
      <c r="D202" s="236"/>
      <c r="E202" s="236"/>
      <c r="F202" s="236"/>
      <c r="G202" s="236"/>
      <c r="H202" s="236"/>
      <c r="I202" s="236"/>
      <c r="J202" s="236"/>
      <c r="K202" s="236"/>
      <c r="L202" s="236"/>
      <c r="M202" s="236"/>
      <c r="N202" s="236"/>
      <c r="O202" s="236"/>
      <c r="P202" s="236"/>
      <c r="Q202" s="236"/>
      <c r="R202" s="236"/>
      <c r="S202" s="236"/>
      <c r="T202" s="236"/>
      <c r="U202" s="236"/>
      <c r="V202" s="236"/>
      <c r="W202" s="236"/>
      <c r="X202" s="237"/>
      <c r="Y202" s="237"/>
      <c r="Z202" s="237"/>
    </row>
    <row r="203" ht="15.75" customHeight="1">
      <c r="A203" s="236"/>
      <c r="B203" s="236"/>
      <c r="C203" s="236"/>
      <c r="D203" s="236"/>
      <c r="E203" s="236"/>
      <c r="F203" s="236"/>
      <c r="G203" s="236"/>
      <c r="H203" s="236"/>
      <c r="I203" s="236"/>
      <c r="J203" s="236"/>
      <c r="K203" s="236"/>
      <c r="L203" s="236"/>
      <c r="M203" s="236"/>
      <c r="N203" s="236"/>
      <c r="O203" s="236"/>
      <c r="P203" s="236"/>
      <c r="Q203" s="236"/>
      <c r="R203" s="236"/>
      <c r="S203" s="236"/>
      <c r="T203" s="236"/>
      <c r="U203" s="236"/>
      <c r="V203" s="236"/>
      <c r="W203" s="236"/>
      <c r="X203" s="237"/>
      <c r="Y203" s="237"/>
      <c r="Z203" s="237"/>
    </row>
    <row r="204" ht="15.75" customHeight="1">
      <c r="A204" s="236"/>
      <c r="B204" s="236"/>
      <c r="C204" s="236"/>
      <c r="D204" s="236"/>
      <c r="E204" s="236"/>
      <c r="F204" s="236"/>
      <c r="G204" s="236"/>
      <c r="H204" s="236"/>
      <c r="I204" s="236"/>
      <c r="J204" s="236"/>
      <c r="K204" s="236"/>
      <c r="L204" s="236"/>
      <c r="M204" s="236"/>
      <c r="N204" s="236"/>
      <c r="O204" s="236"/>
      <c r="P204" s="236"/>
      <c r="Q204" s="236"/>
      <c r="R204" s="236"/>
      <c r="S204" s="236"/>
      <c r="T204" s="236"/>
      <c r="U204" s="236"/>
      <c r="V204" s="236"/>
      <c r="W204" s="236"/>
      <c r="X204" s="237"/>
      <c r="Y204" s="237"/>
      <c r="Z204" s="237"/>
    </row>
    <row r="205" ht="15.75" customHeight="1">
      <c r="A205" s="236"/>
      <c r="B205" s="236"/>
      <c r="C205" s="236"/>
      <c r="D205" s="236"/>
      <c r="E205" s="236"/>
      <c r="F205" s="236"/>
      <c r="G205" s="236"/>
      <c r="H205" s="236"/>
      <c r="I205" s="236"/>
      <c r="J205" s="236"/>
      <c r="K205" s="236"/>
      <c r="L205" s="236"/>
      <c r="M205" s="236"/>
      <c r="N205" s="236"/>
      <c r="O205" s="236"/>
      <c r="P205" s="236"/>
      <c r="Q205" s="236"/>
      <c r="R205" s="236"/>
      <c r="S205" s="236"/>
      <c r="T205" s="236"/>
      <c r="U205" s="236"/>
      <c r="V205" s="236"/>
      <c r="W205" s="236"/>
      <c r="X205" s="237"/>
      <c r="Y205" s="237"/>
      <c r="Z205" s="237"/>
    </row>
    <row r="206" ht="15.75" customHeight="1">
      <c r="A206" s="236"/>
      <c r="B206" s="236"/>
      <c r="C206" s="236"/>
      <c r="D206" s="236"/>
      <c r="E206" s="236"/>
      <c r="F206" s="236"/>
      <c r="G206" s="236"/>
      <c r="H206" s="236"/>
      <c r="I206" s="236"/>
      <c r="J206" s="236"/>
      <c r="K206" s="236"/>
      <c r="L206" s="236"/>
      <c r="M206" s="236"/>
      <c r="N206" s="236"/>
      <c r="O206" s="236"/>
      <c r="P206" s="236"/>
      <c r="Q206" s="236"/>
      <c r="R206" s="236"/>
      <c r="S206" s="236"/>
      <c r="T206" s="236"/>
      <c r="U206" s="236"/>
      <c r="V206" s="236"/>
      <c r="W206" s="236"/>
      <c r="X206" s="237"/>
      <c r="Y206" s="237"/>
      <c r="Z206" s="237"/>
    </row>
    <row r="207" ht="15.75" customHeight="1">
      <c r="A207" s="236"/>
      <c r="B207" s="236"/>
      <c r="C207" s="236"/>
      <c r="D207" s="236"/>
      <c r="E207" s="236"/>
      <c r="F207" s="236"/>
      <c r="G207" s="236"/>
      <c r="H207" s="236"/>
      <c r="I207" s="236"/>
      <c r="J207" s="236"/>
      <c r="K207" s="236"/>
      <c r="L207" s="236"/>
      <c r="M207" s="236"/>
      <c r="N207" s="236"/>
      <c r="O207" s="236"/>
      <c r="P207" s="236"/>
      <c r="Q207" s="236"/>
      <c r="R207" s="236"/>
      <c r="S207" s="236"/>
      <c r="T207" s="236"/>
      <c r="U207" s="236"/>
      <c r="V207" s="236"/>
      <c r="W207" s="236"/>
      <c r="X207" s="237"/>
      <c r="Y207" s="237"/>
      <c r="Z207" s="237"/>
    </row>
    <row r="208" ht="15.75" customHeight="1">
      <c r="A208" s="236"/>
      <c r="B208" s="236"/>
      <c r="C208" s="236"/>
      <c r="D208" s="236"/>
      <c r="E208" s="236"/>
      <c r="F208" s="236"/>
      <c r="G208" s="236"/>
      <c r="H208" s="236"/>
      <c r="I208" s="236"/>
      <c r="J208" s="236"/>
      <c r="K208" s="236"/>
      <c r="L208" s="236"/>
      <c r="M208" s="236"/>
      <c r="N208" s="236"/>
      <c r="O208" s="236"/>
      <c r="P208" s="236"/>
      <c r="Q208" s="236"/>
      <c r="R208" s="236"/>
      <c r="S208" s="236"/>
      <c r="T208" s="236"/>
      <c r="U208" s="236"/>
      <c r="V208" s="236"/>
      <c r="W208" s="236"/>
      <c r="X208" s="237"/>
      <c r="Y208" s="237"/>
      <c r="Z208" s="237"/>
    </row>
    <row r="209" ht="15.75" customHeight="1">
      <c r="A209" s="236"/>
      <c r="B209" s="236"/>
      <c r="C209" s="236"/>
      <c r="D209" s="236"/>
      <c r="E209" s="236"/>
      <c r="F209" s="236"/>
      <c r="G209" s="236"/>
      <c r="H209" s="236"/>
      <c r="I209" s="236"/>
      <c r="J209" s="236"/>
      <c r="K209" s="236"/>
      <c r="L209" s="236"/>
      <c r="M209" s="236"/>
      <c r="N209" s="236"/>
      <c r="O209" s="236"/>
      <c r="P209" s="236"/>
      <c r="Q209" s="236"/>
      <c r="R209" s="236"/>
      <c r="S209" s="236"/>
      <c r="T209" s="236"/>
      <c r="U209" s="236"/>
      <c r="V209" s="236"/>
      <c r="W209" s="236"/>
      <c r="X209" s="237"/>
      <c r="Y209" s="237"/>
      <c r="Z209" s="237"/>
    </row>
    <row r="210" ht="15.75" customHeight="1">
      <c r="A210" s="236"/>
      <c r="B210" s="236"/>
      <c r="C210" s="236"/>
      <c r="D210" s="236"/>
      <c r="E210" s="236"/>
      <c r="F210" s="236"/>
      <c r="G210" s="236"/>
      <c r="H210" s="236"/>
      <c r="I210" s="236"/>
      <c r="J210" s="236"/>
      <c r="K210" s="236"/>
      <c r="L210" s="236"/>
      <c r="M210" s="236"/>
      <c r="N210" s="236"/>
      <c r="O210" s="236"/>
      <c r="P210" s="236"/>
      <c r="Q210" s="236"/>
      <c r="R210" s="236"/>
      <c r="S210" s="236"/>
      <c r="T210" s="236"/>
      <c r="U210" s="236"/>
      <c r="V210" s="236"/>
      <c r="W210" s="236"/>
      <c r="X210" s="237"/>
      <c r="Y210" s="237"/>
      <c r="Z210" s="237"/>
    </row>
    <row r="211" ht="15.75" customHeight="1">
      <c r="A211" s="236"/>
      <c r="B211" s="236"/>
      <c r="C211" s="236"/>
      <c r="D211" s="236"/>
      <c r="E211" s="236"/>
      <c r="F211" s="236"/>
      <c r="G211" s="236"/>
      <c r="H211" s="236"/>
      <c r="I211" s="236"/>
      <c r="J211" s="236"/>
      <c r="K211" s="236"/>
      <c r="L211" s="236"/>
      <c r="M211" s="236"/>
      <c r="N211" s="236"/>
      <c r="O211" s="236"/>
      <c r="P211" s="236"/>
      <c r="Q211" s="236"/>
      <c r="R211" s="236"/>
      <c r="S211" s="236"/>
      <c r="T211" s="236"/>
      <c r="U211" s="236"/>
      <c r="V211" s="236"/>
      <c r="W211" s="236"/>
      <c r="X211" s="237"/>
      <c r="Y211" s="237"/>
      <c r="Z211" s="237"/>
    </row>
    <row r="212" ht="15.75" customHeight="1">
      <c r="A212" s="236"/>
      <c r="B212" s="236"/>
      <c r="C212" s="236"/>
      <c r="D212" s="236"/>
      <c r="E212" s="236"/>
      <c r="F212" s="236"/>
      <c r="G212" s="236"/>
      <c r="H212" s="236"/>
      <c r="I212" s="236"/>
      <c r="J212" s="236"/>
      <c r="K212" s="236"/>
      <c r="L212" s="236"/>
      <c r="M212" s="236"/>
      <c r="N212" s="236"/>
      <c r="O212" s="236"/>
      <c r="P212" s="236"/>
      <c r="Q212" s="236"/>
      <c r="R212" s="236"/>
      <c r="S212" s="236"/>
      <c r="T212" s="236"/>
      <c r="U212" s="236"/>
      <c r="V212" s="236"/>
      <c r="W212" s="236"/>
      <c r="X212" s="237"/>
      <c r="Y212" s="237"/>
      <c r="Z212" s="237"/>
    </row>
    <row r="213" ht="15.75" customHeight="1">
      <c r="A213" s="236"/>
      <c r="B213" s="236"/>
      <c r="C213" s="236"/>
      <c r="D213" s="236"/>
      <c r="E213" s="236"/>
      <c r="F213" s="236"/>
      <c r="G213" s="236"/>
      <c r="H213" s="236"/>
      <c r="I213" s="236"/>
      <c r="J213" s="236"/>
      <c r="K213" s="236"/>
      <c r="L213" s="236"/>
      <c r="M213" s="236"/>
      <c r="N213" s="236"/>
      <c r="O213" s="236"/>
      <c r="P213" s="236"/>
      <c r="Q213" s="236"/>
      <c r="R213" s="236"/>
      <c r="S213" s="236"/>
      <c r="T213" s="236"/>
      <c r="U213" s="236"/>
      <c r="V213" s="236"/>
      <c r="W213" s="236"/>
      <c r="X213" s="237"/>
      <c r="Y213" s="237"/>
      <c r="Z213" s="237"/>
    </row>
    <row r="214" ht="15.75" customHeight="1">
      <c r="A214" s="236"/>
      <c r="B214" s="236"/>
      <c r="C214" s="236"/>
      <c r="D214" s="236"/>
      <c r="E214" s="236"/>
      <c r="F214" s="236"/>
      <c r="G214" s="236"/>
      <c r="H214" s="236"/>
      <c r="I214" s="236"/>
      <c r="J214" s="236"/>
      <c r="K214" s="236"/>
      <c r="L214" s="236"/>
      <c r="M214" s="236"/>
      <c r="N214" s="236"/>
      <c r="O214" s="236"/>
      <c r="P214" s="236"/>
      <c r="Q214" s="236"/>
      <c r="R214" s="236"/>
      <c r="S214" s="236"/>
      <c r="T214" s="236"/>
      <c r="U214" s="236"/>
      <c r="V214" s="236"/>
      <c r="W214" s="236"/>
      <c r="X214" s="237"/>
      <c r="Y214" s="237"/>
      <c r="Z214" s="237"/>
    </row>
    <row r="215" ht="15.75" customHeight="1">
      <c r="A215" s="236"/>
      <c r="B215" s="236"/>
      <c r="C215" s="236"/>
      <c r="D215" s="236"/>
      <c r="E215" s="236"/>
      <c r="F215" s="236"/>
      <c r="G215" s="236"/>
      <c r="H215" s="236"/>
      <c r="I215" s="236"/>
      <c r="J215" s="236"/>
      <c r="K215" s="236"/>
      <c r="L215" s="236"/>
      <c r="M215" s="236"/>
      <c r="N215" s="236"/>
      <c r="O215" s="236"/>
      <c r="P215" s="236"/>
      <c r="Q215" s="236"/>
      <c r="R215" s="236"/>
      <c r="S215" s="236"/>
      <c r="T215" s="236"/>
      <c r="U215" s="236"/>
      <c r="V215" s="236"/>
      <c r="W215" s="236"/>
      <c r="X215" s="237"/>
      <c r="Y215" s="237"/>
      <c r="Z215" s="237"/>
    </row>
    <row r="216" ht="15.75" customHeight="1">
      <c r="A216" s="236"/>
      <c r="B216" s="236"/>
      <c r="C216" s="236"/>
      <c r="D216" s="236"/>
      <c r="E216" s="236"/>
      <c r="F216" s="236"/>
      <c r="G216" s="236"/>
      <c r="H216" s="236"/>
      <c r="I216" s="236"/>
      <c r="J216" s="236"/>
      <c r="K216" s="236"/>
      <c r="L216" s="236"/>
      <c r="M216" s="236"/>
      <c r="N216" s="236"/>
      <c r="O216" s="236"/>
      <c r="P216" s="236"/>
      <c r="Q216" s="236"/>
      <c r="R216" s="236"/>
      <c r="S216" s="236"/>
      <c r="T216" s="236"/>
      <c r="U216" s="236"/>
      <c r="V216" s="236"/>
      <c r="W216" s="236"/>
      <c r="X216" s="237"/>
      <c r="Y216" s="237"/>
      <c r="Z216" s="237"/>
    </row>
    <row r="217" ht="15.75" customHeight="1">
      <c r="A217" s="236"/>
      <c r="B217" s="236"/>
      <c r="C217" s="236"/>
      <c r="D217" s="236"/>
      <c r="E217" s="236"/>
      <c r="F217" s="236"/>
      <c r="G217" s="236"/>
      <c r="H217" s="236"/>
      <c r="I217" s="236"/>
      <c r="J217" s="236"/>
      <c r="K217" s="236"/>
      <c r="L217" s="236"/>
      <c r="M217" s="236"/>
      <c r="N217" s="236"/>
      <c r="O217" s="236"/>
      <c r="P217" s="236"/>
      <c r="Q217" s="236"/>
      <c r="R217" s="236"/>
      <c r="S217" s="236"/>
      <c r="T217" s="236"/>
      <c r="U217" s="236"/>
      <c r="V217" s="236"/>
      <c r="W217" s="236"/>
      <c r="X217" s="237"/>
      <c r="Y217" s="237"/>
      <c r="Z217" s="237"/>
    </row>
    <row r="218" ht="15.75" customHeight="1">
      <c r="A218" s="236"/>
      <c r="B218" s="236"/>
      <c r="C218" s="236"/>
      <c r="D218" s="236"/>
      <c r="E218" s="236"/>
      <c r="F218" s="236"/>
      <c r="G218" s="236"/>
      <c r="H218" s="236"/>
      <c r="I218" s="236"/>
      <c r="J218" s="236"/>
      <c r="K218" s="236"/>
      <c r="L218" s="236"/>
      <c r="M218" s="236"/>
      <c r="N218" s="236"/>
      <c r="O218" s="236"/>
      <c r="P218" s="236"/>
      <c r="Q218" s="236"/>
      <c r="R218" s="236"/>
      <c r="S218" s="236"/>
      <c r="T218" s="236"/>
      <c r="U218" s="236"/>
      <c r="V218" s="236"/>
      <c r="W218" s="236"/>
      <c r="X218" s="237"/>
      <c r="Y218" s="237"/>
      <c r="Z218" s="237"/>
    </row>
    <row r="219" ht="15.75" customHeight="1">
      <c r="A219" s="236"/>
      <c r="B219" s="236"/>
      <c r="C219" s="236"/>
      <c r="D219" s="236"/>
      <c r="E219" s="236"/>
      <c r="F219" s="236"/>
      <c r="G219" s="236"/>
      <c r="H219" s="236"/>
      <c r="I219" s="236"/>
      <c r="J219" s="236"/>
      <c r="K219" s="236"/>
      <c r="L219" s="236"/>
      <c r="M219" s="236"/>
      <c r="N219" s="236"/>
      <c r="O219" s="236"/>
      <c r="P219" s="236"/>
      <c r="Q219" s="236"/>
      <c r="R219" s="236"/>
      <c r="S219" s="236"/>
      <c r="T219" s="236"/>
      <c r="U219" s="236"/>
      <c r="V219" s="236"/>
      <c r="W219" s="236"/>
      <c r="X219" s="237"/>
      <c r="Y219" s="237"/>
      <c r="Z219" s="237"/>
    </row>
    <row r="220" ht="15.75" customHeight="1">
      <c r="A220" s="236"/>
      <c r="B220" s="236"/>
      <c r="C220" s="236"/>
      <c r="D220" s="236"/>
      <c r="E220" s="236"/>
      <c r="F220" s="236"/>
      <c r="G220" s="236"/>
      <c r="H220" s="236"/>
      <c r="I220" s="236"/>
      <c r="J220" s="236"/>
      <c r="K220" s="236"/>
      <c r="L220" s="236"/>
      <c r="M220" s="236"/>
      <c r="N220" s="236"/>
      <c r="O220" s="236"/>
      <c r="P220" s="236"/>
      <c r="Q220" s="236"/>
      <c r="R220" s="236"/>
      <c r="S220" s="236"/>
      <c r="T220" s="236"/>
      <c r="U220" s="236"/>
      <c r="V220" s="236"/>
      <c r="W220" s="236"/>
      <c r="X220" s="237"/>
      <c r="Y220" s="237"/>
      <c r="Z220" s="237"/>
    </row>
    <row r="221" ht="15.75" customHeight="1">
      <c r="A221" s="236"/>
      <c r="B221" s="236"/>
      <c r="C221" s="236"/>
      <c r="D221" s="236"/>
      <c r="E221" s="236"/>
      <c r="F221" s="236"/>
      <c r="G221" s="236"/>
      <c r="H221" s="236"/>
      <c r="I221" s="236"/>
      <c r="J221" s="236"/>
      <c r="K221" s="236"/>
      <c r="L221" s="236"/>
      <c r="M221" s="236"/>
      <c r="N221" s="236"/>
      <c r="O221" s="236"/>
      <c r="P221" s="236"/>
      <c r="Q221" s="236"/>
      <c r="R221" s="236"/>
      <c r="S221" s="236"/>
      <c r="T221" s="236"/>
      <c r="U221" s="236"/>
      <c r="V221" s="236"/>
      <c r="W221" s="236"/>
      <c r="X221" s="237"/>
      <c r="Y221" s="237"/>
      <c r="Z221" s="237"/>
    </row>
    <row r="222" ht="15.75" customHeight="1">
      <c r="A222" s="236"/>
      <c r="B222" s="236"/>
      <c r="C222" s="236"/>
      <c r="D222" s="236"/>
      <c r="E222" s="236"/>
      <c r="F222" s="236"/>
      <c r="G222" s="236"/>
      <c r="H222" s="236"/>
      <c r="I222" s="236"/>
      <c r="J222" s="236"/>
      <c r="K222" s="236"/>
      <c r="L222" s="236"/>
      <c r="M222" s="236"/>
      <c r="N222" s="236"/>
      <c r="O222" s="236"/>
      <c r="P222" s="236"/>
      <c r="Q222" s="236"/>
      <c r="R222" s="236"/>
      <c r="S222" s="236"/>
      <c r="T222" s="236"/>
      <c r="U222" s="236"/>
      <c r="V222" s="236"/>
      <c r="W222" s="236"/>
      <c r="X222" s="237"/>
      <c r="Y222" s="237"/>
      <c r="Z222" s="237"/>
    </row>
    <row r="223" ht="15.75" customHeight="1">
      <c r="A223" s="236"/>
      <c r="B223" s="236"/>
      <c r="C223" s="236"/>
      <c r="D223" s="236"/>
      <c r="E223" s="236"/>
      <c r="F223" s="236"/>
      <c r="G223" s="236"/>
      <c r="H223" s="236"/>
      <c r="I223" s="236"/>
      <c r="J223" s="236"/>
      <c r="K223" s="236"/>
      <c r="L223" s="236"/>
      <c r="M223" s="236"/>
      <c r="N223" s="236"/>
      <c r="O223" s="236"/>
      <c r="P223" s="236"/>
      <c r="Q223" s="236"/>
      <c r="R223" s="236"/>
      <c r="S223" s="236"/>
      <c r="T223" s="236"/>
      <c r="U223" s="236"/>
      <c r="V223" s="236"/>
      <c r="W223" s="236"/>
      <c r="X223" s="237"/>
      <c r="Y223" s="237"/>
      <c r="Z223" s="237"/>
    </row>
    <row r="224" ht="15.75" customHeight="1">
      <c r="A224" s="236"/>
      <c r="B224" s="236"/>
      <c r="C224" s="236"/>
      <c r="D224" s="236"/>
      <c r="E224" s="236"/>
      <c r="F224" s="236"/>
      <c r="G224" s="236"/>
      <c r="H224" s="236"/>
      <c r="I224" s="236"/>
      <c r="J224" s="236"/>
      <c r="K224" s="236"/>
      <c r="L224" s="236"/>
      <c r="M224" s="236"/>
      <c r="N224" s="236"/>
      <c r="O224" s="236"/>
      <c r="P224" s="236"/>
      <c r="Q224" s="236"/>
      <c r="R224" s="236"/>
      <c r="S224" s="236"/>
      <c r="T224" s="236"/>
      <c r="U224" s="236"/>
      <c r="V224" s="236"/>
      <c r="W224" s="236"/>
      <c r="X224" s="237"/>
      <c r="Y224" s="237"/>
      <c r="Z224" s="237"/>
    </row>
    <row r="225" ht="15.75" customHeight="1">
      <c r="A225" s="236"/>
      <c r="B225" s="236"/>
      <c r="C225" s="236"/>
      <c r="D225" s="236"/>
      <c r="E225" s="236"/>
      <c r="F225" s="236"/>
      <c r="G225" s="236"/>
      <c r="H225" s="236"/>
      <c r="I225" s="236"/>
      <c r="J225" s="236"/>
      <c r="K225" s="236"/>
      <c r="L225" s="236"/>
      <c r="M225" s="236"/>
      <c r="N225" s="236"/>
      <c r="O225" s="236"/>
      <c r="P225" s="236"/>
      <c r="Q225" s="236"/>
      <c r="R225" s="236"/>
      <c r="S225" s="236"/>
      <c r="T225" s="236"/>
      <c r="U225" s="236"/>
      <c r="V225" s="236"/>
      <c r="W225" s="236"/>
      <c r="X225" s="237"/>
      <c r="Y225" s="237"/>
      <c r="Z225" s="237"/>
    </row>
    <row r="226" ht="15.75" customHeight="1">
      <c r="A226" s="236"/>
      <c r="B226" s="236"/>
      <c r="C226" s="236"/>
      <c r="D226" s="236"/>
      <c r="E226" s="236"/>
      <c r="F226" s="236"/>
      <c r="G226" s="236"/>
      <c r="H226" s="236"/>
      <c r="I226" s="236"/>
      <c r="J226" s="236"/>
      <c r="K226" s="236"/>
      <c r="L226" s="236"/>
      <c r="M226" s="236"/>
      <c r="N226" s="236"/>
      <c r="O226" s="236"/>
      <c r="P226" s="236"/>
      <c r="Q226" s="236"/>
      <c r="R226" s="236"/>
      <c r="S226" s="236"/>
      <c r="T226" s="236"/>
      <c r="U226" s="236"/>
      <c r="V226" s="236"/>
      <c r="W226" s="236"/>
      <c r="X226" s="237"/>
      <c r="Y226" s="237"/>
      <c r="Z226" s="237"/>
    </row>
    <row r="227" ht="15.75" customHeight="1">
      <c r="A227" s="236"/>
      <c r="B227" s="236"/>
      <c r="C227" s="236"/>
      <c r="D227" s="236"/>
      <c r="E227" s="236"/>
      <c r="F227" s="236"/>
      <c r="G227" s="236"/>
      <c r="H227" s="236"/>
      <c r="I227" s="236"/>
      <c r="J227" s="236"/>
      <c r="K227" s="236"/>
      <c r="L227" s="236"/>
      <c r="M227" s="236"/>
      <c r="N227" s="236"/>
      <c r="O227" s="236"/>
      <c r="P227" s="236"/>
      <c r="Q227" s="236"/>
      <c r="R227" s="236"/>
      <c r="S227" s="236"/>
      <c r="T227" s="236"/>
      <c r="U227" s="236"/>
      <c r="V227" s="236"/>
      <c r="W227" s="236"/>
      <c r="X227" s="237"/>
      <c r="Y227" s="237"/>
      <c r="Z227" s="237"/>
    </row>
    <row r="228" ht="15.75" customHeight="1">
      <c r="A228" s="236"/>
      <c r="B228" s="236"/>
      <c r="C228" s="236"/>
      <c r="D228" s="236"/>
      <c r="E228" s="236"/>
      <c r="F228" s="236"/>
      <c r="G228" s="236"/>
      <c r="H228" s="236"/>
      <c r="I228" s="236"/>
      <c r="J228" s="236"/>
      <c r="K228" s="236"/>
      <c r="L228" s="236"/>
      <c r="M228" s="236"/>
      <c r="N228" s="236"/>
      <c r="O228" s="236"/>
      <c r="P228" s="236"/>
      <c r="Q228" s="236"/>
      <c r="R228" s="236"/>
      <c r="S228" s="236"/>
      <c r="T228" s="236"/>
      <c r="U228" s="236"/>
      <c r="V228" s="236"/>
      <c r="W228" s="236"/>
      <c r="X228" s="237"/>
      <c r="Y228" s="237"/>
      <c r="Z228" s="237"/>
    </row>
    <row r="229" ht="15.75" customHeight="1">
      <c r="A229" s="236"/>
      <c r="B229" s="236"/>
      <c r="C229" s="236"/>
      <c r="D229" s="236"/>
      <c r="E229" s="236"/>
      <c r="F229" s="236"/>
      <c r="G229" s="236"/>
      <c r="H229" s="236"/>
      <c r="I229" s="236"/>
      <c r="J229" s="236"/>
      <c r="K229" s="236"/>
      <c r="L229" s="236"/>
      <c r="M229" s="236"/>
      <c r="N229" s="236"/>
      <c r="O229" s="236"/>
      <c r="P229" s="236"/>
      <c r="Q229" s="236"/>
      <c r="R229" s="236"/>
      <c r="S229" s="236"/>
      <c r="T229" s="236"/>
      <c r="U229" s="236"/>
      <c r="V229" s="236"/>
      <c r="W229" s="236"/>
      <c r="X229" s="237"/>
      <c r="Y229" s="237"/>
      <c r="Z229" s="237"/>
    </row>
    <row r="230" ht="15.75" customHeight="1">
      <c r="A230" s="236"/>
      <c r="B230" s="236"/>
      <c r="C230" s="236"/>
      <c r="D230" s="236"/>
      <c r="E230" s="236"/>
      <c r="F230" s="236"/>
      <c r="G230" s="236"/>
      <c r="H230" s="236"/>
      <c r="I230" s="236"/>
      <c r="J230" s="236"/>
      <c r="K230" s="236"/>
      <c r="L230" s="236"/>
      <c r="M230" s="236"/>
      <c r="N230" s="236"/>
      <c r="O230" s="236"/>
      <c r="P230" s="236"/>
      <c r="Q230" s="236"/>
      <c r="R230" s="236"/>
      <c r="S230" s="236"/>
      <c r="T230" s="236"/>
      <c r="U230" s="236"/>
      <c r="V230" s="236"/>
      <c r="W230" s="236"/>
      <c r="X230" s="237"/>
      <c r="Y230" s="237"/>
      <c r="Z230" s="237"/>
    </row>
    <row r="231" ht="15.75" customHeight="1">
      <c r="A231" s="236"/>
      <c r="B231" s="236"/>
      <c r="C231" s="236"/>
      <c r="D231" s="236"/>
      <c r="E231" s="236"/>
      <c r="F231" s="236"/>
      <c r="G231" s="236"/>
      <c r="H231" s="236"/>
      <c r="I231" s="236"/>
      <c r="J231" s="236"/>
      <c r="K231" s="236"/>
      <c r="L231" s="236"/>
      <c r="M231" s="236"/>
      <c r="N231" s="236"/>
      <c r="O231" s="236"/>
      <c r="P231" s="236"/>
      <c r="Q231" s="236"/>
      <c r="R231" s="236"/>
      <c r="S231" s="236"/>
      <c r="T231" s="236"/>
      <c r="U231" s="236"/>
      <c r="V231" s="236"/>
      <c r="W231" s="236"/>
      <c r="X231" s="237"/>
      <c r="Y231" s="237"/>
      <c r="Z231" s="237"/>
    </row>
    <row r="232" ht="15.75" customHeight="1">
      <c r="A232" s="236"/>
      <c r="B232" s="236"/>
      <c r="C232" s="236"/>
      <c r="D232" s="236"/>
      <c r="E232" s="236"/>
      <c r="F232" s="236"/>
      <c r="G232" s="236"/>
      <c r="H232" s="236"/>
      <c r="I232" s="236"/>
      <c r="J232" s="236"/>
      <c r="K232" s="236"/>
      <c r="L232" s="236"/>
      <c r="M232" s="236"/>
      <c r="N232" s="236"/>
      <c r="O232" s="236"/>
      <c r="P232" s="236"/>
      <c r="Q232" s="236"/>
      <c r="R232" s="236"/>
      <c r="S232" s="236"/>
      <c r="T232" s="236"/>
      <c r="U232" s="236"/>
      <c r="V232" s="236"/>
      <c r="W232" s="236"/>
      <c r="X232" s="237"/>
      <c r="Y232" s="237"/>
      <c r="Z232" s="237"/>
    </row>
    <row r="233" ht="15.75" customHeight="1">
      <c r="A233" s="236"/>
      <c r="B233" s="236"/>
      <c r="C233" s="236"/>
      <c r="D233" s="236"/>
      <c r="E233" s="236"/>
      <c r="F233" s="236"/>
      <c r="G233" s="236"/>
      <c r="H233" s="236"/>
      <c r="I233" s="236"/>
      <c r="J233" s="236"/>
      <c r="K233" s="236"/>
      <c r="L233" s="236"/>
      <c r="M233" s="236"/>
      <c r="N233" s="236"/>
      <c r="O233" s="236"/>
      <c r="P233" s="236"/>
      <c r="Q233" s="236"/>
      <c r="R233" s="236"/>
      <c r="S233" s="236"/>
      <c r="T233" s="236"/>
      <c r="U233" s="236"/>
      <c r="V233" s="236"/>
      <c r="W233" s="236"/>
      <c r="X233" s="237"/>
      <c r="Y233" s="237"/>
      <c r="Z233" s="237"/>
    </row>
    <row r="234" ht="15.75" customHeight="1">
      <c r="A234" s="236"/>
      <c r="B234" s="236"/>
      <c r="C234" s="236"/>
      <c r="D234" s="236"/>
      <c r="E234" s="236"/>
      <c r="F234" s="236"/>
      <c r="G234" s="236"/>
      <c r="H234" s="236"/>
      <c r="I234" s="236"/>
      <c r="J234" s="236"/>
      <c r="K234" s="236"/>
      <c r="L234" s="236"/>
      <c r="M234" s="236"/>
      <c r="N234" s="236"/>
      <c r="O234" s="236"/>
      <c r="P234" s="236"/>
      <c r="Q234" s="236"/>
      <c r="R234" s="236"/>
      <c r="S234" s="236"/>
      <c r="T234" s="236"/>
      <c r="U234" s="236"/>
      <c r="V234" s="236"/>
      <c r="W234" s="236"/>
      <c r="X234" s="237"/>
      <c r="Y234" s="237"/>
      <c r="Z234" s="237"/>
    </row>
    <row r="235" ht="15.75" customHeight="1">
      <c r="A235" s="236"/>
      <c r="B235" s="236"/>
      <c r="C235" s="236"/>
      <c r="D235" s="236"/>
      <c r="E235" s="236"/>
      <c r="F235" s="236"/>
      <c r="G235" s="236"/>
      <c r="H235" s="236"/>
      <c r="I235" s="236"/>
      <c r="J235" s="236"/>
      <c r="K235" s="236"/>
      <c r="L235" s="236"/>
      <c r="M235" s="236"/>
      <c r="N235" s="236"/>
      <c r="O235" s="236"/>
      <c r="P235" s="236"/>
      <c r="Q235" s="236"/>
      <c r="R235" s="236"/>
      <c r="S235" s="236"/>
      <c r="T235" s="236"/>
      <c r="U235" s="236"/>
      <c r="V235" s="236"/>
      <c r="W235" s="236"/>
      <c r="X235" s="237"/>
      <c r="Y235" s="237"/>
      <c r="Z235" s="237"/>
    </row>
    <row r="236" ht="15.75" customHeight="1">
      <c r="A236" s="236"/>
      <c r="B236" s="236"/>
      <c r="C236" s="236"/>
      <c r="D236" s="236"/>
      <c r="E236" s="236"/>
      <c r="F236" s="236"/>
      <c r="G236" s="236"/>
      <c r="H236" s="236"/>
      <c r="I236" s="236"/>
      <c r="J236" s="236"/>
      <c r="K236" s="236"/>
      <c r="L236" s="236"/>
      <c r="M236" s="236"/>
      <c r="N236" s="236"/>
      <c r="O236" s="236"/>
      <c r="P236" s="236"/>
      <c r="Q236" s="236"/>
      <c r="R236" s="236"/>
      <c r="S236" s="236"/>
      <c r="T236" s="236"/>
      <c r="U236" s="236"/>
      <c r="V236" s="236"/>
      <c r="W236" s="236"/>
      <c r="X236" s="237"/>
      <c r="Y236" s="237"/>
      <c r="Z236" s="237"/>
    </row>
    <row r="237" ht="15.75" customHeight="1">
      <c r="A237" s="236"/>
      <c r="B237" s="236"/>
      <c r="C237" s="236"/>
      <c r="D237" s="236"/>
      <c r="E237" s="236"/>
      <c r="F237" s="236"/>
      <c r="G237" s="236"/>
      <c r="H237" s="236"/>
      <c r="I237" s="236"/>
      <c r="J237" s="236"/>
      <c r="K237" s="236"/>
      <c r="L237" s="236"/>
      <c r="M237" s="236"/>
      <c r="N237" s="236"/>
      <c r="O237" s="236"/>
      <c r="P237" s="236"/>
      <c r="Q237" s="236"/>
      <c r="R237" s="236"/>
      <c r="S237" s="236"/>
      <c r="T237" s="236"/>
      <c r="U237" s="236"/>
      <c r="V237" s="236"/>
      <c r="W237" s="236"/>
      <c r="X237" s="237"/>
      <c r="Y237" s="237"/>
      <c r="Z237" s="237"/>
    </row>
    <row r="238" ht="15.75" customHeight="1">
      <c r="A238" s="236"/>
      <c r="B238" s="236"/>
      <c r="C238" s="236"/>
      <c r="D238" s="236"/>
      <c r="E238" s="236"/>
      <c r="F238" s="236"/>
      <c r="G238" s="236"/>
      <c r="H238" s="236"/>
      <c r="I238" s="236"/>
      <c r="J238" s="236"/>
      <c r="K238" s="236"/>
      <c r="L238" s="236"/>
      <c r="M238" s="236"/>
      <c r="N238" s="236"/>
      <c r="O238" s="236"/>
      <c r="P238" s="236"/>
      <c r="Q238" s="236"/>
      <c r="R238" s="236"/>
      <c r="S238" s="236"/>
      <c r="T238" s="236"/>
      <c r="U238" s="236"/>
      <c r="V238" s="236"/>
      <c r="W238" s="236"/>
      <c r="X238" s="237"/>
      <c r="Y238" s="237"/>
      <c r="Z238" s="237"/>
    </row>
    <row r="239" ht="15.75" customHeight="1">
      <c r="A239" s="236"/>
      <c r="B239" s="236"/>
      <c r="C239" s="236"/>
      <c r="D239" s="236"/>
      <c r="E239" s="236"/>
      <c r="F239" s="236"/>
      <c r="G239" s="236"/>
      <c r="H239" s="236"/>
      <c r="I239" s="236"/>
      <c r="J239" s="236"/>
      <c r="K239" s="236"/>
      <c r="L239" s="236"/>
      <c r="M239" s="236"/>
      <c r="N239" s="236"/>
      <c r="O239" s="236"/>
      <c r="P239" s="236"/>
      <c r="Q239" s="236"/>
      <c r="R239" s="236"/>
      <c r="S239" s="236"/>
      <c r="T239" s="236"/>
      <c r="U239" s="236"/>
      <c r="V239" s="236"/>
      <c r="W239" s="236"/>
      <c r="X239" s="237"/>
      <c r="Y239" s="237"/>
      <c r="Z239" s="237"/>
    </row>
    <row r="240" ht="15.75" customHeight="1">
      <c r="A240" s="236"/>
      <c r="B240" s="236"/>
      <c r="C240" s="236"/>
      <c r="D240" s="236"/>
      <c r="E240" s="236"/>
      <c r="F240" s="236"/>
      <c r="G240" s="236"/>
      <c r="H240" s="236"/>
      <c r="I240" s="236"/>
      <c r="J240" s="236"/>
      <c r="K240" s="236"/>
      <c r="L240" s="236"/>
      <c r="M240" s="236"/>
      <c r="N240" s="236"/>
      <c r="O240" s="236"/>
      <c r="P240" s="236"/>
      <c r="Q240" s="236"/>
      <c r="R240" s="236"/>
      <c r="S240" s="236"/>
      <c r="T240" s="236"/>
      <c r="U240" s="236"/>
      <c r="V240" s="236"/>
      <c r="W240" s="236"/>
      <c r="X240" s="237"/>
      <c r="Y240" s="237"/>
      <c r="Z240" s="237"/>
    </row>
    <row r="241" ht="15.75" customHeight="1">
      <c r="A241" s="236"/>
      <c r="B241" s="236"/>
      <c r="C241" s="236"/>
      <c r="D241" s="236"/>
      <c r="E241" s="236"/>
      <c r="F241" s="236"/>
      <c r="G241" s="236"/>
      <c r="H241" s="236"/>
      <c r="I241" s="236"/>
      <c r="J241" s="236"/>
      <c r="K241" s="236"/>
      <c r="L241" s="236"/>
      <c r="M241" s="236"/>
      <c r="N241" s="236"/>
      <c r="O241" s="236"/>
      <c r="P241" s="236"/>
      <c r="Q241" s="236"/>
      <c r="R241" s="236"/>
      <c r="S241" s="236"/>
      <c r="T241" s="236"/>
      <c r="U241" s="236"/>
      <c r="V241" s="236"/>
      <c r="W241" s="236"/>
      <c r="X241" s="237"/>
      <c r="Y241" s="237"/>
      <c r="Z241" s="237"/>
    </row>
    <row r="242" ht="15.75" customHeight="1">
      <c r="A242" s="237"/>
      <c r="B242" s="237"/>
      <c r="C242" s="237"/>
      <c r="D242" s="237"/>
      <c r="E242" s="237"/>
      <c r="F242" s="237"/>
      <c r="G242" s="237"/>
      <c r="H242" s="237"/>
      <c r="I242" s="237"/>
      <c r="J242" s="237"/>
      <c r="K242" s="237"/>
      <c r="L242" s="237"/>
      <c r="M242" s="237"/>
      <c r="N242" s="237"/>
      <c r="O242" s="237"/>
      <c r="P242" s="237"/>
      <c r="Q242" s="237"/>
      <c r="R242" s="237"/>
      <c r="S242" s="237"/>
      <c r="T242" s="237"/>
      <c r="U242" s="237"/>
      <c r="V242" s="237"/>
      <c r="W242" s="237"/>
      <c r="X242" s="237"/>
      <c r="Y242" s="237"/>
      <c r="Z242" s="237"/>
    </row>
    <row r="243" ht="15.75" customHeight="1">
      <c r="A243" s="237"/>
      <c r="B243" s="237"/>
      <c r="C243" s="237"/>
      <c r="D243" s="237"/>
      <c r="E243" s="237"/>
      <c r="F243" s="237"/>
      <c r="G243" s="237"/>
      <c r="H243" s="237"/>
      <c r="I243" s="237"/>
      <c r="J243" s="237"/>
      <c r="K243" s="237"/>
      <c r="L243" s="237"/>
      <c r="M243" s="237"/>
      <c r="N243" s="237"/>
      <c r="O243" s="237"/>
      <c r="P243" s="237"/>
      <c r="Q243" s="237"/>
      <c r="R243" s="237"/>
      <c r="S243" s="237"/>
      <c r="T243" s="237"/>
      <c r="U243" s="237"/>
      <c r="V243" s="237"/>
      <c r="W243" s="237"/>
      <c r="X243" s="237"/>
      <c r="Y243" s="237"/>
      <c r="Z243" s="237"/>
    </row>
    <row r="244" ht="15.75" customHeight="1">
      <c r="A244" s="237"/>
      <c r="B244" s="237"/>
      <c r="C244" s="237"/>
      <c r="D244" s="237"/>
      <c r="E244" s="237"/>
      <c r="F244" s="237"/>
      <c r="G244" s="237"/>
      <c r="H244" s="237"/>
      <c r="I244" s="237"/>
      <c r="J244" s="237"/>
      <c r="K244" s="237"/>
      <c r="L244" s="237"/>
      <c r="M244" s="237"/>
      <c r="N244" s="237"/>
      <c r="O244" s="237"/>
      <c r="P244" s="237"/>
      <c r="Q244" s="237"/>
      <c r="R244" s="237"/>
      <c r="S244" s="237"/>
      <c r="T244" s="237"/>
      <c r="U244" s="237"/>
      <c r="V244" s="237"/>
      <c r="W244" s="237"/>
      <c r="X244" s="237"/>
      <c r="Y244" s="237"/>
      <c r="Z244" s="237"/>
    </row>
    <row r="245" ht="15.75" customHeight="1">
      <c r="A245" s="237"/>
      <c r="B245" s="237"/>
      <c r="C245" s="237"/>
      <c r="D245" s="237"/>
      <c r="E245" s="237"/>
      <c r="F245" s="237"/>
      <c r="G245" s="237"/>
      <c r="H245" s="237"/>
      <c r="I245" s="237"/>
      <c r="J245" s="237"/>
      <c r="K245" s="237"/>
      <c r="L245" s="237"/>
      <c r="M245" s="237"/>
      <c r="N245" s="237"/>
      <c r="O245" s="237"/>
      <c r="P245" s="237"/>
      <c r="Q245" s="237"/>
      <c r="R245" s="237"/>
      <c r="S245" s="237"/>
      <c r="T245" s="237"/>
      <c r="U245" s="237"/>
      <c r="V245" s="237"/>
      <c r="W245" s="237"/>
      <c r="X245" s="237"/>
      <c r="Y245" s="237"/>
      <c r="Z245" s="237"/>
    </row>
    <row r="246" ht="15.75" customHeight="1">
      <c r="A246" s="237"/>
      <c r="B246" s="237"/>
      <c r="C246" s="237"/>
      <c r="D246" s="237"/>
      <c r="E246" s="237"/>
      <c r="F246" s="237"/>
      <c r="G246" s="237"/>
      <c r="H246" s="237"/>
      <c r="I246" s="237"/>
      <c r="J246" s="237"/>
      <c r="K246" s="237"/>
      <c r="L246" s="237"/>
      <c r="M246" s="237"/>
      <c r="N246" s="237"/>
      <c r="O246" s="237"/>
      <c r="P246" s="237"/>
      <c r="Q246" s="237"/>
      <c r="R246" s="237"/>
      <c r="S246" s="237"/>
      <c r="T246" s="237"/>
      <c r="U246" s="237"/>
      <c r="V246" s="237"/>
      <c r="W246" s="237"/>
      <c r="X246" s="237"/>
      <c r="Y246" s="237"/>
      <c r="Z246" s="237"/>
    </row>
    <row r="247" ht="15.75" customHeight="1">
      <c r="A247" s="237"/>
      <c r="B247" s="237"/>
      <c r="C247" s="237"/>
      <c r="D247" s="237"/>
      <c r="E247" s="237"/>
      <c r="F247" s="237"/>
      <c r="G247" s="237"/>
      <c r="H247" s="237"/>
      <c r="I247" s="237"/>
      <c r="J247" s="237"/>
      <c r="K247" s="237"/>
      <c r="L247" s="237"/>
      <c r="M247" s="237"/>
      <c r="N247" s="237"/>
      <c r="O247" s="237"/>
      <c r="P247" s="237"/>
      <c r="Q247" s="237"/>
      <c r="R247" s="237"/>
      <c r="S247" s="237"/>
      <c r="T247" s="237"/>
      <c r="U247" s="237"/>
      <c r="V247" s="237"/>
      <c r="W247" s="237"/>
      <c r="X247" s="237"/>
      <c r="Y247" s="237"/>
      <c r="Z247" s="237"/>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0.75" footer="0.0" header="0.0" left="0.7" right="0.7" top="0.75"/>
  <pageSetup orientation="landscape"/>
  <drawing r:id="rId1"/>
</worksheet>
</file>

<file path=xl/worksheets/sheet7.xml><?xml version="1.0" encoding="utf-8"?>
<worksheet xmlns="http://schemas.openxmlformats.org/spreadsheetml/2006/main">
  <dimension ref="E2:S2"/>
  <sheetViews>
    <sheetView workbookViewId="0"/>
  </sheetViews>
  <sheetFormatPr defaultRowHeight="15.0"/>
  <sheetData>
    <row r="2">
      <c r="E2" t="inlineStr">
        <is>
          <t>08 Dec 2025 - 14 Dec 2025</t>
        </is>
      </c>
      <c r="F2" t="inlineStr">
        <is>
          <t>20415473</t>
        </is>
      </c>
      <c r="G2" t="inlineStr">
        <is>
          <t>262096</t>
        </is>
      </c>
      <c r="H2" t="inlineStr">
        <is>
          <t>Posh Foods</t>
        </is>
      </c>
      <c r="I2" t="inlineStr">
        <is>
          <t>Bawarchi Baba- By Posh Foods</t>
        </is>
      </c>
      <c r="J2" t="inlineStr">
        <is>
          <t>Shop No,- LG-18,ICON LEISURE VELLEY,GREATER NOIDA WEST,Gautam Buddha Nagar,Uttar Pradesh, Noida, Uttar Pradesh</t>
        </is>
      </c>
      <c r="K2" t="inlineStr">
        <is>
          <t>AAXFP3903C</t>
        </is>
      </c>
      <c r="L2" t="inlineStr">
        <is>
          <t>09AAXFP3903C1Z2</t>
        </is>
      </c>
      <c r="M2" t="inlineStr">
        <is>
          <t>MRTP11755C</t>
        </is>
      </c>
      <c r="N2" t="inlineStr">
        <is>
          <t>Weekly (Every Wednesday)</t>
        </is>
      </c>
      <c r="O2" t="inlineStr">
        <is>
          <t>09AADCD4946L1CJ</t>
        </is>
      </c>
      <c r="P2" t="inlineStr">
        <is>
          <t>09AADCD4946L1Z8</t>
        </is>
      </c>
      <c r="S2" t="inlineStr">
        <is>
          <t>CITIN25671235852,</t>
        </is>
      </c>
    </row>
  </sheetData>
  <pageMargins bottom="0.75" footer="0.3" header="0.3" left="0.7" right="0.7" top="0.75"/>
</worksheet>
</file>

<file path=xl/worksheets/sheet8.xml><?xml version="1.0" encoding="utf-8"?>
<worksheet xmlns="http://schemas.openxmlformats.org/spreadsheetml/2006/main">
  <dimension ref="C6:C14"/>
  <sheetViews>
    <sheetView workbookViewId="0"/>
  </sheetViews>
  <sheetFormatPr defaultRowHeight="15.0"/>
  <sheetData>
    <row r="6">
      <c r="C6" s="248" t="inlineStr">
        <is>
          <t>Flat ₹175 off (2025-12-03 - 2025-12-08)</t>
        </is>
      </c>
    </row>
    <row r="7">
      <c r="C7" s="248" t="inlineStr">
        <is>
          <t>Flat ₹125 off (2025-12-08 - 2031-01-01)</t>
        </is>
      </c>
    </row>
    <row r="8">
      <c r="C8" s="248" t="inlineStr">
        <is>
          <t>Flat ₹100 off (2025-12-08 - 2031-01-01)</t>
        </is>
      </c>
    </row>
    <row r="9">
      <c r="C9" s="248" t="inlineStr">
        <is>
          <t>Flat 30% off (2025-10-17 - 2031-01-01)</t>
        </is>
      </c>
    </row>
    <row r="10">
      <c r="C10" s="248" t="inlineStr">
        <is>
          <t>Flat ₹125 off (2025-12-03 - 2031-01-01)</t>
        </is>
      </c>
    </row>
    <row r="11">
      <c r="C11" s="248" t="inlineStr">
        <is>
          <t>Flat ₹150 off (2025-12-03 - 2031-01-01)</t>
        </is>
      </c>
    </row>
    <row r="12">
      <c r="C12" s="248" t="inlineStr">
        <is>
          <t>Flat ₹80 off (2025-12-08 - 2031-01-01)</t>
        </is>
      </c>
    </row>
    <row r="13">
      <c r="C13" s="248" t="inlineStr">
        <is>
          <t>Flat ₹150 off (2025-12-08 - 2031-01-01)</t>
        </is>
      </c>
    </row>
    <row r="14">
      <c r="C14" s="248" t="inlineStr">
        <is>
          <t>Flat ₹175 off (2025-12-08 - 2031-01-01)</t>
        </is>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xsi="http://www.w3.org/2001/XMLSchema-instance"/>
</file>