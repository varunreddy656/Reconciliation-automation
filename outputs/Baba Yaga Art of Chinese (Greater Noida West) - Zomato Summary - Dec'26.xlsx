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882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hflow" sheetId="2" state="visible" r:id="rId2"/>
    <sheet xmlns:r="http://schemas.openxmlformats.org/officeDocument/2006/relationships" name="Profit statement" sheetId="3" state="visible" r:id="rId3"/>
    <sheet xmlns:r="http://schemas.openxmlformats.org/officeDocument/2006/relationships" name="Discrepancies" sheetId="4" state="visible" r:id="rId4"/>
    <sheet xmlns:r="http://schemas.openxmlformats.org/officeDocument/2006/relationships" name="POS" sheetId="5" state="hidden" r:id="rId5"/>
    <sheet xmlns:r="http://schemas.openxmlformats.org/officeDocument/2006/relationships" name="BANK" sheetId="6" state="hidden" r:id="rId6"/>
    <sheet xmlns:r="http://schemas.openxmlformats.org/officeDocument/2006/relationships" name="D1W1" sheetId="7" state="visible" r:id="rId7"/>
    <sheet xmlns:r="http://schemas.openxmlformats.org/officeDocument/2006/relationships" name="D2W1" sheetId="8" state="visible" r:id="rId8"/>
    <sheet xmlns:r="http://schemas.openxmlformats.org/officeDocument/2006/relationships" name="D1W2" sheetId="9" state="visible" r:id="rId9"/>
    <sheet xmlns:r="http://schemas.openxmlformats.org/officeDocument/2006/relationships" name="D2W2" sheetId="10" state="visible" r:id="rId10"/>
    <sheet xmlns:r="http://schemas.openxmlformats.org/officeDocument/2006/relationships" name="D1W3" sheetId="11" state="visible" r:id="rId11"/>
    <sheet xmlns:r="http://schemas.openxmlformats.org/officeDocument/2006/relationships" name="D2W3" sheetId="12" state="visible" r:id="rId12"/>
    <sheet xmlns:r="http://schemas.openxmlformats.org/officeDocument/2006/relationships" name="D1W4" sheetId="13" state="visible" r:id="rId13"/>
    <sheet xmlns:r="http://schemas.openxmlformats.org/officeDocument/2006/relationships" name="D2W4" sheetId="14" state="visible" r:id="rId14"/>
    <sheet xmlns:r="http://schemas.openxmlformats.org/officeDocument/2006/relationships" name="D1W5" sheetId="15" state="visible" r:id="rId15"/>
    <sheet xmlns:r="http://schemas.openxmlformats.org/officeDocument/2006/relationships" name="D2W5" sheetId="16" state="visible" r:id="rId16"/>
  </sheets>
  <definedNames>
    <definedName name="_xlnm.Print_Area" localSheetId="1">'Cashflow'!$A$1:$I$44</definedName>
    <definedName name="_xlnm._FilterDatabase" localSheetId="5" hidden="1">'BANK'!$A$10:$G$173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1">
    <font>
      <name val="Calibri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Aptos Narrow"/>
      <family val="1"/>
      <color rgb="FF000000"/>
      <sz val="10"/>
      <scheme val="minor"/>
    </font>
    <font>
      <name val="Cambria"/>
      <family val="1"/>
      <sz val="11"/>
    </font>
    <font>
      <name val="Cambria"/>
      <family val="1"/>
      <color rgb="FF000000"/>
      <sz val="10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mbria"/>
      <family val="1"/>
      <b val="1"/>
      <color rgb="FF000000"/>
      <sz val="16"/>
    </font>
    <font>
      <name val="Aptos Narrow"/>
      <family val="2"/>
      <color rgb="FF000000"/>
      <sz val="10"/>
      <scheme val="minor"/>
    </font>
    <font>
      <name val="Cambria"/>
      <family val="1"/>
      <b val="1"/>
      <sz val="10"/>
    </font>
    <font>
      <name val="Cambria"/>
      <family val="1"/>
      <sz val="10"/>
    </font>
    <font>
      <name val="Calibri"/>
      <family val="2"/>
      <b val="1"/>
      <sz val="11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6"/>
    </font>
    <font>
      <name val="Calibri"/>
      <family val="2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3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63">
    <xf numFmtId="0" fontId="0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10" fontId="10" fillId="0" borderId="0" pivotButton="0" quotePrefix="0" xfId="0"/>
    <xf numFmtId="2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4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7" fillId="0" borderId="0" pivotButton="0" quotePrefix="0" xfId="4"/>
    <xf numFmtId="0" fontId="15" fillId="0" borderId="0" pivotButton="0" quotePrefix="0" xfId="0"/>
    <xf numFmtId="0" fontId="17" fillId="0" borderId="3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3" fillId="0" borderId="24" applyAlignment="1" pivotButton="0" quotePrefix="0" xfId="0">
      <alignment wrapText="1"/>
    </xf>
    <xf numFmtId="0" fontId="3" fillId="0" borderId="14" pivotButton="0" quotePrefix="0" xfId="0"/>
    <xf numFmtId="0" fontId="3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5" applyAlignment="1" pivotButton="0" quotePrefix="0" xfId="0">
      <alignment wrapText="1"/>
    </xf>
    <xf numFmtId="10" fontId="3" fillId="0" borderId="14" applyAlignment="1" pivotButton="0" quotePrefix="0" xfId="0">
      <alignment wrapText="1"/>
    </xf>
    <xf numFmtId="10" fontId="3" fillId="0" borderId="14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0" applyAlignment="1" pivotButton="0" quotePrefix="0" xfId="0">
      <alignment wrapText="1"/>
    </xf>
    <xf numFmtId="2" fontId="3" fillId="0" borderId="14" applyAlignment="1" pivotButton="0" quotePrefix="0" xfId="0">
      <alignment wrapText="1"/>
    </xf>
    <xf numFmtId="0" fontId="3" fillId="0" borderId="26" applyAlignment="1" pivotButton="0" quotePrefix="0" xfId="0">
      <alignment wrapText="1"/>
    </xf>
    <xf numFmtId="10" fontId="3" fillId="0" borderId="29" applyAlignment="1" pivotButton="0" quotePrefix="0" xfId="0">
      <alignment horizontal="right"/>
    </xf>
    <xf numFmtId="9" fontId="3" fillId="0" borderId="14" applyAlignment="1" pivotButton="0" quotePrefix="0" xfId="4">
      <alignment horizontal="right"/>
    </xf>
    <xf numFmtId="9" fontId="3" fillId="0" borderId="0" applyAlignment="1" pivotButton="0" quotePrefix="0" xfId="4">
      <alignment horizontal="right"/>
    </xf>
    <xf numFmtId="10" fontId="3" fillId="0" borderId="14" applyAlignment="1" pivotButton="0" quotePrefix="0" xfId="4">
      <alignment horizontal="right"/>
    </xf>
    <xf numFmtId="0" fontId="3" fillId="0" borderId="27" applyAlignment="1" pivotButton="0" quotePrefix="0" xfId="0">
      <alignment wrapText="1"/>
    </xf>
    <xf numFmtId="10" fontId="3" fillId="0" borderId="14" pivotButton="0" quotePrefix="0" xfId="0"/>
    <xf numFmtId="10" fontId="3" fillId="0" borderId="0" pivotButton="0" quotePrefix="0" xfId="0"/>
    <xf numFmtId="0" fontId="3" fillId="0" borderId="20" applyAlignment="1" pivotButton="0" quotePrefix="0" xfId="0">
      <alignment wrapText="1"/>
    </xf>
    <xf numFmtId="10" fontId="3" fillId="0" borderId="23" pivotButton="0" quotePrefix="0" xfId="0"/>
    <xf numFmtId="10" fontId="3" fillId="0" borderId="21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2" fillId="0" borderId="3" pivotButton="0" quotePrefix="0" xfId="0"/>
    <xf numFmtId="10" fontId="22" fillId="0" borderId="3" applyAlignment="1" pivotButton="0" quotePrefix="0" xfId="0">
      <alignment horizontal="right"/>
    </xf>
    <xf numFmtId="10" fontId="22" fillId="0" borderId="3" pivotButton="0" quotePrefix="0" xfId="0"/>
    <xf numFmtId="2" fontId="20" fillId="0" borderId="7" pivotButton="0" quotePrefix="0" xfId="0"/>
    <xf numFmtId="0" fontId="22" fillId="0" borderId="0" applyAlignment="1" pivotButton="0" quotePrefix="0" xfId="0">
      <alignment horizontal="center"/>
    </xf>
    <xf numFmtId="0" fontId="22" fillId="0" borderId="9" pivotButton="0" quotePrefix="0" xfId="0"/>
    <xf numFmtId="10" fontId="22" fillId="0" borderId="6" applyAlignment="1" pivotButton="0" quotePrefix="0" xfId="0">
      <alignment horizontal="right"/>
    </xf>
    <xf numFmtId="10" fontId="22" fillId="0" borderId="12" applyAlignment="1" pivotButton="0" quotePrefix="0" xfId="0">
      <alignment horizontal="right"/>
    </xf>
    <xf numFmtId="0" fontId="25" fillId="0" borderId="17" applyAlignment="1" pivotButton="0" quotePrefix="0" xfId="0">
      <alignment horizontal="center"/>
    </xf>
    <xf numFmtId="0" fontId="20" fillId="0" borderId="5" pivotButton="0" quotePrefix="0" xfId="0"/>
    <xf numFmtId="0" fontId="20" fillId="0" borderId="3" pivotButton="0" quotePrefix="0" xfId="0"/>
    <xf numFmtId="0" fontId="22" fillId="0" borderId="8" pivotButton="0" quotePrefix="0" xfId="0"/>
    <xf numFmtId="0" fontId="27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8" fillId="0" borderId="8" pivotButton="0" quotePrefix="0" xfId="0"/>
    <xf numFmtId="0" fontId="20" fillId="0" borderId="2" pivotButton="0" quotePrefix="0" xfId="0"/>
    <xf numFmtId="0" fontId="29" fillId="0" borderId="8" pivotButton="0" quotePrefix="0" xfId="0"/>
    <xf numFmtId="0" fontId="29" fillId="0" borderId="2" pivotButton="0" quotePrefix="0" xfId="0"/>
    <xf numFmtId="0" fontId="22" fillId="0" borderId="11" pivotButton="0" quotePrefix="0" xfId="0"/>
    <xf numFmtId="0" fontId="20" fillId="0" borderId="37" applyAlignment="1" pivotButton="0" quotePrefix="0" xfId="0">
      <alignment horizontal="center"/>
    </xf>
    <xf numFmtId="0" fontId="20" fillId="0" borderId="7" applyAlignment="1" pivotButton="0" quotePrefix="0" xfId="0">
      <alignment vertical="center"/>
    </xf>
    <xf numFmtId="2" fontId="25" fillId="0" borderId="1" pivotButton="0" quotePrefix="0" xfId="0"/>
    <xf numFmtId="2" fontId="25" fillId="0" borderId="39" applyAlignment="1" pivotButton="0" quotePrefix="0" xfId="0">
      <alignment horizontal="center" vertical="center" wrapText="1"/>
    </xf>
    <xf numFmtId="2" fontId="20" fillId="0" borderId="1" applyAlignment="1" pivotButton="0" quotePrefix="0" xfId="1">
      <alignment horizontal="center" vertical="center"/>
    </xf>
    <xf numFmtId="2" fontId="22" fillId="0" borderId="3" pivotButton="0" quotePrefix="0" xfId="0"/>
    <xf numFmtId="2" fontId="22" fillId="0" borderId="3" applyAlignment="1" pivotButton="0" quotePrefix="0" xfId="1">
      <alignment horizontal="right" vertical="center"/>
    </xf>
    <xf numFmtId="2" fontId="22" fillId="0" borderId="4" applyAlignment="1" pivotButton="0" quotePrefix="0" xfId="1">
      <alignment horizontal="right" vertical="top"/>
    </xf>
    <xf numFmtId="2" fontId="26" fillId="0" borderId="3" applyAlignment="1" pivotButton="0" quotePrefix="0" xfId="1">
      <alignment horizontal="right" vertical="center"/>
    </xf>
    <xf numFmtId="2" fontId="20" fillId="0" borderId="5" pivotButton="0" quotePrefix="0" xfId="0"/>
    <xf numFmtId="2" fontId="20" fillId="0" borderId="5" applyAlignment="1" pivotButton="0" quotePrefix="0" xfId="1">
      <alignment horizontal="right" vertical="center"/>
    </xf>
    <xf numFmtId="2" fontId="20" fillId="0" borderId="5" applyAlignment="1" pivotButton="0" quotePrefix="0" xfId="1">
      <alignment horizontal="right" vertical="top"/>
    </xf>
    <xf numFmtId="2" fontId="20" fillId="0" borderId="16" pivotButton="0" quotePrefix="0" xfId="0"/>
    <xf numFmtId="2" fontId="20" fillId="0" borderId="16" applyAlignment="1" pivotButton="0" quotePrefix="0" xfId="1">
      <alignment horizontal="right" vertical="center"/>
    </xf>
    <xf numFmtId="2" fontId="22" fillId="0" borderId="18" pivotButton="0" quotePrefix="0" xfId="0"/>
    <xf numFmtId="2" fontId="22" fillId="0" borderId="22" applyAlignment="1" pivotButton="0" quotePrefix="0" xfId="1">
      <alignment horizontal="right" vertical="center"/>
    </xf>
    <xf numFmtId="2" fontId="22" fillId="0" borderId="19" applyAlignment="1" pivotButton="0" quotePrefix="0" xfId="1">
      <alignment horizontal="right" vertical="top"/>
    </xf>
    <xf numFmtId="2" fontId="22" fillId="0" borderId="22" applyAlignment="1" pivotButton="0" quotePrefix="0" xfId="1">
      <alignment horizontal="right" vertical="top"/>
    </xf>
    <xf numFmtId="2" fontId="22" fillId="0" borderId="24" pivotButton="0" quotePrefix="0" xfId="0"/>
    <xf numFmtId="2" fontId="22" fillId="0" borderId="14" applyAlignment="1" pivotButton="0" quotePrefix="0" xfId="1">
      <alignment horizontal="right" vertical="center"/>
    </xf>
    <xf numFmtId="2" fontId="22" fillId="0" borderId="0" applyAlignment="1" pivotButton="0" quotePrefix="0" xfId="1">
      <alignment horizontal="right" vertical="top"/>
    </xf>
    <xf numFmtId="2" fontId="22" fillId="0" borderId="14" applyAlignment="1" pivotButton="0" quotePrefix="0" xfId="1">
      <alignment horizontal="right" vertical="top"/>
    </xf>
    <xf numFmtId="2" fontId="22" fillId="0" borderId="14" pivotButton="0" quotePrefix="0" xfId="0"/>
    <xf numFmtId="2" fontId="22" fillId="0" borderId="0" applyAlignment="1" pivotButton="0" quotePrefix="0" xfId="1">
      <alignment horizontal="right" vertical="center"/>
    </xf>
    <xf numFmtId="2" fontId="26" fillId="0" borderId="3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center"/>
    </xf>
    <xf numFmtId="2" fontId="25" fillId="0" borderId="5" applyAlignment="1" pivotButton="0" quotePrefix="0" xfId="1">
      <alignment horizontal="right" vertical="top"/>
    </xf>
    <xf numFmtId="2" fontId="20" fillId="0" borderId="7" applyAlignment="1" pivotButton="0" quotePrefix="0" xfId="1">
      <alignment horizontal="right" vertical="center"/>
    </xf>
    <xf numFmtId="2" fontId="22" fillId="0" borderId="3" pivotButton="0" quotePrefix="0" xfId="1"/>
    <xf numFmtId="2" fontId="20" fillId="0" borderId="5" pivotButton="0" quotePrefix="0" xfId="1"/>
    <xf numFmtId="2" fontId="22" fillId="0" borderId="3" applyAlignment="1" pivotButton="0" quotePrefix="0" xfId="1">
      <alignment horizontal="right" vertical="top"/>
    </xf>
    <xf numFmtId="2" fontId="22" fillId="0" borderId="3" applyAlignment="1" pivotButton="0" quotePrefix="0" xfId="1">
      <alignment vertical="top"/>
    </xf>
    <xf numFmtId="2" fontId="22" fillId="0" borderId="9" applyAlignment="1" pivotButton="0" quotePrefix="0" xfId="1">
      <alignment vertical="top"/>
    </xf>
    <xf numFmtId="2" fontId="20" fillId="0" borderId="9" applyAlignment="1" pivotButton="0" quotePrefix="0" xfId="1">
      <alignment vertical="top"/>
    </xf>
    <xf numFmtId="2" fontId="22" fillId="0" borderId="9" applyAlignment="1" pivotButton="0" quotePrefix="0" xfId="1">
      <alignment horizontal="right" vertical="top"/>
    </xf>
    <xf numFmtId="2" fontId="20" fillId="0" borderId="1" applyAlignment="1" pivotButton="0" quotePrefix="0" xfId="1">
      <alignment vertical="top"/>
    </xf>
    <xf numFmtId="2" fontId="20" fillId="0" borderId="10" applyAlignment="1" pivotButton="0" quotePrefix="0" xfId="1">
      <alignment vertical="top"/>
    </xf>
    <xf numFmtId="2" fontId="3" fillId="0" borderId="15" pivotButton="0" quotePrefix="0" xfId="1"/>
    <xf numFmtId="2" fontId="3" fillId="0" borderId="14" pivotButton="0" quotePrefix="0" xfId="1"/>
    <xf numFmtId="2" fontId="3" fillId="0" borderId="0" applyAlignment="1" pivotButton="0" quotePrefix="0" xfId="1">
      <alignment wrapText="1"/>
    </xf>
    <xf numFmtId="2" fontId="3" fillId="0" borderId="14" applyAlignment="1" pivotButton="0" quotePrefix="0" xfId="1">
      <alignment wrapText="1"/>
    </xf>
    <xf numFmtId="2" fontId="3" fillId="0" borderId="14" applyAlignment="1" pivotButton="0" quotePrefix="0" xfId="1">
      <alignment horizontal="right"/>
    </xf>
    <xf numFmtId="2" fontId="3" fillId="0" borderId="0" applyAlignment="1" pivotButton="0" quotePrefix="0" xfId="1">
      <alignment horizontal="right"/>
    </xf>
    <xf numFmtId="2" fontId="3" fillId="0" borderId="0" applyAlignment="1" pivotButton="0" quotePrefix="0" xfId="1">
      <alignment horizontal="right" wrapText="1"/>
    </xf>
    <xf numFmtId="2" fontId="3" fillId="0" borderId="14" applyAlignment="1" pivotButton="0" quotePrefix="0" xfId="1">
      <alignment horizontal="right" wrapText="1"/>
    </xf>
    <xf numFmtId="2" fontId="3" fillId="0" borderId="29" applyAlignment="1" pivotButton="0" quotePrefix="0" xfId="1">
      <alignment horizontal="right"/>
    </xf>
    <xf numFmtId="2" fontId="3" fillId="0" borderId="15" applyAlignment="1" pivotButton="0" quotePrefix="0" xfId="1">
      <alignment horizontal="right"/>
    </xf>
    <xf numFmtId="2" fontId="3" fillId="0" borderId="30" pivotButton="0" quotePrefix="0" xfId="1"/>
    <xf numFmtId="2" fontId="3" fillId="0" borderId="34" pivotButton="0" quotePrefix="0" xfId="1"/>
    <xf numFmtId="2" fontId="3" fillId="0" borderId="33" applyAlignment="1" pivotButton="0" quotePrefix="0" xfId="1">
      <alignment horizontal="right"/>
    </xf>
    <xf numFmtId="2" fontId="3" fillId="0" borderId="31" pivotButton="0" quotePrefix="0" xfId="1"/>
    <xf numFmtId="2" fontId="3" fillId="0" borderId="35" pivotButton="0" quotePrefix="0" xfId="1"/>
    <xf numFmtId="2" fontId="3" fillId="0" borderId="36" pivotButton="0" quotePrefix="0" xfId="1"/>
    <xf numFmtId="49" fontId="20" fillId="0" borderId="3" applyAlignment="1" pivotButton="0" quotePrefix="0" xfId="0">
      <alignment horizontal="right"/>
    </xf>
    <xf numFmtId="49" fontId="22" fillId="0" borderId="3" applyAlignment="1" pivotButton="0" quotePrefix="0" xfId="0">
      <alignment horizontal="right"/>
    </xf>
    <xf numFmtId="49" fontId="22" fillId="0" borderId="8" applyAlignment="1" pivotButton="0" quotePrefix="0" xfId="0">
      <alignment horizontal="right"/>
    </xf>
    <xf numFmtId="2" fontId="3" fillId="0" borderId="0" pivotButton="0" quotePrefix="0" xfId="1"/>
    <xf numFmtId="0" fontId="7" fillId="0" borderId="14" pivotButton="0" quotePrefix="0" xfId="0"/>
    <xf numFmtId="2" fontId="2" fillId="0" borderId="14" applyAlignment="1" pivotButton="0" quotePrefix="0" xfId="1">
      <alignment horizontal="right"/>
    </xf>
    <xf numFmtId="0" fontId="7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  <xf numFmtId="0" fontId="0" fillId="0" borderId="0" pivotButton="0" quotePrefix="0" xfId="0"/>
    <xf numFmtId="0" fontId="7" fillId="0" borderId="0" pivotButton="0" quotePrefix="0" xfId="0"/>
    <xf numFmtId="2" fontId="1" fillId="0" borderId="29" pivotButton="0" quotePrefix="0" xfId="1"/>
    <xf numFmtId="0" fontId="18" fillId="0" borderId="0" applyAlignment="1" pivotButton="0" quotePrefix="0" xfId="0">
      <alignment horizontal="center"/>
    </xf>
    <xf numFmtId="0" fontId="7" fillId="0" borderId="0" pivotButton="0" quotePrefix="0" xfId="0"/>
    <xf numFmtId="0" fontId="19" fillId="0" borderId="0" applyAlignment="1" pivotButton="0" quotePrefix="0" xfId="0">
      <alignment horizontal="center" wrapText="1"/>
    </xf>
    <xf numFmtId="17" fontId="1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0" fontId="23" fillId="0" borderId="0" applyAlignment="1" pivotButton="0" quotePrefix="0" xfId="0">
      <alignment horizontal="center"/>
    </xf>
    <xf numFmtId="0" fontId="5" fillId="0" borderId="6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</cellXfs>
  <cellStyles count="11">
    <cellStyle name="Normal" xfId="0" builtinId="0"/>
    <cellStyle name="Comma" xfId="1" builtinId="3"/>
    <cellStyle name="Normal 2" xfId="2"/>
    <cellStyle name="Normal 3" xfId="3"/>
    <cellStyle name="Percent" xfId="4" builtinId="5"/>
    <cellStyle name="Normal 4" xfId="5"/>
    <cellStyle name="Normal 5" xfId="6"/>
    <cellStyle name="Percent 2" xfId="7"/>
    <cellStyle name="Normal 6" xfId="8"/>
    <cellStyle name="Normal 25" xfId="9"/>
    <cellStyle name="Normal 7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56744</colOff>
      <row>37</row>
      <rowOff>0</rowOff>
    </from>
    <to>
      <col>7</col>
      <colOff>836899</colOff>
      <row>41</row>
      <rowOff>90090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381999" y="6128426"/>
          <a:ext cx="780155" cy="706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7</col>
      <colOff>106365</colOff>
      <row>39</row>
      <rowOff>120804</rowOff>
    </from>
    <to>
      <col>7</col>
      <colOff>967840</colOff>
      <row>43</row>
      <rowOff>157976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395438" y="7768682"/>
          <a:ext cx="861475" cy="7805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6</col>
      <colOff>167640</colOff>
      <row>19</row>
      <rowOff>121920</rowOff>
    </from>
    <to>
      <col>6</col>
      <colOff>875285</colOff>
      <row>22</row>
      <rowOff>115420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03820" y="3741420"/>
          <a:ext cx="707645" cy="641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6</col>
      <colOff>22860</colOff>
      <row>23</row>
      <rowOff>137160</rowOff>
    </from>
    <to>
      <col>6</col>
      <colOff>730505</colOff>
      <row>27</row>
      <rowOff>46840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20940" y="4472940"/>
          <a:ext cx="707645" cy="641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236"/>
  <sheetViews>
    <sheetView showGridLines="0" tabSelected="1" topLeftCell="A10" zoomScale="94" zoomScaleNormal="100" workbookViewId="0">
      <selection activeCell="C39" sqref="C39"/>
    </sheetView>
  </sheetViews>
  <sheetFormatPr baseColWidth="8" defaultColWidth="12.5546875" defaultRowHeight="15" customHeight="1"/>
  <cols>
    <col width="4.88671875" customWidth="1" style="139" min="1" max="1"/>
    <col width="52.44140625" customWidth="1" style="139" min="2" max="2"/>
    <col width="12.77734375" bestFit="1" customWidth="1" style="139" min="3" max="4"/>
    <col width="12.5546875" bestFit="1" customWidth="1" style="139" min="5" max="5"/>
    <col width="13.109375" bestFit="1" customWidth="1" style="139" min="6" max="6"/>
    <col width="12.88671875" customWidth="1" style="139" min="7" max="7"/>
    <col width="14" bestFit="1" customWidth="1" style="139" min="8" max="8"/>
    <col width="12.5546875" customWidth="1" style="139" min="9" max="10"/>
    <col width="12.5546875" customWidth="1" style="139" min="11" max="16384"/>
  </cols>
  <sheetData>
    <row r="1" ht="15" customHeight="1" s="135">
      <c r="B1" s="138" t="inlineStr">
        <is>
          <t>Baba Yaga Art of Chinese (Greater Noida West)</t>
        </is>
      </c>
      <c r="I1" s="6" t="n"/>
    </row>
    <row r="2" ht="16.5" customHeight="1" s="135">
      <c r="B2" s="140" t="inlineStr">
        <is>
          <t>Zomato Summary  - December - 2026</t>
        </is>
      </c>
    </row>
    <row r="3" ht="12" customHeight="1" s="135" thickBot="1">
      <c r="B3" s="141" t="n"/>
    </row>
    <row r="4" ht="15" customHeight="1" s="135" thickBot="1">
      <c r="B4" s="13" t="inlineStr">
        <is>
          <t>Details</t>
        </is>
      </c>
      <c r="C4" s="148" t="inlineStr">
        <is>
          <t>1st to 7th</t>
        </is>
      </c>
      <c r="D4" s="149" t="inlineStr">
        <is>
          <t>8th to 14th</t>
        </is>
      </c>
      <c r="E4" s="148" t="inlineStr">
        <is>
          <t>15th to 21st</t>
        </is>
      </c>
      <c r="F4" s="149" t="inlineStr">
        <is>
          <t>22nd to 28th</t>
        </is>
      </c>
      <c r="G4" s="148" t="inlineStr">
        <is>
          <t>29th to 31st</t>
        </is>
      </c>
      <c r="H4" s="14" t="inlineStr">
        <is>
          <t>Total</t>
        </is>
      </c>
    </row>
    <row r="5" ht="12" customHeight="1" s="135">
      <c r="B5" s="15" t="n"/>
      <c r="C5" s="16" t="n"/>
      <c r="D5" s="17" t="n"/>
      <c r="E5" s="16" t="n"/>
      <c r="F5" s="17" t="n"/>
      <c r="G5" s="18" t="n"/>
      <c r="H5" s="16" t="n"/>
    </row>
    <row r="6" ht="12" customHeight="1" s="135">
      <c r="B6" s="15" t="inlineStr">
        <is>
          <t>No.of orders</t>
        </is>
      </c>
      <c r="C6" s="15" t="n">
        <v>109</v>
      </c>
      <c r="D6" s="15" t="n">
        <v>97</v>
      </c>
      <c r="E6" s="15" t="n">
        <v>78</v>
      </c>
      <c r="F6" s="15" t="n">
        <v>55</v>
      </c>
      <c r="G6" s="99" t="n">
        <v>36</v>
      </c>
      <c r="H6" s="96">
        <f>SUM(C6:G6)</f>
        <v/>
      </c>
    </row>
    <row r="7" ht="12" customHeight="1" s="135">
      <c r="B7" s="15" t="n"/>
      <c r="C7" s="96" t="n"/>
      <c r="D7" s="97" t="n"/>
      <c r="E7" s="96" t="n"/>
      <c r="F7" s="97" t="n"/>
      <c r="G7" s="98" t="n"/>
      <c r="H7" s="96" t="n"/>
    </row>
    <row r="8" ht="12" customHeight="1" s="135">
      <c r="B8" s="15" t="inlineStr">
        <is>
          <t>Total Income (Number that you see on Zomato dashboard)</t>
        </is>
      </c>
      <c r="C8" s="99">
        <f>Cashflow!C10</f>
        <v/>
      </c>
      <c r="D8" s="100">
        <f>Cashflow!D10</f>
        <v/>
      </c>
      <c r="E8" s="99">
        <f>Cashflow!E10</f>
        <v/>
      </c>
      <c r="F8" s="100">
        <f>Cashflow!F10</f>
        <v/>
      </c>
      <c r="G8" s="99">
        <f>Cashflow!G10</f>
        <v/>
      </c>
      <c r="H8" s="96">
        <f>SUM(C8:G8)</f>
        <v/>
      </c>
    </row>
    <row r="9" ht="12" customHeight="1" s="135">
      <c r="B9" s="15" t="n"/>
      <c r="C9" s="96" t="n"/>
      <c r="D9" s="97" t="n"/>
      <c r="E9" s="96" t="n"/>
      <c r="F9" s="97" t="n"/>
      <c r="G9" s="98" t="n"/>
      <c r="H9" s="96" t="n"/>
    </row>
    <row r="10" ht="12" customHeight="1" s="135">
      <c r="B10" s="19" t="inlineStr">
        <is>
          <t>Avg. order value</t>
        </is>
      </c>
      <c r="C10" s="137">
        <f>IFERROR(C8/C6,)</f>
        <v/>
      </c>
      <c r="D10" s="137">
        <f>IFERROR(D8/D6,)</f>
        <v/>
      </c>
      <c r="E10" s="137">
        <f>IFERROR(E8/E6,)</f>
        <v/>
      </c>
      <c r="F10" s="137">
        <f>IFERROR(F8/F6,)</f>
        <v/>
      </c>
      <c r="G10" s="137">
        <f>IFERROR(G8/G6,)</f>
        <v/>
      </c>
      <c r="H10" s="137">
        <f>IFERROR(H8/H6,)</f>
        <v/>
      </c>
      <c r="I10" s="150" t="n"/>
    </row>
    <row r="11" ht="12" customHeight="1" s="135">
      <c r="B11" s="15" t="n"/>
      <c r="C11" s="96" t="n"/>
      <c r="D11" s="97" t="n"/>
      <c r="E11" s="96" t="n"/>
      <c r="F11" s="97" t="n"/>
      <c r="G11" s="98" t="n"/>
      <c r="H11" s="96" t="n"/>
    </row>
    <row r="12" ht="12" customHeight="1" s="135">
      <c r="B12" s="15" t="inlineStr">
        <is>
          <t>No of disputed orders</t>
        </is>
      </c>
      <c r="C12" s="99" t="n">
        <v>0</v>
      </c>
      <c r="D12" s="100" t="n">
        <v>0</v>
      </c>
      <c r="E12" s="99" t="n">
        <v>0</v>
      </c>
      <c r="F12" s="100" t="n">
        <v>1</v>
      </c>
      <c r="G12" s="99" t="n">
        <v>0</v>
      </c>
      <c r="H12" s="99">
        <f>SUM(C12:G12)</f>
        <v/>
      </c>
    </row>
    <row r="13" ht="12" customHeight="1" s="135">
      <c r="B13" s="15" t="n"/>
      <c r="C13" s="99" t="n"/>
      <c r="D13" s="101" t="n"/>
      <c r="E13" s="99" t="n"/>
      <c r="F13" s="101" t="n"/>
      <c r="G13" s="102" t="n"/>
      <c r="H13" s="99" t="n"/>
    </row>
    <row r="14" ht="12" customHeight="1" s="135">
      <c r="B14" s="19" t="inlineStr">
        <is>
          <t>Refund amount for disputed orders</t>
        </is>
      </c>
      <c r="C14" s="103">
        <f>Cashflow!C18</f>
        <v/>
      </c>
      <c r="D14" s="103">
        <f>Cashflow!D18</f>
        <v/>
      </c>
      <c r="E14" s="103">
        <f>Cashflow!E18</f>
        <v/>
      </c>
      <c r="F14" s="103">
        <f>Cashflow!F18</f>
        <v/>
      </c>
      <c r="G14" s="103">
        <f>Cashflow!G18</f>
        <v/>
      </c>
      <c r="H14" s="104">
        <f>SUM(C14:G14)</f>
        <v/>
      </c>
    </row>
    <row r="15" ht="12" customHeight="1" s="135">
      <c r="B15" s="15" t="n"/>
      <c r="C15" s="99" t="n"/>
      <c r="D15" s="101" t="n"/>
      <c r="E15" s="99" t="n"/>
      <c r="F15" s="101" t="n"/>
      <c r="G15" s="102" t="n"/>
      <c r="H15" s="99" t="n"/>
    </row>
    <row r="16" ht="14.4" customHeight="1" s="135">
      <c r="B16" s="15" t="inlineStr">
        <is>
          <t>Discounts</t>
        </is>
      </c>
      <c r="C16" s="99">
        <f>Cashflow!C8</f>
        <v/>
      </c>
      <c r="D16" s="100">
        <f>Cashflow!D8</f>
        <v/>
      </c>
      <c r="E16" s="99">
        <f>Cashflow!E8</f>
        <v/>
      </c>
      <c r="F16" s="100">
        <f>Cashflow!F8</f>
        <v/>
      </c>
      <c r="G16" s="99">
        <f>Cashflow!G8</f>
        <v/>
      </c>
      <c r="H16" s="96">
        <f>SUM(C16:G16)</f>
        <v/>
      </c>
    </row>
    <row r="17" ht="15" customHeight="1" s="135">
      <c r="B17" s="15" t="n"/>
      <c r="C17" s="20">
        <f>IFERROR(C16/C8,)</f>
        <v/>
      </c>
      <c r="D17" s="20">
        <f>IFERROR(D16/D8,)</f>
        <v/>
      </c>
      <c r="E17" s="20">
        <f>IFERROR(E16/E8,)</f>
        <v/>
      </c>
      <c r="F17" s="20">
        <f>IFERROR(F16/F8,)</f>
        <v/>
      </c>
      <c r="G17" s="20">
        <f>IFERROR(G16/G8,)</f>
        <v/>
      </c>
      <c r="H17" s="20">
        <f>IFERROR(H16/H8,)</f>
        <v/>
      </c>
    </row>
    <row r="18" ht="15" customHeight="1" s="135">
      <c r="B18" s="115" t="n"/>
      <c r="D18" s="115" t="n"/>
      <c r="F18" s="115" t="n"/>
      <c r="H18" s="115" t="n"/>
    </row>
    <row r="19" ht="12" customHeight="1" s="135">
      <c r="B19" s="15" t="inlineStr">
        <is>
          <t>Commisonable Amount</t>
        </is>
      </c>
      <c r="C19" s="116" t="n">
        <v>40951.35999999999</v>
      </c>
      <c r="D19" s="116" t="n">
        <v>38549.31999999999</v>
      </c>
      <c r="E19" s="116" t="n">
        <v>23636.88</v>
      </c>
      <c r="F19" s="116" t="n">
        <v>22006.59999999999</v>
      </c>
      <c r="G19" s="116" t="n">
        <v>15938.1</v>
      </c>
      <c r="H19" s="104">
        <f>SUM(C19:G19)</f>
        <v/>
      </c>
    </row>
    <row r="20" ht="17.4" customHeight="1" s="135">
      <c r="B20" s="25" t="inlineStr">
        <is>
          <t>Commission</t>
        </is>
      </c>
      <c r="C20" s="105">
        <f>Cashflow!C11</f>
        <v/>
      </c>
      <c r="D20" s="106">
        <f>Cashflow!D11</f>
        <v/>
      </c>
      <c r="E20" s="105">
        <f>Cashflow!E11</f>
        <v/>
      </c>
      <c r="F20" s="106">
        <f>Cashflow!F11</f>
        <v/>
      </c>
      <c r="G20" s="105">
        <f>Cashflow!G11</f>
        <v/>
      </c>
      <c r="H20" s="96">
        <f>SUM(C20:G20)</f>
        <v/>
      </c>
      <c r="J20" s="2" t="n"/>
    </row>
    <row r="21" ht="19.2" customHeight="1" s="135">
      <c r="B21" s="19" t="inlineStr">
        <is>
          <t>(Calculated on Sales + GST)</t>
        </is>
      </c>
      <c r="C21" s="26">
        <f>IFERROR(C20/C19,)</f>
        <v/>
      </c>
      <c r="D21" s="26">
        <f>IFERROR(D20/D19,)</f>
        <v/>
      </c>
      <c r="E21" s="26">
        <f>IFERROR(E20/E19,)</f>
        <v/>
      </c>
      <c r="F21" s="26">
        <f>IFERROR(F20/F19,)</f>
        <v/>
      </c>
      <c r="G21" s="26">
        <f>IFERROR(G20/G19,)</f>
        <v/>
      </c>
      <c r="H21" s="26">
        <f>IFERROR(H20/H19,)</f>
        <v/>
      </c>
      <c r="J21" s="3" t="n"/>
    </row>
    <row r="22" ht="12" customHeight="1" s="135">
      <c r="B22" s="15" t="n"/>
      <c r="C22" s="151" t="n"/>
      <c r="D22" s="152" t="n"/>
      <c r="E22" s="151" t="n"/>
      <c r="F22" s="152" t="n"/>
      <c r="G22" s="153" t="n"/>
      <c r="H22" s="151" t="n"/>
      <c r="J22" s="3" t="n"/>
    </row>
    <row r="23" ht="12" customHeight="1" s="135">
      <c r="B23" s="19" t="inlineStr">
        <is>
          <t>Marketing &amp; Ads</t>
        </is>
      </c>
      <c r="C23" s="103">
        <f>Cashflow!C21</f>
        <v/>
      </c>
      <c r="D23" s="107">
        <f>Cashflow!D21</f>
        <v/>
      </c>
      <c r="E23" s="103">
        <f>Cashflow!E21</f>
        <v/>
      </c>
      <c r="F23" s="107">
        <f>Cashflow!F21</f>
        <v/>
      </c>
      <c r="G23" s="103">
        <f>Cashflow!G21</f>
        <v/>
      </c>
      <c r="H23" s="95">
        <f>SUM(C23:G23)</f>
        <v/>
      </c>
    </row>
    <row r="24" ht="13.8" customHeight="1" s="135">
      <c r="B24" s="15" t="n"/>
      <c r="C24" s="21">
        <f>IFERROR(C23/C8,)</f>
        <v/>
      </c>
      <c r="D24" s="21">
        <f>IFERROR(D23/D8,)</f>
        <v/>
      </c>
      <c r="E24" s="21">
        <f>IFERROR(E23/E8,)</f>
        <v/>
      </c>
      <c r="F24" s="21">
        <f>IFERROR(F23/F8,)</f>
        <v/>
      </c>
      <c r="G24" s="21">
        <f>IFERROR(G23/G8,)</f>
        <v/>
      </c>
      <c r="H24" s="21">
        <f>IFERROR(H23/H8,)</f>
        <v/>
      </c>
    </row>
    <row r="25" ht="12" customHeight="1" s="135">
      <c r="B25" s="15" t="n"/>
      <c r="C25" s="22" t="n"/>
      <c r="D25" s="23" t="n"/>
      <c r="E25" s="22" t="n"/>
      <c r="F25" s="23" t="n"/>
      <c r="G25" s="24" t="n"/>
      <c r="H25" s="22" t="n"/>
    </row>
    <row r="26" ht="8.4" customHeight="1" s="135">
      <c r="B26" s="15" t="n"/>
      <c r="C26" s="27" t="n"/>
      <c r="D26" s="28" t="n"/>
      <c r="E26" s="29" t="n"/>
      <c r="F26" s="28" t="n"/>
      <c r="G26" s="27" t="n"/>
      <c r="H26" s="22" t="n"/>
    </row>
    <row r="27" ht="15" customHeight="1" s="135">
      <c r="B27" s="30" t="inlineStr">
        <is>
          <t>Other charges &amp; Tax Adjustments</t>
        </is>
      </c>
      <c r="C27" s="108">
        <f>Cashflow!C13+Cashflow!C26</f>
        <v/>
      </c>
      <c r="D27" s="109">
        <f>Cashflow!D13+Cashflow!D26</f>
        <v/>
      </c>
      <c r="E27" s="108">
        <f>Cashflow!E13+Cashflow!E26</f>
        <v/>
      </c>
      <c r="F27" s="109">
        <f>Cashflow!F13+Cashflow!F26</f>
        <v/>
      </c>
      <c r="G27" s="108">
        <f>Cashflow!G13+Cashflow!G26</f>
        <v/>
      </c>
      <c r="H27" s="110">
        <f>SUM(C27:G27)</f>
        <v/>
      </c>
    </row>
    <row r="28" ht="15.6" customHeight="1" s="135">
      <c r="B28" s="15" t="n"/>
      <c r="C28" s="31">
        <f>IFERROR(C27/C8,)</f>
        <v/>
      </c>
      <c r="D28" s="31">
        <f>IFERROR(D27/D8,)</f>
        <v/>
      </c>
      <c r="E28" s="31">
        <f>IFERROR(E27/E8,)</f>
        <v/>
      </c>
      <c r="F28" s="31">
        <f>IFERROR(F27/F8,)</f>
        <v/>
      </c>
      <c r="G28" s="31">
        <f>IFERROR(G27/G8,)</f>
        <v/>
      </c>
      <c r="H28" s="31">
        <f>IFERROR(H27/H8,)</f>
        <v/>
      </c>
    </row>
    <row r="29" ht="3" customHeight="1" s="135">
      <c r="B29" s="15" t="n"/>
      <c r="C29" s="31" t="n"/>
      <c r="D29" s="32" t="n"/>
      <c r="E29" s="31" t="n"/>
      <c r="F29" s="32" t="n"/>
      <c r="G29" s="31" t="n"/>
      <c r="H29" s="21" t="n"/>
    </row>
    <row r="30" ht="12" customHeight="1" s="135">
      <c r="B30" s="15" t="n"/>
      <c r="C30" s="154" t="n"/>
      <c r="D30" s="152" t="n"/>
      <c r="E30" s="154" t="n"/>
      <c r="F30" s="152" t="n"/>
      <c r="G30" s="153" t="n"/>
      <c r="H30" s="151" t="n"/>
    </row>
    <row r="31" ht="12" customFormat="1" customHeight="1" s="139">
      <c r="B31" s="15" t="n"/>
      <c r="C31" s="154" t="n"/>
      <c r="D31" s="152" t="n"/>
      <c r="E31" s="154" t="n"/>
      <c r="F31" s="152" t="n"/>
      <c r="G31" s="153" t="n"/>
      <c r="H31" s="151" t="n"/>
    </row>
    <row r="32" ht="12" customHeight="1" s="135">
      <c r="B32" s="15" t="inlineStr">
        <is>
          <t>Zomato Hyperpure Adjustments</t>
        </is>
      </c>
      <c r="C32" s="96">
        <f>Cashflow!C36</f>
        <v/>
      </c>
      <c r="D32" s="96">
        <f>Cashflow!D36</f>
        <v/>
      </c>
      <c r="E32" s="96">
        <f>Cashflow!E36</f>
        <v/>
      </c>
      <c r="F32" s="96">
        <f>Cashflow!F36</f>
        <v/>
      </c>
      <c r="G32" s="96">
        <f>Cashflow!G36</f>
        <v/>
      </c>
      <c r="H32" s="96">
        <f>SUM(C32:G32)</f>
        <v/>
      </c>
    </row>
    <row r="33" ht="2.4" customHeight="1" s="135">
      <c r="B33" s="15" t="n"/>
      <c r="C33" s="96" t="n"/>
      <c r="D33" s="114" t="n"/>
      <c r="E33" s="96" t="n"/>
      <c r="F33" s="114" t="n"/>
      <c r="G33" s="96" t="n"/>
      <c r="H33" s="96" t="n"/>
    </row>
    <row r="34" ht="12" customHeight="1" s="135">
      <c r="B34" s="15" t="n"/>
      <c r="C34" s="96" t="n"/>
      <c r="D34" s="97" t="n"/>
      <c r="E34" s="96" t="n"/>
      <c r="F34" s="97" t="n"/>
      <c r="G34" s="98" t="n"/>
      <c r="H34" s="99" t="n"/>
    </row>
    <row r="35" ht="12" customHeight="1" s="135">
      <c r="B35" s="15" t="inlineStr">
        <is>
          <t>Money received</t>
        </is>
      </c>
      <c r="C35" s="96">
        <f>C8-C14-C20-C23-C27-C32</f>
        <v/>
      </c>
      <c r="D35" s="96">
        <f>D8-D14-D20-D23-D27-D32</f>
        <v/>
      </c>
      <c r="E35" s="96">
        <f>E8-E14-E20-E23-E27-E32</f>
        <v/>
      </c>
      <c r="F35" s="96">
        <f>F8-F14-F20-F23-F27-F32+Cashflow!F31</f>
        <v/>
      </c>
      <c r="G35" s="96">
        <f>G8-G14-G20-G23-G27-G32</f>
        <v/>
      </c>
      <c r="H35" s="96">
        <f>SUM(C35:G35)</f>
        <v/>
      </c>
      <c r="J35" s="4" t="n"/>
    </row>
    <row r="36" ht="17.25" customHeight="1" s="135" thickBot="1">
      <c r="B36" s="33" t="n"/>
      <c r="C36" s="34">
        <f>IFERROR(C35/$C$8,)</f>
        <v/>
      </c>
      <c r="D36" s="35">
        <f>IFERROR(D35/$D$8,)</f>
        <v/>
      </c>
      <c r="E36" s="34">
        <f>IFERROR(E35/$E$8,)</f>
        <v/>
      </c>
      <c r="F36" s="35">
        <f>IFERROR(F35/F8,)</f>
        <v/>
      </c>
      <c r="G36" s="34">
        <f>IFERROR(G35/G8,)</f>
        <v/>
      </c>
      <c r="H36" s="34">
        <f>IFERROR(H35/H8,)</f>
        <v/>
      </c>
      <c r="J36" s="4" t="n"/>
    </row>
    <row r="37" ht="12" customHeight="1" s="135">
      <c r="B37" s="5" t="n"/>
    </row>
    <row r="38" ht="12" customHeight="1" s="135">
      <c r="B38" s="9" t="n"/>
    </row>
    <row r="39" ht="12" customHeight="1" s="135">
      <c r="B39" s="10" t="n"/>
      <c r="C39" s="1" t="n"/>
    </row>
    <row r="40" ht="12" customHeight="1" s="135">
      <c r="B40" s="10" t="n"/>
      <c r="C40" s="4" t="n"/>
    </row>
    <row r="41" ht="12" customHeight="1" s="135"/>
    <row r="42" ht="12" customHeight="1" s="135">
      <c r="B42" s="5" t="n"/>
    </row>
    <row r="43" ht="12" customHeight="1" s="135">
      <c r="B43" s="5" t="n"/>
    </row>
    <row r="44" ht="12" customHeight="1" s="135">
      <c r="B44" s="5" t="n"/>
    </row>
    <row r="45" ht="12" customHeight="1" s="135">
      <c r="B45" s="5" t="n"/>
    </row>
    <row r="46" ht="12" customHeight="1" s="135">
      <c r="B46" s="5" t="n"/>
    </row>
    <row r="47" ht="12" customHeight="1" s="135">
      <c r="B47" s="5" t="n"/>
    </row>
    <row r="48" ht="12" customHeight="1" s="135">
      <c r="B48" s="5" t="n"/>
    </row>
    <row r="49" ht="12" customHeight="1" s="135">
      <c r="B49" s="5" t="n"/>
    </row>
    <row r="50" ht="12" customHeight="1" s="135">
      <c r="B50" s="5" t="n"/>
    </row>
    <row r="51" ht="12" customHeight="1" s="135">
      <c r="B51" s="5" t="n"/>
    </row>
    <row r="52" ht="12" customHeight="1" s="135">
      <c r="B52" s="5" t="n"/>
    </row>
    <row r="53" ht="12" customHeight="1" s="135">
      <c r="B53" s="5" t="n"/>
    </row>
    <row r="54" ht="12" customHeight="1" s="135">
      <c r="B54" s="5" t="n"/>
    </row>
    <row r="55" ht="12" customHeight="1" s="135">
      <c r="B55" s="5" t="n"/>
    </row>
    <row r="56" ht="12" customHeight="1" s="135">
      <c r="B56" s="5" t="n"/>
    </row>
    <row r="57" ht="12" customHeight="1" s="135">
      <c r="B57" s="5" t="n"/>
    </row>
    <row r="58" ht="12" customHeight="1" s="135">
      <c r="B58" s="5" t="n"/>
    </row>
    <row r="59" ht="12" customHeight="1" s="135">
      <c r="B59" s="5" t="n"/>
    </row>
    <row r="60" ht="12" customHeight="1" s="135">
      <c r="B60" s="5" t="n"/>
    </row>
    <row r="61" ht="12" customHeight="1" s="135">
      <c r="B61" s="5" t="n"/>
    </row>
    <row r="62" ht="12" customHeight="1" s="135">
      <c r="B62" s="5" t="n"/>
    </row>
    <row r="63" ht="12" customHeight="1" s="135">
      <c r="B63" s="5" t="n"/>
    </row>
    <row r="64" ht="12" customHeight="1" s="135">
      <c r="B64" s="5" t="n"/>
    </row>
    <row r="65" ht="12" customHeight="1" s="135">
      <c r="B65" s="5" t="n"/>
    </row>
    <row r="66" ht="12" customHeight="1" s="135">
      <c r="B66" s="5" t="n"/>
    </row>
    <row r="67" ht="12" customHeight="1" s="135">
      <c r="B67" s="5" t="n"/>
    </row>
    <row r="68" ht="12" customHeight="1" s="135">
      <c r="B68" s="5" t="n"/>
    </row>
    <row r="69" ht="12" customHeight="1" s="135">
      <c r="B69" s="5" t="n"/>
    </row>
    <row r="70" ht="12" customHeight="1" s="135">
      <c r="B70" s="5" t="n"/>
    </row>
    <row r="71" ht="12" customHeight="1" s="135">
      <c r="B71" s="5" t="n"/>
    </row>
    <row r="72" ht="12" customHeight="1" s="135">
      <c r="B72" s="5" t="n"/>
    </row>
    <row r="73" ht="12" customHeight="1" s="135">
      <c r="B73" s="5" t="n"/>
    </row>
    <row r="74" ht="12" customHeight="1" s="135">
      <c r="B74" s="5" t="n"/>
    </row>
    <row r="75" ht="12" customHeight="1" s="135">
      <c r="B75" s="5" t="n"/>
    </row>
    <row r="76" ht="12" customHeight="1" s="135">
      <c r="B76" s="5" t="n"/>
    </row>
    <row r="77" ht="12" customHeight="1" s="135">
      <c r="B77" s="5" t="n"/>
    </row>
    <row r="78" ht="12" customHeight="1" s="135">
      <c r="B78" s="5" t="n"/>
    </row>
    <row r="79" ht="12" customHeight="1" s="135">
      <c r="B79" s="5" t="n"/>
    </row>
    <row r="80" ht="12" customHeight="1" s="135">
      <c r="B80" s="5" t="n"/>
    </row>
    <row r="81" ht="12" customHeight="1" s="135">
      <c r="B81" s="5" t="n"/>
    </row>
    <row r="82" ht="12" customHeight="1" s="135">
      <c r="B82" s="5" t="n"/>
    </row>
    <row r="83" ht="12" customHeight="1" s="135">
      <c r="B83" s="5" t="n"/>
    </row>
    <row r="84" ht="12" customHeight="1" s="135">
      <c r="B84" s="5" t="n"/>
    </row>
    <row r="85" ht="12" customHeight="1" s="135">
      <c r="B85" s="5" t="n"/>
    </row>
    <row r="86" ht="12" customHeight="1" s="135">
      <c r="B86" s="5" t="n"/>
    </row>
    <row r="87" ht="12" customHeight="1" s="135">
      <c r="B87" s="5" t="n"/>
    </row>
    <row r="88" ht="12" customHeight="1" s="135">
      <c r="B88" s="5" t="n"/>
    </row>
    <row r="89" ht="12" customHeight="1" s="135">
      <c r="B89" s="5" t="n"/>
    </row>
    <row r="90" ht="12" customHeight="1" s="135">
      <c r="B90" s="5" t="n"/>
    </row>
    <row r="91" ht="12" customHeight="1" s="135">
      <c r="B91" s="5" t="n"/>
    </row>
    <row r="92" ht="12" customHeight="1" s="135">
      <c r="B92" s="5" t="n"/>
    </row>
    <row r="93" ht="12" customHeight="1" s="135">
      <c r="B93" s="5" t="n"/>
    </row>
    <row r="94" ht="12" customHeight="1" s="135">
      <c r="B94" s="5" t="n"/>
    </row>
    <row r="95" ht="12" customHeight="1" s="135">
      <c r="B95" s="5" t="n"/>
    </row>
    <row r="96" ht="12" customHeight="1" s="135">
      <c r="B96" s="5" t="n"/>
    </row>
    <row r="97" ht="12" customHeight="1" s="135">
      <c r="B97" s="5" t="n"/>
    </row>
    <row r="98" ht="12" customHeight="1" s="135">
      <c r="B98" s="5" t="n"/>
    </row>
    <row r="99" ht="12" customHeight="1" s="135">
      <c r="B99" s="5" t="n"/>
    </row>
    <row r="100" ht="12" customHeight="1" s="135">
      <c r="B100" s="5" t="n"/>
    </row>
    <row r="101" ht="12" customHeight="1" s="135">
      <c r="B101" s="5" t="n"/>
    </row>
    <row r="102" ht="12" customHeight="1" s="135">
      <c r="B102" s="5" t="n"/>
    </row>
    <row r="103" ht="12" customHeight="1" s="135">
      <c r="B103" s="5" t="n"/>
    </row>
    <row r="104" ht="12" customHeight="1" s="135">
      <c r="B104" s="5" t="n"/>
    </row>
    <row r="105" ht="12" customHeight="1" s="135">
      <c r="B105" s="5" t="n"/>
    </row>
    <row r="106" ht="12" customHeight="1" s="135">
      <c r="B106" s="5" t="n"/>
    </row>
    <row r="107" ht="12" customHeight="1" s="135">
      <c r="B107" s="5" t="n"/>
    </row>
    <row r="108" ht="12" customHeight="1" s="135">
      <c r="B108" s="5" t="n"/>
    </row>
    <row r="109" ht="12" customHeight="1" s="135">
      <c r="B109" s="5" t="n"/>
    </row>
    <row r="110" ht="12" customHeight="1" s="135">
      <c r="B110" s="5" t="n"/>
    </row>
    <row r="111" ht="12" customHeight="1" s="135">
      <c r="B111" s="5" t="n"/>
    </row>
    <row r="112" ht="12" customHeight="1" s="135">
      <c r="B112" s="5" t="n"/>
    </row>
    <row r="113" ht="12" customHeight="1" s="135">
      <c r="B113" s="5" t="n"/>
    </row>
    <row r="114" ht="12" customHeight="1" s="135">
      <c r="B114" s="5" t="n"/>
    </row>
    <row r="115" ht="12" customHeight="1" s="135">
      <c r="B115" s="5" t="n"/>
    </row>
    <row r="116" ht="12" customHeight="1" s="135">
      <c r="B116" s="5" t="n"/>
    </row>
    <row r="117" ht="12" customHeight="1" s="135">
      <c r="B117" s="5" t="n"/>
    </row>
    <row r="118" ht="12" customHeight="1" s="135">
      <c r="B118" s="5" t="n"/>
    </row>
    <row r="119" ht="12" customHeight="1" s="135">
      <c r="B119" s="5" t="n"/>
    </row>
    <row r="120" ht="12" customHeight="1" s="135">
      <c r="B120" s="5" t="n"/>
    </row>
    <row r="121" ht="12" customHeight="1" s="135">
      <c r="B121" s="5" t="n"/>
    </row>
    <row r="122" ht="12" customHeight="1" s="135">
      <c r="B122" s="5" t="n"/>
    </row>
    <row r="123" ht="12" customHeight="1" s="135">
      <c r="B123" s="5" t="n"/>
    </row>
    <row r="124" ht="12" customHeight="1" s="135">
      <c r="B124" s="5" t="n"/>
    </row>
    <row r="125" ht="12" customHeight="1" s="135">
      <c r="B125" s="5" t="n"/>
    </row>
    <row r="126" ht="12" customHeight="1" s="135">
      <c r="B126" s="5" t="n"/>
    </row>
    <row r="127" ht="12" customHeight="1" s="135">
      <c r="B127" s="5" t="n"/>
    </row>
    <row r="128" ht="12" customHeight="1" s="135">
      <c r="B128" s="5" t="n"/>
    </row>
    <row r="129" ht="12" customHeight="1" s="135">
      <c r="B129" s="5" t="n"/>
    </row>
    <row r="130" ht="12" customHeight="1" s="135">
      <c r="B130" s="5" t="n"/>
    </row>
    <row r="131" ht="12" customHeight="1" s="135">
      <c r="B131" s="5" t="n"/>
    </row>
    <row r="132" ht="12" customHeight="1" s="135">
      <c r="B132" s="5" t="n"/>
    </row>
    <row r="133" ht="12" customHeight="1" s="135">
      <c r="B133" s="5" t="n"/>
    </row>
    <row r="134" ht="12" customHeight="1" s="135">
      <c r="B134" s="5" t="n"/>
    </row>
    <row r="135" ht="12" customHeight="1" s="135">
      <c r="B135" s="5" t="n"/>
    </row>
    <row r="136" ht="12" customHeight="1" s="135">
      <c r="B136" s="5" t="n"/>
    </row>
    <row r="137" ht="12" customHeight="1" s="135">
      <c r="B137" s="5" t="n"/>
    </row>
    <row r="138" ht="12" customHeight="1" s="135">
      <c r="B138" s="5" t="n"/>
    </row>
    <row r="139" ht="12" customHeight="1" s="135">
      <c r="B139" s="5" t="n"/>
    </row>
    <row r="140" ht="12" customHeight="1" s="135">
      <c r="B140" s="5" t="n"/>
    </row>
    <row r="141" ht="12" customHeight="1" s="135">
      <c r="B141" s="5" t="n"/>
    </row>
    <row r="142" ht="12" customHeight="1" s="135">
      <c r="B142" s="5" t="n"/>
    </row>
    <row r="143" ht="12" customHeight="1" s="135">
      <c r="B143" s="5" t="n"/>
    </row>
    <row r="144" ht="12" customHeight="1" s="135">
      <c r="B144" s="5" t="n"/>
    </row>
    <row r="145" ht="12" customHeight="1" s="135">
      <c r="B145" s="5" t="n"/>
    </row>
    <row r="146" ht="12" customHeight="1" s="135">
      <c r="B146" s="5" t="n"/>
    </row>
    <row r="147" ht="12" customHeight="1" s="135">
      <c r="B147" s="5" t="n"/>
    </row>
    <row r="148" ht="12" customHeight="1" s="135">
      <c r="B148" s="5" t="n"/>
    </row>
    <row r="149" ht="12" customHeight="1" s="135">
      <c r="B149" s="5" t="n"/>
    </row>
    <row r="150" ht="12" customHeight="1" s="135">
      <c r="B150" s="5" t="n"/>
    </row>
    <row r="151" ht="12" customHeight="1" s="135">
      <c r="B151" s="5" t="n"/>
    </row>
    <row r="152" ht="12" customHeight="1" s="135">
      <c r="B152" s="5" t="n"/>
    </row>
    <row r="153" ht="12" customHeight="1" s="135">
      <c r="B153" s="5" t="n"/>
    </row>
    <row r="154" ht="12" customHeight="1" s="135">
      <c r="B154" s="5" t="n"/>
    </row>
    <row r="155" ht="12" customHeight="1" s="135">
      <c r="B155" s="5" t="n"/>
    </row>
    <row r="156" ht="12" customHeight="1" s="135">
      <c r="B156" s="5" t="n"/>
    </row>
    <row r="157" ht="12" customHeight="1" s="135">
      <c r="B157" s="5" t="n"/>
    </row>
    <row r="158" ht="12" customHeight="1" s="135">
      <c r="B158" s="5" t="n"/>
    </row>
    <row r="159" ht="12" customHeight="1" s="135">
      <c r="B159" s="5" t="n"/>
    </row>
    <row r="160" ht="12" customHeight="1" s="135">
      <c r="B160" s="5" t="n"/>
    </row>
    <row r="161" ht="12" customHeight="1" s="135">
      <c r="B161" s="5" t="n"/>
    </row>
    <row r="162" ht="12" customHeight="1" s="135">
      <c r="B162" s="5" t="n"/>
    </row>
    <row r="163" ht="12" customHeight="1" s="135">
      <c r="B163" s="5" t="n"/>
    </row>
    <row r="164" ht="12" customHeight="1" s="135">
      <c r="B164" s="5" t="n"/>
    </row>
    <row r="165" ht="12" customHeight="1" s="135">
      <c r="B165" s="5" t="n"/>
    </row>
    <row r="166" ht="12" customHeight="1" s="135">
      <c r="B166" s="5" t="n"/>
    </row>
    <row r="167" ht="12" customHeight="1" s="135">
      <c r="B167" s="5" t="n"/>
    </row>
    <row r="168" ht="12" customHeight="1" s="135">
      <c r="B168" s="5" t="n"/>
    </row>
    <row r="169" ht="12" customHeight="1" s="135">
      <c r="B169" s="5" t="n"/>
    </row>
    <row r="170" ht="12" customHeight="1" s="135">
      <c r="B170" s="5" t="n"/>
    </row>
    <row r="171" ht="12" customHeight="1" s="135">
      <c r="B171" s="5" t="n"/>
    </row>
    <row r="172" ht="12" customHeight="1" s="135">
      <c r="B172" s="5" t="n"/>
    </row>
    <row r="173" ht="12" customHeight="1" s="135">
      <c r="B173" s="5" t="n"/>
    </row>
    <row r="174" ht="12" customHeight="1" s="135">
      <c r="B174" s="5" t="n"/>
    </row>
    <row r="175" ht="12" customHeight="1" s="135">
      <c r="B175" s="5" t="n"/>
    </row>
    <row r="176" ht="12" customHeight="1" s="135">
      <c r="B176" s="5" t="n"/>
    </row>
    <row r="177" ht="12" customHeight="1" s="135">
      <c r="B177" s="5" t="n"/>
    </row>
    <row r="178" ht="12" customHeight="1" s="135">
      <c r="B178" s="5" t="n"/>
    </row>
    <row r="179" ht="12" customHeight="1" s="135">
      <c r="B179" s="5" t="n"/>
    </row>
    <row r="180" ht="12" customHeight="1" s="135">
      <c r="B180" s="5" t="n"/>
    </row>
    <row r="181" ht="12" customHeight="1" s="135">
      <c r="B181" s="5" t="n"/>
    </row>
    <row r="182" ht="12" customHeight="1" s="135">
      <c r="B182" s="5" t="n"/>
    </row>
    <row r="183" ht="12" customHeight="1" s="135">
      <c r="B183" s="5" t="n"/>
    </row>
    <row r="184" ht="12" customHeight="1" s="135">
      <c r="B184" s="5" t="n"/>
    </row>
    <row r="185" ht="12" customHeight="1" s="135">
      <c r="B185" s="5" t="n"/>
    </row>
    <row r="186" ht="12" customHeight="1" s="135">
      <c r="B186" s="5" t="n"/>
    </row>
    <row r="187" ht="12" customHeight="1" s="135">
      <c r="B187" s="5" t="n"/>
    </row>
    <row r="188" ht="12" customHeight="1" s="135">
      <c r="B188" s="5" t="n"/>
    </row>
    <row r="189" ht="12" customHeight="1" s="135">
      <c r="B189" s="5" t="n"/>
    </row>
    <row r="190" ht="12" customHeight="1" s="135">
      <c r="B190" s="5" t="n"/>
    </row>
    <row r="191" ht="12" customHeight="1" s="135">
      <c r="B191" s="5" t="n"/>
    </row>
    <row r="192" ht="12" customHeight="1" s="135">
      <c r="B192" s="5" t="n"/>
    </row>
    <row r="193" ht="12" customHeight="1" s="135">
      <c r="B193" s="5" t="n"/>
    </row>
    <row r="194" ht="12" customHeight="1" s="135">
      <c r="B194" s="5" t="n"/>
    </row>
    <row r="195" ht="12" customHeight="1" s="135">
      <c r="B195" s="5" t="n"/>
    </row>
    <row r="196" ht="12" customHeight="1" s="135">
      <c r="B196" s="5" t="n"/>
    </row>
    <row r="197" ht="12" customHeight="1" s="135">
      <c r="B197" s="5" t="n"/>
    </row>
    <row r="198" ht="12" customHeight="1" s="135">
      <c r="B198" s="5" t="n"/>
    </row>
    <row r="199" ht="12" customHeight="1" s="135">
      <c r="B199" s="5" t="n"/>
    </row>
    <row r="200" ht="12" customHeight="1" s="135">
      <c r="B200" s="5" t="n"/>
    </row>
    <row r="201" ht="12" customHeight="1" s="135">
      <c r="B201" s="5" t="n"/>
    </row>
    <row r="202" ht="12" customHeight="1" s="135">
      <c r="B202" s="5" t="n"/>
    </row>
    <row r="203" ht="12" customHeight="1" s="135">
      <c r="B203" s="5" t="n"/>
    </row>
    <row r="204" ht="12" customHeight="1" s="135">
      <c r="B204" s="5" t="n"/>
    </row>
    <row r="205" ht="12" customHeight="1" s="135">
      <c r="B205" s="5" t="n"/>
    </row>
    <row r="206" ht="12" customHeight="1" s="135">
      <c r="B206" s="5" t="n"/>
    </row>
    <row r="207" ht="12" customHeight="1" s="135">
      <c r="B207" s="5" t="n"/>
    </row>
    <row r="208" ht="12" customHeight="1" s="135">
      <c r="B208" s="5" t="n"/>
    </row>
    <row r="209" ht="12" customHeight="1" s="135">
      <c r="B209" s="5" t="n"/>
    </row>
    <row r="210" ht="12" customHeight="1" s="135">
      <c r="B210" s="5" t="n"/>
    </row>
    <row r="211" ht="12" customHeight="1" s="135">
      <c r="B211" s="5" t="n"/>
    </row>
    <row r="212" ht="12" customHeight="1" s="135">
      <c r="B212" s="5" t="n"/>
    </row>
    <row r="213" ht="12" customHeight="1" s="135">
      <c r="B213" s="5" t="n"/>
    </row>
    <row r="214" ht="12" customHeight="1" s="135">
      <c r="B214" s="5" t="n"/>
    </row>
    <row r="215" ht="12" customHeight="1" s="135">
      <c r="B215" s="5" t="n"/>
    </row>
    <row r="216" ht="12" customHeight="1" s="135">
      <c r="B216" s="5" t="n"/>
    </row>
    <row r="217" ht="12" customHeight="1" s="135">
      <c r="B217" s="5" t="n"/>
    </row>
    <row r="218" ht="12" customHeight="1" s="135">
      <c r="B218" s="5" t="n"/>
    </row>
    <row r="219" ht="12" customHeight="1" s="135">
      <c r="B219" s="5" t="n"/>
    </row>
    <row r="220" ht="12" customHeight="1" s="135">
      <c r="B220" s="5" t="n"/>
    </row>
    <row r="221" ht="12" customHeight="1" s="135">
      <c r="B221" s="5" t="n"/>
    </row>
    <row r="222" ht="12" customHeight="1" s="135">
      <c r="B222" s="5" t="n"/>
    </row>
    <row r="223" ht="12" customHeight="1" s="135">
      <c r="B223" s="5" t="n"/>
    </row>
    <row r="224" ht="12" customHeight="1" s="135">
      <c r="B224" s="5" t="n"/>
    </row>
    <row r="225" ht="12" customHeight="1" s="135">
      <c r="B225" s="5" t="n"/>
    </row>
    <row r="226" ht="12" customHeight="1" s="135">
      <c r="B226" s="5" t="n"/>
    </row>
    <row r="227" ht="12" customHeight="1" s="135">
      <c r="B227" s="5" t="n"/>
    </row>
    <row r="228" ht="12" customHeight="1" s="135">
      <c r="B228" s="5" t="n"/>
    </row>
    <row r="229" ht="12" customHeight="1" s="135">
      <c r="B229" s="5" t="n"/>
    </row>
    <row r="230" ht="12" customHeight="1" s="135">
      <c r="B230" s="5" t="n"/>
    </row>
    <row r="231" ht="12" customHeight="1" s="135">
      <c r="B231" s="5" t="n"/>
    </row>
    <row r="232" ht="12" customHeight="1" s="135">
      <c r="B232" s="5" t="n"/>
    </row>
    <row r="233" ht="12" customHeight="1" s="135">
      <c r="B233" s="5" t="n"/>
    </row>
    <row r="234" ht="12" customHeight="1" s="135">
      <c r="B234" s="5" t="n"/>
    </row>
    <row r="235" ht="12" customHeight="1" s="135">
      <c r="B235" s="5" t="n"/>
    </row>
    <row r="236" ht="12" customHeight="1" s="135">
      <c r="B236" s="5" t="n"/>
    </row>
    <row r="237" ht="12" customHeight="1" s="135"/>
    <row r="238" ht="12" customHeight="1" s="135"/>
    <row r="239" ht="12" customHeight="1" s="135"/>
    <row r="240" ht="12" customHeight="1" s="135"/>
    <row r="241" ht="12" customHeight="1" s="135"/>
    <row r="242" ht="12" customHeight="1" s="135"/>
    <row r="243" ht="12" customHeight="1" s="135"/>
    <row r="244" ht="12" customHeight="1" s="135"/>
    <row r="245" ht="12" customHeight="1" s="135"/>
    <row r="246" ht="12" customHeight="1" s="135"/>
    <row r="247" ht="12" customHeight="1" s="135"/>
    <row r="248" ht="13.8" customHeight="1" s="135"/>
    <row r="249" ht="13.8" customHeight="1" s="135"/>
    <row r="250" ht="13.8" customHeight="1" s="135"/>
    <row r="251" ht="13.8" customHeight="1" s="135"/>
    <row r="252" ht="13.8" customHeight="1" s="135"/>
    <row r="253" ht="13.8" customHeight="1" s="135"/>
    <row r="254" ht="13.8" customHeight="1" s="135"/>
    <row r="255" ht="13.8" customHeight="1" s="135"/>
    <row r="256" ht="13.8" customHeight="1" s="135"/>
    <row r="257" ht="13.8" customHeight="1" s="135"/>
    <row r="258" ht="13.8" customHeight="1" s="135"/>
    <row r="259" ht="13.8" customHeight="1" s="135"/>
    <row r="260" ht="13.8" customHeight="1" s="135"/>
    <row r="261" ht="13.8" customHeight="1" s="135"/>
    <row r="262" ht="13.8" customHeight="1" s="135"/>
    <row r="263" ht="13.8" customHeight="1" s="135"/>
    <row r="264" ht="13.8" customHeight="1" s="135"/>
    <row r="265" ht="13.8" customHeight="1" s="135"/>
    <row r="266" ht="13.8" customHeight="1" s="135"/>
    <row r="267" ht="13.8" customHeight="1" s="135"/>
    <row r="268" ht="13.8" customHeight="1" s="135"/>
    <row r="269" ht="13.8" customHeight="1" s="135"/>
    <row r="270" ht="13.8" customHeight="1" s="135"/>
    <row r="271" ht="13.8" customHeight="1" s="135"/>
    <row r="272" ht="13.8" customHeight="1" s="135"/>
    <row r="273" ht="13.8" customHeight="1" s="135"/>
    <row r="274" ht="13.8" customHeight="1" s="135"/>
    <row r="275" ht="13.8" customHeight="1" s="135"/>
    <row r="276" ht="13.8" customHeight="1" s="135"/>
    <row r="277" ht="13.8" customHeight="1" s="135"/>
    <row r="278" ht="13.8" customHeight="1" s="135"/>
    <row r="279" ht="13.8" customHeight="1" s="135"/>
    <row r="280" ht="13.8" customHeight="1" s="135"/>
    <row r="281" ht="13.8" customHeight="1" s="135"/>
    <row r="282" ht="13.8" customHeight="1" s="135"/>
    <row r="283" ht="13.8" customHeight="1" s="135"/>
    <row r="284" ht="13.8" customHeight="1" s="135"/>
    <row r="285" ht="13.8" customHeight="1" s="135"/>
    <row r="286" ht="13.8" customHeight="1" s="135"/>
    <row r="287" ht="13.8" customHeight="1" s="135"/>
    <row r="288" ht="13.8" customHeight="1" s="135"/>
    <row r="289" ht="13.8" customHeight="1" s="135"/>
    <row r="290" ht="13.8" customHeight="1" s="135"/>
    <row r="291" ht="13.8" customHeight="1" s="135"/>
    <row r="292" ht="13.8" customHeight="1" s="135"/>
    <row r="293" ht="13.8" customHeight="1" s="135"/>
    <row r="294" ht="13.8" customHeight="1" s="135"/>
    <row r="295" ht="13.8" customHeight="1" s="135"/>
    <row r="296" ht="13.8" customHeight="1" s="135"/>
    <row r="297" ht="13.8" customHeight="1" s="135"/>
    <row r="298" ht="13.8" customHeight="1" s="135"/>
    <row r="299" ht="13.8" customHeight="1" s="135"/>
    <row r="300" ht="13.8" customHeight="1" s="135"/>
    <row r="301" ht="13.8" customHeight="1" s="135"/>
    <row r="302" ht="13.8" customHeight="1" s="135"/>
    <row r="303" ht="13.8" customHeight="1" s="135"/>
    <row r="304" ht="13.8" customHeight="1" s="135"/>
    <row r="305" ht="13.8" customHeight="1" s="135"/>
    <row r="306" ht="13.8" customHeight="1" s="135"/>
    <row r="307" ht="13.8" customHeight="1" s="135"/>
    <row r="308" ht="13.8" customHeight="1" s="135"/>
    <row r="309" ht="13.8" customHeight="1" s="135"/>
    <row r="310" ht="13.8" customHeight="1" s="135"/>
    <row r="311" ht="13.8" customHeight="1" s="135"/>
    <row r="312" ht="13.8" customHeight="1" s="135"/>
    <row r="313" ht="13.8" customHeight="1" s="135"/>
    <row r="314" ht="13.8" customHeight="1" s="135"/>
    <row r="315" ht="13.8" customHeight="1" s="135"/>
    <row r="316" ht="13.8" customHeight="1" s="135"/>
    <row r="317" ht="13.8" customHeight="1" s="135"/>
    <row r="318" ht="13.8" customHeight="1" s="135"/>
    <row r="319" ht="13.8" customHeight="1" s="135"/>
    <row r="320" ht="13.8" customHeight="1" s="135"/>
    <row r="321" ht="13.8" customHeight="1" s="135"/>
    <row r="322" ht="13.8" customHeight="1" s="135"/>
    <row r="323" ht="13.8" customHeight="1" s="135"/>
    <row r="324" ht="13.8" customHeight="1" s="135"/>
    <row r="325" ht="13.8" customHeight="1" s="135"/>
    <row r="326" ht="13.8" customHeight="1" s="135"/>
    <row r="327" ht="13.8" customHeight="1" s="135"/>
    <row r="328" ht="13.8" customHeight="1" s="135"/>
    <row r="329" ht="13.8" customHeight="1" s="135"/>
    <row r="330" ht="13.8" customHeight="1" s="135"/>
    <row r="331" ht="13.8" customHeight="1" s="135"/>
    <row r="332" ht="13.8" customHeight="1" s="135"/>
    <row r="333" ht="13.8" customHeight="1" s="135"/>
    <row r="334" ht="13.8" customHeight="1" s="135"/>
    <row r="335" ht="13.8" customHeight="1" s="135"/>
    <row r="336" ht="13.8" customHeight="1" s="135"/>
    <row r="337" ht="13.8" customHeight="1" s="135"/>
    <row r="338" ht="13.8" customHeight="1" s="135"/>
    <row r="339" ht="13.8" customHeight="1" s="135"/>
    <row r="340" ht="13.8" customHeight="1" s="135"/>
    <row r="341" ht="13.8" customHeight="1" s="135"/>
    <row r="342" ht="13.8" customHeight="1" s="135"/>
    <row r="343" ht="13.8" customHeight="1" s="135"/>
    <row r="344" ht="13.8" customHeight="1" s="135"/>
    <row r="345" ht="13.8" customHeight="1" s="135"/>
    <row r="346" ht="13.8" customHeight="1" s="135"/>
    <row r="347" ht="13.8" customHeight="1" s="135"/>
    <row r="348" ht="13.8" customHeight="1" s="135"/>
    <row r="349" ht="13.8" customHeight="1" s="135"/>
    <row r="350" ht="13.8" customHeight="1" s="135"/>
    <row r="351" ht="13.8" customHeight="1" s="135"/>
    <row r="352" ht="13.8" customHeight="1" s="135"/>
    <row r="353" ht="13.8" customHeight="1" s="135"/>
    <row r="354" ht="13.8" customHeight="1" s="135"/>
    <row r="355" ht="13.8" customHeight="1" s="135"/>
    <row r="356" ht="13.8" customHeight="1" s="135"/>
    <row r="357" ht="13.8" customHeight="1" s="135"/>
    <row r="358" ht="13.8" customHeight="1" s="135"/>
    <row r="359" ht="13.8" customHeight="1" s="135"/>
    <row r="360" ht="13.8" customHeight="1" s="135"/>
    <row r="361" ht="13.8" customHeight="1" s="135"/>
    <row r="362" ht="13.8" customHeight="1" s="135"/>
    <row r="363" ht="13.8" customHeight="1" s="135"/>
    <row r="364" ht="13.8" customHeight="1" s="135"/>
    <row r="365" ht="13.8" customHeight="1" s="135"/>
    <row r="366" ht="13.8" customHeight="1" s="135"/>
    <row r="367" ht="13.8" customHeight="1" s="135"/>
    <row r="368" ht="13.8" customHeight="1" s="135"/>
    <row r="369" ht="13.8" customHeight="1" s="135"/>
    <row r="370" ht="13.8" customHeight="1" s="135"/>
    <row r="371" ht="13.8" customHeight="1" s="135"/>
    <row r="372" ht="13.8" customHeight="1" s="135"/>
    <row r="373" ht="13.8" customHeight="1" s="135"/>
    <row r="374" ht="13.8" customHeight="1" s="135"/>
    <row r="375" ht="13.8" customHeight="1" s="135"/>
    <row r="376" ht="13.8" customHeight="1" s="135"/>
    <row r="377" ht="13.8" customHeight="1" s="135"/>
    <row r="378" ht="13.8" customHeight="1" s="135"/>
    <row r="379" ht="13.8" customHeight="1" s="135"/>
    <row r="380" ht="13.8" customHeight="1" s="135"/>
    <row r="381" ht="13.8" customHeight="1" s="135"/>
    <row r="382" ht="13.8" customHeight="1" s="135"/>
    <row r="383" ht="13.8" customHeight="1" s="135"/>
    <row r="384" ht="13.8" customHeight="1" s="135"/>
    <row r="385" ht="13.8" customHeight="1" s="135"/>
    <row r="386" ht="13.8" customHeight="1" s="135"/>
    <row r="387" ht="13.8" customHeight="1" s="135"/>
    <row r="388" ht="13.8" customHeight="1" s="135"/>
    <row r="389" ht="13.8" customHeight="1" s="135"/>
    <row r="390" ht="13.8" customHeight="1" s="135"/>
    <row r="391" ht="13.8" customHeight="1" s="135"/>
    <row r="392" ht="13.8" customHeight="1" s="135"/>
    <row r="393" ht="13.8" customHeight="1" s="135"/>
    <row r="394" ht="13.8" customHeight="1" s="135"/>
    <row r="395" ht="13.8" customHeight="1" s="135"/>
    <row r="396" ht="13.8" customHeight="1" s="135"/>
    <row r="397" ht="13.8" customHeight="1" s="135"/>
    <row r="398" ht="13.8" customHeight="1" s="135"/>
    <row r="399" ht="13.8" customHeight="1" s="135"/>
    <row r="400" ht="13.8" customHeight="1" s="135"/>
    <row r="401" ht="13.8" customHeight="1" s="135"/>
    <row r="402" ht="13.8" customHeight="1" s="135"/>
    <row r="403" ht="13.8" customHeight="1" s="135"/>
    <row r="404" ht="13.8" customHeight="1" s="135"/>
    <row r="405" ht="13.8" customHeight="1" s="135"/>
    <row r="406" ht="13.8" customHeight="1" s="135"/>
    <row r="407" ht="13.8" customHeight="1" s="135"/>
    <row r="408" ht="13.8" customHeight="1" s="135"/>
    <row r="409" ht="13.8" customHeight="1" s="135"/>
    <row r="410" ht="13.8" customHeight="1" s="135"/>
    <row r="411" ht="13.8" customHeight="1" s="135"/>
    <row r="412" ht="13.8" customHeight="1" s="135"/>
    <row r="413" ht="13.8" customHeight="1" s="135"/>
    <row r="414" ht="13.8" customHeight="1" s="135"/>
    <row r="415" ht="13.8" customHeight="1" s="135"/>
    <row r="416" ht="13.8" customHeight="1" s="135"/>
    <row r="417" ht="13.8" customHeight="1" s="135"/>
    <row r="418" ht="13.8" customHeight="1" s="135"/>
    <row r="419" ht="13.8" customHeight="1" s="135"/>
    <row r="420" ht="13.8" customHeight="1" s="135"/>
    <row r="421" ht="13.8" customHeight="1" s="135"/>
    <row r="422" ht="13.8" customHeight="1" s="135"/>
    <row r="423" ht="13.8" customHeight="1" s="135"/>
    <row r="424" ht="13.8" customHeight="1" s="135"/>
    <row r="425" ht="13.8" customHeight="1" s="135"/>
    <row r="426" ht="13.8" customHeight="1" s="135"/>
    <row r="427" ht="13.8" customHeight="1" s="135"/>
    <row r="428" ht="13.8" customHeight="1" s="135"/>
    <row r="429" ht="13.8" customHeight="1" s="135"/>
    <row r="430" ht="13.8" customHeight="1" s="135"/>
    <row r="431" ht="13.8" customHeight="1" s="135"/>
    <row r="432" ht="13.8" customHeight="1" s="135"/>
    <row r="433" ht="13.8" customHeight="1" s="135"/>
    <row r="434" ht="13.8" customHeight="1" s="135"/>
    <row r="435" ht="13.8" customHeight="1" s="135"/>
    <row r="436" ht="13.8" customHeight="1" s="135"/>
    <row r="437" ht="13.8" customHeight="1" s="135"/>
    <row r="438" ht="13.8" customHeight="1" s="135"/>
    <row r="439" ht="13.8" customHeight="1" s="135"/>
    <row r="440" ht="13.8" customHeight="1" s="135"/>
    <row r="441" ht="13.8" customHeight="1" s="135"/>
    <row r="442" ht="13.8" customHeight="1" s="135"/>
    <row r="443" ht="13.8" customHeight="1" s="135"/>
    <row r="444" ht="13.8" customHeight="1" s="135"/>
    <row r="445" ht="13.8" customHeight="1" s="135"/>
    <row r="446" ht="13.8" customHeight="1" s="135"/>
    <row r="447" ht="13.8" customHeight="1" s="135"/>
    <row r="448" ht="13.8" customHeight="1" s="135"/>
    <row r="449" ht="13.8" customHeight="1" s="135"/>
    <row r="450" ht="13.8" customHeight="1" s="135"/>
    <row r="451" ht="13.8" customHeight="1" s="135"/>
    <row r="452" ht="13.8" customHeight="1" s="135"/>
    <row r="453" ht="13.8" customHeight="1" s="135"/>
    <row r="454" ht="13.8" customHeight="1" s="135"/>
    <row r="455" ht="13.8" customHeight="1" s="135"/>
    <row r="456" ht="13.8" customHeight="1" s="135"/>
    <row r="457" ht="13.8" customHeight="1" s="135"/>
    <row r="458" ht="13.8" customHeight="1" s="135"/>
    <row r="459" ht="13.8" customHeight="1" s="135"/>
    <row r="460" ht="13.8" customHeight="1" s="135"/>
    <row r="461" ht="13.8" customHeight="1" s="135"/>
    <row r="462" ht="13.8" customHeight="1" s="135"/>
    <row r="463" ht="13.8" customHeight="1" s="135"/>
    <row r="464" ht="13.8" customHeight="1" s="135"/>
    <row r="465" ht="13.8" customHeight="1" s="135"/>
    <row r="466" ht="13.8" customHeight="1" s="135"/>
    <row r="467" ht="13.8" customHeight="1" s="135"/>
    <row r="468" ht="13.8" customHeight="1" s="135"/>
    <row r="469" ht="13.8" customHeight="1" s="135"/>
    <row r="470" ht="13.8" customHeight="1" s="135"/>
    <row r="471" ht="13.8" customHeight="1" s="135"/>
    <row r="472" ht="13.8" customHeight="1" s="135"/>
    <row r="473" ht="13.8" customHeight="1" s="135"/>
    <row r="474" ht="13.8" customHeight="1" s="135"/>
    <row r="475" ht="13.8" customHeight="1" s="135"/>
    <row r="476" ht="13.8" customHeight="1" s="135"/>
    <row r="477" ht="13.8" customHeight="1" s="135"/>
    <row r="478" ht="13.8" customHeight="1" s="135"/>
    <row r="479" ht="13.8" customHeight="1" s="135"/>
    <row r="480" ht="13.8" customHeight="1" s="135"/>
    <row r="481" ht="13.8" customHeight="1" s="135"/>
    <row r="482" ht="13.8" customHeight="1" s="135"/>
    <row r="483" ht="13.8" customHeight="1" s="135"/>
    <row r="484" ht="13.8" customHeight="1" s="135"/>
    <row r="485" ht="13.8" customHeight="1" s="135"/>
    <row r="486" ht="13.8" customHeight="1" s="135"/>
    <row r="487" ht="13.8" customHeight="1" s="135"/>
    <row r="488" ht="13.8" customHeight="1" s="135"/>
    <row r="489" ht="13.8" customHeight="1" s="135"/>
    <row r="490" ht="13.8" customHeight="1" s="135"/>
    <row r="491" ht="13.8" customHeight="1" s="135"/>
    <row r="492" ht="13.8" customHeight="1" s="135"/>
    <row r="493" ht="13.8" customHeight="1" s="135"/>
    <row r="494" ht="13.8" customHeight="1" s="135"/>
    <row r="495" ht="13.8" customHeight="1" s="135"/>
    <row r="496" ht="13.8" customHeight="1" s="135"/>
    <row r="497" ht="13.8" customHeight="1" s="135"/>
    <row r="498" ht="13.8" customHeight="1" s="135"/>
    <row r="499" ht="13.8" customHeight="1" s="135"/>
    <row r="500" ht="13.8" customHeight="1" s="135"/>
    <row r="501" ht="13.8" customHeight="1" s="135"/>
    <row r="502" ht="13.8" customHeight="1" s="135"/>
    <row r="503" ht="13.8" customHeight="1" s="135"/>
    <row r="504" ht="13.8" customHeight="1" s="135"/>
    <row r="505" ht="13.8" customHeight="1" s="135"/>
    <row r="506" ht="13.8" customHeight="1" s="135"/>
    <row r="507" ht="13.8" customHeight="1" s="135"/>
    <row r="508" ht="13.8" customHeight="1" s="135"/>
    <row r="509" ht="13.8" customHeight="1" s="135"/>
    <row r="510" ht="13.8" customHeight="1" s="135"/>
    <row r="511" ht="13.8" customHeight="1" s="135"/>
    <row r="512" ht="13.8" customHeight="1" s="135"/>
    <row r="513" ht="13.8" customHeight="1" s="135"/>
    <row r="514" ht="13.8" customHeight="1" s="135"/>
    <row r="515" ht="13.8" customHeight="1" s="135"/>
    <row r="516" ht="13.8" customHeight="1" s="135"/>
    <row r="517" ht="13.8" customHeight="1" s="135"/>
    <row r="518" ht="13.8" customHeight="1" s="135"/>
    <row r="519" ht="13.8" customHeight="1" s="135"/>
    <row r="520" ht="13.8" customHeight="1" s="135"/>
    <row r="521" ht="13.8" customHeight="1" s="135"/>
    <row r="522" ht="13.8" customHeight="1" s="135"/>
    <row r="523" ht="13.8" customHeight="1" s="135"/>
    <row r="524" ht="13.8" customHeight="1" s="135"/>
    <row r="525" ht="13.8" customHeight="1" s="135"/>
    <row r="526" ht="13.8" customHeight="1" s="135"/>
    <row r="527" ht="13.8" customHeight="1" s="135"/>
    <row r="528" ht="13.8" customHeight="1" s="135"/>
    <row r="529" ht="13.8" customHeight="1" s="135"/>
    <row r="530" ht="13.8" customHeight="1" s="135"/>
    <row r="531" ht="13.8" customHeight="1" s="135"/>
    <row r="532" ht="13.8" customHeight="1" s="135"/>
    <row r="533" ht="13.8" customHeight="1" s="135"/>
    <row r="534" ht="13.8" customHeight="1" s="135"/>
    <row r="535" ht="13.8" customHeight="1" s="135"/>
    <row r="536" ht="13.8" customHeight="1" s="135"/>
    <row r="537" ht="13.8" customHeight="1" s="135"/>
    <row r="538" ht="13.8" customHeight="1" s="135"/>
    <row r="539" ht="13.8" customHeight="1" s="135"/>
    <row r="540" ht="13.8" customHeight="1" s="135"/>
    <row r="541" ht="13.8" customHeight="1" s="135"/>
    <row r="542" ht="13.8" customHeight="1" s="135"/>
    <row r="543" ht="13.8" customHeight="1" s="135"/>
    <row r="544" ht="13.8" customHeight="1" s="135"/>
    <row r="545" ht="13.8" customHeight="1" s="135"/>
    <row r="546" ht="13.8" customHeight="1" s="135"/>
    <row r="547" ht="13.8" customHeight="1" s="135"/>
    <row r="548" ht="13.8" customHeight="1" s="135"/>
    <row r="549" ht="13.8" customHeight="1" s="135"/>
    <row r="550" ht="13.8" customHeight="1" s="135"/>
    <row r="551" ht="13.8" customHeight="1" s="135"/>
    <row r="552" ht="13.8" customHeight="1" s="135"/>
    <row r="553" ht="13.8" customHeight="1" s="135"/>
    <row r="554" ht="13.8" customHeight="1" s="135"/>
    <row r="555" ht="13.8" customHeight="1" s="135"/>
    <row r="556" ht="13.8" customHeight="1" s="135"/>
    <row r="557" ht="13.8" customHeight="1" s="135"/>
    <row r="558" ht="13.8" customHeight="1" s="135"/>
    <row r="559" ht="13.8" customHeight="1" s="135"/>
    <row r="560" ht="13.8" customHeight="1" s="135"/>
    <row r="561" ht="13.8" customHeight="1" s="135"/>
    <row r="562" ht="13.8" customHeight="1" s="135"/>
    <row r="563" ht="13.8" customHeight="1" s="135"/>
    <row r="564" ht="13.8" customHeight="1" s="135"/>
    <row r="565" ht="13.8" customHeight="1" s="135"/>
    <row r="566" ht="13.8" customHeight="1" s="135"/>
    <row r="567" ht="13.8" customHeight="1" s="135"/>
    <row r="568" ht="13.8" customHeight="1" s="135"/>
    <row r="569" ht="13.8" customHeight="1" s="135"/>
    <row r="570" ht="13.8" customHeight="1" s="135"/>
    <row r="571" ht="13.8" customHeight="1" s="135"/>
    <row r="572" ht="13.8" customHeight="1" s="135"/>
    <row r="573" ht="13.8" customHeight="1" s="135"/>
    <row r="574" ht="13.8" customHeight="1" s="135"/>
    <row r="575" ht="13.8" customHeight="1" s="135"/>
    <row r="576" ht="13.8" customHeight="1" s="135"/>
    <row r="577" ht="13.8" customHeight="1" s="135"/>
    <row r="578" ht="13.8" customHeight="1" s="135"/>
    <row r="579" ht="13.8" customHeight="1" s="135"/>
    <row r="580" ht="13.8" customHeight="1" s="135"/>
    <row r="581" ht="13.8" customHeight="1" s="135"/>
    <row r="582" ht="13.8" customHeight="1" s="135"/>
    <row r="583" ht="13.8" customHeight="1" s="135"/>
    <row r="584" ht="13.8" customHeight="1" s="135"/>
    <row r="585" ht="13.8" customHeight="1" s="135"/>
    <row r="586" ht="13.8" customHeight="1" s="135"/>
    <row r="587" ht="13.8" customHeight="1" s="135"/>
    <row r="588" ht="13.8" customHeight="1" s="135"/>
    <row r="589" ht="13.8" customHeight="1" s="135"/>
    <row r="590" ht="13.8" customHeight="1" s="135"/>
    <row r="591" ht="13.8" customHeight="1" s="135"/>
    <row r="592" ht="13.8" customHeight="1" s="135"/>
    <row r="593" ht="13.8" customHeight="1" s="135"/>
    <row r="594" ht="13.8" customHeight="1" s="135"/>
    <row r="595" ht="13.8" customHeight="1" s="135"/>
    <row r="596" ht="13.8" customHeight="1" s="135"/>
    <row r="597" ht="13.8" customHeight="1" s="135"/>
    <row r="598" ht="13.8" customHeight="1" s="135"/>
    <row r="599" ht="13.8" customHeight="1" s="135"/>
    <row r="600" ht="13.8" customHeight="1" s="135"/>
    <row r="601" ht="13.8" customHeight="1" s="135"/>
    <row r="602" ht="13.8" customHeight="1" s="135"/>
    <row r="603" ht="13.8" customHeight="1" s="135"/>
    <row r="604" ht="13.8" customHeight="1" s="135"/>
    <row r="605" ht="13.8" customHeight="1" s="135"/>
    <row r="606" ht="13.8" customHeight="1" s="135"/>
    <row r="607" ht="13.8" customHeight="1" s="135"/>
    <row r="608" ht="13.8" customHeight="1" s="135"/>
    <row r="609" ht="13.8" customHeight="1" s="135"/>
    <row r="610" ht="13.8" customHeight="1" s="135"/>
    <row r="611" ht="13.8" customHeight="1" s="135"/>
    <row r="612" ht="13.8" customHeight="1" s="135"/>
    <row r="613" ht="13.8" customHeight="1" s="135"/>
    <row r="614" ht="13.8" customHeight="1" s="135"/>
    <row r="615" ht="13.8" customHeight="1" s="135"/>
    <row r="616" ht="13.8" customHeight="1" s="135"/>
    <row r="617" ht="13.8" customHeight="1" s="135"/>
    <row r="618" ht="13.8" customHeight="1" s="135"/>
    <row r="619" ht="13.8" customHeight="1" s="135"/>
    <row r="620" ht="13.8" customHeight="1" s="135"/>
    <row r="621" ht="13.8" customHeight="1" s="135"/>
    <row r="622" ht="13.8" customHeight="1" s="135"/>
    <row r="623" ht="13.8" customHeight="1" s="135"/>
    <row r="624" ht="13.8" customHeight="1" s="135"/>
    <row r="625" ht="13.8" customHeight="1" s="135"/>
    <row r="626" ht="13.8" customHeight="1" s="135"/>
    <row r="627" ht="13.8" customHeight="1" s="135"/>
    <row r="628" ht="13.8" customHeight="1" s="135"/>
    <row r="629" ht="13.8" customHeight="1" s="135"/>
    <row r="630" ht="13.8" customHeight="1" s="135"/>
    <row r="631" ht="13.8" customHeight="1" s="135"/>
    <row r="632" ht="13.8" customHeight="1" s="135"/>
    <row r="633" ht="13.8" customHeight="1" s="135"/>
    <row r="634" ht="13.8" customHeight="1" s="135"/>
    <row r="635" ht="13.8" customHeight="1" s="135"/>
    <row r="636" ht="13.8" customHeight="1" s="135"/>
    <row r="637" ht="13.8" customHeight="1" s="135"/>
    <row r="638" ht="13.8" customHeight="1" s="135"/>
    <row r="639" ht="13.8" customHeight="1" s="135"/>
    <row r="640" ht="13.8" customHeight="1" s="135"/>
    <row r="641" ht="13.8" customHeight="1" s="135"/>
    <row r="642" ht="13.8" customHeight="1" s="135"/>
    <row r="643" ht="13.8" customHeight="1" s="135"/>
    <row r="644" ht="13.8" customHeight="1" s="135"/>
    <row r="645" ht="13.8" customHeight="1" s="135"/>
    <row r="646" ht="13.8" customHeight="1" s="135"/>
    <row r="647" ht="13.8" customHeight="1" s="135"/>
    <row r="648" ht="13.8" customHeight="1" s="135"/>
    <row r="649" ht="13.8" customHeight="1" s="135"/>
    <row r="650" ht="13.8" customHeight="1" s="135"/>
    <row r="651" ht="13.8" customHeight="1" s="135"/>
    <row r="652" ht="13.8" customHeight="1" s="135"/>
    <row r="653" ht="13.8" customHeight="1" s="135"/>
    <row r="654" ht="13.8" customHeight="1" s="135"/>
    <row r="655" ht="13.8" customHeight="1" s="135"/>
    <row r="656" ht="13.8" customHeight="1" s="135"/>
    <row r="657" ht="13.8" customHeight="1" s="135"/>
    <row r="658" ht="13.8" customHeight="1" s="135"/>
    <row r="659" ht="13.8" customHeight="1" s="135"/>
    <row r="660" ht="13.8" customHeight="1" s="135"/>
    <row r="661" ht="13.8" customHeight="1" s="135"/>
    <row r="662" ht="13.8" customHeight="1" s="135"/>
    <row r="663" ht="13.8" customHeight="1" s="135"/>
    <row r="664" ht="13.8" customHeight="1" s="135"/>
    <row r="665" ht="13.8" customHeight="1" s="135"/>
    <row r="666" ht="13.8" customHeight="1" s="135"/>
    <row r="667" ht="13.8" customHeight="1" s="135"/>
    <row r="668" ht="13.8" customHeight="1" s="135"/>
    <row r="669" ht="13.8" customHeight="1" s="135"/>
    <row r="670" ht="13.8" customHeight="1" s="135"/>
    <row r="671" ht="13.8" customHeight="1" s="135"/>
    <row r="672" ht="13.8" customHeight="1" s="135"/>
    <row r="673" ht="13.8" customHeight="1" s="135"/>
    <row r="674" ht="13.8" customHeight="1" s="135"/>
    <row r="675" ht="13.8" customHeight="1" s="135"/>
    <row r="676" ht="13.8" customHeight="1" s="135"/>
    <row r="677" ht="13.8" customHeight="1" s="135"/>
    <row r="678" ht="13.8" customHeight="1" s="135"/>
    <row r="679" ht="13.8" customHeight="1" s="135"/>
    <row r="680" ht="13.8" customHeight="1" s="135"/>
    <row r="681" ht="13.8" customHeight="1" s="135"/>
    <row r="682" ht="13.8" customHeight="1" s="135"/>
    <row r="683" ht="13.8" customHeight="1" s="135"/>
    <row r="684" ht="13.8" customHeight="1" s="135"/>
    <row r="685" ht="13.8" customHeight="1" s="135"/>
    <row r="686" ht="13.8" customHeight="1" s="135"/>
    <row r="687" ht="13.8" customHeight="1" s="135"/>
    <row r="688" ht="13.8" customHeight="1" s="135"/>
    <row r="689" ht="13.8" customHeight="1" s="135"/>
    <row r="690" ht="13.8" customHeight="1" s="135"/>
    <row r="691" ht="13.8" customHeight="1" s="135"/>
    <row r="692" ht="13.8" customHeight="1" s="135"/>
    <row r="693" ht="13.8" customHeight="1" s="135"/>
    <row r="694" ht="13.8" customHeight="1" s="135"/>
    <row r="695" ht="13.8" customHeight="1" s="135"/>
    <row r="696" ht="13.8" customHeight="1" s="135"/>
    <row r="697" ht="13.8" customHeight="1" s="135"/>
    <row r="698" ht="13.8" customHeight="1" s="135"/>
    <row r="699" ht="13.8" customHeight="1" s="135"/>
    <row r="700" ht="13.8" customHeight="1" s="135"/>
    <row r="701" ht="13.8" customHeight="1" s="135"/>
    <row r="702" ht="13.8" customHeight="1" s="135"/>
    <row r="703" ht="13.8" customHeight="1" s="135"/>
    <row r="704" ht="13.8" customHeight="1" s="135"/>
    <row r="705" ht="13.8" customHeight="1" s="135"/>
    <row r="706" ht="13.8" customHeight="1" s="135"/>
    <row r="707" ht="13.8" customHeight="1" s="135"/>
    <row r="708" ht="13.8" customHeight="1" s="135"/>
    <row r="709" ht="13.8" customHeight="1" s="135"/>
    <row r="710" ht="13.8" customHeight="1" s="135"/>
    <row r="711" ht="13.8" customHeight="1" s="135"/>
    <row r="712" ht="13.8" customHeight="1" s="135"/>
    <row r="713" ht="13.8" customHeight="1" s="135"/>
    <row r="714" ht="13.8" customHeight="1" s="135"/>
    <row r="715" ht="13.8" customHeight="1" s="135"/>
    <row r="716" ht="13.8" customHeight="1" s="135"/>
    <row r="717" ht="13.8" customHeight="1" s="135"/>
    <row r="718" ht="13.8" customHeight="1" s="135"/>
    <row r="719" ht="13.8" customHeight="1" s="135"/>
    <row r="720" ht="13.8" customHeight="1" s="135"/>
    <row r="721" ht="13.8" customHeight="1" s="135"/>
    <row r="722" ht="13.8" customHeight="1" s="135"/>
    <row r="723" ht="13.8" customHeight="1" s="135"/>
    <row r="724" ht="13.8" customHeight="1" s="135"/>
    <row r="725" ht="13.8" customHeight="1" s="135"/>
    <row r="726" ht="13.8" customHeight="1" s="135"/>
    <row r="727" ht="13.8" customHeight="1" s="135"/>
    <row r="728" ht="13.8" customHeight="1" s="135"/>
    <row r="729" ht="13.8" customHeight="1" s="135"/>
    <row r="730" ht="13.8" customHeight="1" s="135"/>
    <row r="731" ht="13.8" customHeight="1" s="135"/>
    <row r="732" ht="13.8" customHeight="1" s="135"/>
    <row r="733" ht="13.8" customHeight="1" s="135"/>
    <row r="734" ht="13.8" customHeight="1" s="135"/>
    <row r="735" ht="13.8" customHeight="1" s="135"/>
    <row r="736" ht="13.8" customHeight="1" s="135"/>
    <row r="737" ht="13.8" customHeight="1" s="135"/>
    <row r="738" ht="13.8" customHeight="1" s="135"/>
    <row r="739" ht="13.8" customHeight="1" s="135"/>
    <row r="740" ht="13.8" customHeight="1" s="135"/>
    <row r="741" ht="13.8" customHeight="1" s="135"/>
    <row r="742" ht="13.8" customHeight="1" s="135"/>
    <row r="743" ht="13.8" customHeight="1" s="135"/>
    <row r="744" ht="13.8" customHeight="1" s="135"/>
    <row r="745" ht="13.8" customHeight="1" s="135"/>
    <row r="746" ht="13.8" customHeight="1" s="135"/>
    <row r="747" ht="13.8" customHeight="1" s="135"/>
    <row r="748" ht="13.8" customHeight="1" s="135"/>
    <row r="749" ht="13.8" customHeight="1" s="135"/>
    <row r="750" ht="13.8" customHeight="1" s="135"/>
    <row r="751" ht="13.8" customHeight="1" s="135"/>
    <row r="752" ht="13.8" customHeight="1" s="135"/>
    <row r="753" ht="13.8" customHeight="1" s="135"/>
    <row r="754" ht="13.8" customHeight="1" s="135"/>
    <row r="755" ht="13.8" customHeight="1" s="135"/>
    <row r="756" ht="13.8" customHeight="1" s="135"/>
    <row r="757" ht="13.8" customHeight="1" s="135"/>
    <row r="758" ht="13.8" customHeight="1" s="135"/>
    <row r="759" ht="13.8" customHeight="1" s="135"/>
    <row r="760" ht="13.8" customHeight="1" s="135"/>
    <row r="761" ht="13.8" customHeight="1" s="135"/>
    <row r="762" ht="13.8" customHeight="1" s="135"/>
    <row r="763" ht="13.8" customHeight="1" s="135"/>
    <row r="764" ht="13.8" customHeight="1" s="135"/>
    <row r="765" ht="13.8" customHeight="1" s="135"/>
    <row r="766" ht="13.8" customHeight="1" s="135"/>
    <row r="767" ht="13.8" customHeight="1" s="135"/>
    <row r="768" ht="13.8" customHeight="1" s="135"/>
    <row r="769" ht="13.8" customHeight="1" s="135"/>
    <row r="770" ht="13.8" customHeight="1" s="135"/>
    <row r="771" ht="13.8" customHeight="1" s="135"/>
    <row r="772" ht="13.8" customHeight="1" s="135"/>
    <row r="773" ht="13.8" customHeight="1" s="135"/>
    <row r="774" ht="13.8" customHeight="1" s="135"/>
    <row r="775" ht="13.8" customHeight="1" s="135"/>
    <row r="776" ht="13.8" customHeight="1" s="135"/>
    <row r="777" ht="13.8" customHeight="1" s="135"/>
    <row r="778" ht="13.8" customHeight="1" s="135"/>
    <row r="779" ht="13.8" customHeight="1" s="135"/>
    <row r="780" ht="13.8" customHeight="1" s="135"/>
    <row r="781" ht="13.8" customHeight="1" s="135"/>
    <row r="782" ht="13.8" customHeight="1" s="135"/>
    <row r="783" ht="13.8" customHeight="1" s="135"/>
    <row r="784" ht="13.8" customHeight="1" s="135"/>
    <row r="785" ht="13.8" customHeight="1" s="135"/>
    <row r="786" ht="13.8" customHeight="1" s="135"/>
    <row r="787" ht="13.8" customHeight="1" s="135"/>
    <row r="788" ht="13.8" customHeight="1" s="135"/>
    <row r="789" ht="13.8" customHeight="1" s="135"/>
    <row r="790" ht="13.8" customHeight="1" s="135"/>
    <row r="791" ht="13.8" customHeight="1" s="135"/>
    <row r="792" ht="13.8" customHeight="1" s="135"/>
    <row r="793" ht="13.8" customHeight="1" s="135"/>
    <row r="794" ht="13.8" customHeight="1" s="135"/>
    <row r="795" ht="13.8" customHeight="1" s="135"/>
    <row r="796" ht="13.8" customHeight="1" s="135"/>
    <row r="797" ht="13.8" customHeight="1" s="135"/>
    <row r="798" ht="13.8" customHeight="1" s="135"/>
    <row r="799" ht="13.8" customHeight="1" s="135"/>
    <row r="800" ht="13.8" customHeight="1" s="135"/>
    <row r="801" ht="13.8" customHeight="1" s="135"/>
    <row r="802" ht="13.8" customHeight="1" s="135"/>
    <row r="803" ht="13.8" customHeight="1" s="135"/>
    <row r="804" ht="13.8" customHeight="1" s="135"/>
    <row r="805" ht="13.8" customHeight="1" s="135"/>
    <row r="806" ht="13.8" customHeight="1" s="135"/>
    <row r="807" ht="13.8" customHeight="1" s="135"/>
    <row r="808" ht="13.8" customHeight="1" s="135"/>
    <row r="809" ht="13.8" customHeight="1" s="135"/>
    <row r="810" ht="13.8" customHeight="1" s="135"/>
    <row r="811" ht="13.8" customHeight="1" s="135"/>
    <row r="812" ht="13.8" customHeight="1" s="135"/>
    <row r="813" ht="13.8" customHeight="1" s="135"/>
    <row r="814" ht="13.8" customHeight="1" s="135"/>
    <row r="815" ht="13.8" customHeight="1" s="135"/>
    <row r="816" ht="13.8" customHeight="1" s="135"/>
    <row r="817" ht="13.8" customHeight="1" s="135"/>
    <row r="818" ht="13.8" customHeight="1" s="135"/>
    <row r="819" ht="13.8" customHeight="1" s="135"/>
    <row r="820" ht="13.8" customHeight="1" s="135"/>
    <row r="821" ht="13.8" customHeight="1" s="135"/>
    <row r="822" ht="13.8" customHeight="1" s="135"/>
    <row r="823" ht="13.8" customHeight="1" s="135"/>
    <row r="824" ht="13.8" customHeight="1" s="135"/>
    <row r="825" ht="13.8" customHeight="1" s="135"/>
    <row r="826" ht="13.8" customHeight="1" s="135"/>
    <row r="827" ht="13.8" customHeight="1" s="135"/>
    <row r="828" ht="13.8" customHeight="1" s="135"/>
    <row r="829" ht="13.8" customHeight="1" s="135"/>
    <row r="830" ht="13.8" customHeight="1" s="135"/>
    <row r="831" ht="13.8" customHeight="1" s="135"/>
    <row r="832" ht="13.8" customHeight="1" s="135"/>
    <row r="833" ht="13.8" customHeight="1" s="135"/>
    <row r="834" ht="13.8" customHeight="1" s="135"/>
    <row r="835" ht="13.8" customHeight="1" s="135"/>
    <row r="836" ht="13.8" customHeight="1" s="135"/>
    <row r="837" ht="13.8" customHeight="1" s="135"/>
    <row r="838" ht="13.8" customHeight="1" s="135"/>
    <row r="839" ht="13.8" customHeight="1" s="135"/>
    <row r="840" ht="13.8" customHeight="1" s="135"/>
    <row r="841" ht="13.8" customHeight="1" s="135"/>
    <row r="842" ht="13.8" customHeight="1" s="135"/>
    <row r="843" ht="13.8" customHeight="1" s="135"/>
    <row r="844" ht="13.8" customHeight="1" s="135"/>
    <row r="845" ht="13.8" customHeight="1" s="135"/>
    <row r="846" ht="13.8" customHeight="1" s="135"/>
    <row r="847" ht="13.8" customHeight="1" s="135"/>
    <row r="848" ht="13.8" customHeight="1" s="135"/>
    <row r="849" ht="13.8" customHeight="1" s="135"/>
    <row r="850" ht="13.8" customHeight="1" s="135"/>
    <row r="851" ht="13.8" customHeight="1" s="135"/>
    <row r="852" ht="13.8" customHeight="1" s="135"/>
    <row r="853" ht="13.8" customHeight="1" s="135"/>
    <row r="854" ht="13.8" customHeight="1" s="135"/>
    <row r="855" ht="13.8" customHeight="1" s="135"/>
    <row r="856" ht="13.8" customHeight="1" s="135"/>
    <row r="857" ht="13.8" customHeight="1" s="135"/>
    <row r="858" ht="13.8" customHeight="1" s="135"/>
    <row r="859" ht="13.8" customHeight="1" s="135"/>
    <row r="860" ht="13.8" customHeight="1" s="135"/>
    <row r="861" ht="13.8" customHeight="1" s="135"/>
    <row r="862" ht="13.8" customHeight="1" s="135"/>
    <row r="863" ht="13.8" customHeight="1" s="135"/>
    <row r="864" ht="13.8" customHeight="1" s="135"/>
    <row r="865" ht="13.8" customHeight="1" s="135"/>
    <row r="866" ht="13.8" customHeight="1" s="135"/>
    <row r="867" ht="13.8" customHeight="1" s="135"/>
    <row r="868" ht="13.8" customHeight="1" s="135"/>
    <row r="869" ht="13.8" customHeight="1" s="135"/>
    <row r="870" ht="13.8" customHeight="1" s="135"/>
    <row r="871" ht="13.8" customHeight="1" s="135"/>
    <row r="872" ht="13.8" customHeight="1" s="135"/>
    <row r="873" ht="13.8" customHeight="1" s="135"/>
    <row r="874" ht="13.8" customHeight="1" s="135"/>
    <row r="875" ht="13.8" customHeight="1" s="135"/>
    <row r="876" ht="13.8" customHeight="1" s="135"/>
    <row r="877" ht="13.8" customHeight="1" s="135"/>
    <row r="878" ht="13.8" customHeight="1" s="135"/>
    <row r="879" ht="13.8" customHeight="1" s="135"/>
    <row r="880" ht="13.8" customHeight="1" s="135"/>
    <row r="881" ht="13.8" customHeight="1" s="135"/>
    <row r="882" ht="13.8" customHeight="1" s="135"/>
    <row r="883" ht="13.8" customHeight="1" s="135"/>
    <row r="884" ht="13.8" customHeight="1" s="135"/>
    <row r="885" ht="13.8" customHeight="1" s="135"/>
    <row r="886" ht="13.8" customHeight="1" s="135"/>
    <row r="887" ht="13.8" customHeight="1" s="135"/>
    <row r="888" ht="13.8" customHeight="1" s="135"/>
    <row r="889" ht="13.8" customHeight="1" s="135"/>
    <row r="890" ht="13.8" customHeight="1" s="135"/>
    <row r="891" ht="13.8" customHeight="1" s="135"/>
    <row r="892" ht="13.8" customHeight="1" s="135"/>
    <row r="893" ht="13.8" customHeight="1" s="135"/>
    <row r="894" ht="13.8" customHeight="1" s="135"/>
    <row r="895" ht="13.8" customHeight="1" s="135"/>
    <row r="896" ht="13.8" customHeight="1" s="135"/>
    <row r="897" ht="13.8" customHeight="1" s="135"/>
    <row r="898" ht="13.8" customHeight="1" s="135"/>
    <row r="899" ht="13.8" customHeight="1" s="135"/>
    <row r="900" ht="13.8" customHeight="1" s="135"/>
    <row r="901" ht="13.8" customHeight="1" s="135"/>
    <row r="902" ht="13.8" customHeight="1" s="135"/>
    <row r="903" ht="13.8" customHeight="1" s="135"/>
    <row r="904" ht="13.8" customHeight="1" s="135"/>
    <row r="905" ht="13.8" customHeight="1" s="135"/>
    <row r="906" ht="13.8" customHeight="1" s="135"/>
    <row r="907" ht="13.8" customHeight="1" s="135"/>
    <row r="908" ht="13.8" customHeight="1" s="135"/>
    <row r="909" ht="13.8" customHeight="1" s="135"/>
    <row r="910" ht="13.8" customHeight="1" s="135"/>
    <row r="911" ht="13.8" customHeight="1" s="135"/>
    <row r="912" ht="13.8" customHeight="1" s="135"/>
    <row r="913" ht="13.8" customHeight="1" s="135"/>
    <row r="914" ht="13.8" customHeight="1" s="135"/>
    <row r="915" ht="13.8" customHeight="1" s="135"/>
    <row r="916" ht="13.8" customHeight="1" s="135"/>
    <row r="917" ht="13.8" customHeight="1" s="135"/>
    <row r="918" ht="13.8" customHeight="1" s="135"/>
    <row r="919" ht="13.8" customHeight="1" s="135"/>
    <row r="920" ht="13.8" customHeight="1" s="135"/>
    <row r="921" ht="13.8" customHeight="1" s="135"/>
    <row r="922" ht="13.8" customHeight="1" s="135"/>
    <row r="923" ht="13.8" customHeight="1" s="135"/>
    <row r="924" ht="13.8" customHeight="1" s="135"/>
    <row r="925" ht="13.8" customHeight="1" s="135"/>
    <row r="926" ht="13.8" customHeight="1" s="135"/>
    <row r="927" ht="13.8" customHeight="1" s="135"/>
    <row r="928" ht="13.8" customHeight="1" s="135"/>
    <row r="929" ht="13.8" customHeight="1" s="135"/>
    <row r="930" ht="13.8" customHeight="1" s="135"/>
    <row r="931" ht="13.8" customHeight="1" s="135"/>
    <row r="932" ht="13.8" customHeight="1" s="135"/>
    <row r="933" ht="13.8" customHeight="1" s="135"/>
    <row r="934" ht="13.8" customHeight="1" s="135"/>
    <row r="935" ht="13.8" customHeight="1" s="135"/>
    <row r="936" ht="13.8" customHeight="1" s="135"/>
    <row r="937" ht="13.8" customHeight="1" s="135"/>
    <row r="938" ht="13.8" customHeight="1" s="135"/>
    <row r="939" ht="13.8" customHeight="1" s="135"/>
    <row r="940" ht="13.8" customHeight="1" s="135"/>
    <row r="941" ht="13.8" customHeight="1" s="135"/>
    <row r="942" ht="13.8" customHeight="1" s="135"/>
    <row r="943" ht="13.8" customHeight="1" s="135"/>
    <row r="944" ht="13.8" customHeight="1" s="135"/>
    <row r="945" ht="13.8" customHeight="1" s="135"/>
    <row r="946" ht="13.8" customHeight="1" s="135"/>
    <row r="947" ht="13.8" customHeight="1" s="135"/>
    <row r="948" ht="13.8" customHeight="1" s="135"/>
    <row r="949" ht="13.8" customHeight="1" s="135"/>
    <row r="950" ht="13.8" customHeight="1" s="135"/>
    <row r="951" ht="13.8" customHeight="1" s="135"/>
    <row r="952" ht="13.8" customHeight="1" s="135"/>
    <row r="953" ht="13.8" customHeight="1" s="135"/>
    <row r="954" ht="13.8" customHeight="1" s="135"/>
    <row r="955" ht="13.8" customHeight="1" s="135"/>
    <row r="956" ht="13.8" customHeight="1" s="135"/>
    <row r="957" ht="13.8" customHeight="1" s="135"/>
    <row r="958" ht="13.8" customHeight="1" s="135"/>
    <row r="959" ht="13.8" customHeight="1" s="135"/>
    <row r="960" ht="13.8" customHeight="1" s="135"/>
    <row r="961" ht="13.8" customHeight="1" s="135"/>
    <row r="962" ht="13.8" customHeight="1" s="135"/>
    <row r="963" ht="13.8" customHeight="1" s="135"/>
    <row r="964" ht="13.8" customHeight="1" s="135"/>
    <row r="965" ht="13.8" customHeight="1" s="135"/>
    <row r="966" ht="13.8" customHeight="1" s="135"/>
    <row r="967" ht="13.8" customHeight="1" s="135"/>
    <row r="968" ht="13.8" customHeight="1" s="135"/>
    <row r="969" ht="13.8" customHeight="1" s="135"/>
    <row r="970" ht="13.8" customHeight="1" s="135"/>
    <row r="971" ht="13.8" customHeight="1" s="135"/>
    <row r="972" ht="13.8" customHeight="1" s="135"/>
    <row r="973" ht="13.8" customHeight="1" s="135"/>
    <row r="974" ht="13.8" customHeight="1" s="135"/>
    <row r="975" ht="13.8" customHeight="1" s="135"/>
    <row r="976" ht="13.8" customHeight="1" s="135"/>
    <row r="977" ht="13.8" customHeight="1" s="135"/>
    <row r="978" ht="13.8" customHeight="1" s="135"/>
    <row r="979" ht="13.8" customHeight="1" s="135"/>
    <row r="980" ht="13.8" customHeight="1" s="135"/>
    <row r="981" ht="13.8" customHeight="1" s="135"/>
    <row r="982" ht="13.8" customHeight="1" s="135"/>
    <row r="983" ht="13.8" customHeight="1" s="135"/>
    <row r="984" ht="13.8" customHeight="1" s="135"/>
    <row r="985" ht="13.8" customHeight="1" s="135"/>
    <row r="986" ht="13.8" customHeight="1" s="135"/>
    <row r="987" ht="13.8" customHeight="1" s="135"/>
    <row r="988" ht="13.8" customHeight="1" s="135"/>
    <row r="989" ht="13.8" customHeight="1" s="135"/>
    <row r="990" ht="13.8" customHeight="1" s="135"/>
    <row r="991" ht="13.8" customHeight="1" s="135"/>
    <row r="992" ht="13.8" customHeight="1" s="135"/>
    <row r="993" ht="13.8" customHeight="1" s="135"/>
    <row r="994" ht="13.8" customHeight="1" s="135"/>
    <row r="995" ht="13.8" customHeight="1" s="135"/>
    <row r="996" ht="13.8" customHeight="1" s="135"/>
    <row r="997" ht="13.8" customHeight="1" s="135"/>
    <row r="998" ht="13.8" customHeight="1" s="135"/>
    <row r="999" ht="13.8" customHeight="1" s="135"/>
    <row r="1000" ht="13.8" customHeight="1" s="135"/>
    <row r="1001" ht="13.8" customHeight="1" s="135"/>
    <row r="1002" ht="13.8" customHeight="1" s="135"/>
    <row r="1003" ht="13.8" customHeight="1" s="135"/>
    <row r="1004" ht="13.8" customHeight="1" s="135"/>
    <row r="1005" ht="13.8" customHeight="1" s="135"/>
    <row r="1006" ht="13.8" customHeight="1" s="135"/>
    <row r="1007" ht="13.8" customHeight="1" s="135"/>
  </sheetData>
  <mergeCells count="3">
    <mergeCell ref="B1:H1"/>
    <mergeCell ref="B3:H3"/>
    <mergeCell ref="B2:H2"/>
  </mergeCells>
  <pageMargins left="0.7" right="0.7" top="0.75" bottom="0.75" header="0.3" footer="0.3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baseColWidth="8" defaultRowHeight="14.4"/>
  <cols>
    <col width="5.21875" bestFit="1" customWidth="1" style="143" min="1" max="1"/>
    <col width="37" bestFit="1" customWidth="1" style="143" min="2" max="2"/>
    <col width="15.77734375" customWidth="1" style="155" min="3" max="4"/>
    <col width="15.77734375" customWidth="1" style="156" min="5" max="7"/>
    <col width="15.77734375" customWidth="1" style="143" min="8" max="8"/>
    <col width="12.109375" bestFit="1" customWidth="1" style="139" min="9" max="9"/>
    <col width="11.21875" bestFit="1" customWidth="1" style="139" min="10" max="11"/>
    <col width="9.44140625" bestFit="1" customWidth="1" style="139" min="12" max="12"/>
    <col width="12.109375" bestFit="1" customWidth="1" style="139" min="13" max="13"/>
    <col width="10.109375" bestFit="1" customWidth="1" style="139" min="14" max="14"/>
    <col width="9.44140625" bestFit="1" customWidth="1" style="139" min="15" max="15"/>
    <col width="10.109375" bestFit="1" customWidth="1" style="139" min="16" max="16"/>
    <col width="8.88671875" customWidth="1" style="139" min="17" max="18"/>
    <col width="8.88671875" customWidth="1" style="139" min="19" max="16384"/>
  </cols>
  <sheetData>
    <row r="1" ht="18" customHeight="1" s="135">
      <c r="A1" s="146">
        <f>Summary!B1</f>
        <v/>
      </c>
      <c r="I1" s="7" t="n"/>
      <c r="J1" s="7" t="n"/>
      <c r="K1" s="7" t="n"/>
      <c r="L1" s="7" t="n"/>
    </row>
    <row r="2" ht="15.6" customHeight="1" s="135">
      <c r="A2" s="142" t="inlineStr">
        <is>
          <t>Zomato Cash Flow   - December - 2026</t>
        </is>
      </c>
    </row>
    <row r="3" ht="15" customHeight="1" s="135" thickBot="1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15" customHeight="1" s="135" thickBot="1">
      <c r="A4" s="59" t="inlineStr">
        <is>
          <t>S.No</t>
        </is>
      </c>
      <c r="B4" s="60" t="inlineStr">
        <is>
          <t>Details</t>
        </is>
      </c>
      <c r="C4" s="61">
        <f>Summary!C4</f>
        <v/>
      </c>
      <c r="D4" s="61">
        <f>Summary!D4</f>
        <v/>
      </c>
      <c r="E4" s="61">
        <f>Summary!E4</f>
        <v/>
      </c>
      <c r="F4" s="61">
        <f>Summary!F4</f>
        <v/>
      </c>
      <c r="G4" s="61">
        <f>Summary!G4</f>
        <v/>
      </c>
      <c r="H4" s="61" t="inlineStr">
        <is>
          <t>Total</t>
        </is>
      </c>
    </row>
    <row r="5">
      <c r="A5" s="111" t="n">
        <v>1</v>
      </c>
      <c r="B5" s="62" t="inlineStr">
        <is>
          <t>Item sales (Delivered orders)</t>
        </is>
      </c>
      <c r="C5" s="63">
        <f>'D1W1'!O2</f>
        <v/>
      </c>
      <c r="D5" s="63">
        <f>'D1W2'!O2</f>
        <v/>
      </c>
      <c r="E5" s="88">
        <f>'D1W3'!O2</f>
        <v/>
      </c>
      <c r="F5" s="64">
        <f>'D1W4'!O2</f>
        <v/>
      </c>
      <c r="G5" s="64">
        <f>'D1W5'!O2</f>
        <v/>
      </c>
      <c r="H5" s="88">
        <f>SUM(C5:G5)</f>
        <v/>
      </c>
      <c r="I5" s="150" t="n"/>
      <c r="J5" s="150" t="n"/>
    </row>
    <row r="6">
      <c r="A6" s="112" t="n"/>
      <c r="B6" s="62" t="inlineStr">
        <is>
          <t>Add:- Packing charges</t>
        </is>
      </c>
      <c r="C6" s="62">
        <f>'D1W1'!P2</f>
        <v/>
      </c>
      <c r="D6" s="62">
        <f>'D1W2'!P2</f>
        <v/>
      </c>
      <c r="E6" s="62">
        <f>'D1W3'!P2</f>
        <v/>
      </c>
      <c r="F6" s="62">
        <f>'D1W4'!P2</f>
        <v/>
      </c>
      <c r="G6" s="88">
        <f>'D1W5'!P2</f>
        <v/>
      </c>
      <c r="H6" s="88">
        <f>SUM(C6:G6)</f>
        <v/>
      </c>
      <c r="I6" s="150" t="n"/>
      <c r="K6" s="150" t="n"/>
    </row>
    <row r="7">
      <c r="A7" s="112" t="n"/>
      <c r="B7" s="62" t="inlineStr">
        <is>
          <t>Add:- Compensation paid for cancelled orders</t>
        </is>
      </c>
      <c r="C7" s="65">
        <f>'D1W1'!BC1</f>
        <v/>
      </c>
      <c r="D7" s="65">
        <f>'D1W2'!BC1</f>
        <v/>
      </c>
      <c r="E7" s="88">
        <f>'D1W3'!BC1</f>
        <v/>
      </c>
      <c r="F7" s="88">
        <f>'D1W4'!BC1</f>
        <v/>
      </c>
      <c r="G7" s="88">
        <f>'D1W5'!BC1</f>
        <v/>
      </c>
      <c r="H7" s="88">
        <f>SUM(C7:G7)</f>
        <v/>
      </c>
      <c r="I7" s="150" t="n"/>
      <c r="J7" s="150" t="n"/>
      <c r="K7" s="150" t="n"/>
      <c r="L7" s="150" t="n"/>
      <c r="M7" s="150" t="n"/>
    </row>
    <row r="8">
      <c r="A8" s="112" t="n"/>
      <c r="B8" s="62" t="inlineStr">
        <is>
          <t>Less:- Discount</t>
        </is>
      </c>
      <c r="C8" s="63">
        <f>'D1W1'!R2+'D1W1'!S2+'D1W1'!U2</f>
        <v/>
      </c>
      <c r="D8" s="63">
        <f>'D1W2'!R2+'D1W2'!S2+'D1W2'!U2</f>
        <v/>
      </c>
      <c r="E8" s="88">
        <f>'D1W3'!R2+'D1W3'!S2+'D1W3'!U2</f>
        <v/>
      </c>
      <c r="F8" s="88">
        <f>'D1W4'!R2+'D1W4'!S2+'D1W4'!U2</f>
        <v/>
      </c>
      <c r="G8" s="88">
        <f>'D1W5'!R2+'D1W5'!S2+'D1W5'!U2</f>
        <v/>
      </c>
      <c r="H8" s="88">
        <f>SUM(C8:G8)</f>
        <v/>
      </c>
      <c r="I8" s="150" t="n"/>
      <c r="J8" s="150" t="n"/>
      <c r="K8" s="150" t="n"/>
      <c r="L8" s="150" t="n"/>
      <c r="M8" s="150" t="n"/>
      <c r="N8" s="150" t="n"/>
      <c r="O8" s="150" t="n"/>
      <c r="P8" s="150" t="n"/>
    </row>
    <row r="9">
      <c r="A9" s="112" t="n"/>
      <c r="B9" s="62" t="inlineStr">
        <is>
          <t xml:space="preserve">Add:- GST </t>
        </is>
      </c>
      <c r="C9" s="63">
        <f>'D1W1'!V2</f>
        <v/>
      </c>
      <c r="D9" s="63">
        <f>'D1W2'!V2</f>
        <v/>
      </c>
      <c r="E9" s="88">
        <f>'D1W3'!V2</f>
        <v/>
      </c>
      <c r="F9" s="88">
        <f>'D1W4'!V2</f>
        <v/>
      </c>
      <c r="G9" s="88">
        <f>'D1W5'!V2</f>
        <v/>
      </c>
      <c r="H9" s="88">
        <f>SUM(C9:G9)</f>
        <v/>
      </c>
      <c r="I9" s="11" t="n"/>
      <c r="J9" s="150" t="n"/>
      <c r="M9" s="139" t="inlineStr">
        <is>
          <t>Gst</t>
        </is>
      </c>
      <c r="N9" s="139" t="inlineStr">
        <is>
          <t>Tds</t>
        </is>
      </c>
    </row>
    <row r="10">
      <c r="A10" s="112" t="n"/>
      <c r="B10" s="66" t="inlineStr">
        <is>
          <t>Net Sales</t>
        </is>
      </c>
      <c r="C10" s="67">
        <f>C5+C6+C9+C7-C8</f>
        <v/>
      </c>
      <c r="D10" s="67">
        <f>D5+D6+D9+D7-D8</f>
        <v/>
      </c>
      <c r="E10" s="68">
        <f>E5+E6+E9+E7-E8</f>
        <v/>
      </c>
      <c r="F10" s="68">
        <f>F5+F6+F9+F7-F8</f>
        <v/>
      </c>
      <c r="G10" s="68">
        <f>G5+G6+G9+G7-G8</f>
        <v/>
      </c>
      <c r="H10" s="68">
        <f>H5+H6+H9+H7-H8</f>
        <v/>
      </c>
      <c r="I10" s="150" t="n"/>
      <c r="J10" s="1" t="n"/>
      <c r="M10" s="1">
        <f>H10-H29</f>
        <v/>
      </c>
      <c r="N10" s="139">
        <f>H12*100/118</f>
        <v/>
      </c>
    </row>
    <row r="11" ht="15" customHeight="1" s="135" thickBot="1">
      <c r="A11" s="111" t="n">
        <v>2</v>
      </c>
      <c r="B11" s="69" t="inlineStr">
        <is>
          <t>Less:- Commission</t>
        </is>
      </c>
      <c r="C11" s="70">
        <f>C12</f>
        <v/>
      </c>
      <c r="D11" s="70">
        <f>D12</f>
        <v/>
      </c>
      <c r="E11" s="70">
        <f>E12</f>
        <v/>
      </c>
      <c r="F11" s="70">
        <f>F12</f>
        <v/>
      </c>
      <c r="G11" s="70">
        <f>G12</f>
        <v/>
      </c>
      <c r="H11" s="70">
        <f>H12</f>
        <v/>
      </c>
      <c r="J11" s="8" t="n"/>
      <c r="K11" s="1" t="n"/>
    </row>
    <row r="12">
      <c r="A12" s="113" t="n"/>
      <c r="B12" s="71" t="inlineStr">
        <is>
          <t>Platform Fee</t>
        </is>
      </c>
      <c r="C12" s="72">
        <f>'D1W1'!AC3</f>
        <v/>
      </c>
      <c r="D12" s="72">
        <f>'D1W2'!AC3</f>
        <v/>
      </c>
      <c r="E12" s="73">
        <f>'D1W3'!AC3</f>
        <v/>
      </c>
      <c r="F12" s="74">
        <f>'D1W4'!AC3</f>
        <v/>
      </c>
      <c r="G12" s="74">
        <f>'D1W5'!AC3</f>
        <v/>
      </c>
      <c r="H12" s="74">
        <f>SUM(C12:G12)</f>
        <v/>
      </c>
      <c r="I12" s="150" t="n"/>
      <c r="J12" s="150" t="n"/>
      <c r="K12" s="150" t="n"/>
    </row>
    <row r="13">
      <c r="A13" s="111" t="n">
        <v>3</v>
      </c>
      <c r="B13" s="66" t="inlineStr">
        <is>
          <t>Less:- Other Charges</t>
        </is>
      </c>
      <c r="C13" s="67">
        <f>C14+C16-C15+C17</f>
        <v/>
      </c>
      <c r="D13" s="67">
        <f>D14+D16-D15+D17</f>
        <v/>
      </c>
      <c r="E13" s="67">
        <f>E14+E16-E15+E17</f>
        <v/>
      </c>
      <c r="F13" s="67">
        <f>F14+F16-F15+F17</f>
        <v/>
      </c>
      <c r="G13" s="67">
        <f>G14+G16-G15+G17</f>
        <v/>
      </c>
      <c r="H13" s="67">
        <f>H14+H16-H15+H17</f>
        <v/>
      </c>
    </row>
    <row r="14">
      <c r="A14" s="113" t="n"/>
      <c r="B14" s="75" t="inlineStr">
        <is>
          <t>Convenience Fee</t>
        </is>
      </c>
      <c r="C14" s="76">
        <f>'D1W1'!AH3</f>
        <v/>
      </c>
      <c r="D14" s="76">
        <f>'D1W2'!AH3</f>
        <v/>
      </c>
      <c r="E14" s="77">
        <f>'D1W3'!AH3</f>
        <v/>
      </c>
      <c r="F14" s="78">
        <f>'D1W4'!AH3</f>
        <v/>
      </c>
      <c r="G14" s="78">
        <f>'D1W5'!AH3</f>
        <v/>
      </c>
      <c r="H14" s="78">
        <f>SUM(C14:G14)</f>
        <v/>
      </c>
      <c r="I14" s="150" t="n"/>
      <c r="J14" s="150" t="n"/>
      <c r="K14" s="150" t="n"/>
      <c r="L14" s="150" t="n"/>
    </row>
    <row r="15">
      <c r="A15" s="113" t="n"/>
      <c r="B15" s="79" t="inlineStr">
        <is>
          <t>Discount on Service Fee</t>
        </is>
      </c>
      <c r="C15" s="76">
        <f>'D1W1'!AG3</f>
        <v/>
      </c>
      <c r="D15" s="80">
        <f>'D1W2'!AG3</f>
        <v/>
      </c>
      <c r="E15" s="78">
        <f>'D1W3'!AG3</f>
        <v/>
      </c>
      <c r="F15" s="78">
        <f>'D1W4'!AG3</f>
        <v/>
      </c>
      <c r="G15" s="77">
        <f>'D1W5'!AG3</f>
        <v/>
      </c>
      <c r="H15" s="78">
        <f>SUM(C15:G15)</f>
        <v/>
      </c>
      <c r="I15" s="150" t="n"/>
      <c r="J15" s="150" t="n"/>
      <c r="K15" s="150" t="n"/>
      <c r="L15" s="150" t="inlineStr">
        <is>
          <t>netsales</t>
        </is>
      </c>
      <c r="M15" s="1">
        <f>C10+C8-C29</f>
        <v/>
      </c>
      <c r="N15" s="1">
        <f>D10+D8-D29</f>
        <v/>
      </c>
      <c r="O15" s="1">
        <f>E10+E8-E29</f>
        <v/>
      </c>
      <c r="P15" s="1">
        <f>F10+F8-F29</f>
        <v/>
      </c>
      <c r="Q15" s="1">
        <f>G10+G8-G29</f>
        <v/>
      </c>
    </row>
    <row r="16">
      <c r="A16" s="112" t="n"/>
      <c r="B16" s="62" t="inlineStr">
        <is>
          <t>Long Distance Fee</t>
        </is>
      </c>
      <c r="C16" s="63">
        <f>'D1W1'!AE3-'D1W1'!AF3</f>
        <v/>
      </c>
      <c r="D16" s="65">
        <f>'D1W2'!AE3-'D1W2'!AF3</f>
        <v/>
      </c>
      <c r="E16" s="81">
        <f>'D1W3'!AE3-'D1W3'!AF3</f>
        <v/>
      </c>
      <c r="F16" s="81">
        <f>'D1W4'!AE3-'D1W4'!AF3</f>
        <v/>
      </c>
      <c r="G16" s="88">
        <f>'D1W5'!AE3-'D1W5'!AF3</f>
        <v/>
      </c>
      <c r="H16" s="88">
        <f>SUM(C16:G16)</f>
        <v/>
      </c>
      <c r="L16" s="150" t="inlineStr">
        <is>
          <t>disc</t>
        </is>
      </c>
      <c r="M16" s="1">
        <f>C8</f>
        <v/>
      </c>
      <c r="N16" s="1">
        <f>D8</f>
        <v/>
      </c>
      <c r="O16" s="1">
        <f>E8</f>
        <v/>
      </c>
      <c r="P16" s="1">
        <f>F8</f>
        <v/>
      </c>
      <c r="Q16" s="1">
        <f>G8</f>
        <v/>
      </c>
    </row>
    <row r="17">
      <c r="A17" s="111" t="n">
        <v>4</v>
      </c>
      <c r="B17" s="62" t="inlineStr">
        <is>
          <t>Merchant Cancellation Charges</t>
        </is>
      </c>
      <c r="C17" s="63" t="n">
        <v>0</v>
      </c>
      <c r="D17" s="63" t="n">
        <v>0</v>
      </c>
      <c r="E17" s="81" t="n">
        <v>0</v>
      </c>
      <c r="F17" s="88" t="n">
        <v>0</v>
      </c>
      <c r="G17" s="88" t="n">
        <v>0</v>
      </c>
      <c r="H17" s="88">
        <f>SUM(C17:G17)</f>
        <v/>
      </c>
      <c r="L17" s="139" t="inlineStr">
        <is>
          <t>comm</t>
        </is>
      </c>
      <c r="M17" s="1">
        <f>C12-C15</f>
        <v/>
      </c>
      <c r="N17" s="1">
        <f>D12-D15</f>
        <v/>
      </c>
      <c r="O17" s="1">
        <f>E12-E15</f>
        <v/>
      </c>
      <c r="P17" s="1">
        <f>F12-F15</f>
        <v/>
      </c>
      <c r="Q17" s="1">
        <f>G12-G15</f>
        <v/>
      </c>
    </row>
    <row r="18" ht="14.4" customHeight="1" s="135">
      <c r="A18" s="112" t="n"/>
      <c r="B18" s="66" t="inlineStr">
        <is>
          <t>Less:- Refunds</t>
        </is>
      </c>
      <c r="C18" s="67">
        <f>SUM(C19:C20)</f>
        <v/>
      </c>
      <c r="D18" s="67">
        <f>SUM(D19:D20)</f>
        <v/>
      </c>
      <c r="E18" s="67">
        <f>SUM(E19:E20)</f>
        <v/>
      </c>
      <c r="F18" s="67">
        <f>SUM(F19:F20)</f>
        <v/>
      </c>
      <c r="G18" s="67">
        <f>SUM(G19:G20)</f>
        <v/>
      </c>
      <c r="H18" s="68">
        <f>H19+H20</f>
        <v/>
      </c>
      <c r="J18" s="150" t="n"/>
      <c r="L18" s="150" t="inlineStr">
        <is>
          <t>tds ecom</t>
        </is>
      </c>
      <c r="M18" s="1">
        <f>C27</f>
        <v/>
      </c>
      <c r="N18" s="1">
        <f>D27</f>
        <v/>
      </c>
      <c r="O18" s="1">
        <f>E27</f>
        <v/>
      </c>
      <c r="P18" s="1">
        <f>F27</f>
        <v/>
      </c>
      <c r="Q18" s="1">
        <f>G27</f>
        <v/>
      </c>
    </row>
    <row r="19">
      <c r="A19" s="111" t="n"/>
      <c r="B19" s="62" t="inlineStr">
        <is>
          <t>Paid by Restaurant</t>
        </is>
      </c>
      <c r="C19" s="63">
        <f>'D1W1'!AS4</f>
        <v/>
      </c>
      <c r="D19" s="63">
        <f>'D1W2'!AS4</f>
        <v/>
      </c>
      <c r="E19" s="88">
        <f>'D1W3'!AS4</f>
        <v/>
      </c>
      <c r="F19" s="88">
        <f>'D1W4'!AS4</f>
        <v/>
      </c>
      <c r="G19" s="88">
        <f>'D1W5'!AS4</f>
        <v/>
      </c>
      <c r="H19" s="88">
        <f>SUM(C19:G19)</f>
        <v/>
      </c>
      <c r="L19" s="157" t="inlineStr">
        <is>
          <t>conve</t>
        </is>
      </c>
      <c r="M19" s="1">
        <f>C14</f>
        <v/>
      </c>
      <c r="N19" s="1">
        <f>D14</f>
        <v/>
      </c>
      <c r="O19" s="1">
        <f>E14</f>
        <v/>
      </c>
      <c r="P19" s="1">
        <f>F14</f>
        <v/>
      </c>
      <c r="Q19" s="1">
        <f>G14</f>
        <v/>
      </c>
    </row>
    <row r="20">
      <c r="A20" s="111" t="n">
        <v>5</v>
      </c>
      <c r="B20" s="62" t="inlineStr">
        <is>
          <t>Received by Restaurant</t>
        </is>
      </c>
      <c r="C20" s="63" t="n">
        <v>0</v>
      </c>
      <c r="D20" s="63" t="n">
        <v>0</v>
      </c>
      <c r="E20" s="88" t="n">
        <v>0</v>
      </c>
      <c r="F20" s="88" t="n">
        <v>0</v>
      </c>
      <c r="G20" s="88" t="n">
        <v>0</v>
      </c>
      <c r="H20" s="88">
        <f>SUM(C20:G20)</f>
        <v/>
      </c>
      <c r="L20" s="139" t="inlineStr">
        <is>
          <t>othe cha</t>
        </is>
      </c>
      <c r="M20" s="1">
        <f>C16</f>
        <v/>
      </c>
      <c r="N20" s="1">
        <f>D16</f>
        <v/>
      </c>
      <c r="O20" s="1">
        <f>E16</f>
        <v/>
      </c>
      <c r="P20" s="1">
        <f>F16</f>
        <v/>
      </c>
      <c r="Q20" s="1">
        <f>G16</f>
        <v/>
      </c>
    </row>
    <row r="21" ht="17.4" customHeight="1" s="135">
      <c r="A21" s="112" t="n"/>
      <c r="B21" s="66" t="inlineStr">
        <is>
          <t>Less:- Marketing Charges</t>
        </is>
      </c>
      <c r="C21" s="67">
        <f>C22+C23+C24</f>
        <v/>
      </c>
      <c r="D21" s="67">
        <f>D22+D23+D24</f>
        <v/>
      </c>
      <c r="E21" s="68">
        <f>E22+E23+E24</f>
        <v/>
      </c>
      <c r="F21" s="68">
        <f>F22+F23+F24</f>
        <v/>
      </c>
      <c r="G21" s="68">
        <f>G22+G23+G24</f>
        <v/>
      </c>
      <c r="H21" s="68">
        <f>H22+H23+H24</f>
        <v/>
      </c>
      <c r="L21" s="139" t="inlineStr">
        <is>
          <t>tds</t>
        </is>
      </c>
      <c r="M21" s="139">
        <f>(C12*100/118)*2%</f>
        <v/>
      </c>
      <c r="N21" s="139">
        <f>(D12*100/118)*2%</f>
        <v/>
      </c>
      <c r="O21" s="139">
        <f>(E12*100/118)*2%</f>
        <v/>
      </c>
      <c r="P21" s="139">
        <f>(F12*100/118)*2%</f>
        <v/>
      </c>
      <c r="Q21" s="139">
        <f>(G12*100/118)*2%</f>
        <v/>
      </c>
    </row>
    <row r="22" ht="19.2" customHeight="1" s="135">
      <c r="A22" s="112" t="n"/>
      <c r="B22" s="62" t="inlineStr">
        <is>
          <t>High Priority</t>
        </is>
      </c>
      <c r="C22" s="63">
        <f>'D2W1'!G16-'D2W1'!G7 + 'D1W1'!AX4</f>
        <v/>
      </c>
      <c r="D22" s="63">
        <f>'D2W2'!G17-'D2W2'!G7 + 'D1W2'!AX4</f>
        <v/>
      </c>
      <c r="E22" s="88">
        <f>'D2W3'!G19-'D2W3'!G8 + 'D1W3'!AX4</f>
        <v/>
      </c>
      <c r="F22" s="88">
        <f>'D2W4'!G20-'D2W4'!G8 + 'D1W4'!AX4</f>
        <v/>
      </c>
      <c r="G22" s="88">
        <f>'D2W5'!G19-'D2W5'!G8 + 'D1W5'!AX4</f>
        <v/>
      </c>
      <c r="H22" s="88">
        <f>SUM(C22:G22)</f>
        <v/>
      </c>
      <c r="J22" s="158" t="n"/>
      <c r="K22" s="158" t="n"/>
    </row>
    <row r="23">
      <c r="A23" s="112" t="n"/>
      <c r="B23" s="62" t="inlineStr">
        <is>
          <t xml:space="preserve">Call Center Service Fees </t>
        </is>
      </c>
      <c r="C23" s="63" t="n">
        <v>0</v>
      </c>
      <c r="D23" s="63" t="n">
        <v>0</v>
      </c>
      <c r="E23" s="88" t="n">
        <v>0</v>
      </c>
      <c r="F23" s="88" t="n">
        <v>0</v>
      </c>
      <c r="G23" s="88" t="n">
        <v>0</v>
      </c>
      <c r="H23" s="88">
        <f>SUM(C23:G23)</f>
        <v/>
      </c>
    </row>
    <row r="24">
      <c r="A24" s="112" t="n"/>
      <c r="B24" s="62" t="inlineStr">
        <is>
          <t>PocketHero Fee</t>
        </is>
      </c>
      <c r="C24" s="63" t="n">
        <v>0</v>
      </c>
      <c r="D24" s="63" t="n">
        <v>0</v>
      </c>
      <c r="E24" s="88" t="n">
        <v>0</v>
      </c>
      <c r="F24" s="88" t="n">
        <v>0</v>
      </c>
      <c r="G24" s="88" t="n">
        <v>0</v>
      </c>
      <c r="H24" s="88">
        <f>SUM(C24:G24)</f>
        <v/>
      </c>
      <c r="M24" s="150" t="n"/>
    </row>
    <row r="25">
      <c r="A25" s="111" t="n">
        <v>6</v>
      </c>
      <c r="B25" s="66" t="inlineStr">
        <is>
          <t>Profit from Zomato</t>
        </is>
      </c>
      <c r="C25" s="67">
        <f>C10-C11-C18-C21-C13-C29</f>
        <v/>
      </c>
      <c r="D25" s="67">
        <f>D10-D11-D18-D21-D13-D29</f>
        <v/>
      </c>
      <c r="E25" s="67">
        <f>E10-E11-E18-E21-E13-E29</f>
        <v/>
      </c>
      <c r="F25" s="67">
        <f>F10-F11-F18-F21-F13-F29</f>
        <v/>
      </c>
      <c r="G25" s="67">
        <f>G10-G11-G18-G21-G13-G29</f>
        <v/>
      </c>
      <c r="H25" s="67">
        <f>H10-H11-H18-H21-H13-H29</f>
        <v/>
      </c>
    </row>
    <row r="26">
      <c r="A26" s="112" t="n"/>
      <c r="B26" s="66" t="inlineStr">
        <is>
          <t>Less:- Tax Adjustments</t>
        </is>
      </c>
      <c r="C26" s="67">
        <f>SUM(C27:C29)</f>
        <v/>
      </c>
      <c r="D26" s="67">
        <f>SUM(D27:D29)</f>
        <v/>
      </c>
      <c r="E26" s="67">
        <f>SUM(E27:E29)</f>
        <v/>
      </c>
      <c r="F26" s="67">
        <f>SUM(F27:F29)</f>
        <v/>
      </c>
      <c r="G26" s="67">
        <f>SUM(G27:G29)</f>
        <v/>
      </c>
      <c r="H26" s="67">
        <f>SUM(H27:H29)</f>
        <v/>
      </c>
    </row>
    <row r="27">
      <c r="A27" s="112" t="n"/>
      <c r="B27" s="62" t="inlineStr">
        <is>
          <t>TDS deduction for aggrigators</t>
        </is>
      </c>
      <c r="C27" s="63">
        <f>'D1W1'!AO4</f>
        <v/>
      </c>
      <c r="D27" s="63">
        <f>'D1W2'!AO4</f>
        <v/>
      </c>
      <c r="E27" s="82">
        <f>'D1W3'!AO4</f>
        <v/>
      </c>
      <c r="F27" s="88">
        <f>'D1W4'!AO4</f>
        <v/>
      </c>
      <c r="G27" s="88">
        <f>'D1W5'!AO4</f>
        <v/>
      </c>
      <c r="H27" s="88">
        <f>SUM(C27:G27)</f>
        <v/>
      </c>
    </row>
    <row r="28" ht="15" customHeight="1" s="135">
      <c r="A28" s="112" t="n"/>
      <c r="B28" s="62" t="inlineStr">
        <is>
          <t>TCS</t>
        </is>
      </c>
      <c r="C28" s="63">
        <f>'D1W1'!AN4+'D1W1'!AM4</f>
        <v/>
      </c>
      <c r="D28" s="83">
        <f>'D1W2'!AN4+'D1W2'!AM4</f>
        <v/>
      </c>
      <c r="E28" s="88">
        <f>'D1W3'!AN4+'D1W3'!AM4</f>
        <v/>
      </c>
      <c r="F28" s="82">
        <f>'D1W4'!AN4+'D1W4'!AM4</f>
        <v/>
      </c>
      <c r="G28" s="88">
        <f>'D1W5'!AN4+'D1W5'!AM4</f>
        <v/>
      </c>
      <c r="H28" s="88">
        <f>SUM(C28:G28)</f>
        <v/>
      </c>
    </row>
    <row r="29" ht="15.6" customHeight="1" s="135">
      <c r="A29" s="111" t="n">
        <v>7</v>
      </c>
      <c r="B29" s="62" t="inlineStr">
        <is>
          <t>GST collected and paid by Zomato</t>
        </is>
      </c>
      <c r="C29" s="63">
        <f>'D1W1'!AP4</f>
        <v/>
      </c>
      <c r="D29" s="63">
        <f>'D1W2'!AP4</f>
        <v/>
      </c>
      <c r="E29" s="88">
        <f>'D1W3'!AP4</f>
        <v/>
      </c>
      <c r="F29" s="88">
        <f>'D1W4'!AP4</f>
        <v/>
      </c>
      <c r="G29" s="88">
        <f>'D1W5'!AP4</f>
        <v/>
      </c>
      <c r="H29" s="88">
        <f>SUM(C29:G29)</f>
        <v/>
      </c>
    </row>
    <row r="30">
      <c r="A30" s="111" t="n"/>
      <c r="B30" s="66" t="inlineStr">
        <is>
          <t>Expected Receipts</t>
        </is>
      </c>
      <c r="C30" s="67">
        <f>C25-C27-C28-C34</f>
        <v/>
      </c>
      <c r="D30" s="67">
        <f>D25-D27-D28-D34</f>
        <v/>
      </c>
      <c r="E30" s="67">
        <f>E25-E27-E28-E34</f>
        <v/>
      </c>
      <c r="F30" s="67">
        <f>F25-F27-F28-F34</f>
        <v/>
      </c>
      <c r="G30" s="67">
        <f>G25-G27-G28-G34</f>
        <v/>
      </c>
      <c r="H30" s="67">
        <f>H25-H27-H28-H34</f>
        <v/>
      </c>
      <c r="J30" s="150" t="n"/>
    </row>
    <row r="31">
      <c r="A31" s="112" t="n"/>
      <c r="B31" s="62" t="inlineStr">
        <is>
          <t>Service Fee Reversal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>
        <f>SUM(C31:G31)</f>
        <v/>
      </c>
      <c r="J31" s="150" t="n"/>
    </row>
    <row r="32">
      <c r="A32" s="112" t="n"/>
      <c r="B32" s="62" t="inlineStr">
        <is>
          <t>Interim payments</t>
        </is>
      </c>
      <c r="C32" s="63" t="n">
        <v>0</v>
      </c>
      <c r="D32" s="63" t="n">
        <v>0</v>
      </c>
      <c r="E32" s="88" t="n">
        <v>0</v>
      </c>
      <c r="F32" s="88" t="n">
        <v>0</v>
      </c>
      <c r="G32" s="88" t="n">
        <v>0</v>
      </c>
      <c r="H32" s="88">
        <f>SUM(C32:G32)</f>
        <v/>
      </c>
    </row>
    <row r="33">
      <c r="A33" s="112" t="n"/>
      <c r="B33" s="62" t="inlineStr">
        <is>
          <t>Opening Week Adjustments</t>
        </is>
      </c>
      <c r="C33" s="63" t="n">
        <v>0</v>
      </c>
      <c r="D33" s="63" t="n">
        <v>0</v>
      </c>
      <c r="E33" s="88" t="n">
        <v>0</v>
      </c>
      <c r="F33" s="88" t="n">
        <v>0</v>
      </c>
      <c r="G33" s="88" t="n">
        <v>0</v>
      </c>
      <c r="H33" s="88">
        <f>SUM(C33:G33)</f>
        <v/>
      </c>
    </row>
    <row r="34">
      <c r="A34" s="112" t="n"/>
      <c r="B34" s="62" t="inlineStr">
        <is>
          <t>Following Week Adjustments</t>
        </is>
      </c>
      <c r="C34" s="63" t="n">
        <v>0</v>
      </c>
      <c r="D34" s="63" t="n">
        <v>0</v>
      </c>
      <c r="E34" s="88" t="n">
        <v>0</v>
      </c>
      <c r="F34" s="88" t="n">
        <v>0</v>
      </c>
      <c r="G34" s="88" t="n">
        <v>0</v>
      </c>
      <c r="H34" s="88">
        <f>SUM(C34:G34)</f>
        <v/>
      </c>
    </row>
    <row r="35">
      <c r="A35" s="112" t="n"/>
      <c r="B35" s="62" t="inlineStr">
        <is>
          <t>Closing Week Adjustments</t>
        </is>
      </c>
      <c r="C35" s="63" t="n">
        <v>0</v>
      </c>
      <c r="D35" s="63" t="n">
        <v>0</v>
      </c>
      <c r="E35" s="88" t="n">
        <v>0</v>
      </c>
      <c r="F35" s="88" t="n">
        <v>0</v>
      </c>
      <c r="G35" s="88" t="n">
        <v>20736.85</v>
      </c>
      <c r="H35" s="88">
        <f>SUM(C35:G35)</f>
        <v/>
      </c>
    </row>
    <row r="36">
      <c r="A36" s="112" t="n"/>
      <c r="B36" s="62" t="inlineStr">
        <is>
          <t>Zomato hyperpure Payment Adjustments</t>
        </is>
      </c>
      <c r="C36" s="63">
        <f>'D2W1'!G20</f>
        <v/>
      </c>
      <c r="D36" s="63">
        <f>'D2W2'!G21</f>
        <v/>
      </c>
      <c r="E36" s="88">
        <f>'D2W3'!G23</f>
        <v/>
      </c>
      <c r="F36" s="88">
        <f>'D2W4'!G24</f>
        <v/>
      </c>
      <c r="G36" s="88">
        <f>'D2W5'!G23</f>
        <v/>
      </c>
      <c r="H36" s="88">
        <f>SUM(C36:G36)</f>
        <v/>
      </c>
    </row>
    <row r="37">
      <c r="A37" s="112" t="n"/>
      <c r="B37" s="62" t="inlineStr">
        <is>
          <t>EMI Loan deductions</t>
        </is>
      </c>
      <c r="C37" s="63" t="n">
        <v>0</v>
      </c>
      <c r="D37" s="63" t="n">
        <v>0</v>
      </c>
      <c r="E37" s="88" t="n">
        <v>0</v>
      </c>
      <c r="F37" s="88" t="n">
        <v>0</v>
      </c>
      <c r="G37" s="88" t="n">
        <v>0</v>
      </c>
      <c r="H37" s="88">
        <f>SUM(C37:G37)</f>
        <v/>
      </c>
    </row>
    <row r="38">
      <c r="A38" s="111" t="n">
        <v>8</v>
      </c>
      <c r="B38" s="66" t="inlineStr">
        <is>
          <t>Actual receipts</t>
        </is>
      </c>
      <c r="C38" s="67" t="n">
        <v>0</v>
      </c>
      <c r="D38" s="67" t="n">
        <v>0</v>
      </c>
      <c r="E38" s="68" t="n">
        <v>0</v>
      </c>
      <c r="F38" s="84" t="n">
        <v>0</v>
      </c>
      <c r="G38" s="84" t="n">
        <v>0</v>
      </c>
      <c r="H38" s="84">
        <f>SUM(C38:G38)</f>
        <v/>
      </c>
      <c r="J38" s="1" t="n"/>
    </row>
    <row r="39" ht="15" customHeight="1" s="135" thickBot="1">
      <c r="A39" s="147" t="n"/>
      <c r="B39" s="41" t="inlineStr">
        <is>
          <t>Difference</t>
        </is>
      </c>
      <c r="C39" s="85">
        <f>C30-C38-C36+C33+C35</f>
        <v/>
      </c>
      <c r="D39" s="85">
        <f>D30-D38-D36-D33+D35</f>
        <v/>
      </c>
      <c r="E39" s="85">
        <f>E30-E38-E36-E33+E35</f>
        <v/>
      </c>
      <c r="F39" s="85">
        <f>F30-F38-F36-F33+F35-F34-F32</f>
        <v/>
      </c>
      <c r="G39" s="85">
        <f>G30-G38-G36-G33+G35</f>
        <v/>
      </c>
      <c r="H39" s="85">
        <f>H30-H38-H36+H33+H35-H34-H32</f>
        <v/>
      </c>
    </row>
    <row r="40">
      <c r="A40" s="12" t="n"/>
    </row>
    <row r="41">
      <c r="B41" s="12" t="inlineStr">
        <is>
          <t xml:space="preserve">Note : </t>
        </is>
      </c>
    </row>
    <row r="42"/>
    <row r="43"/>
    <row r="44">
      <c r="B44" s="155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H37"/>
  <sheetViews>
    <sheetView showGridLines="0" zoomScaleNormal="100" workbookViewId="0">
      <selection activeCell="A2" sqref="A2:G2"/>
    </sheetView>
  </sheetViews>
  <sheetFormatPr baseColWidth="8" defaultRowHeight="13.8"/>
  <cols>
    <col width="45.5546875" bestFit="1" customWidth="1" style="139" min="1" max="1"/>
    <col width="12.77734375" bestFit="1" customWidth="1" style="139" min="2" max="3"/>
    <col width="13.33203125" bestFit="1" customWidth="1" style="139" min="4" max="4"/>
    <col width="13.109375" bestFit="1" customWidth="1" style="139" min="5" max="5"/>
    <col width="12.33203125" customWidth="1" style="139" min="6" max="6"/>
    <col width="14" bestFit="1" customWidth="1" style="139" min="7" max="7"/>
    <col width="8.88671875" customWidth="1" style="139" min="8" max="9"/>
    <col width="8.88671875" customWidth="1" style="139" min="10" max="16384"/>
  </cols>
  <sheetData>
    <row r="1" ht="18" customHeight="1" s="135">
      <c r="A1" s="138">
        <f>Summary!B1</f>
        <v/>
      </c>
      <c r="H1" s="143" t="n"/>
    </row>
    <row r="2" ht="15.6" customHeight="1" s="135">
      <c r="A2" s="140" t="inlineStr">
        <is>
          <t>Zomato Profit Statement - December - 2026</t>
        </is>
      </c>
      <c r="H2" s="143" t="n"/>
    </row>
    <row r="3" ht="18" customHeight="1" s="135" thickBot="1">
      <c r="A3" s="50" t="n"/>
      <c r="B3" s="42" t="n"/>
      <c r="C3" s="42" t="n"/>
      <c r="D3" s="42" t="n"/>
      <c r="E3" s="42" t="n"/>
      <c r="F3" s="42" t="n"/>
      <c r="G3" s="42" t="n"/>
      <c r="H3" s="143" t="n"/>
    </row>
    <row r="4" ht="15" customHeight="1" s="135" thickBot="1">
      <c r="A4" s="51" t="inlineStr">
        <is>
          <t>Details</t>
        </is>
      </c>
      <c r="B4" s="159">
        <f>Summary!C4</f>
        <v/>
      </c>
      <c r="C4" s="159">
        <f>Summary!D4</f>
        <v/>
      </c>
      <c r="D4" s="159">
        <f>Summary!E4</f>
        <v/>
      </c>
      <c r="E4" s="159">
        <f>Summary!F4</f>
        <v/>
      </c>
      <c r="F4" s="159">
        <f>Summary!G4</f>
        <v/>
      </c>
      <c r="G4" s="159">
        <f>Summary!H4</f>
        <v/>
      </c>
      <c r="H4" s="37" t="n"/>
    </row>
    <row r="5" ht="14.4" customHeight="1" s="135">
      <c r="A5" s="52" t="inlineStr">
        <is>
          <t>A. Net Sales</t>
        </is>
      </c>
      <c r="B5" s="38" t="n"/>
      <c r="C5" s="38" t="n"/>
      <c r="D5" s="38" t="n"/>
      <c r="E5" s="38" t="n"/>
      <c r="F5" s="43" t="n"/>
      <c r="G5" s="43" t="n"/>
      <c r="H5" s="143" t="n"/>
    </row>
    <row r="6" ht="14.4" customHeight="1" s="135">
      <c r="A6" s="49" t="inlineStr">
        <is>
          <t>Total Income</t>
        </is>
      </c>
      <c r="B6" s="88">
        <f>Cashflow!C5+Cashflow!C6+Cashflow!C9-Cashflow!C8-Cashflow!C29</f>
        <v/>
      </c>
      <c r="C6" s="88">
        <f>Cashflow!D5+Cashflow!D6+Cashflow!D9-Cashflow!D8-Cashflow!D29</f>
        <v/>
      </c>
      <c r="D6" s="88">
        <f>Cashflow!E5+Cashflow!E6+Cashflow!E9-Cashflow!E8-Cashflow!E29</f>
        <v/>
      </c>
      <c r="E6" s="88">
        <f>Cashflow!F5+Cashflow!F6+Cashflow!F9-Cashflow!F8-Cashflow!F29</f>
        <v/>
      </c>
      <c r="F6" s="88">
        <f>Cashflow!G5+Cashflow!G6+Cashflow!G9-Cashflow!G8-Cashflow!G29</f>
        <v/>
      </c>
      <c r="G6" s="92">
        <f>SUM(B6:F6)</f>
        <v/>
      </c>
      <c r="H6" s="143" t="n"/>
    </row>
    <row r="7" ht="15" customHeight="1" s="135" thickBot="1">
      <c r="A7" s="49" t="inlineStr">
        <is>
          <t>Add- Adjust: Cancelled orders (By Zomato)</t>
        </is>
      </c>
      <c r="B7" s="89">
        <f>Cashflow!C7</f>
        <v/>
      </c>
      <c r="C7" s="89">
        <f>Cashflow!D7</f>
        <v/>
      </c>
      <c r="D7" s="89">
        <f>Cashflow!E7</f>
        <v/>
      </c>
      <c r="E7" s="89">
        <f>Cashflow!F7</f>
        <v/>
      </c>
      <c r="F7" s="89">
        <f>Cashflow!G7</f>
        <v/>
      </c>
      <c r="G7" s="92">
        <f>SUM(B7:F7)</f>
        <v/>
      </c>
      <c r="H7" s="143" t="n"/>
    </row>
    <row r="8" ht="15" customHeight="1" s="135" thickBot="1">
      <c r="A8" s="53" t="inlineStr">
        <is>
          <t>Net Sales (Number that you see on Numerize app)</t>
        </is>
      </c>
      <c r="B8" s="93">
        <f>B6+B7</f>
        <v/>
      </c>
      <c r="C8" s="93">
        <f>C6+C7</f>
        <v/>
      </c>
      <c r="D8" s="93">
        <f>D6+D7</f>
        <v/>
      </c>
      <c r="E8" s="93">
        <f>E6+E7</f>
        <v/>
      </c>
      <c r="F8" s="93">
        <f>F6+F7</f>
        <v/>
      </c>
      <c r="G8" s="94">
        <f>G6+G7</f>
        <v/>
      </c>
      <c r="H8" s="143" t="n"/>
    </row>
    <row r="9" ht="14.4" customHeight="1" s="135">
      <c r="A9" s="49" t="n"/>
      <c r="B9" s="89" t="n"/>
      <c r="C9" s="89" t="n"/>
      <c r="D9" s="89" t="n"/>
      <c r="E9" s="89" t="n"/>
      <c r="F9" s="90" t="n"/>
      <c r="G9" s="90" t="n"/>
      <c r="H9" s="143" t="n"/>
    </row>
    <row r="10" ht="14.4" customHeight="1" s="135">
      <c r="A10" s="54" t="inlineStr">
        <is>
          <t>B.  Less:- Commission</t>
        </is>
      </c>
      <c r="B10" s="89">
        <f>Cashflow!C11</f>
        <v/>
      </c>
      <c r="C10" s="89">
        <f>Cashflow!D11</f>
        <v/>
      </c>
      <c r="D10" s="89">
        <f>Cashflow!E11</f>
        <v/>
      </c>
      <c r="E10" s="89">
        <f>Cashflow!F11</f>
        <v/>
      </c>
      <c r="F10" s="89">
        <f>Cashflow!G11</f>
        <v/>
      </c>
      <c r="G10" s="92">
        <f>SUM(B10:F10)</f>
        <v/>
      </c>
      <c r="H10" s="143" t="n"/>
    </row>
    <row r="11" ht="14.4" customHeight="1" s="135">
      <c r="A11" s="49" t="n"/>
      <c r="B11" s="89" t="n"/>
      <c r="C11" s="89" t="n"/>
      <c r="D11" s="89" t="n"/>
      <c r="E11" s="89" t="n"/>
      <c r="F11" s="90" t="n"/>
      <c r="G11" s="91" t="n"/>
      <c r="H11" s="143" t="n"/>
    </row>
    <row r="12" ht="14.4" customHeight="1" s="135">
      <c r="A12" s="54" t="inlineStr">
        <is>
          <t>C.  Less:- Marketing &amp; Ads</t>
        </is>
      </c>
      <c r="B12" s="89">
        <f>Cashflow!C21</f>
        <v/>
      </c>
      <c r="C12" s="89">
        <f>Cashflow!D21</f>
        <v/>
      </c>
      <c r="D12" s="89">
        <f>Cashflow!E21</f>
        <v/>
      </c>
      <c r="E12" s="89">
        <f>Cashflow!F21</f>
        <v/>
      </c>
      <c r="F12" s="89">
        <f>Cashflow!G21</f>
        <v/>
      </c>
      <c r="G12" s="92">
        <f>SUM(B12:F12)</f>
        <v/>
      </c>
      <c r="H12" s="143" t="n"/>
    </row>
    <row r="13" ht="14.4" customHeight="1" s="135">
      <c r="A13" s="49" t="n"/>
      <c r="B13" s="89" t="n"/>
      <c r="C13" s="89" t="n"/>
      <c r="D13" s="89" t="n"/>
      <c r="E13" s="89" t="n"/>
      <c r="F13" s="90" t="n"/>
      <c r="G13" s="91" t="n"/>
      <c r="H13" s="143" t="n"/>
    </row>
    <row r="14" ht="14.4" customHeight="1" s="135">
      <c r="A14" s="54" t="inlineStr">
        <is>
          <t>D. Less:- Refund on disputed orders</t>
        </is>
      </c>
      <c r="B14" s="89">
        <f>Cashflow!C18</f>
        <v/>
      </c>
      <c r="C14" s="89">
        <f>Cashflow!D18</f>
        <v/>
      </c>
      <c r="D14" s="89">
        <f>Cashflow!E18</f>
        <v/>
      </c>
      <c r="E14" s="89">
        <f>Cashflow!F18</f>
        <v/>
      </c>
      <c r="F14" s="89">
        <f>Cashflow!G18</f>
        <v/>
      </c>
      <c r="G14" s="92">
        <f>SUM(B14:F14)</f>
        <v/>
      </c>
      <c r="H14" s="143" t="n"/>
    </row>
    <row r="15" ht="14.4" customHeight="1" s="135">
      <c r="A15" s="49" t="n"/>
      <c r="B15" s="89" t="n"/>
      <c r="C15" s="89" t="n"/>
      <c r="D15" s="89" t="n"/>
      <c r="E15" s="89" t="n"/>
      <c r="F15" s="90" t="n"/>
      <c r="G15" s="91" t="n"/>
      <c r="H15" s="143" t="n"/>
    </row>
    <row r="16" ht="14.4" customHeight="1" s="135">
      <c r="A16" s="54" t="inlineStr">
        <is>
          <t>E. Other charges</t>
        </is>
      </c>
      <c r="B16" s="89">
        <f>Cashflow!C13</f>
        <v/>
      </c>
      <c r="C16" s="89">
        <f>Cashflow!D13</f>
        <v/>
      </c>
      <c r="D16" s="89">
        <f>Cashflow!E13</f>
        <v/>
      </c>
      <c r="E16" s="89">
        <f>Cashflow!F13</f>
        <v/>
      </c>
      <c r="F16" s="89">
        <f>Cashflow!G13</f>
        <v/>
      </c>
      <c r="G16" s="92">
        <f>SUM(B16:F16)</f>
        <v/>
      </c>
      <c r="H16" s="143" t="n"/>
    </row>
    <row r="17" ht="15" customHeight="1" s="135" thickBot="1">
      <c r="A17" s="49" t="n"/>
      <c r="B17" s="89" t="n"/>
      <c r="C17" s="89" t="n"/>
      <c r="D17" s="89" t="n"/>
      <c r="E17" s="89" t="n"/>
      <c r="F17" s="90" t="n"/>
      <c r="G17" s="90" t="n"/>
      <c r="H17" s="143" t="n"/>
    </row>
    <row r="18" ht="14.4" customHeight="1" s="135" thickBot="1">
      <c r="A18" s="55" t="inlineStr">
        <is>
          <t>F. Profit</t>
        </is>
      </c>
      <c r="B18" s="93">
        <f>B8-B10-B12-B14-B16</f>
        <v/>
      </c>
      <c r="C18" s="93">
        <f>C8-C10-C12-C14-C16</f>
        <v/>
      </c>
      <c r="D18" s="93">
        <f>D8-D10-D12-D14-D16</f>
        <v/>
      </c>
      <c r="E18" s="93">
        <f>E8-E10-E12-E14-E16</f>
        <v/>
      </c>
      <c r="F18" s="93">
        <f>F8-F10-F12-F14-F16</f>
        <v/>
      </c>
      <c r="G18" s="94">
        <f>G8-G10-G12-G14-G16</f>
        <v/>
      </c>
      <c r="H18" s="143" t="n"/>
    </row>
    <row r="19" ht="15" customHeight="1" s="135" thickBot="1">
      <c r="A19" s="56" t="inlineStr">
        <is>
          <t>Percentage</t>
        </is>
      </c>
      <c r="B19" s="44">
        <f>IFERROR(B18/B8,0)</f>
        <v/>
      </c>
      <c r="C19" s="44">
        <f>IFERROR(C18/C8,0)</f>
        <v/>
      </c>
      <c r="D19" s="44">
        <f>IFERROR(D18/D8,0)</f>
        <v/>
      </c>
      <c r="E19" s="44">
        <f>IFERROR(E18/E8,0)</f>
        <v/>
      </c>
      <c r="F19" s="44">
        <f>IFERROR(F18/F8,0)</f>
        <v/>
      </c>
      <c r="G19" s="45">
        <f>G18/G8</f>
        <v/>
      </c>
      <c r="H19" s="143" t="n"/>
    </row>
    <row r="20" ht="14.4" customHeight="1" s="135">
      <c r="B20" s="143" t="n"/>
      <c r="C20" s="143" t="n"/>
      <c r="D20" s="143" t="n"/>
      <c r="E20" s="143" t="n"/>
      <c r="F20" s="143" t="n"/>
      <c r="G20" s="143" t="n"/>
      <c r="H20" s="143" t="n"/>
    </row>
    <row r="21" ht="17.4" customHeight="1" s="135">
      <c r="B21" s="160" t="n"/>
      <c r="C21" s="160" t="n"/>
      <c r="D21" s="160" t="n"/>
      <c r="E21" s="160" t="n"/>
      <c r="F21" s="160" t="n"/>
      <c r="G21" s="160" t="n"/>
      <c r="H21" s="143" t="n"/>
    </row>
    <row r="22" ht="19.2" customHeight="1" s="135">
      <c r="B22" s="160" t="n"/>
      <c r="C22" s="160" t="n"/>
      <c r="D22" s="160" t="n"/>
      <c r="E22" s="160" t="n"/>
      <c r="F22" s="160" t="n"/>
      <c r="G22" s="160" t="n"/>
      <c r="H22" s="143" t="n"/>
    </row>
    <row r="23" ht="14.4" customHeight="1" s="135">
      <c r="B23" s="160" t="n"/>
      <c r="C23" s="160" t="n"/>
      <c r="D23" s="160" t="n"/>
      <c r="E23" s="160" t="n"/>
      <c r="F23" s="160" t="n"/>
      <c r="G23" s="160" t="n"/>
      <c r="H23" s="143" t="n"/>
    </row>
    <row r="24" ht="14.4" customHeight="1" s="135"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B25" s="160" t="n"/>
      <c r="C25" s="160" t="n"/>
      <c r="D25" s="160" t="n"/>
      <c r="E25" s="160" t="n"/>
      <c r="F25" s="160" t="n"/>
      <c r="G25" s="160" t="n"/>
      <c r="H25" s="143" t="n"/>
    </row>
    <row r="26" ht="14.4" customHeight="1" s="135">
      <c r="B26" s="143" t="n"/>
      <c r="C26" s="143" t="n"/>
      <c r="D26" s="143" t="n"/>
      <c r="E26" s="143" t="n"/>
      <c r="F26" s="143" t="n"/>
      <c r="G26" s="143" t="n"/>
      <c r="H26" s="143" t="n"/>
    </row>
    <row r="27" ht="8.4" customHeight="1" s="135">
      <c r="B27" s="143" t="n"/>
      <c r="C27" s="143" t="n"/>
      <c r="D27" s="143" t="n"/>
      <c r="E27" s="143" t="n"/>
      <c r="F27" s="143" t="n"/>
      <c r="G27" s="143" t="n"/>
      <c r="H27" s="143" t="n"/>
    </row>
    <row r="28" ht="15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.6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4.4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H38"/>
  <sheetViews>
    <sheetView showGridLines="0" zoomScaleNormal="100" workbookViewId="0">
      <selection activeCell="A2" sqref="A2:G2"/>
    </sheetView>
  </sheetViews>
  <sheetFormatPr baseColWidth="8" defaultRowHeight="13.8"/>
  <cols>
    <col width="46.21875" customWidth="1" style="139" min="1" max="1"/>
    <col width="12" bestFit="1" customWidth="1" style="139" min="2" max="3"/>
    <col width="13.33203125" bestFit="1" customWidth="1" style="139" min="4" max="4"/>
    <col width="13.109375" bestFit="1" customWidth="1" style="139" min="5" max="5"/>
    <col width="12.6640625" customWidth="1" style="139" min="6" max="6"/>
    <col width="12.33203125" bestFit="1" customWidth="1" style="139" min="7" max="7"/>
    <col width="8.88671875" customWidth="1" style="139" min="8" max="9"/>
    <col width="8.88671875" customWidth="1" style="139" min="10" max="16384"/>
  </cols>
  <sheetData>
    <row r="1" ht="14.4" customHeight="1" s="135">
      <c r="A1" s="138">
        <f>Summary!B1</f>
        <v/>
      </c>
      <c r="H1" s="36" t="n"/>
    </row>
    <row r="2" ht="15.6" customHeight="1" s="135">
      <c r="A2" s="140" t="inlineStr">
        <is>
          <t>Zomato Discrepancies  - December - 2026</t>
        </is>
      </c>
      <c r="H2" s="143" t="n"/>
    </row>
    <row r="3" ht="15" customHeight="1" s="135" thickBot="1">
      <c r="A3" s="143" t="n"/>
      <c r="B3" s="143" t="n"/>
      <c r="C3" s="143" t="n"/>
      <c r="D3" s="143" t="n"/>
      <c r="E3" s="143" t="n"/>
      <c r="F3" s="143" t="n"/>
      <c r="G3" s="143" t="n"/>
      <c r="H3" s="143" t="n"/>
    </row>
    <row r="4" ht="15" customHeight="1" s="135" thickBot="1">
      <c r="A4" s="57" t="inlineStr">
        <is>
          <t>Details</t>
        </is>
      </c>
      <c r="B4" s="161">
        <f>Summary!C4</f>
        <v/>
      </c>
      <c r="C4" s="161">
        <f>Summary!D4</f>
        <v/>
      </c>
      <c r="D4" s="161">
        <f>Summary!E4</f>
        <v/>
      </c>
      <c r="E4" s="161">
        <f>Summary!F4</f>
        <v/>
      </c>
      <c r="F4" s="161">
        <f>Summary!G4</f>
        <v/>
      </c>
      <c r="G4" s="161">
        <f>Summary!H4</f>
        <v/>
      </c>
      <c r="H4" s="37" t="n"/>
    </row>
    <row r="5" ht="14.4" customHeight="1" s="135">
      <c r="A5" s="48" t="inlineStr">
        <is>
          <t>A. POS discrepancies</t>
        </is>
      </c>
      <c r="B5" s="38" t="n"/>
      <c r="C5" s="38" t="n"/>
      <c r="D5" s="38" t="n"/>
      <c r="E5" s="38" t="n"/>
      <c r="F5" s="38" t="n"/>
      <c r="G5" s="38" t="n"/>
      <c r="H5" s="143" t="n"/>
    </row>
    <row r="6" ht="14.4" customHeight="1" s="135">
      <c r="A6" s="38" t="inlineStr">
        <is>
          <t>Sales as per Zomato</t>
        </is>
      </c>
      <c r="B6" s="86">
        <f>Cashflow!C10</f>
        <v/>
      </c>
      <c r="C6" s="86">
        <f>Cashflow!D10</f>
        <v/>
      </c>
      <c r="D6" s="86">
        <f>Cashflow!E10</f>
        <v/>
      </c>
      <c r="E6" s="86">
        <f>Cashflow!F10</f>
        <v/>
      </c>
      <c r="F6" s="86">
        <f>Cashflow!G10</f>
        <v/>
      </c>
      <c r="G6" s="86">
        <f>SUM(B6:F6)</f>
        <v/>
      </c>
      <c r="H6" s="143" t="n"/>
    </row>
    <row r="7" ht="14.4" customHeight="1" s="135">
      <c r="A7" s="38" t="inlineStr">
        <is>
          <t>Sale as per POS</t>
        </is>
      </c>
      <c r="B7" s="86" t="n"/>
      <c r="C7" s="86" t="n"/>
      <c r="D7" s="86" t="n"/>
      <c r="E7" s="86" t="n"/>
      <c r="F7" s="86" t="n"/>
      <c r="G7" s="86">
        <f>SUM(B7:F7)</f>
        <v/>
      </c>
      <c r="H7" s="143" t="n"/>
    </row>
    <row r="8" ht="14.4" customHeight="1" s="135">
      <c r="A8" s="47" t="inlineStr">
        <is>
          <t>Difference</t>
        </is>
      </c>
      <c r="B8" s="87">
        <f>B7-B6</f>
        <v/>
      </c>
      <c r="C8" s="87">
        <f>C7-C6</f>
        <v/>
      </c>
      <c r="D8" s="87">
        <f>D7-D6</f>
        <v/>
      </c>
      <c r="E8" s="87">
        <f>E7-E6</f>
        <v/>
      </c>
      <c r="F8" s="87">
        <f>F7-F6</f>
        <v/>
      </c>
      <c r="G8" s="87">
        <f>G7-G6</f>
        <v/>
      </c>
      <c r="H8" s="143" t="n"/>
    </row>
    <row r="9" ht="14.4" customHeight="1" s="135">
      <c r="A9" s="38" t="n"/>
      <c r="B9" s="39">
        <f>IFERROR(B8/B6,)</f>
        <v/>
      </c>
      <c r="C9" s="39">
        <f>IFERROR(C8/C6,0)</f>
        <v/>
      </c>
      <c r="D9" s="39">
        <f>IFERROR(D8/D6,0)</f>
        <v/>
      </c>
      <c r="E9" s="39">
        <f>IFERROR(E8/E6,0)</f>
        <v/>
      </c>
      <c r="F9" s="39">
        <f>IFERROR(F8/F6,0)</f>
        <v/>
      </c>
      <c r="G9" s="39">
        <f>IFERROR(G8/G6,0)</f>
        <v/>
      </c>
      <c r="H9" s="143" t="n"/>
    </row>
    <row r="10" ht="14.4" customHeight="1" s="135">
      <c r="A10" s="38" t="n"/>
      <c r="B10" s="40" t="n"/>
      <c r="C10" s="40" t="n"/>
      <c r="D10" s="40" t="n"/>
      <c r="E10" s="40" t="n"/>
      <c r="F10" s="40" t="n"/>
      <c r="G10" s="40" t="n"/>
      <c r="H10" s="143" t="n"/>
    </row>
    <row r="11" ht="14.4" customHeight="1" s="135">
      <c r="A11" s="48" t="inlineStr">
        <is>
          <t>B. Order discrepancies</t>
        </is>
      </c>
      <c r="B11" s="162" t="n"/>
      <c r="C11" s="162" t="n"/>
      <c r="D11" s="162" t="n"/>
      <c r="E11" s="162" t="n"/>
      <c r="F11" s="162" t="n"/>
      <c r="G11" s="162" t="n"/>
      <c r="H11" s="143" t="n"/>
    </row>
    <row r="12" ht="14.4" customHeight="1" s="135">
      <c r="A12" s="38" t="inlineStr">
        <is>
          <t>No.of delivered orders for which payment isn't received</t>
        </is>
      </c>
      <c r="B12" s="86" t="n">
        <v>0</v>
      </c>
      <c r="C12" s="86" t="n">
        <v>0</v>
      </c>
      <c r="D12" s="86" t="n">
        <v>0</v>
      </c>
      <c r="E12" s="86" t="n">
        <v>0</v>
      </c>
      <c r="F12" s="86" t="n">
        <v>0</v>
      </c>
      <c r="G12" s="86">
        <f>SUM(B12:F12)</f>
        <v/>
      </c>
      <c r="H12" s="143" t="n"/>
    </row>
    <row r="13" ht="14.4" customHeight="1" s="135">
      <c r="A13" s="38" t="inlineStr">
        <is>
          <t>Value of such orders</t>
        </is>
      </c>
      <c r="B13" s="86" t="n">
        <v>0</v>
      </c>
      <c r="C13" s="86" t="n">
        <v>0</v>
      </c>
      <c r="D13" s="86" t="n">
        <v>0</v>
      </c>
      <c r="E13" s="86" t="n">
        <v>0</v>
      </c>
      <c r="F13" s="86" t="n">
        <v>0</v>
      </c>
      <c r="G13" s="86">
        <f>SUM(B13:F13)</f>
        <v/>
      </c>
      <c r="H13" s="143" t="n"/>
    </row>
    <row r="14" ht="14.4" customHeight="1" s="135">
      <c r="A14" s="38" t="n"/>
      <c r="B14" s="86" t="n"/>
      <c r="C14" s="86" t="n"/>
      <c r="D14" s="86" t="n"/>
      <c r="E14" s="86" t="n"/>
      <c r="F14" s="86" t="n"/>
      <c r="G14" s="86" t="n"/>
      <c r="H14" s="143" t="n"/>
    </row>
    <row r="15" ht="14.4" customHeight="1" s="135">
      <c r="A15" s="38" t="n"/>
      <c r="B15" s="62" t="n"/>
      <c r="C15" s="62" t="n"/>
      <c r="D15" s="62" t="n"/>
      <c r="E15" s="62" t="n"/>
      <c r="F15" s="62" t="n"/>
      <c r="G15" s="62" t="n"/>
      <c r="H15" s="143" t="n"/>
    </row>
    <row r="16" ht="14.4" customHeight="1" s="135">
      <c r="A16" s="48" t="inlineStr">
        <is>
          <t>C. Payment discrepancies</t>
        </is>
      </c>
      <c r="B16" s="62" t="n"/>
      <c r="C16" s="62" t="n"/>
      <c r="D16" s="62" t="n"/>
      <c r="E16" s="62" t="n"/>
      <c r="F16" s="62" t="n"/>
      <c r="G16" s="62" t="n"/>
      <c r="H16" s="143" t="n"/>
    </row>
    <row r="17" ht="14.4" customHeight="1" s="135">
      <c r="A17" s="38" t="inlineStr">
        <is>
          <t>Expected receipts in the bank account</t>
        </is>
      </c>
      <c r="B17" s="86">
        <f>Cashflow!C30</f>
        <v/>
      </c>
      <c r="C17" s="86">
        <f>Cashflow!D30</f>
        <v/>
      </c>
      <c r="D17" s="86">
        <f>Cashflow!E30</f>
        <v/>
      </c>
      <c r="E17" s="86">
        <f>Cashflow!F30</f>
        <v/>
      </c>
      <c r="F17" s="86">
        <f>Cashflow!G30</f>
        <v/>
      </c>
      <c r="G17" s="86">
        <f>SUM(B17:F17)</f>
        <v/>
      </c>
      <c r="H17" s="143" t="n"/>
    </row>
    <row r="18" ht="14.4" customHeight="1" s="135">
      <c r="A18" s="38" t="inlineStr">
        <is>
          <t>Investment in Hyperpure</t>
        </is>
      </c>
      <c r="B18" s="86">
        <f>Cashflow!C36</f>
        <v/>
      </c>
      <c r="C18" s="86">
        <f>Cashflow!D36</f>
        <v/>
      </c>
      <c r="D18" s="86">
        <f>Cashflow!E36</f>
        <v/>
      </c>
      <c r="E18" s="86">
        <f>Cashflow!F36</f>
        <v/>
      </c>
      <c r="F18" s="86">
        <f>Cashflow!G36</f>
        <v/>
      </c>
      <c r="G18" s="86">
        <f>SUM(B18:F18)</f>
        <v/>
      </c>
      <c r="H18" s="143" t="n"/>
    </row>
    <row r="19" ht="14.4" customHeight="1" s="135">
      <c r="A19" s="38" t="inlineStr">
        <is>
          <t>Following Week Adjustment</t>
        </is>
      </c>
      <c r="B19" s="86">
        <f>Cashflow!C34</f>
        <v/>
      </c>
      <c r="C19" s="86">
        <f>Cashflow!D34</f>
        <v/>
      </c>
      <c r="D19" s="86">
        <f>Cashflow!E34</f>
        <v/>
      </c>
      <c r="E19" s="86">
        <f>Cashflow!F34</f>
        <v/>
      </c>
      <c r="F19" s="86">
        <f>Cashflow!G34</f>
        <v/>
      </c>
      <c r="G19" s="86">
        <f>SUM(B19:F19)</f>
        <v/>
      </c>
      <c r="H19" s="143" t="n"/>
    </row>
    <row r="20" ht="14.4" customHeight="1" s="135">
      <c r="A20" s="38" t="inlineStr">
        <is>
          <t>Opening Week Adjustment</t>
        </is>
      </c>
      <c r="B20" s="86">
        <f>Cashflow!C33</f>
        <v/>
      </c>
      <c r="C20" s="86">
        <f>Cashflow!D33</f>
        <v/>
      </c>
      <c r="D20" s="86">
        <f>Cashflow!E33</f>
        <v/>
      </c>
      <c r="E20" s="86">
        <f>Cashflow!F33</f>
        <v/>
      </c>
      <c r="F20" s="86" t="n">
        <v>0</v>
      </c>
      <c r="G20" s="86">
        <f>SUM(B20:F20)</f>
        <v/>
      </c>
      <c r="H20" s="143" t="n"/>
    </row>
    <row r="21" ht="14.4" customHeight="1" s="135">
      <c r="A21" s="38" t="inlineStr">
        <is>
          <t>Closing Week Adjustment</t>
        </is>
      </c>
      <c r="B21" s="86">
        <f>Cashflow!C35</f>
        <v/>
      </c>
      <c r="C21" s="86">
        <f>Cashflow!D35</f>
        <v/>
      </c>
      <c r="D21" s="86">
        <f>Cashflow!E35</f>
        <v/>
      </c>
      <c r="E21" s="86">
        <f>Cashflow!F35</f>
        <v/>
      </c>
      <c r="F21" s="86">
        <f>Cashflow!G35</f>
        <v/>
      </c>
      <c r="G21" s="86">
        <f>SUM(B21:F21)</f>
        <v/>
      </c>
      <c r="H21" s="143" t="n"/>
    </row>
    <row r="22" ht="17.4" customHeight="1" s="135">
      <c r="A22" s="38" t="inlineStr">
        <is>
          <t>Actual receipts in the bank</t>
        </is>
      </c>
      <c r="B22" s="86">
        <f>Cashflow!C38</f>
        <v/>
      </c>
      <c r="C22" s="86">
        <f>Cashflow!D38</f>
        <v/>
      </c>
      <c r="D22" s="86">
        <f>Cashflow!E38</f>
        <v/>
      </c>
      <c r="E22" s="86">
        <f>Cashflow!F38</f>
        <v/>
      </c>
      <c r="F22" s="86">
        <f>Cashflow!G38</f>
        <v/>
      </c>
      <c r="G22" s="86">
        <f>SUM(B22:F22)</f>
        <v/>
      </c>
      <c r="H22" s="143" t="n"/>
    </row>
    <row r="23" ht="19.2" customHeight="1" s="135" thickBot="1">
      <c r="A23" s="58" t="inlineStr">
        <is>
          <t>Difference</t>
        </is>
      </c>
      <c r="B23" s="41">
        <f>B17-B22-B18+B20</f>
        <v/>
      </c>
      <c r="C23" s="41">
        <f>C17-C22-C18</f>
        <v/>
      </c>
      <c r="D23" s="41">
        <f>D17-D22-D18</f>
        <v/>
      </c>
      <c r="E23" s="41">
        <f>E17-E22-E18-E19</f>
        <v/>
      </c>
      <c r="F23" s="41">
        <f>F17-F22-F18+F21</f>
        <v/>
      </c>
      <c r="G23" s="41">
        <f>G17-G22-G18+G20-G19</f>
        <v/>
      </c>
      <c r="H23" s="143" t="n"/>
    </row>
    <row r="24" ht="14.4" customHeight="1" s="135">
      <c r="A24" s="143" t="n"/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A25" s="12" t="inlineStr">
        <is>
          <t>Note: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 ht="14.4" customHeight="1" s="135">
      <c r="A26" s="143" t="n"/>
      <c r="B26" s="143" t="n"/>
      <c r="C26" s="143" t="n"/>
      <c r="D26" s="143" t="n"/>
      <c r="E26" s="143" t="n"/>
      <c r="F26" s="143" t="n"/>
      <c r="G26" s="143" t="n"/>
      <c r="H26" s="143" t="n"/>
    </row>
    <row r="27" ht="14.4" customHeight="1" s="135">
      <c r="A27" s="143" t="n"/>
      <c r="B27" s="143" t="n"/>
      <c r="C27" s="143" t="n"/>
      <c r="D27" s="143" t="n"/>
      <c r="E27" s="143" t="n"/>
      <c r="F27" s="143" t="n"/>
      <c r="G27" s="143" t="n"/>
      <c r="H27" s="143" t="n"/>
    </row>
    <row r="28" ht="8.4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5.6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  <row r="38" ht="14.4" customHeight="1" s="135">
      <c r="B38" s="143" t="n"/>
      <c r="C38" s="143" t="n"/>
      <c r="D38" s="143" t="n"/>
      <c r="E38" s="143" t="n"/>
      <c r="F38" s="143" t="n"/>
      <c r="G38" s="143" t="n"/>
      <c r="H38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8.88671875" customWidth="1" style="135" min="2" max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 filterMode="1">
    <outlinePr summaryBelow="1" summaryRight="1"/>
    <pageSetUpPr/>
  </sheetPr>
  <dimension ref="A5:G178"/>
  <sheetViews>
    <sheetView workbookViewId="0">
      <selection activeCell="D96" sqref="D96"/>
    </sheetView>
  </sheetViews>
  <sheetFormatPr baseColWidth="8" defaultRowHeight="14.4"/>
  <cols>
    <col width="10.33203125" bestFit="1" customWidth="1" style="135" min="1" max="1"/>
    <col width="12.21875" customWidth="1" style="135" min="6" max="6"/>
  </cols>
  <sheetData>
    <row r="5"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10">
      <c r="A10" t="inlineStr">
        <is>
          <t>Date</t>
        </is>
      </c>
      <c r="B10" t="inlineStr">
        <is>
          <t>Narration</t>
        </is>
      </c>
      <c r="C10" t="inlineStr">
        <is>
          <t>Chq./Ref.No.</t>
        </is>
      </c>
      <c r="D10" t="inlineStr">
        <is>
          <t>Value Dt</t>
        </is>
      </c>
      <c r="E10" t="inlineStr">
        <is>
          <t>Withdrawal Amt.</t>
        </is>
      </c>
      <c r="F10" t="inlineStr">
        <is>
          <t>Deposit Amt.</t>
        </is>
      </c>
      <c r="G10" t="inlineStr">
        <is>
          <t>Closing Balance</t>
        </is>
      </c>
    </row>
    <row r="11" hidden="1" s="135">
      <c r="A11" t="inlineStr">
        <is>
          <t>01/10/25</t>
        </is>
      </c>
      <c r="B11" t="inlineStr">
        <is>
          <t>NEFT CR-YESB0000001-ONE 97 COMMUNICATIONS LIMITED SETTL-ROCKTAIL HOSPITALITY SERVICES-YESBN12025100101816795</t>
        </is>
      </c>
      <c r="C11" t="inlineStr">
        <is>
          <t>YESBN12025100101816795</t>
        </is>
      </c>
      <c r="D11" t="inlineStr">
        <is>
          <t>01/10/25</t>
        </is>
      </c>
      <c r="F11" t="n">
        <v>28308.11</v>
      </c>
      <c r="G11" t="n">
        <v>369938.81</v>
      </c>
    </row>
    <row r="12" hidden="1" s="135">
      <c r="A12" t="inlineStr">
        <is>
          <t>01/10/25</t>
        </is>
      </c>
      <c r="B12" t="inlineStr">
        <is>
          <t>NEFT CR-RATN0000999-PINE LABS LIMITED-ROCKTAIL HOSPITALITY SERVICES-RATNN52025100142548753</t>
        </is>
      </c>
      <c r="C12" t="inlineStr">
        <is>
          <t>RATNN52025100142548753</t>
        </is>
      </c>
      <c r="D12" t="inlineStr">
        <is>
          <t>01/10/25</t>
        </is>
      </c>
      <c r="F12" t="n">
        <v>988.02</v>
      </c>
      <c r="G12" t="n">
        <v>370926.83</v>
      </c>
    </row>
    <row r="13" hidden="1" s="135">
      <c r="A13" t="inlineStr">
        <is>
          <t>01/10/25</t>
        </is>
      </c>
      <c r="B13" t="inlineStr">
        <is>
          <t>42552394TERMINAL 1 CARDS SETTL. 01/10/25</t>
        </is>
      </c>
      <c r="C13" t="inlineStr">
        <is>
          <t>000000000000000</t>
        </is>
      </c>
      <c r="D13" t="inlineStr">
        <is>
          <t>01/10/25</t>
        </is>
      </c>
      <c r="F13" t="n">
        <v>4135.06</v>
      </c>
      <c r="G13" t="n">
        <v>375061.89</v>
      </c>
    </row>
    <row r="14" hidden="1" s="135">
      <c r="A14" t="inlineStr">
        <is>
          <t>01/10/25</t>
        </is>
      </c>
      <c r="B14" t="inlineStr">
        <is>
          <t>UPI-8978287178PTYES-8978287178@PTYES-UBIN0813567-564035906635-UPI</t>
        </is>
      </c>
      <c r="C14" t="inlineStr">
        <is>
          <t>0000564035906635</t>
        </is>
      </c>
      <c r="D14" t="inlineStr">
        <is>
          <t>01/10/25</t>
        </is>
      </c>
      <c r="E14" t="n">
        <v>165</v>
      </c>
      <c r="G14" t="n">
        <v>374896.89</v>
      </c>
    </row>
    <row r="15" hidden="1" s="135">
      <c r="A15" t="inlineStr">
        <is>
          <t>01/10/25</t>
        </is>
      </c>
      <c r="B15" t="inlineStr">
        <is>
          <t>50200069817641-TPT-NBLCVTK6KLDPDJXS-WOLFFPACK VENTURES PRIVATE LIMITED</t>
        </is>
      </c>
      <c r="C15" t="inlineStr">
        <is>
          <t>0000000223256296</t>
        </is>
      </c>
      <c r="D15" t="inlineStr">
        <is>
          <t>01/10/25</t>
        </is>
      </c>
      <c r="F15" t="n">
        <v>200000</v>
      </c>
      <c r="G15" t="n">
        <v>574896.89</v>
      </c>
    </row>
    <row r="16" hidden="1" s="135">
      <c r="A16" t="inlineStr">
        <is>
          <t>01/10/25</t>
        </is>
      </c>
      <c r="B16" t="inlineStr">
        <is>
          <t>VENDOR PAYMENTS - ROCKTAIL HOSPITALITY DR - 57500000326520 - NEFT TRANSITORY ACCOUNT</t>
        </is>
      </c>
      <c r="C16" t="inlineStr">
        <is>
          <t>0000000000000188</t>
        </is>
      </c>
      <c r="D16" t="inlineStr">
        <is>
          <t>01/10/25</t>
        </is>
      </c>
      <c r="E16" t="n">
        <v>390734</v>
      </c>
      <c r="G16" t="n">
        <v>184162.89</v>
      </c>
    </row>
    <row r="17" hidden="1" s="135">
      <c r="A17" t="inlineStr">
        <is>
          <t>01/10/25</t>
        </is>
      </c>
      <c r="B17" t="inlineStr">
        <is>
          <t>UPI-SHREY SINGH-SHREYSINGH0501-1@OKHDFCBANK-HDFC0004216-564012927870-REGISTRATION</t>
        </is>
      </c>
      <c r="C17" t="inlineStr">
        <is>
          <t>0000564012927870</t>
        </is>
      </c>
      <c r="D17" t="inlineStr">
        <is>
          <t>01/10/25</t>
        </is>
      </c>
      <c r="E17" t="n">
        <v>8700</v>
      </c>
      <c r="G17" t="n">
        <v>175462.89</v>
      </c>
    </row>
    <row r="18" hidden="1" s="135">
      <c r="A18" t="inlineStr">
        <is>
          <t>01/10/25</t>
        </is>
      </c>
      <c r="B18" t="inlineStr">
        <is>
          <t>NEFT RETURN-INCORRECT ACCOUNT NUMBER-LAXMI AGENCIES-IBKLN92025100194760959</t>
        </is>
      </c>
      <c r="C18" t="inlineStr">
        <is>
          <t>HDFCN52025100104276617</t>
        </is>
      </c>
      <c r="D18" t="inlineStr">
        <is>
          <t>01/10/25</t>
        </is>
      </c>
      <c r="F18" t="n">
        <v>8322</v>
      </c>
      <c r="G18" t="n">
        <v>183784.89</v>
      </c>
    </row>
    <row r="19" hidden="1" s="135">
      <c r="A19" t="inlineStr">
        <is>
          <t>01/10/25</t>
        </is>
      </c>
      <c r="B19" t="inlineStr">
        <is>
          <t>NEFT RETURN-INCORRECT ACCOUNT NUMBER-LAXMI AGENCIES-IBKLN92025100194760962</t>
        </is>
      </c>
      <c r="C19" t="inlineStr">
        <is>
          <t>HDFCN52025100104276606</t>
        </is>
      </c>
      <c r="D19" t="inlineStr">
        <is>
          <t>01/10/25</t>
        </is>
      </c>
      <c r="F19" t="n">
        <v>8316</v>
      </c>
      <c r="G19" t="n">
        <v>192100.89</v>
      </c>
    </row>
    <row r="20">
      <c r="A20" t="inlineStr">
        <is>
          <t>01/10/25</t>
        </is>
      </c>
      <c r="B20" t="inlineStr">
        <is>
          <t>NEFT CR-CITI0000002-ETERNAL LIMITED-ROCKTAIL HOSPITALITY SERVICES-CITIN52025100134584901</t>
        </is>
      </c>
      <c r="C20" t="inlineStr">
        <is>
          <t>CITIN52025100134584901</t>
        </is>
      </c>
      <c r="D20" t="inlineStr">
        <is>
          <t>01/10/25</t>
        </is>
      </c>
      <c r="F20" t="n">
        <v>22470.51</v>
      </c>
      <c r="G20" t="n">
        <v>214571.4</v>
      </c>
    </row>
    <row r="21" hidden="1" s="135">
      <c r="A21" t="inlineStr">
        <is>
          <t>01/10/25</t>
        </is>
      </c>
      <c r="B21" t="inlineStr">
        <is>
          <t>NEFT CR-UTIB0000052-BUNDL TECHNOLOGIES PRIVATE LIMITED-ROCKTAIL HOSPITALITY SERVICES-UTIBN62025100172850989</t>
        </is>
      </c>
      <c r="C21" t="inlineStr">
        <is>
          <t>UTIBN62025100172850989</t>
        </is>
      </c>
      <c r="D21" t="inlineStr">
        <is>
          <t>01/10/25</t>
        </is>
      </c>
      <c r="F21" t="n">
        <v>28624.05</v>
      </c>
      <c r="G21" t="n">
        <v>243195.45</v>
      </c>
    </row>
    <row r="22" hidden="1" s="135">
      <c r="A22" t="inlineStr">
        <is>
          <t>01/10/25</t>
        </is>
      </c>
      <c r="B22" t="inlineStr">
        <is>
          <t>FT - DR - 50200086201346 - SRI CHAKRA ENTERPRISES</t>
        </is>
      </c>
      <c r="C22" t="inlineStr">
        <is>
          <t>0000000000000187</t>
        </is>
      </c>
      <c r="D22" t="inlineStr">
        <is>
          <t>01/10/25</t>
        </is>
      </c>
      <c r="E22" t="n">
        <v>68400</v>
      </c>
      <c r="G22" t="n">
        <v>174795.45</v>
      </c>
    </row>
    <row r="23" hidden="1" s="135">
      <c r="A23" t="inlineStr">
        <is>
          <t>01/10/25</t>
        </is>
      </c>
      <c r="B23" t="inlineStr">
        <is>
          <t>CQ NO-000187 AMOUNT-100323 TRANSFERS 4 DR - 50200088485779 - NSP ENTERPRISES</t>
        </is>
      </c>
      <c r="C23" t="inlineStr">
        <is>
          <t>000000000000000</t>
        </is>
      </c>
      <c r="D23" t="inlineStr">
        <is>
          <t>01/10/25</t>
        </is>
      </c>
      <c r="E23" t="n">
        <v>12843</v>
      </c>
      <c r="G23" t="n">
        <v>161952.45</v>
      </c>
    </row>
    <row r="24" hidden="1" s="135">
      <c r="A24" t="inlineStr">
        <is>
          <t>01/10/25</t>
        </is>
      </c>
      <c r="B24" t="inlineStr">
        <is>
          <t>CQ NO-000187 AMOUNT-100323 TRANSFERS 4 DR - 50200082063860 - AAMODHA ENTERPRISES</t>
        </is>
      </c>
      <c r="C24" t="inlineStr">
        <is>
          <t>000000000000000</t>
        </is>
      </c>
      <c r="D24" t="inlineStr">
        <is>
          <t>01/10/25</t>
        </is>
      </c>
      <c r="E24" t="n">
        <v>16560</v>
      </c>
      <c r="G24" t="n">
        <v>145392.45</v>
      </c>
    </row>
    <row r="25" hidden="1" s="135">
      <c r="A25" t="inlineStr">
        <is>
          <t>01/10/25</t>
        </is>
      </c>
      <c r="B25" t="inlineStr">
        <is>
          <t>CQ NO-000187 AMOUNT-100323 TRANSFERS 4 DR - 50200034371828 - SRIHITHA DISTRIBUTORS</t>
        </is>
      </c>
      <c r="C25" t="inlineStr">
        <is>
          <t>000000000000000</t>
        </is>
      </c>
      <c r="D25" t="inlineStr">
        <is>
          <t>01/10/25</t>
        </is>
      </c>
      <c r="E25" t="n">
        <v>2520</v>
      </c>
      <c r="G25" t="n">
        <v>142872.45</v>
      </c>
    </row>
    <row r="26" hidden="1" s="135">
      <c r="A26" t="inlineStr">
        <is>
          <t>01/10/25</t>
        </is>
      </c>
      <c r="B26" t="inlineStr">
        <is>
          <t>UPI-SRI LAXMI CHENNAKESA-Q560982817@YBL-YESB0YBLUPI-112039563850-POOJA</t>
        </is>
      </c>
      <c r="C26" t="inlineStr">
        <is>
          <t>0000112039563850</t>
        </is>
      </c>
      <c r="D26" t="inlineStr">
        <is>
          <t>01/10/25</t>
        </is>
      </c>
      <c r="E26" t="n">
        <v>1651</v>
      </c>
      <c r="G26" t="n">
        <v>141221.45</v>
      </c>
    </row>
    <row r="27" hidden="1" s="135">
      <c r="A27" t="inlineStr">
        <is>
          <t>01/10/25</t>
        </is>
      </c>
      <c r="B27" t="inlineStr">
        <is>
          <t>NEFT CR-YESB0000001-SWIGGY LIMITED-ROCKTAIL HOSPITALITY SERVICES-YESBN12025100106534132</t>
        </is>
      </c>
      <c r="C27" t="inlineStr">
        <is>
          <t>YESBN12025100106534132</t>
        </is>
      </c>
      <c r="D27" t="inlineStr">
        <is>
          <t>01/10/25</t>
        </is>
      </c>
      <c r="F27" t="n">
        <v>37494.72</v>
      </c>
      <c r="G27" t="n">
        <v>178716.17</v>
      </c>
    </row>
    <row r="28" hidden="1" s="135">
      <c r="A28" t="inlineStr">
        <is>
          <t>02/10/25</t>
        </is>
      </c>
      <c r="B28" t="inlineStr">
        <is>
          <t>NEFT CR-YESB0000001-ONE 97 COMMUNICATIONS LIMITED SETTL-ROCKTAIL HOSPITALITY SERVICES-YESBN12025100202440556</t>
        </is>
      </c>
      <c r="C28" t="inlineStr">
        <is>
          <t>YESBN12025100202440556</t>
        </is>
      </c>
      <c r="D28" t="inlineStr">
        <is>
          <t>02/10/25</t>
        </is>
      </c>
      <c r="F28" t="n">
        <v>28924.86</v>
      </c>
      <c r="G28" t="n">
        <v>207641.03</v>
      </c>
    </row>
    <row r="29" hidden="1" s="135">
      <c r="A29" t="inlineStr">
        <is>
          <t>02/10/25</t>
        </is>
      </c>
      <c r="B29" t="inlineStr">
        <is>
          <t>42552394TERMINAL 1 CARDS SETTL. 02/10/25</t>
        </is>
      </c>
      <c r="C29" t="inlineStr">
        <is>
          <t>000000000000000</t>
        </is>
      </c>
      <c r="D29" t="inlineStr">
        <is>
          <t>02/10/25</t>
        </is>
      </c>
      <c r="F29" t="n">
        <v>6676.28</v>
      </c>
      <c r="G29" t="n">
        <v>214317.31</v>
      </c>
    </row>
    <row r="30" hidden="1" s="135">
      <c r="A30" t="inlineStr">
        <is>
          <t>03/10/25</t>
        </is>
      </c>
      <c r="B30" t="inlineStr">
        <is>
          <t>NEFT CR-YESB0000001-ONE 97 COMMUNICATIONS LIMITED SETTL-ROCKTAIL HOSPITALITY SERVICES-YESBN12025100302342936</t>
        </is>
      </c>
      <c r="C30" t="inlineStr">
        <is>
          <t>YESBN12025100302342936</t>
        </is>
      </c>
      <c r="D30" t="inlineStr">
        <is>
          <t>03/10/25</t>
        </is>
      </c>
      <c r="F30" t="n">
        <v>38471.91</v>
      </c>
      <c r="G30" t="n">
        <v>252789.22</v>
      </c>
    </row>
    <row r="31" hidden="1" s="135">
      <c r="A31" t="inlineStr">
        <is>
          <t>03/10/25</t>
        </is>
      </c>
      <c r="B31" t="inlineStr">
        <is>
          <t>42552394TERMINAL 1 CARDS SETTL. 03/10/25</t>
        </is>
      </c>
      <c r="C31" t="inlineStr">
        <is>
          <t>000000000000000</t>
        </is>
      </c>
      <c r="D31" t="inlineStr">
        <is>
          <t>03/10/25</t>
        </is>
      </c>
      <c r="F31" t="n">
        <v>13411.99</v>
      </c>
      <c r="G31" t="n">
        <v>266201.21</v>
      </c>
    </row>
    <row r="32" hidden="1" s="135">
      <c r="A32" t="inlineStr">
        <is>
          <t>03/10/25</t>
        </is>
      </c>
      <c r="B32" t="inlineStr">
        <is>
          <t>UPI-BHANWRA  RAM-BHANWARJATCHOUDHARY251@OKSBI-SBIN0011306-564239417166-FURNITURE</t>
        </is>
      </c>
      <c r="C32" t="inlineStr">
        <is>
          <t>0000564239417166</t>
        </is>
      </c>
      <c r="D32" t="inlineStr">
        <is>
          <t>03/10/25</t>
        </is>
      </c>
      <c r="E32" t="n">
        <v>35000</v>
      </c>
      <c r="G32" t="n">
        <v>231201.21</v>
      </c>
    </row>
    <row r="33" hidden="1" s="135">
      <c r="A33" t="inlineStr">
        <is>
          <t>03/10/25</t>
        </is>
      </c>
      <c r="B33" t="inlineStr">
        <is>
          <t>NEFT CR-UTIB0000052-BUNDL TECHNOLOGIES PRIVATE LIMITED-ROCKTAIL HOSPITALITY SERVICES-UTIBN62025100395892591</t>
        </is>
      </c>
      <c r="C33" t="inlineStr">
        <is>
          <t>UTIBN62025100395892591</t>
        </is>
      </c>
      <c r="D33" t="inlineStr">
        <is>
          <t>03/10/25</t>
        </is>
      </c>
      <c r="F33" t="n">
        <v>13038.51</v>
      </c>
      <c r="G33" t="n">
        <v>244239.72</v>
      </c>
    </row>
    <row r="34" hidden="1" s="135">
      <c r="A34" t="inlineStr">
        <is>
          <t>04/10/25</t>
        </is>
      </c>
      <c r="B34" t="inlineStr">
        <is>
          <t>NEFT CR-YESB0000001-ONE 97 COMMUNICATIONS LIMITED SETTL-ROCKTAIL HOSPITALITY SERVICES-YESBN12025100403632181</t>
        </is>
      </c>
      <c r="C34" t="inlineStr">
        <is>
          <t>YESBN12025100403632181</t>
        </is>
      </c>
      <c r="D34" t="inlineStr">
        <is>
          <t>04/10/25</t>
        </is>
      </c>
      <c r="F34" t="n">
        <v>53035</v>
      </c>
      <c r="G34" t="n">
        <v>297274.72</v>
      </c>
    </row>
    <row r="35" hidden="1" s="135">
      <c r="A35" t="inlineStr">
        <is>
          <t>04/10/25</t>
        </is>
      </c>
      <c r="B35" t="inlineStr">
        <is>
          <t>42552394TERMINAL 1 CARDS SETTL. 04/10/25</t>
        </is>
      </c>
      <c r="C35" t="inlineStr">
        <is>
          <t>000000000000000</t>
        </is>
      </c>
      <c r="D35" t="inlineStr">
        <is>
          <t>04/10/25</t>
        </is>
      </c>
      <c r="F35" t="n">
        <v>10812.69</v>
      </c>
      <c r="G35" t="n">
        <v>308087.41</v>
      </c>
    </row>
    <row r="36" hidden="1" s="135">
      <c r="A36" t="inlineStr">
        <is>
          <t>04/10/25</t>
        </is>
      </c>
      <c r="B36" t="inlineStr">
        <is>
          <t>UPI-SWIGGY LIMITED-SWIGGY.STORES@AXB-UTIB0000100-527751059928-PAY FOR INTENT</t>
        </is>
      </c>
      <c r="C36" t="inlineStr">
        <is>
          <t>0000527751059928</t>
        </is>
      </c>
      <c r="D36" t="inlineStr">
        <is>
          <t>04/10/25</t>
        </is>
      </c>
      <c r="E36" t="n">
        <v>856</v>
      </c>
      <c r="G36" t="n">
        <v>307231.41</v>
      </c>
    </row>
    <row r="37" hidden="1" s="135">
      <c r="A37" t="inlineStr">
        <is>
          <t>05/10/25</t>
        </is>
      </c>
      <c r="B37" t="inlineStr">
        <is>
          <t>NEFT CR-YESB0000001-ONE 97 COMMUNICATIONS LIMITED SETTL-ROCKTAIL HOSPITALITY SERVICES-YESBN12025100501829191</t>
        </is>
      </c>
      <c r="C37" t="inlineStr">
        <is>
          <t>YESBN12025100501829191</t>
        </is>
      </c>
      <c r="D37" t="inlineStr">
        <is>
          <t>05/10/25</t>
        </is>
      </c>
      <c r="F37" t="n">
        <v>72645.73</v>
      </c>
      <c r="G37" t="n">
        <v>379877.14</v>
      </c>
    </row>
    <row r="38" hidden="1" s="135">
      <c r="A38" t="inlineStr">
        <is>
          <t>05/10/25</t>
        </is>
      </c>
      <c r="B38" t="inlineStr">
        <is>
          <t>42552394TERMINAL 1 CARDS SETTL. 05/10/25</t>
        </is>
      </c>
      <c r="C38" t="inlineStr">
        <is>
          <t>000000000000000</t>
        </is>
      </c>
      <c r="D38" t="inlineStr">
        <is>
          <t>05/10/25</t>
        </is>
      </c>
      <c r="F38" t="n">
        <v>17370.83</v>
      </c>
      <c r="G38" t="n">
        <v>397247.97</v>
      </c>
    </row>
    <row r="39" hidden="1" s="135">
      <c r="A39" t="inlineStr">
        <is>
          <t>05/10/25</t>
        </is>
      </c>
      <c r="B39" t="inlineStr">
        <is>
          <t>SETTLEMENT CHARGE-SEP25-CPY597</t>
        </is>
      </c>
      <c r="C39" t="inlineStr">
        <is>
          <t>000000000000000</t>
        </is>
      </c>
      <c r="D39" t="inlineStr">
        <is>
          <t>05/10/25</t>
        </is>
      </c>
      <c r="E39" t="n">
        <v>37.76</v>
      </c>
      <c r="G39" t="n">
        <v>397210.21</v>
      </c>
    </row>
    <row r="40" hidden="1" s="135">
      <c r="A40" t="inlineStr">
        <is>
          <t>06/10/25</t>
        </is>
      </c>
      <c r="B40" t="inlineStr">
        <is>
          <t>NEFT CR-YESB0000001-ONE 97 COMMUNICATIONS LIMITED SETTL-ROCKTAIL HOSPITALITY SERVICES-YESBN12025100601953902</t>
        </is>
      </c>
      <c r="C40" t="inlineStr">
        <is>
          <t>YESBN12025100601953902</t>
        </is>
      </c>
      <c r="D40" t="inlineStr">
        <is>
          <t>06/10/25</t>
        </is>
      </c>
      <c r="F40" t="n">
        <v>65856.98</v>
      </c>
      <c r="G40" t="n">
        <v>463067.19</v>
      </c>
    </row>
    <row r="41" hidden="1" s="135">
      <c r="A41" t="inlineStr">
        <is>
          <t>06/10/25</t>
        </is>
      </c>
      <c r="B41" t="inlineStr">
        <is>
          <t>EMI 162047443 CHQ S16204744314 1025162047443</t>
        </is>
      </c>
      <c r="C41" t="inlineStr">
        <is>
          <t>000000000000000</t>
        </is>
      </c>
      <c r="D41" t="inlineStr">
        <is>
          <t>06/10/25</t>
        </is>
      </c>
      <c r="E41" t="n">
        <v>70666</v>
      </c>
      <c r="G41" t="n">
        <v>392401.19</v>
      </c>
    </row>
    <row r="42" hidden="1" s="135">
      <c r="A42" t="inlineStr">
        <is>
          <t>06/10/25</t>
        </is>
      </c>
      <c r="B42" t="inlineStr">
        <is>
          <t>42552394TERMINAL 1 CARDS SETTL. 06/10/25</t>
        </is>
      </c>
      <c r="C42" t="inlineStr">
        <is>
          <t>000000000000000</t>
        </is>
      </c>
      <c r="D42" t="inlineStr">
        <is>
          <t>06/10/25</t>
        </is>
      </c>
      <c r="F42" t="n">
        <v>1635.17</v>
      </c>
      <c r="G42" t="n">
        <v>394036.36</v>
      </c>
    </row>
    <row r="43">
      <c r="A43" t="inlineStr">
        <is>
          <t>06/10/25</t>
        </is>
      </c>
      <c r="B43" t="inlineStr">
        <is>
          <t>NEFT CR-CITI0000002-ETERNAL LIMITED-ROCKTAIL HOSPITALITY SERVICES-CITIN52025100636240957</t>
        </is>
      </c>
      <c r="C43" t="inlineStr">
        <is>
          <t>CITIN52025100636240957</t>
        </is>
      </c>
      <c r="D43" t="inlineStr">
        <is>
          <t>06/10/25</t>
        </is>
      </c>
      <c r="F43" t="n">
        <v>61201.16</v>
      </c>
      <c r="G43" t="n">
        <v>455237.52</v>
      </c>
    </row>
    <row r="44" hidden="1" s="135">
      <c r="A44" t="inlineStr">
        <is>
          <t>07/10/25</t>
        </is>
      </c>
      <c r="B44" t="inlineStr">
        <is>
          <t>NEFT CR-YESB0000001-ONE 97 COMMUNICATIONS LIMITED SETTL-ROCKTAIL HOSPITALITY SERVICES-YESBN12025100701113506</t>
        </is>
      </c>
      <c r="C44" t="inlineStr">
        <is>
          <t>YESBN12025100701113506</t>
        </is>
      </c>
      <c r="D44" t="inlineStr">
        <is>
          <t>07/10/25</t>
        </is>
      </c>
      <c r="F44" t="n">
        <v>24613.36</v>
      </c>
      <c r="G44" t="n">
        <v>479850.88</v>
      </c>
    </row>
    <row r="45" hidden="1" s="135">
      <c r="A45" t="inlineStr">
        <is>
          <t>07/10/25</t>
        </is>
      </c>
      <c r="B45" t="inlineStr">
        <is>
          <t>42552394TERMINAL 1 CARDS SETTL. 07/10/25</t>
        </is>
      </c>
      <c r="C45" t="inlineStr">
        <is>
          <t>000000000000000</t>
        </is>
      </c>
      <c r="D45" t="inlineStr">
        <is>
          <t>07/10/25</t>
        </is>
      </c>
      <c r="F45" t="n">
        <v>9641.790000000001</v>
      </c>
      <c r="G45" t="n">
        <v>489492.67</v>
      </c>
    </row>
    <row r="46" hidden="1" s="135">
      <c r="A46" t="inlineStr">
        <is>
          <t>07/10/25</t>
        </is>
      </c>
      <c r="B46" t="inlineStr">
        <is>
          <t>NEFT CR-YESB0000001-SWIGGY LIMITED-ROCKTAIL HOSPITALITY SERVICES-YESBN12025100705709842</t>
        </is>
      </c>
      <c r="C46" t="inlineStr">
        <is>
          <t>YESBN12025100705709842</t>
        </is>
      </c>
      <c r="D46" t="inlineStr">
        <is>
          <t>07/10/25</t>
        </is>
      </c>
      <c r="F46" t="n">
        <v>83057.25999999999</v>
      </c>
      <c r="G46" t="n">
        <v>572549.9300000001</v>
      </c>
    </row>
    <row r="47" hidden="1" s="135">
      <c r="A47" t="inlineStr">
        <is>
          <t>08/10/25</t>
        </is>
      </c>
      <c r="B47" t="inlineStr">
        <is>
          <t>NEFT CR-YESB0000001-ONE 97 COMMUNICATIONS LIMITED SETTL-ROCKTAIL HOSPITALITY SERVICES-YESBN12025100800862936</t>
        </is>
      </c>
      <c r="C47" t="inlineStr">
        <is>
          <t>YESBN12025100800862936</t>
        </is>
      </c>
      <c r="D47" t="inlineStr">
        <is>
          <t>08/10/25</t>
        </is>
      </c>
      <c r="F47" t="n">
        <v>17786</v>
      </c>
      <c r="G47" t="n">
        <v>590335.9300000001</v>
      </c>
    </row>
    <row r="48" hidden="1" s="135">
      <c r="A48" t="inlineStr">
        <is>
          <t>08/10/25</t>
        </is>
      </c>
      <c r="B48" t="inlineStr">
        <is>
          <t>42552394TERMINAL 1 CARDS SETTL. 08/10/25</t>
        </is>
      </c>
      <c r="C48" t="inlineStr">
        <is>
          <t>000000000000000</t>
        </is>
      </c>
      <c r="D48" t="inlineStr">
        <is>
          <t>08/10/25</t>
        </is>
      </c>
      <c r="F48" t="n">
        <v>5938.15</v>
      </c>
      <c r="G48" t="n">
        <v>596274.08</v>
      </c>
    </row>
    <row r="49" hidden="1" s="135">
      <c r="A49" t="inlineStr">
        <is>
          <t>08/10/25</t>
        </is>
      </c>
      <c r="B49" t="inlineStr">
        <is>
          <t>NEFT CR-UTIB0000052-BUNDL TECHNOLOGIES PRIVATE LIMITED-ROCKTAIL HOSPITALITY SERVICES-UTIBN62025100849523664</t>
        </is>
      </c>
      <c r="C49" t="inlineStr">
        <is>
          <t>UTIBN62025100849523664</t>
        </is>
      </c>
      <c r="D49" t="inlineStr">
        <is>
          <t>08/10/25</t>
        </is>
      </c>
      <c r="F49" t="n">
        <v>18504.91</v>
      </c>
      <c r="G49" t="n">
        <v>614778.99</v>
      </c>
    </row>
    <row r="50">
      <c r="A50" t="inlineStr">
        <is>
          <t>08/10/25</t>
        </is>
      </c>
      <c r="B50" t="inlineStr">
        <is>
          <t>NEFT CR-CITI0000002-ETERNAL LIMITED-ROCKTAIL HOSPITALITY SERVICES-CITIN52025100837147976</t>
        </is>
      </c>
      <c r="C50" t="inlineStr">
        <is>
          <t>CITIN52025100837147976</t>
        </is>
      </c>
      <c r="D50" t="inlineStr">
        <is>
          <t>08/10/25</t>
        </is>
      </c>
      <c r="F50" t="n">
        <v>50928.19</v>
      </c>
      <c r="G50" t="n">
        <v>665707.1800000001</v>
      </c>
    </row>
    <row r="51" hidden="1" s="135">
      <c r="A51" t="inlineStr">
        <is>
          <t>08/10/25</t>
        </is>
      </c>
      <c r="B51" t="inlineStr">
        <is>
          <t>IMPS-528119960741-ASTRANOVA ENTERPRISES-HDFC-XXXXXXXXXX1166-REPAYMENT</t>
        </is>
      </c>
      <c r="C51" t="inlineStr">
        <is>
          <t>0000528119960741</t>
        </is>
      </c>
      <c r="D51" t="inlineStr">
        <is>
          <t>08/10/25</t>
        </is>
      </c>
      <c r="F51" t="n">
        <v>200000</v>
      </c>
      <c r="G51" t="n">
        <v>865707.1800000001</v>
      </c>
    </row>
    <row r="52" hidden="1" s="135">
      <c r="A52" t="inlineStr">
        <is>
          <t>09/10/25</t>
        </is>
      </c>
      <c r="B52" t="inlineStr">
        <is>
          <t>NEFT CR-YESB0000001-ONE 97 COMMUNICATIONS LIMITED SETTL-ROCKTAIL HOSPITALITY SERVICES-YESBN12025100901044475</t>
        </is>
      </c>
      <c r="C52" t="inlineStr">
        <is>
          <t>YESBN12025100901044475</t>
        </is>
      </c>
      <c r="D52" t="inlineStr">
        <is>
          <t>09/10/25</t>
        </is>
      </c>
      <c r="F52" t="n">
        <v>21882</v>
      </c>
      <c r="G52" t="n">
        <v>887589.1800000001</v>
      </c>
    </row>
    <row r="53" hidden="1" s="135">
      <c r="A53" t="inlineStr">
        <is>
          <t>09/10/25</t>
        </is>
      </c>
      <c r="B53" t="inlineStr">
        <is>
          <t>42552394TERMINAL 1 CARDS SETTL. 09/10/25</t>
        </is>
      </c>
      <c r="C53" t="inlineStr">
        <is>
          <t>000000000000000</t>
        </is>
      </c>
      <c r="D53" t="inlineStr">
        <is>
          <t>09/10/25</t>
        </is>
      </c>
      <c r="F53" t="n">
        <v>4616</v>
      </c>
      <c r="G53" t="n">
        <v>892205.1800000001</v>
      </c>
    </row>
    <row r="54" hidden="1" s="135">
      <c r="A54" t="inlineStr">
        <is>
          <t>09/10/25</t>
        </is>
      </c>
      <c r="B54" t="inlineStr">
        <is>
          <t>UPI-HARISH RAGHAVENDRA-HARISH.RAGHAVENDRA26@OKHDFCBANK-ICIC0000069-528262186657-HARISH</t>
        </is>
      </c>
      <c r="C54" t="inlineStr">
        <is>
          <t>0000528262186657</t>
        </is>
      </c>
      <c r="D54" t="inlineStr">
        <is>
          <t>09/10/25</t>
        </is>
      </c>
      <c r="E54" t="n">
        <v>15000</v>
      </c>
      <c r="G54" t="n">
        <v>877205.1800000001</v>
      </c>
    </row>
    <row r="55" hidden="1" s="135">
      <c r="A55" t="inlineStr">
        <is>
          <t>10/10/25</t>
        </is>
      </c>
      <c r="B55" t="inlineStr">
        <is>
          <t>NEFT CR-YESB0000001-ONE 97 COMMUNICATIONS LIMITED SETTL-ROCKTAIL HOSPITALITY SERVICES-YESBN12025101001357483</t>
        </is>
      </c>
      <c r="C55" t="inlineStr">
        <is>
          <t>YESBN12025101001357483</t>
        </is>
      </c>
      <c r="D55" t="inlineStr">
        <is>
          <t>10/10/25</t>
        </is>
      </c>
      <c r="F55" t="n">
        <v>26001.28</v>
      </c>
      <c r="G55" t="n">
        <v>903206.46</v>
      </c>
    </row>
    <row r="56" hidden="1" s="135">
      <c r="A56" t="inlineStr">
        <is>
          <t>10/10/25</t>
        </is>
      </c>
      <c r="B56" t="inlineStr">
        <is>
          <t>42552394TERMINAL 1 CARDS SETTL. 10/10/25</t>
        </is>
      </c>
      <c r="C56" t="inlineStr">
        <is>
          <t>000000000000000</t>
        </is>
      </c>
      <c r="D56" t="inlineStr">
        <is>
          <t>10/10/25</t>
        </is>
      </c>
      <c r="F56" t="n">
        <v>865</v>
      </c>
      <c r="G56" t="n">
        <v>904071.46</v>
      </c>
    </row>
    <row r="57" hidden="1" s="135">
      <c r="A57" t="inlineStr">
        <is>
          <t>10/10/25</t>
        </is>
      </c>
      <c r="B57" t="inlineStr">
        <is>
          <t>NEFT CR-YESB0000001-SWIGGY LIMITED-ROCKTAIL HOSPITALITY SERVICES-YESBN12025101005972616</t>
        </is>
      </c>
      <c r="C57" t="inlineStr">
        <is>
          <t>YESBN12025101005972616</t>
        </is>
      </c>
      <c r="D57" t="inlineStr">
        <is>
          <t>10/10/25</t>
        </is>
      </c>
      <c r="F57" t="n">
        <v>9952.07</v>
      </c>
      <c r="G57" t="n">
        <v>914023.53</v>
      </c>
    </row>
    <row r="58" hidden="1" s="135">
      <c r="A58" t="inlineStr">
        <is>
          <t>11/10/25</t>
        </is>
      </c>
      <c r="B58" t="inlineStr">
        <is>
          <t>NEFT CR-UTIB0001506-PHONEPE LIMITED-PAYMENT AGGREGATOR ESCROW ACCOUNT-ROCKTAIL HOSPITALITY-UTIBN62025101184068608</t>
        </is>
      </c>
      <c r="C58" t="inlineStr">
        <is>
          <t>UTIBN62025101184068608</t>
        </is>
      </c>
      <c r="D58" t="inlineStr">
        <is>
          <t>11/10/25</t>
        </is>
      </c>
      <c r="F58" t="n">
        <v>1526.84</v>
      </c>
      <c r="G58" t="n">
        <v>915550.37</v>
      </c>
    </row>
    <row r="59" hidden="1" s="135">
      <c r="A59" t="inlineStr">
        <is>
          <t>11/10/25</t>
        </is>
      </c>
      <c r="B59" t="inlineStr">
        <is>
          <t>NEFT CR-YESB0000001-ONE 97 COMMUNICATIONS LIMITED SETTL-ROCKTAIL HOSPITALITY SERVICES-YESBN12025101102528197</t>
        </is>
      </c>
      <c r="C59" t="inlineStr">
        <is>
          <t>YESBN12025101102528197</t>
        </is>
      </c>
      <c r="D59" t="inlineStr">
        <is>
          <t>11/10/25</t>
        </is>
      </c>
      <c r="F59" t="n">
        <v>27767.83</v>
      </c>
      <c r="G59" t="n">
        <v>943318.2</v>
      </c>
    </row>
    <row r="60" hidden="1" s="135">
      <c r="A60" t="inlineStr">
        <is>
          <t>11/10/25</t>
        </is>
      </c>
      <c r="B60" t="inlineStr">
        <is>
          <t>42552394TERMINAL 1 CARDS SETTL. 11/10/25</t>
        </is>
      </c>
      <c r="C60" t="inlineStr">
        <is>
          <t>000000000000000</t>
        </is>
      </c>
      <c r="D60" t="inlineStr">
        <is>
          <t>11/10/25</t>
        </is>
      </c>
      <c r="F60" t="n">
        <v>8196.67</v>
      </c>
      <c r="G60" t="n">
        <v>951514.87</v>
      </c>
    </row>
    <row r="61" hidden="1" s="135">
      <c r="A61" t="inlineStr">
        <is>
          <t>11/10/25</t>
        </is>
      </c>
      <c r="B61" t="inlineStr">
        <is>
          <t>UPI-SYED AITAF HUSSAIN-ALTAFHUSAINN123456789@OKICICI-ANDB0000031-565027520596-SOFA REPAIR</t>
        </is>
      </c>
      <c r="C61" t="inlineStr">
        <is>
          <t>0000565027520596</t>
        </is>
      </c>
      <c r="D61" t="inlineStr">
        <is>
          <t>11/10/25</t>
        </is>
      </c>
      <c r="E61" t="n">
        <v>5000</v>
      </c>
      <c r="G61" t="n">
        <v>946514.87</v>
      </c>
    </row>
    <row r="62" hidden="1" s="135">
      <c r="A62" t="inlineStr">
        <is>
          <t>12/10/25</t>
        </is>
      </c>
      <c r="B62" t="inlineStr">
        <is>
          <t>NEFT CR-YESB0000001-ONE 97 COMMUNICATIONS LIMITED SETTL-ROCKTAIL HOSPITALITY SERVICES-YESBN12025101202583652</t>
        </is>
      </c>
      <c r="C62" t="inlineStr">
        <is>
          <t>YESBN12025101202583652</t>
        </is>
      </c>
      <c r="D62" t="inlineStr">
        <is>
          <t>12/10/25</t>
        </is>
      </c>
      <c r="F62" t="n">
        <v>84506.25999999999</v>
      </c>
      <c r="G62" t="n">
        <v>1031021.13</v>
      </c>
    </row>
    <row r="63" hidden="1" s="135">
      <c r="A63" t="inlineStr">
        <is>
          <t>12/10/25</t>
        </is>
      </c>
      <c r="B63" t="inlineStr">
        <is>
          <t>NEFT CR-UTIB0001506-PHONEPE LIMITED-PAYMENT AGGREGATOR ESCROW ACCOUNT-ROCKTAIL HOSPITALITY-UTIBN62025101294570095</t>
        </is>
      </c>
      <c r="C63" t="inlineStr">
        <is>
          <t>UTIBN62025101294570095</t>
        </is>
      </c>
      <c r="D63" t="inlineStr">
        <is>
          <t>12/10/25</t>
        </is>
      </c>
      <c r="F63" t="n">
        <v>2151.18</v>
      </c>
      <c r="G63" t="n">
        <v>1033172.31</v>
      </c>
    </row>
    <row r="64" hidden="1" s="135">
      <c r="A64" t="inlineStr">
        <is>
          <t>12/10/25</t>
        </is>
      </c>
      <c r="B64" t="inlineStr">
        <is>
          <t>42552394TERMINAL 1 CARDS SETTL. 12/10/25</t>
        </is>
      </c>
      <c r="C64" t="inlineStr">
        <is>
          <t>000000000000000</t>
        </is>
      </c>
      <c r="D64" t="inlineStr">
        <is>
          <t>12/10/25</t>
        </is>
      </c>
      <c r="F64" t="n">
        <v>15719.66</v>
      </c>
      <c r="G64" t="n">
        <v>1048891.97</v>
      </c>
    </row>
    <row r="65" hidden="1" s="135">
      <c r="A65" t="inlineStr">
        <is>
          <t>12/10/25</t>
        </is>
      </c>
      <c r="B65" t="inlineStr">
        <is>
          <t>UPI-GAMPA AMBA PRASAD-PRASADUCANMAIL@OKHDFCBANK-HDFC0004262-565118092224-MILK VENDOR</t>
        </is>
      </c>
      <c r="C65" t="inlineStr">
        <is>
          <t>0000565118092224</t>
        </is>
      </c>
      <c r="D65" t="inlineStr">
        <is>
          <t>12/10/25</t>
        </is>
      </c>
      <c r="E65" t="n">
        <v>4641</v>
      </c>
      <c r="G65" t="n">
        <v>1044250.97</v>
      </c>
    </row>
    <row r="66" hidden="1" s="135">
      <c r="A66" t="inlineStr">
        <is>
          <t>12/10/25</t>
        </is>
      </c>
      <c r="B66" t="inlineStr">
        <is>
          <t>UPI-Y KARUNAKAR-KARUNAKAR.YARLAGADDA1@YBL-DBSS0IN0136-112558585085-SIGN BOARD</t>
        </is>
      </c>
      <c r="C66" t="inlineStr">
        <is>
          <t>0000112558585085</t>
        </is>
      </c>
      <c r="D66" t="inlineStr">
        <is>
          <t>12/10/25</t>
        </is>
      </c>
      <c r="E66" t="n">
        <v>5000</v>
      </c>
      <c r="G66" t="n">
        <v>1039250.97</v>
      </c>
    </row>
    <row r="67" hidden="1" s="135">
      <c r="A67" t="inlineStr">
        <is>
          <t>12/10/25</t>
        </is>
      </c>
      <c r="B67" t="inlineStr">
        <is>
          <t>UPI-VORUGANTI BHAVANI KA-BHAVANI.KARTHIK1@YBL-CNRB0000033-304188751411-ADV</t>
        </is>
      </c>
      <c r="C67" t="inlineStr">
        <is>
          <t>0000304188751411</t>
        </is>
      </c>
      <c r="D67" t="inlineStr">
        <is>
          <t>12/10/25</t>
        </is>
      </c>
      <c r="E67" t="n">
        <v>10000</v>
      </c>
      <c r="G67" t="n">
        <v>1029250.97</v>
      </c>
    </row>
    <row r="68" hidden="1" s="135">
      <c r="A68" t="inlineStr">
        <is>
          <t>13/10/25</t>
        </is>
      </c>
      <c r="B68" t="inlineStr">
        <is>
          <t>NEFT CR-YESB0000001-ONE 97 COMMUNICATIONS LIMITED SETTL-ROCKTAIL HOSPITALITY SERVICES-YESBN12025101301912154</t>
        </is>
      </c>
      <c r="C68" t="inlineStr">
        <is>
          <t>YESBN12025101301912154</t>
        </is>
      </c>
      <c r="D68" t="inlineStr">
        <is>
          <t>13/10/25</t>
        </is>
      </c>
      <c r="F68" t="n">
        <v>58079.77</v>
      </c>
      <c r="G68" t="n">
        <v>1087330.74</v>
      </c>
    </row>
    <row r="69" hidden="1" s="135">
      <c r="A69" t="inlineStr">
        <is>
          <t>13/10/25</t>
        </is>
      </c>
      <c r="B69" t="inlineStr">
        <is>
          <t>NEFT CR-UTIB0001506-PHONEPE LIMITED-PAYMENT AGGREGATOR ESCROW ACCOUNT-ROCKTAIL HOSPITALITY-UTIBN62025101304389126</t>
        </is>
      </c>
      <c r="C69" t="inlineStr">
        <is>
          <t>UTIBN62025101304389126</t>
        </is>
      </c>
      <c r="D69" t="inlineStr">
        <is>
          <t>13/10/25</t>
        </is>
      </c>
      <c r="F69" t="n">
        <v>1257.29</v>
      </c>
      <c r="G69" t="n">
        <v>1088588.03</v>
      </c>
    </row>
    <row r="70" hidden="1" s="135">
      <c r="A70" t="inlineStr">
        <is>
          <t>13/10/25</t>
        </is>
      </c>
      <c r="B70" t="inlineStr">
        <is>
          <t>NEFT CR-SCBL0036001-AMERICAN EXPRESS BANKING CORP-ROCKTAIL HOSPITALITY SERVICES-SCBLN52025101300559815</t>
        </is>
      </c>
      <c r="C70" t="inlineStr">
        <is>
          <t>SCBLN52025101300559815</t>
        </is>
      </c>
      <c r="D70" t="inlineStr">
        <is>
          <t>13/10/25</t>
        </is>
      </c>
      <c r="F70" t="n">
        <v>1335.14</v>
      </c>
      <c r="G70" t="n">
        <v>1089923.17</v>
      </c>
    </row>
    <row r="71" hidden="1" s="135">
      <c r="A71" t="inlineStr">
        <is>
          <t>13/10/25</t>
        </is>
      </c>
      <c r="B71" t="inlineStr">
        <is>
          <t>42552394TERMINAL 1 CARDS SETTL. 13/10/25</t>
        </is>
      </c>
      <c r="C71" t="inlineStr">
        <is>
          <t>000000000000000</t>
        </is>
      </c>
      <c r="D71" t="inlineStr">
        <is>
          <t>13/10/25</t>
        </is>
      </c>
      <c r="F71" t="n">
        <v>8984.17</v>
      </c>
      <c r="G71" t="n">
        <v>1098907.34</v>
      </c>
    </row>
    <row r="72" hidden="1" s="135">
      <c r="A72" t="inlineStr">
        <is>
          <t>13/10/25</t>
        </is>
      </c>
      <c r="B72" t="inlineStr">
        <is>
          <t>SALARIES-ROCKTAIL HOSPITALITY SERVICES DR - 57500000326520 - NEFT TRANSITORY ACCOUNT</t>
        </is>
      </c>
      <c r="C72" t="inlineStr">
        <is>
          <t>0000000000000190</t>
        </is>
      </c>
      <c r="D72" t="inlineStr">
        <is>
          <t>13/10/25</t>
        </is>
      </c>
      <c r="E72" t="n">
        <v>519134</v>
      </c>
      <c r="G72" t="n">
        <v>579773.34</v>
      </c>
    </row>
    <row r="73" hidden="1" s="135">
      <c r="A73" t="inlineStr">
        <is>
          <t>13/10/25</t>
        </is>
      </c>
      <c r="B73" t="inlineStr">
        <is>
          <t>SALARIES-ROCKTAIL HOSPITALITY SERVICES DR - 05122990000036 - SALARY TRANSITORY ACCOUNT - 512</t>
        </is>
      </c>
      <c r="C73" t="inlineStr">
        <is>
          <t>0000000000000189</t>
        </is>
      </c>
      <c r="D73" t="inlineStr">
        <is>
          <t>13/10/25</t>
        </is>
      </c>
      <c r="E73" t="n">
        <v>164400</v>
      </c>
      <c r="G73" t="n">
        <v>415373.34</v>
      </c>
    </row>
    <row r="74">
      <c r="A74" t="inlineStr">
        <is>
          <t>13/10/25</t>
        </is>
      </c>
      <c r="B74" t="inlineStr">
        <is>
          <t>NEFT CR-CITI0000002-ETERNAL LIMITED-ROCKTAIL HOSPITALITY SERVICES-CITIN52025101338860064</t>
        </is>
      </c>
      <c r="C74" t="inlineStr">
        <is>
          <t>CITIN52025101338860064</t>
        </is>
      </c>
      <c r="D74" t="inlineStr">
        <is>
          <t>13/10/25</t>
        </is>
      </c>
      <c r="F74" t="n">
        <v>42965.13</v>
      </c>
      <c r="G74" t="n">
        <v>458338.47</v>
      </c>
    </row>
    <row r="75" hidden="1" s="135">
      <c r="A75" t="inlineStr">
        <is>
          <t>13/10/25</t>
        </is>
      </c>
      <c r="B75" t="inlineStr">
        <is>
          <t>IMPS-528618159341-NAGILLA HARIKRISHNA-BARB-XXXXXXXXXX0258-S</t>
        </is>
      </c>
      <c r="C75" t="inlineStr">
        <is>
          <t>0000528618159341</t>
        </is>
      </c>
      <c r="D75" t="inlineStr">
        <is>
          <t>13/10/25</t>
        </is>
      </c>
      <c r="E75" t="n">
        <v>200000</v>
      </c>
      <c r="G75" t="n">
        <v>258338.47</v>
      </c>
    </row>
    <row r="76" hidden="1" s="135">
      <c r="A76" t="inlineStr">
        <is>
          <t>13/10/25</t>
        </is>
      </c>
      <c r="B76" t="inlineStr">
        <is>
          <t>IMPS-528618149756-NAGILLA HARIKRISHNA-BARB-XXXXXXXXXX2369-S</t>
        </is>
      </c>
      <c r="C76" t="inlineStr">
        <is>
          <t>0000528618149756</t>
        </is>
      </c>
      <c r="D76" t="inlineStr">
        <is>
          <t>13/10/25</t>
        </is>
      </c>
      <c r="E76" t="n">
        <v>200000</v>
      </c>
      <c r="G76" t="n">
        <v>58338.47</v>
      </c>
    </row>
    <row r="77" hidden="1" s="135">
      <c r="A77" t="inlineStr">
        <is>
          <t>14/10/25</t>
        </is>
      </c>
      <c r="B77" t="inlineStr">
        <is>
          <t>NEFT CR-UTIB0005040-TAITAI CREAMERY (OPC) PRIVATE LIMITED-ROCKTAIL HOSPITALITY SERVICES-UTIBN62025101417058455</t>
        </is>
      </c>
      <c r="C77" t="inlineStr">
        <is>
          <t>UTIBN62025101417058455</t>
        </is>
      </c>
      <c r="D77" t="inlineStr">
        <is>
          <t>14/10/25</t>
        </is>
      </c>
      <c r="F77" t="n">
        <v>75600</v>
      </c>
      <c r="G77" t="n">
        <v>133938.47</v>
      </c>
    </row>
    <row r="78" hidden="1" s="135">
      <c r="A78" t="inlineStr">
        <is>
          <t>14/10/25</t>
        </is>
      </c>
      <c r="B78" t="inlineStr">
        <is>
          <t>NEFT CR-UTIB0005040-TAITAI CREAMERY (OPC) PRIVATE LIMITED-ROCKTAIL HOSPITALITY SERVICES-UTIBN62025101417091876</t>
        </is>
      </c>
      <c r="C78" t="inlineStr">
        <is>
          <t>UTIBN62025101417091876</t>
        </is>
      </c>
      <c r="D78" t="inlineStr">
        <is>
          <t>14/10/25</t>
        </is>
      </c>
      <c r="F78" t="n">
        <v>27381</v>
      </c>
      <c r="G78" t="n">
        <v>161319.47</v>
      </c>
    </row>
    <row r="79" hidden="1" s="135">
      <c r="A79" t="inlineStr">
        <is>
          <t>14/10/25</t>
        </is>
      </c>
      <c r="B79" t="inlineStr">
        <is>
          <t>42552394TERMINAL 1 CARDS SETTL. 14/10/25</t>
        </is>
      </c>
      <c r="C79" t="inlineStr">
        <is>
          <t>000000000000000</t>
        </is>
      </c>
      <c r="D79" t="inlineStr">
        <is>
          <t>14/10/25</t>
        </is>
      </c>
      <c r="F79" t="n">
        <v>1475.19</v>
      </c>
      <c r="G79" t="n">
        <v>162794.66</v>
      </c>
    </row>
    <row r="80" hidden="1" s="135">
      <c r="A80" t="inlineStr">
        <is>
          <t>14/10/25</t>
        </is>
      </c>
      <c r="B80" t="inlineStr">
        <is>
          <t>NEFT CR-YESB0000001-ONE 97 COMMUNICATIONS LIMITED SETTL-ROCKTAIL HOSPITALITY SERVICES-YESBN12025101402196356</t>
        </is>
      </c>
      <c r="C80" t="inlineStr">
        <is>
          <t>YESBN12025101402196356</t>
        </is>
      </c>
      <c r="D80" t="inlineStr">
        <is>
          <t>14/10/25</t>
        </is>
      </c>
      <c r="F80" t="n">
        <v>69263.45</v>
      </c>
      <c r="G80" t="n">
        <v>232058.11</v>
      </c>
    </row>
    <row r="81" hidden="1" s="135">
      <c r="A81" t="inlineStr">
        <is>
          <t>14/10/25</t>
        </is>
      </c>
      <c r="B81" t="inlineStr">
        <is>
          <t>UPI-AIRTEL-AIRTEL.PAYU@AXISBANK-UTIB0003156-112638492793-AIRTELPOSTPAIDBILL</t>
        </is>
      </c>
      <c r="C81" t="inlineStr">
        <is>
          <t>0000112638492793</t>
        </is>
      </c>
      <c r="D81" t="inlineStr">
        <is>
          <t>14/10/25</t>
        </is>
      </c>
      <c r="E81" t="n">
        <v>211.94</v>
      </c>
      <c r="G81" t="n">
        <v>231846.17</v>
      </c>
    </row>
    <row r="82" hidden="1" s="135">
      <c r="A82" t="inlineStr">
        <is>
          <t>14/10/25</t>
        </is>
      </c>
      <c r="B82" t="inlineStr">
        <is>
          <t>UPI-MAHANKALI  ANIL-CHANTIANI@YBL-UTIB0001454-112640653774-CARD SWIPE</t>
        </is>
      </c>
      <c r="C82" t="inlineStr">
        <is>
          <t>0000112640653774</t>
        </is>
      </c>
      <c r="D82" t="inlineStr">
        <is>
          <t>14/10/25</t>
        </is>
      </c>
      <c r="E82" t="n">
        <v>25000</v>
      </c>
      <c r="G82" t="n">
        <v>206846.17</v>
      </c>
    </row>
    <row r="83" hidden="1" s="135">
      <c r="A83" t="inlineStr">
        <is>
          <t>14/10/25</t>
        </is>
      </c>
      <c r="B83" t="inlineStr">
        <is>
          <t>UPI-BHANWRA  RAM-BHANWARJATCHOUDHARY251@OKSBI-SBIN0011306-112645088978-FURNITURE</t>
        </is>
      </c>
      <c r="C83" t="inlineStr">
        <is>
          <t>0000112645088978</t>
        </is>
      </c>
      <c r="D83" t="inlineStr">
        <is>
          <t>14/10/25</t>
        </is>
      </c>
      <c r="E83" t="n">
        <v>33984</v>
      </c>
      <c r="G83" t="n">
        <v>172862.17</v>
      </c>
    </row>
    <row r="84" hidden="1" s="135">
      <c r="A84" t="inlineStr">
        <is>
          <t>14/10/25</t>
        </is>
      </c>
      <c r="B84" t="inlineStr">
        <is>
          <t>NEFT CR-YESB0000001-SWIGGY LIMITED-ROCKTAIL HOSPITALITY SERVICES-YESBN12025101406117243</t>
        </is>
      </c>
      <c r="C84" t="inlineStr">
        <is>
          <t>YESBN12025101406117243</t>
        </is>
      </c>
      <c r="D84" t="inlineStr">
        <is>
          <t>14/10/25</t>
        </is>
      </c>
      <c r="F84" t="n">
        <v>22017.22</v>
      </c>
      <c r="G84" t="n">
        <v>194879.39</v>
      </c>
    </row>
    <row r="85" hidden="1" s="135">
      <c r="A85" t="inlineStr">
        <is>
          <t>15/10/25</t>
        </is>
      </c>
      <c r="B85" t="inlineStr">
        <is>
          <t>NEFT CR-YESB0000001-ONE 97 COMMUNICATIONS LIMITED SETTL-ROCKTAIL HOSPITALITY SERVICES-YESBN12025101501310623</t>
        </is>
      </c>
      <c r="C85" t="inlineStr">
        <is>
          <t>YESBN12025101501310623</t>
        </is>
      </c>
      <c r="D85" t="inlineStr">
        <is>
          <t>15/10/25</t>
        </is>
      </c>
      <c r="F85" t="n">
        <v>30576.54</v>
      </c>
      <c r="G85" t="n">
        <v>225455.93</v>
      </c>
    </row>
    <row r="86" hidden="1" s="135">
      <c r="A86" t="inlineStr">
        <is>
          <t>15/10/25</t>
        </is>
      </c>
      <c r="B86" t="inlineStr">
        <is>
          <t>NEFT CR-UTIB0001506-PHONEPE LIMITED-PAYMENT AGGREGATOR ESCROW ACCOUNT-ROCKTAIL HOSPITALITY-UTIBN62025101529095027</t>
        </is>
      </c>
      <c r="C86" t="inlineStr">
        <is>
          <t>UTIBN62025101529095027</t>
        </is>
      </c>
      <c r="D86" t="inlineStr">
        <is>
          <t>15/10/25</t>
        </is>
      </c>
      <c r="F86" t="n">
        <v>24849.71</v>
      </c>
      <c r="G86" t="n">
        <v>250305.64</v>
      </c>
    </row>
    <row r="87" hidden="1" s="135">
      <c r="A87" t="inlineStr">
        <is>
          <t>15/10/25</t>
        </is>
      </c>
      <c r="B87" t="inlineStr">
        <is>
          <t>42552394TERMINAL 1 CARDS SETTL. 15/10/25</t>
        </is>
      </c>
      <c r="C87" t="inlineStr">
        <is>
          <t>000000000000000</t>
        </is>
      </c>
      <c r="D87" t="inlineStr">
        <is>
          <t>15/10/25</t>
        </is>
      </c>
      <c r="F87" t="n">
        <v>1403.68</v>
      </c>
      <c r="G87" t="n">
        <v>251709.32</v>
      </c>
    </row>
    <row r="88" hidden="1" s="135">
      <c r="A88" t="inlineStr">
        <is>
          <t>15/10/25</t>
        </is>
      </c>
      <c r="B88" t="inlineStr">
        <is>
          <t>UPI-I ANIL KUMAR-ANILTIGER9966@YBL-SBIN0008025-112678952262-UPI</t>
        </is>
      </c>
      <c r="C88" t="inlineStr">
        <is>
          <t>0000112678952262</t>
        </is>
      </c>
      <c r="D88" t="inlineStr">
        <is>
          <t>15/10/25</t>
        </is>
      </c>
      <c r="E88" t="n">
        <v>16650</v>
      </c>
      <c r="G88" t="n">
        <v>235059.32</v>
      </c>
    </row>
    <row r="89">
      <c r="A89" t="inlineStr">
        <is>
          <t>15/10/25</t>
        </is>
      </c>
      <c r="B89" t="inlineStr">
        <is>
          <t>NEFT CR-CITI0000002-ETERNAL LIMITED-ROCKTAIL HOSPITALITY SERVICES-CITIN52025101539958263</t>
        </is>
      </c>
      <c r="C89" t="inlineStr">
        <is>
          <t>CITIN52025101539958263</t>
        </is>
      </c>
      <c r="D89" t="inlineStr">
        <is>
          <t>15/10/25</t>
        </is>
      </c>
      <c r="F89" t="n">
        <v>54593.95</v>
      </c>
      <c r="G89" t="n">
        <v>289653.27</v>
      </c>
    </row>
    <row r="90" hidden="1" s="135">
      <c r="A90" t="inlineStr">
        <is>
          <t>15/10/25</t>
        </is>
      </c>
      <c r="B90" t="inlineStr">
        <is>
          <t>ACH D- PINE LABS PVT LTD-9YBBY0K45VFHTZ</t>
        </is>
      </c>
      <c r="C90" t="inlineStr">
        <is>
          <t>0000003300258297</t>
        </is>
      </c>
      <c r="D90" t="inlineStr">
        <is>
          <t>15/10/25</t>
        </is>
      </c>
      <c r="E90" t="n">
        <v>408</v>
      </c>
      <c r="G90" t="n">
        <v>289245.27</v>
      </c>
    </row>
    <row r="91" hidden="1" s="135">
      <c r="A91" t="inlineStr">
        <is>
          <t>15/10/25</t>
        </is>
      </c>
      <c r="B91" t="inlineStr">
        <is>
          <t>NEFT CR-UTIB0000052-BUNDL TECHNOLOGIES PRIVATE LIMITED-ROCKTAIL HOSPITALITY SERVICES-UTIBN62025101531694003</t>
        </is>
      </c>
      <c r="C91" t="inlineStr">
        <is>
          <t>UTIBN62025101531694003</t>
        </is>
      </c>
      <c r="D91" t="inlineStr">
        <is>
          <t>15/10/25</t>
        </is>
      </c>
      <c r="F91" t="n">
        <v>26065.61</v>
      </c>
      <c r="G91" t="n">
        <v>315310.88</v>
      </c>
    </row>
    <row r="92" hidden="1" s="135">
      <c r="A92" t="inlineStr">
        <is>
          <t>16/10/25</t>
        </is>
      </c>
      <c r="B92" t="inlineStr">
        <is>
          <t>NEFT CR-YESB0000001-ONE 97 COMMUNICATIONS LIMITED SETTL-ROCKTAIL HOSPITALITY SERVICES-YESBN12025101601861177</t>
        </is>
      </c>
      <c r="C92" t="inlineStr">
        <is>
          <t>YESBN12025101601861177</t>
        </is>
      </c>
      <c r="D92" t="inlineStr">
        <is>
          <t>16/10/25</t>
        </is>
      </c>
      <c r="F92" t="n">
        <v>26861.69</v>
      </c>
      <c r="G92" t="n">
        <v>342172.57</v>
      </c>
    </row>
    <row r="93" hidden="1" s="135">
      <c r="A93" t="inlineStr">
        <is>
          <t>16/10/25</t>
        </is>
      </c>
      <c r="B93" t="inlineStr">
        <is>
          <t>42552394TERMINAL 1 CARDS SETTL. 16/10/25</t>
        </is>
      </c>
      <c r="C93" t="inlineStr">
        <is>
          <t>000000000000000</t>
        </is>
      </c>
      <c r="D93" t="inlineStr">
        <is>
          <t>16/10/25</t>
        </is>
      </c>
      <c r="F93" t="n">
        <v>6184.19</v>
      </c>
      <c r="G93" t="n">
        <v>348356.76</v>
      </c>
    </row>
    <row r="94" hidden="1" s="135">
      <c r="A94" t="inlineStr">
        <is>
          <t>17/10/25</t>
        </is>
      </c>
      <c r="B94" t="inlineStr">
        <is>
          <t>NEFT CR-YESB0000001-ONE 97 COMMUNICATIONS LIMITED SETTL-ROCKTAIL HOSPITALITY SERVICES-YESBN12025101700504184</t>
        </is>
      </c>
      <c r="C94" t="inlineStr">
        <is>
          <t>YESBN12025101700504184</t>
        </is>
      </c>
      <c r="D94" t="inlineStr">
        <is>
          <t>17/10/25</t>
        </is>
      </c>
      <c r="F94" t="n">
        <v>18765.99</v>
      </c>
      <c r="G94" t="n">
        <v>367122.75</v>
      </c>
    </row>
    <row r="95" hidden="1" s="135">
      <c r="A95" t="inlineStr">
        <is>
          <t>17/10/25</t>
        </is>
      </c>
      <c r="B95" t="inlineStr">
        <is>
          <t>42552394TERMINAL 1 CARDS SETTL. 17/10/25</t>
        </is>
      </c>
      <c r="C95" t="inlineStr">
        <is>
          <t>000000000000000</t>
        </is>
      </c>
      <c r="D95" t="inlineStr">
        <is>
          <t>17/10/25</t>
        </is>
      </c>
      <c r="F95" t="n">
        <v>14392.76</v>
      </c>
      <c r="G95" t="n">
        <v>381515.51</v>
      </c>
    </row>
    <row r="96" hidden="1" s="135">
      <c r="A96" t="inlineStr">
        <is>
          <t>17/10/25</t>
        </is>
      </c>
      <c r="B96" t="inlineStr">
        <is>
          <t>NEFT CR-YESB0000001-SWIGGY LIMITED-ROCKTAIL HOSPITALITY SERVICES-YESBN12025101705389357</t>
        </is>
      </c>
      <c r="C96" t="inlineStr">
        <is>
          <t>YESBN12025101705389357</t>
        </is>
      </c>
      <c r="D96" t="inlineStr">
        <is>
          <t>17/10/25</t>
        </is>
      </c>
      <c r="F96" t="n">
        <v>24683.09</v>
      </c>
      <c r="G96" t="n">
        <v>406198.6</v>
      </c>
    </row>
    <row r="97" hidden="1" s="135">
      <c r="A97" t="inlineStr">
        <is>
          <t>17/10/25</t>
        </is>
      </c>
      <c r="B97" t="inlineStr">
        <is>
          <t>UPI-BHANWRA  RAM-BHANWARJATCHOUDHARY251@OKSBI-SBIN0011306-565615784026-FURNITURE FNF</t>
        </is>
      </c>
      <c r="C97" t="inlineStr">
        <is>
          <t>0000565615784026</t>
        </is>
      </c>
      <c r="D97" t="inlineStr">
        <is>
          <t>17/10/25</t>
        </is>
      </c>
      <c r="E97" t="n">
        <v>16200</v>
      </c>
      <c r="G97" t="n">
        <v>389998.6</v>
      </c>
    </row>
    <row r="98" hidden="1" s="135">
      <c r="A98" t="inlineStr">
        <is>
          <t>17/10/25</t>
        </is>
      </c>
      <c r="B98" t="inlineStr">
        <is>
          <t>UPI-SYED ANSAR ALI-9735000703@YBL-SBIN0002106-565609682617-VALET</t>
        </is>
      </c>
      <c r="C98" t="inlineStr">
        <is>
          <t>0000565609682617</t>
        </is>
      </c>
      <c r="D98" t="inlineStr">
        <is>
          <t>17/10/25</t>
        </is>
      </c>
      <c r="E98" t="n">
        <v>24000</v>
      </c>
      <c r="G98" t="n">
        <v>365998.6</v>
      </c>
    </row>
    <row r="99" hidden="1" s="135">
      <c r="A99" t="inlineStr">
        <is>
          <t>18/10/25</t>
        </is>
      </c>
      <c r="B99" t="inlineStr">
        <is>
          <t>NEFT CR-YESB0000001-ONE 97 COMMUNICATIONS LIMITED SETTL-ROCKTAIL HOSPITALITY SERVICES-YESBN12025101802308425</t>
        </is>
      </c>
      <c r="C99" t="inlineStr">
        <is>
          <t>YESBN12025101802308425</t>
        </is>
      </c>
      <c r="D99" t="inlineStr">
        <is>
          <t>18/10/25</t>
        </is>
      </c>
      <c r="F99" t="n">
        <v>25752</v>
      </c>
      <c r="G99" t="n">
        <v>391750.6</v>
      </c>
    </row>
    <row r="100" hidden="1" s="135">
      <c r="A100" t="inlineStr">
        <is>
          <t>18/10/25</t>
        </is>
      </c>
      <c r="B100" t="inlineStr">
        <is>
          <t>42552394TERMINAL 1 CARDS SETTL. 18/10/25</t>
        </is>
      </c>
      <c r="C100" t="inlineStr">
        <is>
          <t>000000000000000</t>
        </is>
      </c>
      <c r="D100" t="inlineStr">
        <is>
          <t>18/10/25</t>
        </is>
      </c>
      <c r="F100" t="n">
        <v>8270.74</v>
      </c>
      <c r="G100" t="n">
        <v>400021.34</v>
      </c>
    </row>
    <row r="101" hidden="1" s="135">
      <c r="A101" t="inlineStr">
        <is>
          <t>19/10/25</t>
        </is>
      </c>
      <c r="B101" t="inlineStr">
        <is>
          <t>NEFT CR-YESB0000001-ONE 97 COMMUNICATIONS LIMITED SETTL-ROCKTAIL HOSPITALITY SERVICES-YESBN12025101901417601</t>
        </is>
      </c>
      <c r="C101" t="inlineStr">
        <is>
          <t>YESBN12025101901417601</t>
        </is>
      </c>
      <c r="D101" t="inlineStr">
        <is>
          <t>19/10/25</t>
        </is>
      </c>
      <c r="F101" t="n">
        <v>56196.84</v>
      </c>
      <c r="G101" t="n">
        <v>456218.18</v>
      </c>
    </row>
    <row r="102" hidden="1" s="135">
      <c r="A102" t="inlineStr">
        <is>
          <t>19/10/25</t>
        </is>
      </c>
      <c r="B102" t="inlineStr">
        <is>
          <t>NEFT CR-UTIB0001506-PHONEPE LIMITED-PAYMENT AGGREGATOR ESCROW ACCOUNT-ROCKTAIL HOSPITALITY-UTIBN62025101981036322</t>
        </is>
      </c>
      <c r="C102" t="inlineStr">
        <is>
          <t>UTIBN62025101981036322</t>
        </is>
      </c>
      <c r="D102" t="inlineStr">
        <is>
          <t>19/10/25</t>
        </is>
      </c>
      <c r="F102" t="n">
        <v>129.18</v>
      </c>
      <c r="G102" t="n">
        <v>456347.36</v>
      </c>
    </row>
    <row r="103" hidden="1" s="135">
      <c r="A103" t="inlineStr">
        <is>
          <t>19/10/25</t>
        </is>
      </c>
      <c r="B103" t="inlineStr">
        <is>
          <t>42552394TERMINAL 1 CARDS SETTL. 19/10/25</t>
        </is>
      </c>
      <c r="C103" t="inlineStr">
        <is>
          <t>000000000000000</t>
        </is>
      </c>
      <c r="D103" t="inlineStr">
        <is>
          <t>19/10/25</t>
        </is>
      </c>
      <c r="F103" t="n">
        <v>12533.1</v>
      </c>
      <c r="G103" t="n">
        <v>468880.46</v>
      </c>
    </row>
    <row r="104" hidden="1" s="135">
      <c r="A104" t="inlineStr">
        <is>
          <t>20/10/25</t>
        </is>
      </c>
      <c r="B104" t="inlineStr">
        <is>
          <t>NEFT CR-YESB0000001-ONE 97 COMMUNICATIONS LIMITED SETTL-ROCKTAIL HOSPITALITY SERVICES-YESBN12025102002252754</t>
        </is>
      </c>
      <c r="C104" t="inlineStr">
        <is>
          <t>YESBN12025102002252754</t>
        </is>
      </c>
      <c r="D104" t="inlineStr">
        <is>
          <t>20/10/25</t>
        </is>
      </c>
      <c r="F104" t="n">
        <v>56832.39</v>
      </c>
      <c r="G104" t="n">
        <v>525712.85</v>
      </c>
    </row>
    <row r="105" hidden="1" s="135">
      <c r="A105" t="inlineStr">
        <is>
          <t>20/10/25</t>
        </is>
      </c>
      <c r="B105" t="inlineStr">
        <is>
          <t>NEFT CR-UTIB0001506-PHONEPE LIMITED-PAYMENT AGGREGATOR ESCROW ACCOUNT-ROCKTAIL HOSPITALITY-UTIBN62025102091922015</t>
        </is>
      </c>
      <c r="C105" t="inlineStr">
        <is>
          <t>UTIBN62025102091922015</t>
        </is>
      </c>
      <c r="D105" t="inlineStr">
        <is>
          <t>20/10/25</t>
        </is>
      </c>
      <c r="F105" t="n">
        <v>342.18</v>
      </c>
      <c r="G105" t="n">
        <v>526055.03</v>
      </c>
    </row>
    <row r="106" hidden="1" s="135">
      <c r="A106" t="inlineStr">
        <is>
          <t>20/10/25</t>
        </is>
      </c>
      <c r="B106" t="inlineStr">
        <is>
          <t>NEFT CR-SCBL0036001-AMERICAN EXPRESS BANKING CORP-ROCKTAIL HOSPITALITY SERVICES-SCBLN52025102000534540</t>
        </is>
      </c>
      <c r="C106" t="inlineStr">
        <is>
          <t>SCBLN52025102000534540</t>
        </is>
      </c>
      <c r="D106" t="inlineStr">
        <is>
          <t>20/10/25</t>
        </is>
      </c>
      <c r="F106" t="n">
        <v>2527.06</v>
      </c>
      <c r="G106" t="n">
        <v>528582.09</v>
      </c>
    </row>
    <row r="107" hidden="1" s="135">
      <c r="A107" t="inlineStr">
        <is>
          <t>20/10/25</t>
        </is>
      </c>
      <c r="B107" t="inlineStr">
        <is>
          <t>42552394TERMINAL 1 CARDS SETTL. 20/10/25</t>
        </is>
      </c>
      <c r="C107" t="inlineStr">
        <is>
          <t>000000000000000</t>
        </is>
      </c>
      <c r="D107" t="inlineStr">
        <is>
          <t>20/10/25</t>
        </is>
      </c>
      <c r="F107" t="n">
        <v>21406.83</v>
      </c>
      <c r="G107" t="n">
        <v>549988.92</v>
      </c>
    </row>
    <row r="108" hidden="1" s="135">
      <c r="A108" t="inlineStr">
        <is>
          <t>20/10/25</t>
        </is>
      </c>
      <c r="B108" t="inlineStr">
        <is>
          <t>UPI-TIRUMALA SOUNDS AND -GPAY-11193304431@OKBIZAXIS-UTIB0000553-112946107359-MELA TENT HOUSE</t>
        </is>
      </c>
      <c r="C108" t="inlineStr">
        <is>
          <t>0000112946107359</t>
        </is>
      </c>
      <c r="D108" t="inlineStr">
        <is>
          <t>20/10/25</t>
        </is>
      </c>
      <c r="E108" t="n">
        <v>30000</v>
      </c>
      <c r="G108" t="n">
        <v>519988.92</v>
      </c>
    </row>
    <row r="109">
      <c r="A109" t="inlineStr">
        <is>
          <t>20/10/25</t>
        </is>
      </c>
      <c r="B109" t="inlineStr">
        <is>
          <t>NEFT CR-CITI0000002-ETERNAL LIMITED-ROCKTAIL HOSPITALITY SERVICES-CITIN52025102041871588</t>
        </is>
      </c>
      <c r="C109" t="inlineStr">
        <is>
          <t>CITIN52025102041871588</t>
        </is>
      </c>
      <c r="D109" t="inlineStr">
        <is>
          <t>20/10/25</t>
        </is>
      </c>
      <c r="F109" t="n">
        <v>59058.55</v>
      </c>
      <c r="G109" t="n">
        <v>579047.47</v>
      </c>
    </row>
    <row r="110" hidden="1" s="135">
      <c r="A110" t="inlineStr">
        <is>
          <t>21/10/25</t>
        </is>
      </c>
      <c r="B110" t="inlineStr">
        <is>
          <t>NEFT CR-YESB0000001-ONE 97 COMMUNICATIONS LIMITED SETTL-ROCKTAIL HOSPITALITY SERVICES-YESBN12025102101238588</t>
        </is>
      </c>
      <c r="C110" t="inlineStr">
        <is>
          <t>YESBN12025102101238588</t>
        </is>
      </c>
      <c r="D110" t="inlineStr">
        <is>
          <t>21/10/25</t>
        </is>
      </c>
      <c r="F110" t="n">
        <v>33780.11</v>
      </c>
      <c r="G110" t="n">
        <v>612827.58</v>
      </c>
    </row>
    <row r="111" hidden="1" s="135">
      <c r="A111" t="inlineStr">
        <is>
          <t>21/10/25</t>
        </is>
      </c>
      <c r="B111" t="inlineStr">
        <is>
          <t>NEFT CR-UTIB0001506-PHONEPE LIMITED-PAYMENT AGGREGATOR ESCROW ACCOUNT-ROCKTAIL HOSPITALITY-UTIBN62025102103425474</t>
        </is>
      </c>
      <c r="C111" t="inlineStr">
        <is>
          <t>UTIBN62025102103425474</t>
        </is>
      </c>
      <c r="D111" t="inlineStr">
        <is>
          <t>21/10/25</t>
        </is>
      </c>
      <c r="F111" t="n">
        <v>220</v>
      </c>
      <c r="G111" t="n">
        <v>613047.58</v>
      </c>
    </row>
    <row r="112" hidden="1" s="135">
      <c r="A112" t="inlineStr">
        <is>
          <t>21/10/25</t>
        </is>
      </c>
      <c r="B112" t="inlineStr">
        <is>
          <t>42552394TERMINAL 1 CARDS SETTL. 21/10/25</t>
        </is>
      </c>
      <c r="C112" t="inlineStr">
        <is>
          <t>000000000000000</t>
        </is>
      </c>
      <c r="D112" t="inlineStr">
        <is>
          <t>21/10/25</t>
        </is>
      </c>
      <c r="F112" t="n">
        <v>7579.68</v>
      </c>
      <c r="G112" t="n">
        <v>620627.26</v>
      </c>
    </row>
    <row r="113" hidden="1" s="135">
      <c r="A113" t="inlineStr">
        <is>
          <t>21/10/25</t>
        </is>
      </c>
      <c r="B113" t="inlineStr">
        <is>
          <t>UPI-GAMPA AMBA PRASAD-PRASADUCANMAIL@OKHDFCBANK-HDFC0004262-529463122058-MILK VENDOR</t>
        </is>
      </c>
      <c r="C113" t="inlineStr">
        <is>
          <t>0000529463122058</t>
        </is>
      </c>
      <c r="D113" t="inlineStr">
        <is>
          <t>21/10/25</t>
        </is>
      </c>
      <c r="E113" t="n">
        <v>3570</v>
      </c>
      <c r="G113" t="n">
        <v>617057.26</v>
      </c>
    </row>
    <row r="114" hidden="1" s="135">
      <c r="A114" t="inlineStr">
        <is>
          <t>21/10/25</t>
        </is>
      </c>
      <c r="B114" t="inlineStr">
        <is>
          <t>UPI-THIRUPATHAMMA MUTHUM-9490371940@YBL-CNRB0000033-529460829374-STAFF RENT</t>
        </is>
      </c>
      <c r="C114" t="inlineStr">
        <is>
          <t>0000529460829374</t>
        </is>
      </c>
      <c r="D114" t="inlineStr">
        <is>
          <t>21/10/25</t>
        </is>
      </c>
      <c r="E114" t="n">
        <v>38330</v>
      </c>
      <c r="G114" t="n">
        <v>578727.26</v>
      </c>
    </row>
    <row r="115" hidden="1" s="135">
      <c r="A115" t="inlineStr">
        <is>
          <t>21/10/25</t>
        </is>
      </c>
      <c r="B115" t="inlineStr">
        <is>
          <t>UPI-META ADS-FACEBOOKINDIAO.PAYU@MAIRTEL-AIRP0000001-112990962805-UPIINTENT</t>
        </is>
      </c>
      <c r="C115" t="inlineStr">
        <is>
          <t>0000112990962805</t>
        </is>
      </c>
      <c r="D115" t="inlineStr">
        <is>
          <t>21/10/25</t>
        </is>
      </c>
      <c r="E115" t="n">
        <v>2000</v>
      </c>
      <c r="G115" t="n">
        <v>576727.26</v>
      </c>
    </row>
    <row r="116" hidden="1" s="135">
      <c r="A116" t="inlineStr">
        <is>
          <t>21/10/25</t>
        </is>
      </c>
      <c r="B116" t="inlineStr">
        <is>
          <t>NEFT CR-YESB0000001-SWIGGY LIMITED-ROCKTAIL HOSPITALITY SERVICES-YESBN12025102105523192</t>
        </is>
      </c>
      <c r="C116" t="inlineStr">
        <is>
          <t>YESBN12025102105523192</t>
        </is>
      </c>
      <c r="D116" t="inlineStr">
        <is>
          <t>21/10/25</t>
        </is>
      </c>
      <c r="F116" t="n">
        <v>55234.75</v>
      </c>
      <c r="G116" t="n">
        <v>631962.01</v>
      </c>
    </row>
    <row r="117" hidden="1" s="135">
      <c r="A117" t="inlineStr">
        <is>
          <t>21/10/25</t>
        </is>
      </c>
      <c r="B117" t="inlineStr">
        <is>
          <t>UPI-BADHEY BHARATH-BADHEYBHARATH@OKHDFCBANK-CNRB0000033-566023703445-MELA SOCIALS</t>
        </is>
      </c>
      <c r="C117" t="inlineStr">
        <is>
          <t>0000566023703445</t>
        </is>
      </c>
      <c r="D117" t="inlineStr">
        <is>
          <t>21/10/25</t>
        </is>
      </c>
      <c r="E117" t="n">
        <v>37000</v>
      </c>
      <c r="G117" t="n">
        <v>594962.01</v>
      </c>
    </row>
    <row r="118" hidden="1" s="135">
      <c r="A118" t="inlineStr">
        <is>
          <t>22/10/25</t>
        </is>
      </c>
      <c r="B118" t="inlineStr">
        <is>
          <t>NEFT CR-YESB0000001-ONE 97 COMMUNICATIONS LIMITED SETTL-ROCKTAIL HOSPITALITY SERVICES-YESBN12025102201533266</t>
        </is>
      </c>
      <c r="C118" t="inlineStr">
        <is>
          <t>YESBN12025102201533266</t>
        </is>
      </c>
      <c r="D118" t="inlineStr">
        <is>
          <t>22/10/25</t>
        </is>
      </c>
      <c r="F118" t="n">
        <v>39105.07</v>
      </c>
      <c r="G118" t="n">
        <v>634067.08</v>
      </c>
    </row>
    <row r="119" hidden="1" s="135">
      <c r="A119" t="inlineStr">
        <is>
          <t>22/10/25</t>
        </is>
      </c>
      <c r="B119" t="inlineStr">
        <is>
          <t>NEFT CR-SCBL0036001-AMERICAN EXPRESS BANKING CORP-ROCKTAIL HOSPITALITY SERVICES-SCBLN52025102200524541</t>
        </is>
      </c>
      <c r="C119" t="inlineStr">
        <is>
          <t>SCBLN52025102200524541</t>
        </is>
      </c>
      <c r="D119" t="inlineStr">
        <is>
          <t>22/10/25</t>
        </is>
      </c>
      <c r="F119" t="n">
        <v>1743.24</v>
      </c>
      <c r="G119" t="n">
        <v>635810.3199999999</v>
      </c>
    </row>
    <row r="120" hidden="1" s="135">
      <c r="A120" t="inlineStr">
        <is>
          <t>22/10/25</t>
        </is>
      </c>
      <c r="B120" t="inlineStr">
        <is>
          <t>42552394TERMINAL 1 CARDS SETTL. 22/10/25</t>
        </is>
      </c>
      <c r="C120" t="inlineStr">
        <is>
          <t>000000000000000</t>
        </is>
      </c>
      <c r="D120" t="inlineStr">
        <is>
          <t>22/10/25</t>
        </is>
      </c>
      <c r="F120" t="n">
        <v>3966.01</v>
      </c>
      <c r="G120" t="n">
        <v>639776.33</v>
      </c>
    </row>
    <row r="121" hidden="1" s="135">
      <c r="A121" t="inlineStr">
        <is>
          <t>22/10/25</t>
        </is>
      </c>
      <c r="B121" t="inlineStr">
        <is>
          <t>NEFT CR-UTIB0000052-BUNDL TECHNOLOGIES PRIVATE LIMITED-ROCKTAIL HOSPITALITY SERVICES-UTIBN62025102214786836</t>
        </is>
      </c>
      <c r="C121" t="inlineStr">
        <is>
          <t>UTIBN62025102214786836</t>
        </is>
      </c>
      <c r="D121" t="inlineStr">
        <is>
          <t>22/10/25</t>
        </is>
      </c>
      <c r="F121" t="n">
        <v>27200.41</v>
      </c>
      <c r="G121" t="n">
        <v>666976.74</v>
      </c>
    </row>
    <row r="122">
      <c r="A122" t="inlineStr">
        <is>
          <t>22/10/25</t>
        </is>
      </c>
      <c r="B122" t="inlineStr">
        <is>
          <t>NEFT CR-CITI0000002-ETERNAL LIMITED-ROCKTAIL HOSPITALITY SERVICES-CITIN52025102242479154</t>
        </is>
      </c>
      <c r="C122" t="inlineStr">
        <is>
          <t>CITIN52025102242479154</t>
        </is>
      </c>
      <c r="D122" t="inlineStr">
        <is>
          <t>22/10/25</t>
        </is>
      </c>
      <c r="F122" t="n">
        <v>41686.89</v>
      </c>
      <c r="G122" t="n">
        <v>708663.63</v>
      </c>
    </row>
    <row r="123" hidden="1" s="135">
      <c r="A123" t="inlineStr">
        <is>
          <t>22/10/25</t>
        </is>
      </c>
      <c r="B123" t="inlineStr">
        <is>
          <t>UPI-SHANTH SAI KUMAR-SHANTHSAI@IBL-HDFC0000126-113039786363-RENT</t>
        </is>
      </c>
      <c r="C123" t="inlineStr">
        <is>
          <t>0000113039786363</t>
        </is>
      </c>
      <c r="D123" t="inlineStr">
        <is>
          <t>22/10/25</t>
        </is>
      </c>
      <c r="E123" t="n">
        <v>25000</v>
      </c>
      <c r="G123" t="n">
        <v>683663.63</v>
      </c>
    </row>
    <row r="124" hidden="1" s="135">
      <c r="A124" t="inlineStr">
        <is>
          <t>23/10/25</t>
        </is>
      </c>
      <c r="B124" t="inlineStr">
        <is>
          <t>NEFT CR-YESB0000001-ONE 97 COMMUNICATIONS LIMITED SETTL-ROCKTAIL HOSPITALITY SERVICES-YESBN12025102301234200</t>
        </is>
      </c>
      <c r="C124" t="inlineStr">
        <is>
          <t>YESBN12025102301234200</t>
        </is>
      </c>
      <c r="D124" t="inlineStr">
        <is>
          <t>23/10/25</t>
        </is>
      </c>
      <c r="F124" t="n">
        <v>38836.81</v>
      </c>
      <c r="G124" t="n">
        <v>722500.4399999999</v>
      </c>
    </row>
    <row r="125" hidden="1" s="135">
      <c r="A125" t="inlineStr">
        <is>
          <t>23/10/25</t>
        </is>
      </c>
      <c r="B125" t="inlineStr">
        <is>
          <t>NEFT CR-UTIB0001506-PHONEPE LIMITED-PAYMENT AGGREGATOR ESCROW ACCOUNT-ROCKTAIL HOSPITALITY-UTIBN62025102323642286</t>
        </is>
      </c>
      <c r="C125" t="inlineStr">
        <is>
          <t>UTIBN62025102323642286</t>
        </is>
      </c>
      <c r="D125" t="inlineStr">
        <is>
          <t>23/10/25</t>
        </is>
      </c>
      <c r="F125" t="n">
        <v>110</v>
      </c>
      <c r="G125" t="n">
        <v>722610.4399999999</v>
      </c>
    </row>
    <row r="126" hidden="1" s="135">
      <c r="A126" t="inlineStr">
        <is>
          <t>23/10/25</t>
        </is>
      </c>
      <c r="B126" t="inlineStr">
        <is>
          <t>NEFT CR-SCBL0036001-AMERICAN EXPRESS BANKING CORP-ROCKTAIL HOSPITALITY SERVICES-SCBLN52025102300524874</t>
        </is>
      </c>
      <c r="C126" t="inlineStr">
        <is>
          <t>SCBLN52025102300524874</t>
        </is>
      </c>
      <c r="D126" t="inlineStr">
        <is>
          <t>23/10/25</t>
        </is>
      </c>
      <c r="F126" t="n">
        <v>6198.83</v>
      </c>
      <c r="G126" t="n">
        <v>728809.27</v>
      </c>
    </row>
    <row r="127" hidden="1" s="135">
      <c r="A127" t="inlineStr">
        <is>
          <t>23/10/25</t>
        </is>
      </c>
      <c r="B127" t="inlineStr">
        <is>
          <t>42552394TERMINAL 1 CARDS SETTL. 23/10/25</t>
        </is>
      </c>
      <c r="C127" t="inlineStr">
        <is>
          <t>000000000000000</t>
        </is>
      </c>
      <c r="D127" t="inlineStr">
        <is>
          <t>23/10/25</t>
        </is>
      </c>
      <c r="F127" t="n">
        <v>14447.72</v>
      </c>
      <c r="G127" t="n">
        <v>743256.99</v>
      </c>
    </row>
    <row r="128" hidden="1" s="135">
      <c r="A128" t="inlineStr">
        <is>
          <t>23/10/25</t>
        </is>
      </c>
      <c r="B128" t="inlineStr">
        <is>
          <t>ACH D- PINE LABS PVT LTD-LKFVWNXRS92HQS</t>
        </is>
      </c>
      <c r="C128" t="inlineStr">
        <is>
          <t>0000003320579748</t>
        </is>
      </c>
      <c r="D128" t="inlineStr">
        <is>
          <t>23/10/25</t>
        </is>
      </c>
      <c r="E128" t="n">
        <v>1298</v>
      </c>
      <c r="G128" t="n">
        <v>741958.99</v>
      </c>
    </row>
    <row r="129" hidden="1" s="135">
      <c r="A129" t="inlineStr">
        <is>
          <t>23/10/25</t>
        </is>
      </c>
      <c r="B129" t="inlineStr">
        <is>
          <t>UPI-CRED CLUB-CRED.CLUB@AXISB-UTIB0000114-566210138143-PAYMENT ON CRED</t>
        </is>
      </c>
      <c r="C129" t="inlineStr">
        <is>
          <t>0000566210138143</t>
        </is>
      </c>
      <c r="D129" t="inlineStr">
        <is>
          <t>23/10/25</t>
        </is>
      </c>
      <c r="E129" t="n">
        <v>7487</v>
      </c>
      <c r="G129" t="n">
        <v>734471.99</v>
      </c>
    </row>
    <row r="130" hidden="1" s="135">
      <c r="A130" t="inlineStr">
        <is>
          <t>23/10/25</t>
        </is>
      </c>
      <c r="B130" t="inlineStr">
        <is>
          <t>IMPS-529613166068-HOUSE PARTY-HDFC-XXXXXXXXXX7641-LOAN RETURN</t>
        </is>
      </c>
      <c r="C130" t="inlineStr">
        <is>
          <t>0000529613166068</t>
        </is>
      </c>
      <c r="D130" t="inlineStr">
        <is>
          <t>23/10/25</t>
        </is>
      </c>
      <c r="E130" t="n">
        <v>200000</v>
      </c>
      <c r="G130" t="n">
        <v>534471.99</v>
      </c>
    </row>
    <row r="131" hidden="1" s="135">
      <c r="A131" t="inlineStr">
        <is>
          <t>23/10/25</t>
        </is>
      </c>
      <c r="B131" t="inlineStr">
        <is>
          <t>UPI-WOLFFPACK VENTURES P-ABHISHEK.LADHA11-1@OKAXIS-HDFC0000512-529665135013-LOAN</t>
        </is>
      </c>
      <c r="C131" t="inlineStr">
        <is>
          <t>0000529665135013</t>
        </is>
      </c>
      <c r="D131" t="inlineStr">
        <is>
          <t>23/10/25</t>
        </is>
      </c>
      <c r="F131" t="n">
        <v>50000</v>
      </c>
      <c r="G131" t="n">
        <v>584471.99</v>
      </c>
    </row>
    <row r="132" hidden="1" s="135">
      <c r="A132" t="inlineStr">
        <is>
          <t>23/10/25</t>
        </is>
      </c>
      <c r="B132" t="inlineStr">
        <is>
          <t>VENDOR PAYMENTS - ROCKTAIL HOSPITALITY DR - 57500000326520 - NEFT TRANSITORY ACCOUNT</t>
        </is>
      </c>
      <c r="C132" t="inlineStr">
        <is>
          <t>0000000000000191</t>
        </is>
      </c>
      <c r="D132" t="inlineStr">
        <is>
          <t>23/10/25</t>
        </is>
      </c>
      <c r="E132" t="n">
        <v>562427</v>
      </c>
      <c r="G132" t="n">
        <v>22044.99</v>
      </c>
    </row>
    <row r="133" hidden="1" s="135">
      <c r="A133" t="inlineStr">
        <is>
          <t>23/10/25</t>
        </is>
      </c>
      <c r="B133" t="inlineStr">
        <is>
          <t>NEFT RETURN-INCORRECT ACCOUNT NUMBER-LAXMI AGENCIES-IBKLN92025102303245025</t>
        </is>
      </c>
      <c r="C133" t="inlineStr">
        <is>
          <t>HDFCN52025102352676626</t>
        </is>
      </c>
      <c r="D133" t="inlineStr">
        <is>
          <t>23/10/25</t>
        </is>
      </c>
      <c r="F133" t="n">
        <v>1924</v>
      </c>
      <c r="G133" t="n">
        <v>23968.99</v>
      </c>
    </row>
    <row r="134" hidden="1" s="135">
      <c r="A134" t="inlineStr">
        <is>
          <t>23/10/25</t>
        </is>
      </c>
      <c r="B134" t="inlineStr">
        <is>
          <t>NEFT RETURN-INCORRECT ACCOUNT NUMBER-SRI HANUMAN AGENCIES-KVBLN52025102346825366</t>
        </is>
      </c>
      <c r="C134" t="inlineStr">
        <is>
          <t>HDFCN52025102352676639</t>
        </is>
      </c>
      <c r="D134" t="inlineStr">
        <is>
          <t>23/10/25</t>
        </is>
      </c>
      <c r="F134" t="n">
        <v>7021</v>
      </c>
      <c r="G134" t="n">
        <v>30989.99</v>
      </c>
    </row>
    <row r="135" hidden="1" s="135">
      <c r="A135" t="inlineStr">
        <is>
          <t>24/10/25</t>
        </is>
      </c>
      <c r="B135" t="inlineStr">
        <is>
          <t>NEFT CR-YESB0000001-ONE 97 COMMUNICATIONS LIMITED SETTL-ROCKTAIL HOSPITALITY SERVICES-YESBN12025102401591171</t>
        </is>
      </c>
      <c r="C135" t="inlineStr">
        <is>
          <t>YESBN12025102401591171</t>
        </is>
      </c>
      <c r="D135" t="inlineStr">
        <is>
          <t>24/10/25</t>
        </is>
      </c>
      <c r="F135" t="n">
        <v>19480</v>
      </c>
      <c r="G135" t="n">
        <v>50469.99</v>
      </c>
    </row>
    <row r="136" hidden="1" s="135">
      <c r="A136" t="inlineStr">
        <is>
          <t>24/10/25</t>
        </is>
      </c>
      <c r="B136" t="inlineStr">
        <is>
          <t>42552394TERMINAL 1 CARDS SETTL. 24/10/25</t>
        </is>
      </c>
      <c r="C136" t="inlineStr">
        <is>
          <t>000000000000000</t>
        </is>
      </c>
      <c r="D136" t="inlineStr">
        <is>
          <t>24/10/25</t>
        </is>
      </c>
      <c r="F136" t="n">
        <v>1323.06</v>
      </c>
      <c r="G136" t="n">
        <v>51793.05</v>
      </c>
    </row>
    <row r="137" hidden="1" s="135">
      <c r="A137" t="inlineStr">
        <is>
          <t>24/10/25</t>
        </is>
      </c>
      <c r="B137" t="inlineStr">
        <is>
          <t>NEFT CR-YESB0000001-SWIGGY LIMITED-ROCKTAIL HOSPITALITY SERVICES-YESBN12025102404916414</t>
        </is>
      </c>
      <c r="C137" t="inlineStr">
        <is>
          <t>YESBN12025102404916414</t>
        </is>
      </c>
      <c r="D137" t="inlineStr">
        <is>
          <t>24/10/25</t>
        </is>
      </c>
      <c r="F137" t="n">
        <v>32984.19</v>
      </c>
      <c r="G137" t="n">
        <v>84777.24000000001</v>
      </c>
    </row>
    <row r="138" hidden="1" s="135">
      <c r="A138" t="inlineStr">
        <is>
          <t>24/10/25</t>
        </is>
      </c>
      <c r="B138" t="inlineStr">
        <is>
          <t>UPI-CHIVUKULA UPENDER SH-8332842446@YESCRED-HDFC0009608-566340339670-DIWALI PUJA</t>
        </is>
      </c>
      <c r="C138" t="inlineStr">
        <is>
          <t>0000566340339670</t>
        </is>
      </c>
      <c r="D138" t="inlineStr">
        <is>
          <t>24/10/25</t>
        </is>
      </c>
      <c r="E138" t="n">
        <v>3000</v>
      </c>
      <c r="G138" t="n">
        <v>81777.24000000001</v>
      </c>
    </row>
    <row r="139" hidden="1" s="135">
      <c r="A139" t="inlineStr">
        <is>
          <t>25/10/25</t>
        </is>
      </c>
      <c r="B139" t="inlineStr">
        <is>
          <t>NEFT CR-YESB0000001-ONE 97 COMMUNICATIONS LIMITED SETTL-ROCKTAIL HOSPITALITY SERVICES-YESBN12025102501315902</t>
        </is>
      </c>
      <c r="C139" t="inlineStr">
        <is>
          <t>YESBN12025102501315902</t>
        </is>
      </c>
      <c r="D139" t="inlineStr">
        <is>
          <t>25/10/25</t>
        </is>
      </c>
      <c r="F139" t="n">
        <v>36652.21</v>
      </c>
      <c r="G139" t="n">
        <v>118429.45</v>
      </c>
    </row>
    <row r="140" hidden="1" s="135">
      <c r="A140" t="inlineStr">
        <is>
          <t>25/10/25</t>
        </is>
      </c>
      <c r="B140" t="inlineStr">
        <is>
          <t>NEFT CR-UTIB0001506-PHONEPE LIMITED-PAYMENT AGGREGATOR ESCROW ACCOUNT-ROCKTAIL HOSPITALITY-UTIBN62025102546303839</t>
        </is>
      </c>
      <c r="C140" t="inlineStr">
        <is>
          <t>UTIBN62025102546303839</t>
        </is>
      </c>
      <c r="D140" t="inlineStr">
        <is>
          <t>25/10/25</t>
        </is>
      </c>
      <c r="F140" t="n">
        <v>220</v>
      </c>
      <c r="G140" t="n">
        <v>118649.45</v>
      </c>
    </row>
    <row r="141" hidden="1" s="135">
      <c r="A141" t="inlineStr">
        <is>
          <t>26/10/25</t>
        </is>
      </c>
      <c r="B141" t="inlineStr">
        <is>
          <t>NEFT CR-YESB0000001-ONE 97 COMMUNICATIONS LIMITED SETTL-ROCKTAIL HOSPITALITY SERVICES-YESBN12025102601257886</t>
        </is>
      </c>
      <c r="C141" t="inlineStr">
        <is>
          <t>YESBN12025102601257886</t>
        </is>
      </c>
      <c r="D141" t="inlineStr">
        <is>
          <t>26/10/25</t>
        </is>
      </c>
      <c r="F141" t="n">
        <v>49021.23</v>
      </c>
      <c r="G141" t="n">
        <v>167670.68</v>
      </c>
    </row>
    <row r="142" hidden="1" s="135">
      <c r="A142" t="inlineStr">
        <is>
          <t>26/10/25</t>
        </is>
      </c>
      <c r="B142" t="inlineStr">
        <is>
          <t>NEFT CR-UTIB0001506-PHONEPE LIMITED-PAYMENT AGGREGATOR ESCROW ACCOUNT-ROCKTAIL HOSPITALITY-UTIBN62025102656587443</t>
        </is>
      </c>
      <c r="C142" t="inlineStr">
        <is>
          <t>UTIBN62025102656587443</t>
        </is>
      </c>
      <c r="D142" t="inlineStr">
        <is>
          <t>26/10/25</t>
        </is>
      </c>
      <c r="F142" t="n">
        <v>110</v>
      </c>
      <c r="G142" t="n">
        <v>167780.68</v>
      </c>
    </row>
    <row r="143" hidden="1" s="135">
      <c r="A143" t="inlineStr">
        <is>
          <t>26/10/25</t>
        </is>
      </c>
      <c r="B143" t="inlineStr">
        <is>
          <t>42552394TERMINAL 1 CARDS SETTL. 26/10/25</t>
        </is>
      </c>
      <c r="C143" t="inlineStr">
        <is>
          <t>000000000000000</t>
        </is>
      </c>
      <c r="D143" t="inlineStr">
        <is>
          <t>26/10/25</t>
        </is>
      </c>
      <c r="F143" t="n">
        <v>23146.27</v>
      </c>
      <c r="G143" t="n">
        <v>190926.95</v>
      </c>
    </row>
    <row r="144" hidden="1" s="135">
      <c r="A144" t="inlineStr">
        <is>
          <t>26/10/25</t>
        </is>
      </c>
      <c r="B144" t="inlineStr">
        <is>
          <t>IMPS-529912104492-HOUSE PARTY-HDFC-XXXXXXXXXX7641-ELECTRICITY BILL</t>
        </is>
      </c>
      <c r="C144" t="inlineStr">
        <is>
          <t>0000529912104492</t>
        </is>
      </c>
      <c r="D144" t="inlineStr">
        <is>
          <t>26/10/25</t>
        </is>
      </c>
      <c r="E144" t="n">
        <v>117500</v>
      </c>
      <c r="G144" t="n">
        <v>73426.95</v>
      </c>
    </row>
    <row r="145" hidden="1" s="135">
      <c r="A145" t="inlineStr">
        <is>
          <t>26/10/25</t>
        </is>
      </c>
      <c r="B145" t="inlineStr">
        <is>
          <t>UPI-P ARUN KUMAR-93937475761967@IBL-BARB0ASRAON-113226240320-STAFF RENT</t>
        </is>
      </c>
      <c r="C145" t="inlineStr">
        <is>
          <t>0000113226240320</t>
        </is>
      </c>
      <c r="D145" t="inlineStr">
        <is>
          <t>26/10/25</t>
        </is>
      </c>
      <c r="E145" t="n">
        <v>12751</v>
      </c>
      <c r="G145" t="n">
        <v>60675.95</v>
      </c>
    </row>
    <row r="146" hidden="1" s="135">
      <c r="A146" t="inlineStr">
        <is>
          <t>26/10/25</t>
        </is>
      </c>
      <c r="B146" t="inlineStr">
        <is>
          <t>UPI-SUJOY GHOSH-GSUJOY009@OKHDFCBANK-HDFC0009383-566540142891-STAFF ROOM</t>
        </is>
      </c>
      <c r="C146" t="inlineStr">
        <is>
          <t>0000566540142891</t>
        </is>
      </c>
      <c r="D146" t="inlineStr">
        <is>
          <t>26/10/25</t>
        </is>
      </c>
      <c r="E146" t="n">
        <v>8000</v>
      </c>
      <c r="G146" t="n">
        <v>52675.95</v>
      </c>
    </row>
    <row r="147" hidden="1" s="135">
      <c r="A147" t="inlineStr">
        <is>
          <t>27/10/25</t>
        </is>
      </c>
      <c r="B147" t="inlineStr">
        <is>
          <t>NEFT CR-YESB0000001-ONE 97 COMMUNICATIONS LIMITED SETTL-ROCKTAIL HOSPITALITY SERVICES-YESBN12025102702384026</t>
        </is>
      </c>
      <c r="C147" t="inlineStr">
        <is>
          <t>YESBN12025102702384026</t>
        </is>
      </c>
      <c r="D147" t="inlineStr">
        <is>
          <t>27/10/25</t>
        </is>
      </c>
      <c r="F147" t="n">
        <v>63344.01</v>
      </c>
      <c r="G147" t="n">
        <v>116019.96</v>
      </c>
    </row>
    <row r="148" hidden="1" s="135">
      <c r="A148" t="inlineStr">
        <is>
          <t>27/10/25</t>
        </is>
      </c>
      <c r="B148" t="inlineStr">
        <is>
          <t>NEFT CR-UTIB0001506-PHONEPE LIMITED-PAYMENT AGGREGATOR ESCROW ACCOUNT-ROCKTAIL HOSPITALITY-UTIBN62025102766283201</t>
        </is>
      </c>
      <c r="C148" t="inlineStr">
        <is>
          <t>UTIBN62025102766283201</t>
        </is>
      </c>
      <c r="D148" t="inlineStr">
        <is>
          <t>27/10/25</t>
        </is>
      </c>
      <c r="F148" t="n">
        <v>330</v>
      </c>
      <c r="G148" t="n">
        <v>116349.96</v>
      </c>
    </row>
    <row r="149" hidden="1" s="135">
      <c r="A149" t="inlineStr">
        <is>
          <t>27/10/25</t>
        </is>
      </c>
      <c r="B149" t="inlineStr">
        <is>
          <t>42552394TERMINAL 1 CARDS SETTL. 27/10/25</t>
        </is>
      </c>
      <c r="C149" t="inlineStr">
        <is>
          <t>000000000000000</t>
        </is>
      </c>
      <c r="D149" t="inlineStr">
        <is>
          <t>27/10/25</t>
        </is>
      </c>
      <c r="F149" t="n">
        <v>14880.3</v>
      </c>
      <c r="G149" t="n">
        <v>131230.26</v>
      </c>
    </row>
    <row r="150" hidden="1" s="135">
      <c r="A150" t="inlineStr">
        <is>
          <t>27/10/25</t>
        </is>
      </c>
      <c r="B150" t="inlineStr">
        <is>
          <t>UPI-SATYAJIT   JAUR-SATYAJITJAUR@OKICICI-KKBK0000565-113256799309-LOVE BAKERY</t>
        </is>
      </c>
      <c r="C150" t="inlineStr">
        <is>
          <t>0000113256799309</t>
        </is>
      </c>
      <c r="D150" t="inlineStr">
        <is>
          <t>27/10/25</t>
        </is>
      </c>
      <c r="E150" t="n">
        <v>10318</v>
      </c>
      <c r="G150" t="n">
        <v>120912.26</v>
      </c>
    </row>
    <row r="151">
      <c r="A151" t="inlineStr">
        <is>
          <t>27/10/25</t>
        </is>
      </c>
      <c r="B151" t="inlineStr">
        <is>
          <t>NEFT CR-CITI0000002-ETERNAL LIMITED-ROCKTAIL HOSPITALITY SERVICES-CITIN52025102744279131</t>
        </is>
      </c>
      <c r="C151" t="inlineStr">
        <is>
          <t>CITIN52025102744279131</t>
        </is>
      </c>
      <c r="D151" t="inlineStr">
        <is>
          <t>27/10/25</t>
        </is>
      </c>
      <c r="F151" t="n">
        <v>65157.11</v>
      </c>
      <c r="G151" t="n">
        <v>186069.37</v>
      </c>
    </row>
    <row r="152" hidden="1" s="135">
      <c r="A152" t="inlineStr">
        <is>
          <t>27/10/25</t>
        </is>
      </c>
      <c r="B152" t="inlineStr">
        <is>
          <t>UPI-CHURROLTO FOODS PRIV-CHURROLTO@YBL-HDFC0003974-113265686087-CHUROLTO PURCHASE</t>
        </is>
      </c>
      <c r="C152" t="inlineStr">
        <is>
          <t>0000113265686087</t>
        </is>
      </c>
      <c r="D152" t="inlineStr">
        <is>
          <t>27/10/25</t>
        </is>
      </c>
      <c r="E152" t="n">
        <v>17591</v>
      </c>
      <c r="G152" t="n">
        <v>168478.37</v>
      </c>
    </row>
    <row r="153" hidden="1" s="135">
      <c r="A153" t="inlineStr">
        <is>
          <t>28/10/25</t>
        </is>
      </c>
      <c r="B153" t="inlineStr">
        <is>
          <t>NEFT CR-YESB0000001-ONE 97 COMMUNICATIONS LIMITED SETTL-ROCKTAIL HOSPITALITY SERVICES-YESBN12025102800759935</t>
        </is>
      </c>
      <c r="C153" t="inlineStr">
        <is>
          <t>YESBN12025102800759935</t>
        </is>
      </c>
      <c r="D153" t="inlineStr">
        <is>
          <t>28/10/25</t>
        </is>
      </c>
      <c r="F153" t="n">
        <v>23074.76</v>
      </c>
      <c r="G153" t="n">
        <v>191553.13</v>
      </c>
    </row>
    <row r="154" hidden="1" s="135">
      <c r="A154" t="inlineStr">
        <is>
          <t>28/10/25</t>
        </is>
      </c>
      <c r="B154" t="inlineStr">
        <is>
          <t>42552394TERMINAL 1 CARDS SETTL. 28/10/25</t>
        </is>
      </c>
      <c r="C154" t="inlineStr">
        <is>
          <t>000000000000000</t>
        </is>
      </c>
      <c r="D154" t="inlineStr">
        <is>
          <t>28/10/25</t>
        </is>
      </c>
      <c r="F154" t="n">
        <v>11638.87</v>
      </c>
      <c r="G154" t="n">
        <v>203192</v>
      </c>
    </row>
    <row r="155" hidden="1" s="135">
      <c r="A155" t="inlineStr">
        <is>
          <t>28/10/25</t>
        </is>
      </c>
      <c r="B155" t="inlineStr">
        <is>
          <t>UPI-GAMPA AMBA PRASAD-PRASADUCANMAIL@OKHDFCBANK-HDFC0004262-113296668851-MILK VENDOR</t>
        </is>
      </c>
      <c r="C155" t="inlineStr">
        <is>
          <t>0000113296668851</t>
        </is>
      </c>
      <c r="D155" t="inlineStr">
        <is>
          <t>28/10/25</t>
        </is>
      </c>
      <c r="E155" t="n">
        <v>3570</v>
      </c>
      <c r="G155" t="n">
        <v>199622</v>
      </c>
    </row>
    <row r="156" hidden="1" s="135">
      <c r="A156" t="inlineStr">
        <is>
          <t>28/10/25</t>
        </is>
      </c>
      <c r="B156" t="inlineStr">
        <is>
          <t>NEFT CR-YESB0000001-SWIGGY LIMITED-ROCKTAIL HOSPITALITY SERVICES-YESBN12025102805002383</t>
        </is>
      </c>
      <c r="C156" t="inlineStr">
        <is>
          <t>YESBN12025102805002383</t>
        </is>
      </c>
      <c r="D156" t="inlineStr">
        <is>
          <t>28/10/25</t>
        </is>
      </c>
      <c r="F156" t="n">
        <v>58109.58</v>
      </c>
      <c r="G156" t="n">
        <v>257731.58</v>
      </c>
    </row>
    <row r="157" hidden="1" s="135">
      <c r="A157" t="inlineStr">
        <is>
          <t>29/10/25</t>
        </is>
      </c>
      <c r="B157" t="inlineStr">
        <is>
          <t>UPI-AIRTEL-AIRTEL4.PAYU@ICICI-ICIC0DC0099-530274291644-UPI MANDATE</t>
        </is>
      </c>
      <c r="C157" t="inlineStr">
        <is>
          <t>0000530274291644</t>
        </is>
      </c>
      <c r="D157" t="inlineStr">
        <is>
          <t>29/10/25</t>
        </is>
      </c>
      <c r="E157" t="n">
        <v>4718.82</v>
      </c>
      <c r="G157" t="n">
        <v>253012.76</v>
      </c>
    </row>
    <row r="158" hidden="1" s="135">
      <c r="A158" t="inlineStr">
        <is>
          <t>29/10/25</t>
        </is>
      </c>
      <c r="B158" t="inlineStr">
        <is>
          <t>NEFT CR-YESB0000001-ONE 97 COMMUNICATIONS LIMITED SETTL-ROCKTAIL HOSPITALITY SERVICES-YESBN12025102900875545</t>
        </is>
      </c>
      <c r="C158" t="inlineStr">
        <is>
          <t>YESBN12025102900875545</t>
        </is>
      </c>
      <c r="D158" t="inlineStr">
        <is>
          <t>29/10/25</t>
        </is>
      </c>
      <c r="F158" t="n">
        <v>20033.91</v>
      </c>
      <c r="G158" t="n">
        <v>273046.67</v>
      </c>
    </row>
    <row r="159" hidden="1" s="135">
      <c r="A159" t="inlineStr">
        <is>
          <t>29/10/25</t>
        </is>
      </c>
      <c r="B159" t="inlineStr">
        <is>
          <t>NEFT CR-UTIB0001506-PHONEPE LIMITED-PAYMENT AGGREGATOR ESCROW ACCOUNT-ROCKTAIL HOSPITALITY-UTIBN62025102988649977</t>
        </is>
      </c>
      <c r="C159" t="inlineStr">
        <is>
          <t>UTIBN62025102988649977</t>
        </is>
      </c>
      <c r="D159" t="inlineStr">
        <is>
          <t>29/10/25</t>
        </is>
      </c>
      <c r="F159" t="n">
        <v>286</v>
      </c>
      <c r="G159" t="n">
        <v>273332.67</v>
      </c>
    </row>
    <row r="160" hidden="1" s="135">
      <c r="A160" t="inlineStr">
        <is>
          <t>29/10/25</t>
        </is>
      </c>
      <c r="B160" t="inlineStr">
        <is>
          <t>42552394TERMINAL 1 CARDS SETTL. 29/10/25</t>
        </is>
      </c>
      <c r="C160" t="inlineStr">
        <is>
          <t>000000000000000</t>
        </is>
      </c>
      <c r="D160" t="inlineStr">
        <is>
          <t>29/10/25</t>
        </is>
      </c>
      <c r="F160" t="n">
        <v>5616.99</v>
      </c>
      <c r="G160" t="n">
        <v>278949.66</v>
      </c>
    </row>
    <row r="161" hidden="1" s="135">
      <c r="A161" t="inlineStr">
        <is>
          <t>29/10/25</t>
        </is>
      </c>
      <c r="B161" t="inlineStr">
        <is>
          <t>UPI-SHREY SINGH-SHREYSINGH0501-1@OKHDFCBANK-HDFC0004216-113331491172-LEGAL</t>
        </is>
      </c>
      <c r="C161" t="inlineStr">
        <is>
          <t>0000113331491172</t>
        </is>
      </c>
      <c r="D161" t="inlineStr">
        <is>
          <t>29/10/25</t>
        </is>
      </c>
      <c r="E161" t="n">
        <v>2500</v>
      </c>
      <c r="G161" t="n">
        <v>276449.66</v>
      </c>
    </row>
    <row r="162" hidden="1" s="135">
      <c r="A162" t="inlineStr">
        <is>
          <t>29/10/25</t>
        </is>
      </c>
      <c r="B162" t="inlineStr">
        <is>
          <t>UPI-GHANSHYAM TAK-9032357065TAK-1@OKHDFCBANK-BARB0CHILAK-566868538255-DIWALI SWEETS</t>
        </is>
      </c>
      <c r="C162" t="inlineStr">
        <is>
          <t>0000566868538255</t>
        </is>
      </c>
      <c r="D162" t="inlineStr">
        <is>
          <t>29/10/25</t>
        </is>
      </c>
      <c r="E162" t="n">
        <v>5460</v>
      </c>
      <c r="G162" t="n">
        <v>270989.66</v>
      </c>
    </row>
    <row r="163" hidden="1" s="135">
      <c r="A163" t="inlineStr">
        <is>
          <t>29/10/25</t>
        </is>
      </c>
      <c r="B163" t="inlineStr">
        <is>
          <t>NEFT CR-UTIB0000052-BUNDL TECHNOLOGIES PRIVATE LIMITED-ROCKTAIL HOSPITALITY SERVICES-UTIBN62025102990401735</t>
        </is>
      </c>
      <c r="C163" t="inlineStr">
        <is>
          <t>UTIBN62025102990401735</t>
        </is>
      </c>
      <c r="D163" t="inlineStr">
        <is>
          <t>29/10/25</t>
        </is>
      </c>
      <c r="F163" t="n">
        <v>36388.42</v>
      </c>
      <c r="G163" t="n">
        <v>307378.08</v>
      </c>
    </row>
    <row r="164">
      <c r="A164" t="inlineStr">
        <is>
          <t>29/10/25</t>
        </is>
      </c>
      <c r="B164" t="inlineStr">
        <is>
          <t>NEFT CR-CITI0000002-ETERNAL LIMITED-ROCKTAIL HOSPITALITY SERVICES-CITIN52025102945837468</t>
        </is>
      </c>
      <c r="C164" t="inlineStr">
        <is>
          <t>CITIN52025102945837468</t>
        </is>
      </c>
      <c r="D164" t="inlineStr">
        <is>
          <t>29/10/25</t>
        </is>
      </c>
      <c r="F164" t="n">
        <v>65058.96</v>
      </c>
      <c r="G164" t="n">
        <v>372437.04</v>
      </c>
    </row>
    <row r="165" hidden="1" s="135">
      <c r="A165" t="inlineStr">
        <is>
          <t>30/10/25</t>
        </is>
      </c>
      <c r="B165" t="inlineStr">
        <is>
          <t>NEFT CR-YESB0000001-ONE 97 COMMUNICATIONS LIMITED SETTL-ROCKTAIL HOSPITALITY SERVICES-YESBN12025103001214775</t>
        </is>
      </c>
      <c r="C165" t="inlineStr">
        <is>
          <t>YESBN12025103001214775</t>
        </is>
      </c>
      <c r="D165" t="inlineStr">
        <is>
          <t>30/10/25</t>
        </is>
      </c>
      <c r="F165" t="n">
        <v>18326</v>
      </c>
      <c r="G165" t="n">
        <v>390763.04</v>
      </c>
    </row>
    <row r="166" hidden="1" s="135">
      <c r="A166" t="inlineStr">
        <is>
          <t>30/10/25</t>
        </is>
      </c>
      <c r="B166" t="inlineStr">
        <is>
          <t>NEFT CR-UTIB0001506-PHONEPE LIMITED-PAYMENT AGGREGATOR ESCROW ACCOUNT-ROCKTAIL HOSPITALITY-UTIBN62025103000023706</t>
        </is>
      </c>
      <c r="C166" t="inlineStr">
        <is>
          <t>UTIBN62025103000023706</t>
        </is>
      </c>
      <c r="D166" t="inlineStr">
        <is>
          <t>30/10/25</t>
        </is>
      </c>
      <c r="F166" t="n">
        <v>110</v>
      </c>
      <c r="G166" t="n">
        <v>390873.04</v>
      </c>
    </row>
    <row r="167" hidden="1" s="135">
      <c r="A167" t="inlineStr">
        <is>
          <t>30/10/25</t>
        </is>
      </c>
      <c r="B167" t="inlineStr">
        <is>
          <t>42552394TERMINAL 1 CARDS SETTL. 30/10/25</t>
        </is>
      </c>
      <c r="C167" t="inlineStr">
        <is>
          <t>000000000000000</t>
        </is>
      </c>
      <c r="D167" t="inlineStr">
        <is>
          <t>30/10/25</t>
        </is>
      </c>
      <c r="F167" t="n">
        <v>9881.709999999999</v>
      </c>
      <c r="G167" t="n">
        <v>400754.75</v>
      </c>
    </row>
    <row r="168" hidden="1" s="135">
      <c r="A168" t="inlineStr">
        <is>
          <t>30/10/25</t>
        </is>
      </c>
      <c r="B168" t="inlineStr">
        <is>
          <t>UPI-BUTUKURI CHANDRA RED-CHREDDY332@IBL-UBIN0803944-530301632344-BENNE LEAF</t>
        </is>
      </c>
      <c r="C168" t="inlineStr">
        <is>
          <t>0000530301632344</t>
        </is>
      </c>
      <c r="D168" t="inlineStr">
        <is>
          <t>30/10/25</t>
        </is>
      </c>
      <c r="E168" t="n">
        <v>2000</v>
      </c>
      <c r="G168" t="n">
        <v>398754.75</v>
      </c>
    </row>
    <row r="169" hidden="1" s="135">
      <c r="A169" t="inlineStr">
        <is>
          <t>30/10/25</t>
        </is>
      </c>
      <c r="B169" t="inlineStr">
        <is>
          <t>UPI-BUTUKURI CHANDRA RED-CHREDDY332@IBL-UBIN0803944-566942126755-BENNE</t>
        </is>
      </c>
      <c r="C169" t="inlineStr">
        <is>
          <t>0000566942126755</t>
        </is>
      </c>
      <c r="D169" t="inlineStr">
        <is>
          <t>30/10/25</t>
        </is>
      </c>
      <c r="E169" t="n">
        <v>100</v>
      </c>
      <c r="G169" t="n">
        <v>398654.75</v>
      </c>
    </row>
    <row r="170" hidden="1" s="135">
      <c r="A170" t="inlineStr">
        <is>
          <t>30/10/25</t>
        </is>
      </c>
      <c r="B170" t="inlineStr">
        <is>
          <t>NEFT DR-UTIB0003241-SRINIVAS AGENCY-NETBANK, MUM-HDFCN52025103063055650-JULY VENDOR</t>
        </is>
      </c>
      <c r="C170" t="inlineStr">
        <is>
          <t>HDFCN52025103063055650</t>
        </is>
      </c>
      <c r="D170" t="inlineStr">
        <is>
          <t>30/10/25</t>
        </is>
      </c>
      <c r="E170" t="n">
        <v>150788</v>
      </c>
      <c r="G170" t="n">
        <v>247866.75</v>
      </c>
    </row>
    <row r="171" hidden="1" s="135">
      <c r="A171" t="inlineStr">
        <is>
          <t>30/10/25</t>
        </is>
      </c>
      <c r="B171" t="inlineStr">
        <is>
          <t>UPI-DIGGYREDDY KUSHAL RE-9908441203@YBL-HDFC0004343-113388314228-GAS VENDOR</t>
        </is>
      </c>
      <c r="C171" t="inlineStr">
        <is>
          <t>0000113388314228</t>
        </is>
      </c>
      <c r="D171" t="inlineStr">
        <is>
          <t>30/10/25</t>
        </is>
      </c>
      <c r="E171" t="n">
        <v>71380</v>
      </c>
      <c r="G171" t="n">
        <v>176486.75</v>
      </c>
    </row>
    <row r="172" hidden="1" s="135">
      <c r="A172" t="inlineStr">
        <is>
          <t>31/10/25</t>
        </is>
      </c>
      <c r="B172" t="inlineStr">
        <is>
          <t>NEFT CR-YESB0000001-ONE 97 COMMUNICATIONS LIMITED SETTL-ROCKTAIL HOSPITALITY SERVICES-YESBN12025103101226643</t>
        </is>
      </c>
      <c r="C172" t="inlineStr">
        <is>
          <t>YESBN12025103101226643</t>
        </is>
      </c>
      <c r="D172" t="inlineStr">
        <is>
          <t>31/10/25</t>
        </is>
      </c>
      <c r="F172" t="n">
        <v>32765.24</v>
      </c>
      <c r="G172" t="n">
        <v>209251.99</v>
      </c>
    </row>
    <row r="173" hidden="1" s="135">
      <c r="A173" t="inlineStr">
        <is>
          <t>31/10/25</t>
        </is>
      </c>
      <c r="B173" t="inlineStr">
        <is>
          <t>42552394TERMINAL 1 CARDS SETTL. 31/10/25</t>
        </is>
      </c>
      <c r="C173" t="inlineStr">
        <is>
          <t>000000000000000</t>
        </is>
      </c>
      <c r="D173" t="inlineStr">
        <is>
          <t>31/10/25</t>
        </is>
      </c>
      <c r="F173" t="n">
        <v>8133.02</v>
      </c>
      <c r="G173" t="n">
        <v>217385.01</v>
      </c>
    </row>
    <row r="174"/>
    <row r="175"/>
    <row r="176"/>
    <row r="177"/>
    <row r="178"/>
  </sheetData>
  <autoFilter ref="A10:G173">
    <filterColumn colId="1" hiddenButton="0" showButton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114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55432</v>
      </c>
      <c r="P2" t="n">
        <v>0</v>
      </c>
      <c r="Q2" t="n">
        <v>0</v>
      </c>
      <c r="R2" t="n">
        <v>10700.6</v>
      </c>
      <c r="S2" t="n">
        <v>3780.040000000001</v>
      </c>
      <c r="T2" t="n">
        <v>0</v>
      </c>
      <c r="U2" t="n">
        <v>0</v>
      </c>
      <c r="V2" t="n">
        <v>2047.840000000001</v>
      </c>
      <c r="W2" t="n">
        <v>42999.2</v>
      </c>
      <c r="X2" t="n">
        <v>40951.35999999999</v>
      </c>
      <c r="Y2" t="n">
        <v>0</v>
      </c>
      <c r="Z2" t="n">
        <v>0</v>
      </c>
      <c r="AA2" t="n">
        <v>40951.35999999999</v>
      </c>
      <c r="AB2" t="n">
        <v>2507</v>
      </c>
      <c r="AC2" t="n">
        <v>9418.730000000003</v>
      </c>
      <c r="AD2" t="n">
        <v>378.91</v>
      </c>
      <c r="AE2" t="n">
        <v>1000</v>
      </c>
      <c r="AF2" t="n">
        <v>0</v>
      </c>
      <c r="AG2" t="n">
        <v>245.85</v>
      </c>
      <c r="AH2" t="n">
        <v>791.28</v>
      </c>
      <c r="AI2" t="n">
        <v>10964.16</v>
      </c>
      <c r="AJ2" t="n">
        <v>1973.56</v>
      </c>
      <c r="AK2" t="n">
        <v>0</v>
      </c>
      <c r="AL2" t="n">
        <v>40951.35999999999</v>
      </c>
      <c r="AM2" t="n">
        <v>0</v>
      </c>
      <c r="AN2" t="n">
        <v>0</v>
      </c>
      <c r="AO2" t="n">
        <v>40.99</v>
      </c>
      <c r="AP2" t="n">
        <v>2047.71</v>
      </c>
      <c r="AQ2" t="n">
        <v>0.13</v>
      </c>
      <c r="AR2" t="n">
        <v>4062.259999999998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866.5800000000002</v>
      </c>
      <c r="AY2" t="n">
        <v>0</v>
      </c>
      <c r="AZ2" t="n">
        <v>0</v>
      </c>
      <c r="BA2" t="n">
        <v>866.5800000000002</v>
      </c>
      <c r="BB2" t="n">
        <v>15893</v>
      </c>
      <c r="BC2" t="n">
        <v>0</v>
      </c>
      <c r="BD2" t="n">
        <v>27106.19999999999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65409.75999999999</v>
      </c>
      <c r="P3" t="n">
        <v>0</v>
      </c>
      <c r="Q3" t="n">
        <v>0</v>
      </c>
      <c r="R3" t="n">
        <v>12626.708</v>
      </c>
      <c r="S3" t="n">
        <v>4460.447200000001</v>
      </c>
      <c r="T3" t="n">
        <v>0</v>
      </c>
      <c r="U3" t="n">
        <v>0</v>
      </c>
      <c r="V3" t="n">
        <v>2416.451200000001</v>
      </c>
      <c r="W3" t="n">
        <v>50739.056</v>
      </c>
      <c r="X3" t="n">
        <v>48322.60479999998</v>
      </c>
      <c r="Y3" t="n">
        <v>0</v>
      </c>
      <c r="Z3" t="n">
        <v>0</v>
      </c>
      <c r="AA3" t="n">
        <v>48322.60479999998</v>
      </c>
      <c r="AB3" t="n">
        <v>2958.26</v>
      </c>
      <c r="AC3" t="n">
        <v>11114.1014</v>
      </c>
      <c r="AD3" t="n">
        <v>447.1138</v>
      </c>
      <c r="AE3" t="n">
        <v>1180</v>
      </c>
      <c r="AF3" t="n">
        <v>0</v>
      </c>
      <c r="AG3" t="n">
        <v>290.103</v>
      </c>
      <c r="AH3" t="n">
        <v>933.7103999999999</v>
      </c>
      <c r="AI3" t="n">
        <v>12937.7088</v>
      </c>
      <c r="AJ3" t="n">
        <v>2328.8008</v>
      </c>
      <c r="AK3" t="n">
        <v>0</v>
      </c>
      <c r="AL3" t="n">
        <v>48322.60479999998</v>
      </c>
      <c r="AM3" t="n">
        <v>0</v>
      </c>
      <c r="AN3" t="n">
        <v>0</v>
      </c>
      <c r="AO3" t="n">
        <v>48.3682</v>
      </c>
      <c r="AP3" t="n">
        <v>2416.2978</v>
      </c>
      <c r="AQ3" t="n">
        <v>0.1534</v>
      </c>
      <c r="AR3" t="n">
        <v>4793.466799999997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1022.5644</v>
      </c>
      <c r="AY3" t="n">
        <v>0</v>
      </c>
      <c r="AZ3" t="n">
        <v>0</v>
      </c>
      <c r="BA3" t="n">
        <v>1022.5644</v>
      </c>
      <c r="BB3" t="n">
        <v>18753.74</v>
      </c>
      <c r="BC3" t="n">
        <v>0</v>
      </c>
      <c r="BD3" t="n">
        <v>31985.31599999999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55432</v>
      </c>
      <c r="P4" t="n">
        <v>0</v>
      </c>
      <c r="Q4" t="n">
        <v>0</v>
      </c>
      <c r="R4" t="n">
        <v>10700.6</v>
      </c>
      <c r="S4" t="n">
        <v>3780.040000000001</v>
      </c>
      <c r="T4" t="n">
        <v>0</v>
      </c>
      <c r="U4" t="n">
        <v>0</v>
      </c>
      <c r="V4" t="n">
        <v>2047.840000000001</v>
      </c>
      <c r="W4" t="n">
        <v>42999.2</v>
      </c>
      <c r="X4" t="n">
        <v>40951.35999999999</v>
      </c>
      <c r="Y4" t="n">
        <v>0</v>
      </c>
      <c r="Z4" t="n">
        <v>0</v>
      </c>
      <c r="AA4" t="n">
        <v>40951.35999999999</v>
      </c>
      <c r="AB4" t="n">
        <v>2507</v>
      </c>
      <c r="AC4" t="n">
        <v>9418.730000000003</v>
      </c>
      <c r="AD4" t="n">
        <v>378.91</v>
      </c>
      <c r="AE4" t="n">
        <v>1000</v>
      </c>
      <c r="AF4" t="n">
        <v>0</v>
      </c>
      <c r="AG4" t="n">
        <v>245.85</v>
      </c>
      <c r="AH4" t="n">
        <v>791.28</v>
      </c>
      <c r="AI4" t="n">
        <v>10964.16</v>
      </c>
      <c r="AJ4" t="n">
        <v>1973.56</v>
      </c>
      <c r="AK4" t="n">
        <v>0</v>
      </c>
      <c r="AL4" t="n">
        <v>40951.35999999999</v>
      </c>
      <c r="AM4" t="n">
        <v>0</v>
      </c>
      <c r="AN4" t="n">
        <v>0</v>
      </c>
      <c r="AO4" t="n">
        <v>40.99</v>
      </c>
      <c r="AP4" t="n">
        <v>2047.71</v>
      </c>
      <c r="AQ4" t="n">
        <v>0.13</v>
      </c>
      <c r="AR4" t="n">
        <v>4062.259999999998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866.5800000000002</v>
      </c>
      <c r="AY4" t="n">
        <v>0</v>
      </c>
      <c r="AZ4" t="n">
        <v>0</v>
      </c>
      <c r="BA4" t="n">
        <v>866.5800000000002</v>
      </c>
      <c r="BB4" t="n">
        <v>15893</v>
      </c>
      <c r="BC4" t="n">
        <v>0</v>
      </c>
      <c r="BD4" t="n">
        <v>27106.19999999999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7532588490</t>
        </is>
      </c>
      <c r="C6" t="inlineStr">
        <is>
          <t>2025-12-01 00:18:42</t>
        </is>
      </c>
      <c r="D6" t="inlineStr">
        <is>
          <t>49</t>
        </is>
      </c>
      <c r="E6" t="inlineStr">
        <is>
          <t>Baba Yaga Art Of Chinese - By Posh Foods</t>
        </is>
      </c>
      <c r="F6" t="inlineStr">
        <is>
          <t>20037890</t>
        </is>
      </c>
      <c r="G6" t="inlineStr">
        <is>
          <t>Flat ₹175 off (2025-11-26 - 2031-01-01)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9</t>
        </is>
      </c>
      <c r="O6" t="n">
        <v>650</v>
      </c>
      <c r="P6" t="n">
        <v>0</v>
      </c>
      <c r="Q6" t="n">
        <v>0</v>
      </c>
      <c r="R6" t="n">
        <v>122</v>
      </c>
      <c r="S6" t="n">
        <v>47.5</v>
      </c>
      <c r="T6" t="n">
        <v>0</v>
      </c>
      <c r="U6" t="n">
        <v>0</v>
      </c>
      <c r="V6" t="n">
        <v>24.03</v>
      </c>
      <c r="W6" t="n">
        <v>504.53</v>
      </c>
      <c r="X6" t="n">
        <v>480.5</v>
      </c>
      <c r="Y6" t="n">
        <v>0</v>
      </c>
      <c r="Z6" t="n">
        <v>0</v>
      </c>
      <c r="AA6" t="n">
        <v>480.5</v>
      </c>
      <c r="AB6" t="n">
        <v>23</v>
      </c>
      <c r="AC6" t="n">
        <v>110.52</v>
      </c>
      <c r="AD6" t="n">
        <v>5.51</v>
      </c>
      <c r="AE6" t="n">
        <v>20</v>
      </c>
      <c r="AF6" t="n">
        <v>0</v>
      </c>
      <c r="AG6" t="n">
        <v>0</v>
      </c>
      <c r="AH6" t="n">
        <v>9.279999999999999</v>
      </c>
      <c r="AI6" t="n">
        <v>139.8</v>
      </c>
      <c r="AJ6" t="n">
        <v>25.16</v>
      </c>
      <c r="AK6" t="n">
        <v>0</v>
      </c>
      <c r="AL6" t="n">
        <v>480.5</v>
      </c>
      <c r="AM6" t="n">
        <v>0</v>
      </c>
      <c r="AN6" t="n">
        <v>0</v>
      </c>
      <c r="AO6" t="n">
        <v>0.48</v>
      </c>
      <c r="AP6" t="n">
        <v>24.02</v>
      </c>
      <c r="AQ6" t="n">
        <v>0.01</v>
      </c>
      <c r="AR6" t="n">
        <v>49.66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56.7</v>
      </c>
      <c r="AY6" t="n">
        <v>0</v>
      </c>
      <c r="AZ6" t="n">
        <v>0</v>
      </c>
      <c r="BA6" t="n">
        <v>56.7</v>
      </c>
      <c r="BB6" t="n">
        <v>246.16</v>
      </c>
      <c r="BC6" t="n">
        <v>0</v>
      </c>
      <c r="BD6" t="n">
        <v>258.37</v>
      </c>
      <c r="BE6" t="inlineStr">
        <is>
          <t>settled</t>
        </is>
      </c>
      <c r="BF6" t="inlineStr">
        <is>
          <t>2025-12-10 05:30:00</t>
        </is>
      </c>
      <c r="BG6" t="inlineStr">
        <is>
          <t>CITIN25668340126</t>
        </is>
      </c>
      <c r="BH6" t="n">
        <v>0</v>
      </c>
      <c r="BI6" t="inlineStr">
        <is>
          <t>ea8294fcf9a9fbf05036d039acf603bf6973c142da85d9cd0fcb6ce55bc2db30</t>
        </is>
      </c>
    </row>
    <row r="7">
      <c r="A7" t="inlineStr">
        <is>
          <t>2</t>
        </is>
      </c>
      <c r="B7" t="inlineStr">
        <is>
          <t>7533796888</t>
        </is>
      </c>
      <c r="C7" t="inlineStr">
        <is>
          <t>2025-12-01 13:22:30</t>
        </is>
      </c>
      <c r="D7" t="inlineStr">
        <is>
          <t>49</t>
        </is>
      </c>
      <c r="E7" t="inlineStr">
        <is>
          <t>Baba Yaga Art Of Chinese - By Posh Foods</t>
        </is>
      </c>
      <c r="F7" t="inlineStr">
        <is>
          <t>20037890</t>
        </is>
      </c>
      <c r="G7" t="inlineStr">
        <is>
          <t>Flat ₹150 off (2025-11-26 - 2031-01-01)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9</t>
        </is>
      </c>
      <c r="O7" t="n">
        <v>645</v>
      </c>
      <c r="P7" t="n">
        <v>0</v>
      </c>
      <c r="Q7" t="n">
        <v>0</v>
      </c>
      <c r="R7" t="n">
        <v>150</v>
      </c>
      <c r="S7" t="n">
        <v>49.5</v>
      </c>
      <c r="T7" t="n">
        <v>0</v>
      </c>
      <c r="U7" t="n">
        <v>0</v>
      </c>
      <c r="V7" t="n">
        <v>22.28</v>
      </c>
      <c r="W7" t="n">
        <v>467.78</v>
      </c>
      <c r="X7" t="n">
        <v>445.5</v>
      </c>
      <c r="Y7" t="n">
        <v>0</v>
      </c>
      <c r="Z7" t="n">
        <v>0</v>
      </c>
      <c r="AA7" t="n">
        <v>445.5</v>
      </c>
      <c r="AB7" t="n">
        <v>23</v>
      </c>
      <c r="AC7" t="n">
        <v>102.46</v>
      </c>
      <c r="AD7" t="n">
        <v>2.38</v>
      </c>
      <c r="AE7" t="n">
        <v>0</v>
      </c>
      <c r="AF7" t="n">
        <v>0</v>
      </c>
      <c r="AG7" t="n">
        <v>0</v>
      </c>
      <c r="AH7" t="n">
        <v>8.609999999999999</v>
      </c>
      <c r="AI7" t="n">
        <v>111.07</v>
      </c>
      <c r="AJ7" t="n">
        <v>19.99</v>
      </c>
      <c r="AK7" t="n">
        <v>0</v>
      </c>
      <c r="AL7" t="n">
        <v>445.5</v>
      </c>
      <c r="AM7" t="n">
        <v>0</v>
      </c>
      <c r="AN7" t="n">
        <v>0</v>
      </c>
      <c r="AO7" t="n">
        <v>0.45</v>
      </c>
      <c r="AP7" t="n">
        <v>22.28</v>
      </c>
      <c r="AQ7" t="n">
        <v>0</v>
      </c>
      <c r="AR7" t="n">
        <v>42.72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153.79</v>
      </c>
      <c r="BC7" t="n">
        <v>0</v>
      </c>
      <c r="BD7" t="n">
        <v>313.99</v>
      </c>
      <c r="BE7" t="inlineStr">
        <is>
          <t>settled</t>
        </is>
      </c>
      <c r="BF7" t="inlineStr">
        <is>
          <t>2025-12-10 05:30:00</t>
        </is>
      </c>
      <c r="BG7" t="inlineStr">
        <is>
          <t>CITIN25668340126</t>
        </is>
      </c>
      <c r="BH7" t="n">
        <v>0</v>
      </c>
      <c r="BI7" t="inlineStr">
        <is>
          <t>eb0bc301b9860ec0aeb15c559f574af75e90fdac9dacc27042c8b1ae8549cfed</t>
        </is>
      </c>
    </row>
    <row r="8">
      <c r="A8" t="inlineStr">
        <is>
          <t>3</t>
        </is>
      </c>
      <c r="B8" t="inlineStr">
        <is>
          <t>7537869015</t>
        </is>
      </c>
      <c r="C8" t="inlineStr">
        <is>
          <t>2025-12-01 13:40:05</t>
        </is>
      </c>
      <c r="D8" t="inlineStr">
        <is>
          <t>49</t>
        </is>
      </c>
      <c r="E8" t="inlineStr">
        <is>
          <t>Baba Yaga Art Of Chinese - By Posh Foods</t>
        </is>
      </c>
      <c r="F8" t="inlineStr">
        <is>
          <t>20037890</t>
        </is>
      </c>
      <c r="G8" t="inlineStr">
        <is>
          <t>Flat ₹150 off (2025-11-26 - 2031-01-01)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9</t>
        </is>
      </c>
      <c r="O8" t="n">
        <v>739</v>
      </c>
      <c r="P8" t="n">
        <v>0</v>
      </c>
      <c r="Q8" t="n">
        <v>0</v>
      </c>
      <c r="R8" t="n">
        <v>150</v>
      </c>
      <c r="S8" t="n">
        <v>58.9</v>
      </c>
      <c r="T8" t="n">
        <v>0</v>
      </c>
      <c r="U8" t="n">
        <v>0</v>
      </c>
      <c r="V8" t="n">
        <v>26.51</v>
      </c>
      <c r="W8" t="n">
        <v>556.61</v>
      </c>
      <c r="X8" t="n">
        <v>530.1</v>
      </c>
      <c r="Y8" t="n">
        <v>0</v>
      </c>
      <c r="Z8" t="n">
        <v>0</v>
      </c>
      <c r="AA8" t="n">
        <v>530.1</v>
      </c>
      <c r="AB8" t="n">
        <v>23</v>
      </c>
      <c r="AC8" t="n">
        <v>121.92</v>
      </c>
      <c r="AD8" t="n">
        <v>4.84</v>
      </c>
      <c r="AE8" t="n">
        <v>20</v>
      </c>
      <c r="AF8" t="n">
        <v>0</v>
      </c>
      <c r="AG8" t="n">
        <v>0</v>
      </c>
      <c r="AH8" t="n">
        <v>10.24</v>
      </c>
      <c r="AI8" t="n">
        <v>152.16</v>
      </c>
      <c r="AJ8" t="n">
        <v>27.39</v>
      </c>
      <c r="AK8" t="n">
        <v>0</v>
      </c>
      <c r="AL8" t="n">
        <v>530.1</v>
      </c>
      <c r="AM8" t="n">
        <v>0</v>
      </c>
      <c r="AN8" t="n">
        <v>0</v>
      </c>
      <c r="AO8" t="n">
        <v>0.53</v>
      </c>
      <c r="AP8" t="n">
        <v>26.51</v>
      </c>
      <c r="AQ8" t="n">
        <v>0</v>
      </c>
      <c r="AR8" t="n">
        <v>54.43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206.59</v>
      </c>
      <c r="BC8" t="n">
        <v>0</v>
      </c>
      <c r="BD8" t="n">
        <v>350.02</v>
      </c>
      <c r="BE8" t="inlineStr">
        <is>
          <t>settled</t>
        </is>
      </c>
      <c r="BF8" t="inlineStr">
        <is>
          <t>2025-12-10 05:30:00</t>
        </is>
      </c>
      <c r="BG8" t="inlineStr">
        <is>
          <t>CITIN25668340126</t>
        </is>
      </c>
      <c r="BH8" t="n">
        <v>0</v>
      </c>
      <c r="BI8" t="inlineStr">
        <is>
          <t>8b72cef2526d5de138586cc490dab2d3d8452c84500724f4b3cddf4c86e23bf8</t>
        </is>
      </c>
    </row>
    <row r="9">
      <c r="A9" t="inlineStr">
        <is>
          <t>4</t>
        </is>
      </c>
      <c r="B9" t="inlineStr">
        <is>
          <t>7534594654</t>
        </is>
      </c>
      <c r="C9" t="inlineStr">
        <is>
          <t>2025-12-01 13:55:47</t>
        </is>
      </c>
      <c r="D9" t="inlineStr">
        <is>
          <t>49</t>
        </is>
      </c>
      <c r="E9" t="inlineStr">
        <is>
          <t>Baba Yaga Art Of Chinese - By Posh Foods</t>
        </is>
      </c>
      <c r="F9" t="inlineStr">
        <is>
          <t>20037890</t>
        </is>
      </c>
      <c r="G9" t="inlineStr">
        <is>
          <t>Flat ₹100 off (2025-11-26 - 2031-01-01)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9</t>
        </is>
      </c>
      <c r="O9" t="n">
        <v>265</v>
      </c>
      <c r="P9" t="n">
        <v>0</v>
      </c>
      <c r="Q9" t="n">
        <v>0</v>
      </c>
      <c r="R9" t="n">
        <v>70</v>
      </c>
      <c r="S9" t="n">
        <v>0</v>
      </c>
      <c r="T9" t="n">
        <v>0</v>
      </c>
      <c r="U9" t="n">
        <v>0</v>
      </c>
      <c r="V9" t="n">
        <v>9.75</v>
      </c>
      <c r="W9" t="n">
        <v>204.75</v>
      </c>
      <c r="X9" t="n">
        <v>195</v>
      </c>
      <c r="Y9" t="n">
        <v>0</v>
      </c>
      <c r="Z9" t="n">
        <v>0</v>
      </c>
      <c r="AA9" t="n">
        <v>195</v>
      </c>
      <c r="AB9" t="n">
        <v>23</v>
      </c>
      <c r="AC9" t="n">
        <v>44.85</v>
      </c>
      <c r="AD9" t="n">
        <v>6.67</v>
      </c>
      <c r="AE9" t="n">
        <v>40</v>
      </c>
      <c r="AF9" t="n">
        <v>0</v>
      </c>
      <c r="AG9" t="n">
        <v>26.35</v>
      </c>
      <c r="AH9" t="n">
        <v>3.77</v>
      </c>
      <c r="AI9" t="n">
        <v>62.27</v>
      </c>
      <c r="AJ9" t="n">
        <v>11.21</v>
      </c>
      <c r="AK9" t="n">
        <v>0</v>
      </c>
      <c r="AL9" t="n">
        <v>195</v>
      </c>
      <c r="AM9" t="n">
        <v>0</v>
      </c>
      <c r="AN9" t="n">
        <v>0</v>
      </c>
      <c r="AO9" t="n">
        <v>0.2</v>
      </c>
      <c r="AP9" t="n">
        <v>9.75</v>
      </c>
      <c r="AQ9" t="n">
        <v>0</v>
      </c>
      <c r="AR9" t="n">
        <v>21.16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83.43000000000001</v>
      </c>
      <c r="BC9" t="n">
        <v>0</v>
      </c>
      <c r="BD9" t="n">
        <v>121.32</v>
      </c>
      <c r="BE9" t="inlineStr">
        <is>
          <t>settled</t>
        </is>
      </c>
      <c r="BF9" t="inlineStr">
        <is>
          <t>2025-12-10 05:30:00</t>
        </is>
      </c>
      <c r="BG9" t="inlineStr">
        <is>
          <t>CITIN25668340126</t>
        </is>
      </c>
      <c r="BH9" t="n">
        <v>0</v>
      </c>
      <c r="BI9" t="inlineStr">
        <is>
          <t>b73bfc83e89e8268d0d2e6c03ec8e6fb2507abc5d598bbc28684bbfa8ac759fc</t>
        </is>
      </c>
    </row>
    <row r="10">
      <c r="A10" t="inlineStr">
        <is>
          <t>5</t>
        </is>
      </c>
      <c r="B10" t="inlineStr">
        <is>
          <t>7538016146</t>
        </is>
      </c>
      <c r="C10" t="inlineStr">
        <is>
          <t>2025-12-01 16:25:41</t>
        </is>
      </c>
      <c r="D10" t="inlineStr">
        <is>
          <t>49</t>
        </is>
      </c>
      <c r="E10" t="inlineStr">
        <is>
          <t>Baba Yaga Art Of Chinese - By Posh Foods</t>
        </is>
      </c>
      <c r="F10" t="inlineStr">
        <is>
          <t>20037890</t>
        </is>
      </c>
      <c r="G10" t="inlineStr">
        <is>
          <t>Flat ₹100 off (2025-11-26 - 2031-01-01)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9</t>
        </is>
      </c>
      <c r="O10" t="n">
        <v>335</v>
      </c>
      <c r="P10" t="n">
        <v>0</v>
      </c>
      <c r="Q10" t="n">
        <v>0</v>
      </c>
      <c r="R10" t="n">
        <v>70</v>
      </c>
      <c r="S10" t="n">
        <v>23.5</v>
      </c>
      <c r="T10" t="n">
        <v>0</v>
      </c>
      <c r="U10" t="n">
        <v>0</v>
      </c>
      <c r="V10" t="n">
        <v>12.08</v>
      </c>
      <c r="W10" t="n">
        <v>253.58</v>
      </c>
      <c r="X10" t="n">
        <v>241.5</v>
      </c>
      <c r="Y10" t="n">
        <v>0</v>
      </c>
      <c r="Z10" t="n">
        <v>0</v>
      </c>
      <c r="AA10" t="n">
        <v>241.5</v>
      </c>
      <c r="AB10" t="n">
        <v>23</v>
      </c>
      <c r="AC10" t="n">
        <v>55.54</v>
      </c>
      <c r="AD10" t="n">
        <v>2.65</v>
      </c>
      <c r="AE10" t="n">
        <v>0</v>
      </c>
      <c r="AF10" t="n">
        <v>0</v>
      </c>
      <c r="AG10" t="n">
        <v>0</v>
      </c>
      <c r="AH10" t="n">
        <v>4.67</v>
      </c>
      <c r="AI10" t="n">
        <v>60.21</v>
      </c>
      <c r="AJ10" t="n">
        <v>10.84</v>
      </c>
      <c r="AK10" t="n">
        <v>0</v>
      </c>
      <c r="AL10" t="n">
        <v>241.5</v>
      </c>
      <c r="AM10" t="n">
        <v>0</v>
      </c>
      <c r="AN10" t="n">
        <v>0</v>
      </c>
      <c r="AO10" t="n">
        <v>0.24</v>
      </c>
      <c r="AP10" t="n">
        <v>12.08</v>
      </c>
      <c r="AQ10" t="n">
        <v>0</v>
      </c>
      <c r="AR10" t="n">
        <v>23.16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28.5</v>
      </c>
      <c r="AY10" t="n">
        <v>0</v>
      </c>
      <c r="AZ10" t="n">
        <v>0</v>
      </c>
      <c r="BA10" t="n">
        <v>28.5</v>
      </c>
      <c r="BB10" t="n">
        <v>111.87</v>
      </c>
      <c r="BC10" t="n">
        <v>0</v>
      </c>
      <c r="BD10" t="n">
        <v>141.71</v>
      </c>
      <c r="BE10" t="inlineStr">
        <is>
          <t>settled</t>
        </is>
      </c>
      <c r="BF10" t="inlineStr">
        <is>
          <t>2025-12-10 05:30:00</t>
        </is>
      </c>
      <c r="BG10" t="inlineStr">
        <is>
          <t>CITIN25668340126</t>
        </is>
      </c>
      <c r="BH10" t="n">
        <v>0</v>
      </c>
      <c r="BI10" t="inlineStr">
        <is>
          <t>d0b2d369bfcc5732aae40f0e74e9ae6a439b0ae26a86175e0981539d2db00c55</t>
        </is>
      </c>
    </row>
    <row r="11">
      <c r="A11" t="inlineStr">
        <is>
          <t>6</t>
        </is>
      </c>
      <c r="B11" t="inlineStr">
        <is>
          <t>7531235238</t>
        </is>
      </c>
      <c r="C11" t="inlineStr">
        <is>
          <t>2025-12-01 19:16:36</t>
        </is>
      </c>
      <c r="D11" t="inlineStr">
        <is>
          <t>49</t>
        </is>
      </c>
      <c r="E11" t="inlineStr">
        <is>
          <t>Baba Yaga Art Of Chinese - By Posh Foods</t>
        </is>
      </c>
      <c r="F11" t="inlineStr">
        <is>
          <t>20037890</t>
        </is>
      </c>
      <c r="G11" t="inlineStr">
        <is>
          <t>Flat ₹100 off (2025-11-26 - 2031-01-01)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9</t>
        </is>
      </c>
      <c r="O11" t="n">
        <v>265</v>
      </c>
      <c r="P11" t="n">
        <v>0</v>
      </c>
      <c r="Q11" t="n">
        <v>0</v>
      </c>
      <c r="R11" t="n">
        <v>70</v>
      </c>
      <c r="S11" t="n">
        <v>0</v>
      </c>
      <c r="T11" t="n">
        <v>0</v>
      </c>
      <c r="U11" t="n">
        <v>0</v>
      </c>
      <c r="V11" t="n">
        <v>9.75</v>
      </c>
      <c r="W11" t="n">
        <v>204.75</v>
      </c>
      <c r="X11" t="n">
        <v>195</v>
      </c>
      <c r="Y11" t="n">
        <v>0</v>
      </c>
      <c r="Z11" t="n">
        <v>0</v>
      </c>
      <c r="AA11" t="n">
        <v>195</v>
      </c>
      <c r="AB11" t="n">
        <v>23</v>
      </c>
      <c r="AC11" t="n">
        <v>44.85</v>
      </c>
      <c r="AD11" t="n">
        <v>4.49</v>
      </c>
      <c r="AE11" t="n">
        <v>20</v>
      </c>
      <c r="AF11" t="n">
        <v>0</v>
      </c>
      <c r="AG11" t="n">
        <v>6.35</v>
      </c>
      <c r="AH11" t="n">
        <v>3.77</v>
      </c>
      <c r="AI11" t="n">
        <v>62.27</v>
      </c>
      <c r="AJ11" t="n">
        <v>11.21</v>
      </c>
      <c r="AK11" t="n">
        <v>0</v>
      </c>
      <c r="AL11" t="n">
        <v>195</v>
      </c>
      <c r="AM11" t="n">
        <v>0</v>
      </c>
      <c r="AN11" t="n">
        <v>0</v>
      </c>
      <c r="AO11" t="n">
        <v>0.2</v>
      </c>
      <c r="AP11" t="n">
        <v>9.75</v>
      </c>
      <c r="AQ11" t="n">
        <v>0</v>
      </c>
      <c r="AR11" t="n">
        <v>21.16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83.43000000000001</v>
      </c>
      <c r="BC11" t="n">
        <v>0</v>
      </c>
      <c r="BD11" t="n">
        <v>121.32</v>
      </c>
      <c r="BE11" t="inlineStr">
        <is>
          <t>settled</t>
        </is>
      </c>
      <c r="BF11" t="inlineStr">
        <is>
          <t>2025-12-10 05:30:00</t>
        </is>
      </c>
      <c r="BG11" t="inlineStr">
        <is>
          <t>CITIN25668340126</t>
        </is>
      </c>
      <c r="BH11" t="n">
        <v>0</v>
      </c>
      <c r="BI11" t="inlineStr">
        <is>
          <t>08eac6bb94c2f2612c196e7279cdea94e3950d9fccf1a3ddb2ef4b5373ecc16a</t>
        </is>
      </c>
    </row>
    <row r="12">
      <c r="A12" t="inlineStr">
        <is>
          <t>7</t>
        </is>
      </c>
      <c r="B12" t="inlineStr">
        <is>
          <t>7539656043</t>
        </is>
      </c>
      <c r="C12" t="inlineStr">
        <is>
          <t>2025-12-01 19:54:18</t>
        </is>
      </c>
      <c r="D12" t="inlineStr">
        <is>
          <t>49</t>
        </is>
      </c>
      <c r="E12" t="inlineStr">
        <is>
          <t>Baba Yaga Art Of Chinese - By Posh Foods</t>
        </is>
      </c>
      <c r="F12" t="inlineStr">
        <is>
          <t>20037890</t>
        </is>
      </c>
      <c r="G12" t="inlineStr">
        <is>
          <t>Flat ₹175 off (2025-11-26 - 2031-01-01)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9</t>
        </is>
      </c>
      <c r="O12" t="n">
        <v>993</v>
      </c>
      <c r="P12" t="n">
        <v>0</v>
      </c>
      <c r="Q12" t="n">
        <v>0</v>
      </c>
      <c r="R12" t="n">
        <v>122</v>
      </c>
      <c r="S12" t="n">
        <v>81.8</v>
      </c>
      <c r="T12" t="n">
        <v>0</v>
      </c>
      <c r="U12" t="n">
        <v>0</v>
      </c>
      <c r="V12" t="n">
        <v>39.46</v>
      </c>
      <c r="W12" t="n">
        <v>828.66</v>
      </c>
      <c r="X12" t="n">
        <v>789.2</v>
      </c>
      <c r="Y12" t="n">
        <v>0</v>
      </c>
      <c r="Z12" t="n">
        <v>0</v>
      </c>
      <c r="AA12" t="n">
        <v>789.2</v>
      </c>
      <c r="AB12" t="n">
        <v>23</v>
      </c>
      <c r="AC12" t="n">
        <v>181.52</v>
      </c>
      <c r="AD12" t="n">
        <v>3.72</v>
      </c>
      <c r="AE12" t="n">
        <v>0</v>
      </c>
      <c r="AF12" t="n">
        <v>0</v>
      </c>
      <c r="AG12" t="n">
        <v>0</v>
      </c>
      <c r="AH12" t="n">
        <v>15.25</v>
      </c>
      <c r="AI12" t="n">
        <v>196.77</v>
      </c>
      <c r="AJ12" t="n">
        <v>35.41</v>
      </c>
      <c r="AK12" t="n">
        <v>0</v>
      </c>
      <c r="AL12" t="n">
        <v>789.2</v>
      </c>
      <c r="AM12" t="n">
        <v>0</v>
      </c>
      <c r="AN12" t="n">
        <v>0</v>
      </c>
      <c r="AO12" t="n">
        <v>0.79</v>
      </c>
      <c r="AP12" t="n">
        <v>39.46</v>
      </c>
      <c r="AQ12" t="n">
        <v>0</v>
      </c>
      <c r="AR12" t="n">
        <v>75.66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93.13</v>
      </c>
      <c r="AY12" t="n">
        <v>0</v>
      </c>
      <c r="AZ12" t="n">
        <v>0</v>
      </c>
      <c r="BA12" t="n">
        <v>93.13</v>
      </c>
      <c r="BB12" t="n">
        <v>365.56</v>
      </c>
      <c r="BC12" t="n">
        <v>0</v>
      </c>
      <c r="BD12" t="n">
        <v>463.1</v>
      </c>
      <c r="BE12" t="inlineStr">
        <is>
          <t>settled</t>
        </is>
      </c>
      <c r="BF12" t="inlineStr">
        <is>
          <t>2025-12-10 05:30:00</t>
        </is>
      </c>
      <c r="BG12" t="inlineStr">
        <is>
          <t>CITIN25668340126</t>
        </is>
      </c>
      <c r="BH12" t="n">
        <v>0</v>
      </c>
      <c r="BI12" t="inlineStr">
        <is>
          <t>7df1de21ad13f4ec60d1d0016fe58efe6985c4fad0f9168c52c3f5bc91d9986c</t>
        </is>
      </c>
    </row>
    <row r="13">
      <c r="A13" t="inlineStr">
        <is>
          <t>8</t>
        </is>
      </c>
      <c r="B13" t="inlineStr">
        <is>
          <t>7540098807</t>
        </is>
      </c>
      <c r="C13" t="inlineStr">
        <is>
          <t>2025-12-01 21:14:10</t>
        </is>
      </c>
      <c r="D13" t="inlineStr">
        <is>
          <t>49</t>
        </is>
      </c>
      <c r="E13" t="inlineStr">
        <is>
          <t>Baba Yaga Art Of Chinese - By Posh Foods</t>
        </is>
      </c>
      <c r="F13" t="inlineStr">
        <is>
          <t>20037890</t>
        </is>
      </c>
      <c r="G13" t="inlineStr">
        <is>
          <t>Flat ₹100 off (2025-11-26 - 2031-01-01)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9</t>
        </is>
      </c>
      <c r="O13" t="n">
        <v>335</v>
      </c>
      <c r="P13" t="n">
        <v>0</v>
      </c>
      <c r="Q13" t="n">
        <v>0</v>
      </c>
      <c r="R13" t="n">
        <v>70</v>
      </c>
      <c r="S13" t="n">
        <v>23.5</v>
      </c>
      <c r="T13" t="n">
        <v>0</v>
      </c>
      <c r="U13" t="n">
        <v>0</v>
      </c>
      <c r="V13" t="n">
        <v>12.08</v>
      </c>
      <c r="W13" t="n">
        <v>253.58</v>
      </c>
      <c r="X13" t="n">
        <v>241.5</v>
      </c>
      <c r="Y13" t="n">
        <v>0</v>
      </c>
      <c r="Z13" t="n">
        <v>0</v>
      </c>
      <c r="AA13" t="n">
        <v>241.5</v>
      </c>
      <c r="AB13" t="n">
        <v>23</v>
      </c>
      <c r="AC13" t="n">
        <v>55.54</v>
      </c>
      <c r="AD13" t="n">
        <v>4.48</v>
      </c>
      <c r="AE13" t="n">
        <v>20</v>
      </c>
      <c r="AF13" t="n">
        <v>0</v>
      </c>
      <c r="AG13" t="n">
        <v>3.09</v>
      </c>
      <c r="AH13" t="n">
        <v>4.67</v>
      </c>
      <c r="AI13" t="n">
        <v>77.12</v>
      </c>
      <c r="AJ13" t="n">
        <v>13.88</v>
      </c>
      <c r="AK13" t="n">
        <v>0</v>
      </c>
      <c r="AL13" t="n">
        <v>241.5</v>
      </c>
      <c r="AM13" t="n">
        <v>0</v>
      </c>
      <c r="AN13" t="n">
        <v>0</v>
      </c>
      <c r="AO13" t="n">
        <v>0.24</v>
      </c>
      <c r="AP13" t="n">
        <v>12.08</v>
      </c>
      <c r="AQ13" t="n">
        <v>0</v>
      </c>
      <c r="AR13" t="n">
        <v>26.2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103.32</v>
      </c>
      <c r="BC13" t="n">
        <v>0</v>
      </c>
      <c r="BD13" t="n">
        <v>150.26</v>
      </c>
      <c r="BE13" t="inlineStr">
        <is>
          <t>settled</t>
        </is>
      </c>
      <c r="BF13" t="inlineStr">
        <is>
          <t>2025-12-10 05:30:00</t>
        </is>
      </c>
      <c r="BG13" t="inlineStr">
        <is>
          <t>CITIN25668340126</t>
        </is>
      </c>
      <c r="BH13" t="n">
        <v>0</v>
      </c>
      <c r="BI13" t="inlineStr">
        <is>
          <t>943efdb4b90fe164f97034a51cbd0fdccfc390646082551291aa53490ef84545</t>
        </is>
      </c>
    </row>
    <row r="14">
      <c r="A14" t="inlineStr">
        <is>
          <t>9</t>
        </is>
      </c>
      <c r="B14" t="inlineStr">
        <is>
          <t>7531495711</t>
        </is>
      </c>
      <c r="C14" t="inlineStr">
        <is>
          <t>2025-12-01 21:46:37</t>
        </is>
      </c>
      <c r="D14" t="inlineStr">
        <is>
          <t>49</t>
        </is>
      </c>
      <c r="E14" t="inlineStr">
        <is>
          <t>Baba Yaga Art Of Chinese - By Posh Foods</t>
        </is>
      </c>
      <c r="F14" t="inlineStr">
        <is>
          <t>20037890</t>
        </is>
      </c>
      <c r="G14" t="inlineStr">
        <is>
          <t>Flat ₹150 off (2025-11-26 - 2031-01-01)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9</t>
        </is>
      </c>
      <c r="O14" t="n">
        <v>665</v>
      </c>
      <c r="P14" t="n">
        <v>0</v>
      </c>
      <c r="Q14" t="n">
        <v>0</v>
      </c>
      <c r="R14" t="n">
        <v>150</v>
      </c>
      <c r="S14" t="n">
        <v>51.5</v>
      </c>
      <c r="T14" t="n">
        <v>0</v>
      </c>
      <c r="U14" t="n">
        <v>0</v>
      </c>
      <c r="V14" t="n">
        <v>23.18</v>
      </c>
      <c r="W14" t="n">
        <v>486.68</v>
      </c>
      <c r="X14" t="n">
        <v>463.5</v>
      </c>
      <c r="Y14" t="n">
        <v>0</v>
      </c>
      <c r="Z14" t="n">
        <v>0</v>
      </c>
      <c r="AA14" t="n">
        <v>463.5</v>
      </c>
      <c r="AB14" t="n">
        <v>23</v>
      </c>
      <c r="AC14" t="n">
        <v>106.6</v>
      </c>
      <c r="AD14" t="n">
        <v>4.64</v>
      </c>
      <c r="AE14" t="n">
        <v>20</v>
      </c>
      <c r="AF14" t="n">
        <v>0</v>
      </c>
      <c r="AG14" t="n">
        <v>0</v>
      </c>
      <c r="AH14" t="n">
        <v>8.949999999999999</v>
      </c>
      <c r="AI14" t="n">
        <v>135.55</v>
      </c>
      <c r="AJ14" t="n">
        <v>24.4</v>
      </c>
      <c r="AK14" t="n">
        <v>0</v>
      </c>
      <c r="AL14" t="n">
        <v>463.5</v>
      </c>
      <c r="AM14" t="n">
        <v>0</v>
      </c>
      <c r="AN14" t="n">
        <v>0</v>
      </c>
      <c r="AO14" t="n">
        <v>0.46</v>
      </c>
      <c r="AP14" t="n">
        <v>23.17</v>
      </c>
      <c r="AQ14" t="n">
        <v>0.01</v>
      </c>
      <c r="AR14" t="n">
        <v>48.03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54.69</v>
      </c>
      <c r="AY14" t="n">
        <v>0</v>
      </c>
      <c r="AZ14" t="n">
        <v>0</v>
      </c>
      <c r="BA14" t="n">
        <v>54.69</v>
      </c>
      <c r="BB14" t="n">
        <v>238.27</v>
      </c>
      <c r="BC14" t="n">
        <v>0</v>
      </c>
      <c r="BD14" t="n">
        <v>248.41</v>
      </c>
      <c r="BE14" t="inlineStr">
        <is>
          <t>settled</t>
        </is>
      </c>
      <c r="BF14" t="inlineStr">
        <is>
          <t>2025-12-10 05:30:00</t>
        </is>
      </c>
      <c r="BG14" t="inlineStr">
        <is>
          <t>CITIN25668340126</t>
        </is>
      </c>
      <c r="BH14" t="n">
        <v>0</v>
      </c>
      <c r="BI14" t="inlineStr">
        <is>
          <t>ab6011e884c5bb5ea1a0679747d668f9c2beca9e58f32d2da180d6bb5a48c5c5</t>
        </is>
      </c>
    </row>
    <row r="15">
      <c r="A15" t="inlineStr">
        <is>
          <t>10</t>
        </is>
      </c>
      <c r="B15" t="inlineStr">
        <is>
          <t>7515115442</t>
        </is>
      </c>
      <c r="C15" t="inlineStr">
        <is>
          <t>2025-12-01 21:57:24</t>
        </is>
      </c>
      <c r="D15" t="inlineStr">
        <is>
          <t>49</t>
        </is>
      </c>
      <c r="E15" t="inlineStr">
        <is>
          <t>Baba Yaga Art Of Chinese - By Posh Foods</t>
        </is>
      </c>
      <c r="F15" t="inlineStr">
        <is>
          <t>20037890</t>
        </is>
      </c>
      <c r="G15" t="inlineStr">
        <is>
          <t>Flat ₹80 off (2025-11-26 - 2031-01-01)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9</t>
        </is>
      </c>
      <c r="O15" t="n">
        <v>365</v>
      </c>
      <c r="P15" t="n">
        <v>0</v>
      </c>
      <c r="Q15" t="n">
        <v>0</v>
      </c>
      <c r="R15" t="n">
        <v>80</v>
      </c>
      <c r="S15" t="n">
        <v>28.5</v>
      </c>
      <c r="T15" t="n">
        <v>0</v>
      </c>
      <c r="U15" t="n">
        <v>0</v>
      </c>
      <c r="V15" t="n">
        <v>12.83</v>
      </c>
      <c r="W15" t="n">
        <v>269.33</v>
      </c>
      <c r="X15" t="n">
        <v>256.5</v>
      </c>
      <c r="Y15" t="n">
        <v>0</v>
      </c>
      <c r="Z15" t="n">
        <v>0</v>
      </c>
      <c r="AA15" t="n">
        <v>256.5</v>
      </c>
      <c r="AB15" t="n">
        <v>23</v>
      </c>
      <c r="AC15" t="n">
        <v>59</v>
      </c>
      <c r="AD15" t="n">
        <v>2.54</v>
      </c>
      <c r="AE15" t="n">
        <v>0</v>
      </c>
      <c r="AF15" t="n">
        <v>0</v>
      </c>
      <c r="AG15" t="n">
        <v>0</v>
      </c>
      <c r="AH15" t="n">
        <v>4.96</v>
      </c>
      <c r="AI15" t="n">
        <v>63.96</v>
      </c>
      <c r="AJ15" t="n">
        <v>11.51</v>
      </c>
      <c r="AK15" t="n">
        <v>0</v>
      </c>
      <c r="AL15" t="n">
        <v>256.5</v>
      </c>
      <c r="AM15" t="n">
        <v>0</v>
      </c>
      <c r="AN15" t="n">
        <v>0</v>
      </c>
      <c r="AO15" t="n">
        <v>0.26</v>
      </c>
      <c r="AP15" t="n">
        <v>12.83</v>
      </c>
      <c r="AQ15" t="n">
        <v>0</v>
      </c>
      <c r="AR15" t="n">
        <v>24.6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88.56</v>
      </c>
      <c r="BC15" t="n">
        <v>0</v>
      </c>
      <c r="BD15" t="n">
        <v>180.77</v>
      </c>
      <c r="BE15" t="inlineStr">
        <is>
          <t>settled</t>
        </is>
      </c>
      <c r="BF15" t="inlineStr">
        <is>
          <t>2025-12-10 05:30:00</t>
        </is>
      </c>
      <c r="BG15" t="inlineStr">
        <is>
          <t>CITIN25668340126</t>
        </is>
      </c>
      <c r="BH15" t="n">
        <v>0</v>
      </c>
      <c r="BI15" t="inlineStr">
        <is>
          <t>709776b84f48b30a6a56c58f0605034937990ba2d92482192417ce2ec904f819</t>
        </is>
      </c>
    </row>
    <row r="16">
      <c r="A16" t="inlineStr">
        <is>
          <t>11</t>
        </is>
      </c>
      <c r="B16" t="inlineStr">
        <is>
          <t>7540181939</t>
        </is>
      </c>
      <c r="C16" t="inlineStr">
        <is>
          <t>2025-12-02 14:19:07</t>
        </is>
      </c>
      <c r="D16" t="inlineStr">
        <is>
          <t>49</t>
        </is>
      </c>
      <c r="E16" t="inlineStr">
        <is>
          <t>Baba Yaga Art Of Chinese - By Posh Foods</t>
        </is>
      </c>
      <c r="F16" t="inlineStr">
        <is>
          <t>20037890</t>
        </is>
      </c>
      <c r="G16" t="inlineStr">
        <is>
          <t>Flat ₹100 off (2025-11-22 - 2031-01-01)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9</t>
        </is>
      </c>
      <c r="O16" t="n">
        <v>315</v>
      </c>
      <c r="P16" t="n">
        <v>0</v>
      </c>
      <c r="Q16" t="n">
        <v>0</v>
      </c>
      <c r="R16" t="n">
        <v>100</v>
      </c>
      <c r="S16" t="n">
        <v>21.5</v>
      </c>
      <c r="T16" t="n">
        <v>0</v>
      </c>
      <c r="U16" t="n">
        <v>0</v>
      </c>
      <c r="V16" t="n">
        <v>9.68</v>
      </c>
      <c r="W16" t="n">
        <v>203.18</v>
      </c>
      <c r="X16" t="n">
        <v>193.5</v>
      </c>
      <c r="Y16" t="n">
        <v>0</v>
      </c>
      <c r="Z16" t="n">
        <v>0</v>
      </c>
      <c r="AA16" t="n">
        <v>193.5</v>
      </c>
      <c r="AB16" t="n">
        <v>23</v>
      </c>
      <c r="AC16" t="n">
        <v>44.5</v>
      </c>
      <c r="AD16" t="n">
        <v>6.4</v>
      </c>
      <c r="AE16" t="n">
        <v>40</v>
      </c>
      <c r="AF16" t="n">
        <v>0</v>
      </c>
      <c r="AG16" t="n">
        <v>26.45</v>
      </c>
      <c r="AH16" t="n">
        <v>3.74</v>
      </c>
      <c r="AI16" t="n">
        <v>61.79</v>
      </c>
      <c r="AJ16" t="n">
        <v>11.12</v>
      </c>
      <c r="AK16" t="n">
        <v>0</v>
      </c>
      <c r="AL16" t="n">
        <v>193.5</v>
      </c>
      <c r="AM16" t="n">
        <v>0</v>
      </c>
      <c r="AN16" t="n">
        <v>0</v>
      </c>
      <c r="AO16" t="n">
        <v>0.19</v>
      </c>
      <c r="AP16" t="n">
        <v>9.68</v>
      </c>
      <c r="AQ16" t="n">
        <v>0</v>
      </c>
      <c r="AR16" t="n">
        <v>20.99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82.78</v>
      </c>
      <c r="BC16" t="n">
        <v>0</v>
      </c>
      <c r="BD16" t="n">
        <v>120.4</v>
      </c>
      <c r="BE16" t="inlineStr">
        <is>
          <t>settled</t>
        </is>
      </c>
      <c r="BF16" t="inlineStr">
        <is>
          <t>2025-12-10 05:30:00</t>
        </is>
      </c>
      <c r="BG16" t="inlineStr">
        <is>
          <t>CITIN25668340126</t>
        </is>
      </c>
      <c r="BH16" t="n">
        <v>0</v>
      </c>
      <c r="BI16" t="inlineStr">
        <is>
          <t>126ac254434f06a2a80dc988bdc15edc816663e64119630cae025645dbdbbf06</t>
        </is>
      </c>
    </row>
    <row r="17">
      <c r="A17" t="inlineStr">
        <is>
          <t>12</t>
        </is>
      </c>
      <c r="B17" t="inlineStr">
        <is>
          <t>7537731386</t>
        </is>
      </c>
      <c r="C17" t="inlineStr">
        <is>
          <t>2025-12-02 14:51:09</t>
        </is>
      </c>
      <c r="D17" t="inlineStr">
        <is>
          <t>49</t>
        </is>
      </c>
      <c r="E17" t="inlineStr">
        <is>
          <t>Baba Yaga Art Of Chinese - By Posh Foods</t>
        </is>
      </c>
      <c r="F17" t="inlineStr">
        <is>
          <t>20037890</t>
        </is>
      </c>
      <c r="G17" t="inlineStr">
        <is>
          <t>Flat ₹100 off (2025-11-26 - 2031-01-01)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9</t>
        </is>
      </c>
      <c r="O17" t="n">
        <v>265</v>
      </c>
      <c r="P17" t="n">
        <v>0</v>
      </c>
      <c r="Q17" t="n">
        <v>0</v>
      </c>
      <c r="R17" t="n">
        <v>70</v>
      </c>
      <c r="S17" t="n">
        <v>0</v>
      </c>
      <c r="T17" t="n">
        <v>0</v>
      </c>
      <c r="U17" t="n">
        <v>0</v>
      </c>
      <c r="V17" t="n">
        <v>9.75</v>
      </c>
      <c r="W17" t="n">
        <v>204.75</v>
      </c>
      <c r="X17" t="n">
        <v>195</v>
      </c>
      <c r="Y17" t="n">
        <v>0</v>
      </c>
      <c r="Z17" t="n">
        <v>0</v>
      </c>
      <c r="AA17" t="n">
        <v>195</v>
      </c>
      <c r="AB17" t="n">
        <v>23</v>
      </c>
      <c r="AC17" t="n">
        <v>44.85</v>
      </c>
      <c r="AD17" t="n">
        <v>5.37</v>
      </c>
      <c r="AE17" t="n">
        <v>20</v>
      </c>
      <c r="AF17" t="n">
        <v>0</v>
      </c>
      <c r="AG17" t="n">
        <v>6.35</v>
      </c>
      <c r="AH17" t="n">
        <v>3.77</v>
      </c>
      <c r="AI17" t="n">
        <v>62.27</v>
      </c>
      <c r="AJ17" t="n">
        <v>11.21</v>
      </c>
      <c r="AK17" t="n">
        <v>0</v>
      </c>
      <c r="AL17" t="n">
        <v>195</v>
      </c>
      <c r="AM17" t="n">
        <v>0</v>
      </c>
      <c r="AN17" t="n">
        <v>0</v>
      </c>
      <c r="AO17" t="n">
        <v>0.2</v>
      </c>
      <c r="AP17" t="n">
        <v>9.75</v>
      </c>
      <c r="AQ17" t="n">
        <v>0</v>
      </c>
      <c r="AR17" t="n">
        <v>21.16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83.43000000000001</v>
      </c>
      <c r="BC17" t="n">
        <v>0</v>
      </c>
      <c r="BD17" t="n">
        <v>121.32</v>
      </c>
      <c r="BE17" t="inlineStr">
        <is>
          <t>settled</t>
        </is>
      </c>
      <c r="BF17" t="inlineStr">
        <is>
          <t>2025-12-10 05:30:00</t>
        </is>
      </c>
      <c r="BG17" t="inlineStr">
        <is>
          <t>CITIN25668340126</t>
        </is>
      </c>
      <c r="BH17" t="n">
        <v>0</v>
      </c>
      <c r="BI17" t="inlineStr">
        <is>
          <t>2c483a9c407ae2827a1929bd47a7a3eb9c318871975f686853f32d634c74574f</t>
        </is>
      </c>
    </row>
    <row r="18">
      <c r="A18" t="inlineStr">
        <is>
          <t>13</t>
        </is>
      </c>
      <c r="B18" t="inlineStr">
        <is>
          <t>7534330123</t>
        </is>
      </c>
      <c r="C18" t="inlineStr">
        <is>
          <t>2025-12-02 15:25:22</t>
        </is>
      </c>
      <c r="D18" t="inlineStr">
        <is>
          <t>49</t>
        </is>
      </c>
      <c r="E18" t="inlineStr">
        <is>
          <t>Baba Yaga Art Of Chinese - By Posh Foods</t>
        </is>
      </c>
      <c r="F18" t="inlineStr">
        <is>
          <t>20037890</t>
        </is>
      </c>
      <c r="G18" t="inlineStr">
        <is>
          <t>Flat ₹100 off (2025-11-26 - 2031-01-01)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9</t>
        </is>
      </c>
      <c r="O18" t="n">
        <v>265</v>
      </c>
      <c r="P18" t="n">
        <v>0</v>
      </c>
      <c r="Q18" t="n">
        <v>0</v>
      </c>
      <c r="R18" t="n">
        <v>70</v>
      </c>
      <c r="S18" t="n">
        <v>0</v>
      </c>
      <c r="T18" t="n">
        <v>0</v>
      </c>
      <c r="U18" t="n">
        <v>0</v>
      </c>
      <c r="V18" t="n">
        <v>9.75</v>
      </c>
      <c r="W18" t="n">
        <v>204.75</v>
      </c>
      <c r="X18" t="n">
        <v>195</v>
      </c>
      <c r="Y18" t="n">
        <v>0</v>
      </c>
      <c r="Z18" t="n">
        <v>0</v>
      </c>
      <c r="AA18" t="n">
        <v>195</v>
      </c>
      <c r="AB18" t="n">
        <v>23</v>
      </c>
      <c r="AC18" t="n">
        <v>44.85</v>
      </c>
      <c r="AD18" t="n">
        <v>0.97</v>
      </c>
      <c r="AE18" t="n">
        <v>0</v>
      </c>
      <c r="AF18" t="n">
        <v>0</v>
      </c>
      <c r="AG18" t="n">
        <v>0</v>
      </c>
      <c r="AH18" t="n">
        <v>3.77</v>
      </c>
      <c r="AI18" t="n">
        <v>48.62</v>
      </c>
      <c r="AJ18" t="n">
        <v>8.75</v>
      </c>
      <c r="AK18" t="n">
        <v>0</v>
      </c>
      <c r="AL18" t="n">
        <v>195</v>
      </c>
      <c r="AM18" t="n">
        <v>0</v>
      </c>
      <c r="AN18" t="n">
        <v>0</v>
      </c>
      <c r="AO18" t="n">
        <v>0.2</v>
      </c>
      <c r="AP18" t="n">
        <v>9.75</v>
      </c>
      <c r="AQ18" t="n">
        <v>0</v>
      </c>
      <c r="AR18" t="n">
        <v>18.7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67.31999999999999</v>
      </c>
      <c r="BC18" t="n">
        <v>0</v>
      </c>
      <c r="BD18" t="n">
        <v>137.43</v>
      </c>
      <c r="BE18" t="inlineStr">
        <is>
          <t>settled</t>
        </is>
      </c>
      <c r="BF18" t="inlineStr">
        <is>
          <t>2025-12-10 05:30:00</t>
        </is>
      </c>
      <c r="BG18" t="inlineStr">
        <is>
          <t>CITIN25668340126</t>
        </is>
      </c>
      <c r="BH18" t="n">
        <v>0</v>
      </c>
      <c r="BI18" t="inlineStr">
        <is>
          <t>24bf9efac501bffc3b63096176351da40faf2266d617e0238008143f75a08dcc</t>
        </is>
      </c>
    </row>
    <row r="19">
      <c r="A19" t="inlineStr">
        <is>
          <t>14</t>
        </is>
      </c>
      <c r="B19" t="inlineStr">
        <is>
          <t>7535572036</t>
        </is>
      </c>
      <c r="C19" t="inlineStr">
        <is>
          <t>2025-12-02 16:33:39</t>
        </is>
      </c>
      <c r="D19" t="inlineStr">
        <is>
          <t>49</t>
        </is>
      </c>
      <c r="E19" t="inlineStr">
        <is>
          <t>Baba Yaga Art Of Chinese - By Posh Foods</t>
        </is>
      </c>
      <c r="F19" t="inlineStr">
        <is>
          <t>20037890</t>
        </is>
      </c>
      <c r="G19" t="inlineStr">
        <is>
          <t>Flat ₹175 off (2025-11-26 - 2031-01-01)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9</t>
        </is>
      </c>
      <c r="O19" t="n">
        <v>820</v>
      </c>
      <c r="P19" t="n">
        <v>0</v>
      </c>
      <c r="Q19" t="n">
        <v>0</v>
      </c>
      <c r="R19" t="n">
        <v>122</v>
      </c>
      <c r="S19" t="n">
        <v>64.5</v>
      </c>
      <c r="T19" t="n">
        <v>0</v>
      </c>
      <c r="U19" t="n">
        <v>0</v>
      </c>
      <c r="V19" t="n">
        <v>31.68</v>
      </c>
      <c r="W19" t="n">
        <v>665.1799999999999</v>
      </c>
      <c r="X19" t="n">
        <v>633.5</v>
      </c>
      <c r="Y19" t="n">
        <v>0</v>
      </c>
      <c r="Z19" t="n">
        <v>0</v>
      </c>
      <c r="AA19" t="n">
        <v>633.5</v>
      </c>
      <c r="AB19" t="n">
        <v>23</v>
      </c>
      <c r="AC19" t="n">
        <v>145.7</v>
      </c>
      <c r="AD19" t="n">
        <v>6.74</v>
      </c>
      <c r="AE19" t="n">
        <v>40</v>
      </c>
      <c r="AF19" t="n">
        <v>0</v>
      </c>
      <c r="AG19" t="n">
        <v>0</v>
      </c>
      <c r="AH19" t="n">
        <v>12.24</v>
      </c>
      <c r="AI19" t="n">
        <v>197.94</v>
      </c>
      <c r="AJ19" t="n">
        <v>35.63</v>
      </c>
      <c r="AK19" t="n">
        <v>0</v>
      </c>
      <c r="AL19" t="n">
        <v>633.5</v>
      </c>
      <c r="AM19" t="n">
        <v>0</v>
      </c>
      <c r="AN19" t="n">
        <v>0</v>
      </c>
      <c r="AO19" t="n">
        <v>0.63</v>
      </c>
      <c r="AP19" t="n">
        <v>31.68</v>
      </c>
      <c r="AQ19" t="n">
        <v>0</v>
      </c>
      <c r="AR19" t="n">
        <v>67.94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265.88</v>
      </c>
      <c r="BC19" t="n">
        <v>0</v>
      </c>
      <c r="BD19" t="n">
        <v>399.3</v>
      </c>
      <c r="BE19" t="inlineStr">
        <is>
          <t>settled</t>
        </is>
      </c>
      <c r="BF19" t="inlineStr">
        <is>
          <t>2025-12-10 05:30:00</t>
        </is>
      </c>
      <c r="BG19" t="inlineStr">
        <is>
          <t>CITIN25668340126</t>
        </is>
      </c>
      <c r="BH19" t="n">
        <v>0</v>
      </c>
      <c r="BI19" t="inlineStr">
        <is>
          <t>f1d006c64369a98da7055ed2bb494918067471be1478dab9ee3df7c9f55a4684</t>
        </is>
      </c>
    </row>
    <row r="20">
      <c r="A20" t="inlineStr">
        <is>
          <t>15</t>
        </is>
      </c>
      <c r="B20" t="inlineStr">
        <is>
          <t>7524854338</t>
        </is>
      </c>
      <c r="C20" t="inlineStr">
        <is>
          <t>2025-12-02 18:00:26</t>
        </is>
      </c>
      <c r="D20" t="inlineStr">
        <is>
          <t>49</t>
        </is>
      </c>
      <c r="E20" t="inlineStr">
        <is>
          <t>Baba Yaga Art Of Chinese - By Posh Foods</t>
        </is>
      </c>
      <c r="F20" t="inlineStr">
        <is>
          <t>20037890</t>
        </is>
      </c>
      <c r="G20" t="inlineStr">
        <is>
          <t>30% off upto ₹75 (2025-11-26 - 2031-01-01)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9</t>
        </is>
      </c>
      <c r="O20" t="n">
        <v>375</v>
      </c>
      <c r="P20" t="n">
        <v>0</v>
      </c>
      <c r="Q20" t="n">
        <v>0</v>
      </c>
      <c r="R20" t="n">
        <v>75</v>
      </c>
      <c r="S20" t="n">
        <v>30</v>
      </c>
      <c r="T20" t="n">
        <v>0</v>
      </c>
      <c r="U20" t="n">
        <v>0</v>
      </c>
      <c r="V20" t="n">
        <v>13.5</v>
      </c>
      <c r="W20" t="n">
        <v>283.5</v>
      </c>
      <c r="X20" t="n">
        <v>270</v>
      </c>
      <c r="Y20" t="n">
        <v>0</v>
      </c>
      <c r="Z20" t="n">
        <v>0</v>
      </c>
      <c r="AA20" t="n">
        <v>270</v>
      </c>
      <c r="AB20" t="n">
        <v>23</v>
      </c>
      <c r="AC20" t="n">
        <v>62.1</v>
      </c>
      <c r="AD20" t="n">
        <v>3.04</v>
      </c>
      <c r="AE20" t="n">
        <v>0</v>
      </c>
      <c r="AF20" t="n">
        <v>0</v>
      </c>
      <c r="AG20" t="n">
        <v>0</v>
      </c>
      <c r="AH20" t="n">
        <v>5.22</v>
      </c>
      <c r="AI20" t="n">
        <v>67.31999999999999</v>
      </c>
      <c r="AJ20" t="n">
        <v>12.12</v>
      </c>
      <c r="AK20" t="n">
        <v>0</v>
      </c>
      <c r="AL20" t="n">
        <v>270</v>
      </c>
      <c r="AM20" t="n">
        <v>0</v>
      </c>
      <c r="AN20" t="n">
        <v>0</v>
      </c>
      <c r="AO20" t="n">
        <v>0.27</v>
      </c>
      <c r="AP20" t="n">
        <v>13.5</v>
      </c>
      <c r="AQ20" t="n">
        <v>0</v>
      </c>
      <c r="AR20" t="n">
        <v>25.89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93.20999999999999</v>
      </c>
      <c r="BC20" t="n">
        <v>0</v>
      </c>
      <c r="BD20" t="n">
        <v>190.29</v>
      </c>
      <c r="BE20" t="inlineStr">
        <is>
          <t>settled</t>
        </is>
      </c>
      <c r="BF20" t="inlineStr">
        <is>
          <t>2025-12-10 05:30:00</t>
        </is>
      </c>
      <c r="BG20" t="inlineStr">
        <is>
          <t>CITIN25668340126</t>
        </is>
      </c>
      <c r="BH20" t="n">
        <v>0</v>
      </c>
      <c r="BI20" t="inlineStr">
        <is>
          <t>b8ae946be4dc5a9e207e25d6001a42709ae89a6474fd2130b13ef9130dbd4939</t>
        </is>
      </c>
    </row>
    <row r="21">
      <c r="A21" t="inlineStr">
        <is>
          <t>16</t>
        </is>
      </c>
      <c r="B21" t="inlineStr">
        <is>
          <t>7535414672</t>
        </is>
      </c>
      <c r="C21" t="inlineStr">
        <is>
          <t>2025-12-02 18:04:51</t>
        </is>
      </c>
      <c r="D21" t="inlineStr">
        <is>
          <t>49</t>
        </is>
      </c>
      <c r="E21" t="inlineStr">
        <is>
          <t>Baba Yaga Art Of Chinese - By Posh Foods</t>
        </is>
      </c>
      <c r="F21" t="inlineStr">
        <is>
          <t>20037890</t>
        </is>
      </c>
      <c r="G21" t="inlineStr">
        <is>
          <t>Flat ₹100 off (2025-11-26 - 2031-01-01)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9</t>
        </is>
      </c>
      <c r="O21" t="n">
        <v>375</v>
      </c>
      <c r="P21" t="n">
        <v>0</v>
      </c>
      <c r="Q21" t="n">
        <v>0</v>
      </c>
      <c r="R21" t="n">
        <v>70</v>
      </c>
      <c r="S21" t="n">
        <v>27.5</v>
      </c>
      <c r="T21" t="n">
        <v>0</v>
      </c>
      <c r="U21" t="n">
        <v>0</v>
      </c>
      <c r="V21" t="n">
        <v>13.88</v>
      </c>
      <c r="W21" t="n">
        <v>291.38</v>
      </c>
      <c r="X21" t="n">
        <v>277.5</v>
      </c>
      <c r="Y21" t="n">
        <v>0</v>
      </c>
      <c r="Z21" t="n">
        <v>0</v>
      </c>
      <c r="AA21" t="n">
        <v>277.5</v>
      </c>
      <c r="AB21" t="n">
        <v>23</v>
      </c>
      <c r="AC21" t="n">
        <v>63.82</v>
      </c>
      <c r="AD21" t="n">
        <v>4.71</v>
      </c>
      <c r="AE21" t="n">
        <v>20</v>
      </c>
      <c r="AF21" t="n">
        <v>0</v>
      </c>
      <c r="AG21" t="n">
        <v>0.57</v>
      </c>
      <c r="AH21" t="n">
        <v>5.36</v>
      </c>
      <c r="AI21" t="n">
        <v>88.61</v>
      </c>
      <c r="AJ21" t="n">
        <v>15.95</v>
      </c>
      <c r="AK21" t="n">
        <v>0</v>
      </c>
      <c r="AL21" t="n">
        <v>277.5</v>
      </c>
      <c r="AM21" t="n">
        <v>0</v>
      </c>
      <c r="AN21" t="n">
        <v>0</v>
      </c>
      <c r="AO21" t="n">
        <v>0.28</v>
      </c>
      <c r="AP21" t="n">
        <v>13.88</v>
      </c>
      <c r="AQ21" t="n">
        <v>0</v>
      </c>
      <c r="AR21" t="n">
        <v>30.11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32.75</v>
      </c>
      <c r="AY21" t="n">
        <v>0</v>
      </c>
      <c r="AZ21" t="n">
        <v>0</v>
      </c>
      <c r="BA21" t="n">
        <v>32.75</v>
      </c>
      <c r="BB21" t="n">
        <v>151.47</v>
      </c>
      <c r="BC21" t="n">
        <v>0</v>
      </c>
      <c r="BD21" t="n">
        <v>139.91</v>
      </c>
      <c r="BE21" t="inlineStr">
        <is>
          <t>settled</t>
        </is>
      </c>
      <c r="BF21" t="inlineStr">
        <is>
          <t>2025-12-10 05:30:00</t>
        </is>
      </c>
      <c r="BG21" t="inlineStr">
        <is>
          <t>CITIN25668340126</t>
        </is>
      </c>
      <c r="BH21" t="n">
        <v>0</v>
      </c>
      <c r="BI21" t="inlineStr">
        <is>
          <t>d7e11602863c8f200bdae6411527227a913f99a7ff3c6e3f9c94644e68d26593</t>
        </is>
      </c>
    </row>
    <row r="22">
      <c r="A22" t="inlineStr">
        <is>
          <t>17</t>
        </is>
      </c>
      <c r="B22" t="inlineStr">
        <is>
          <t>7541317446</t>
        </is>
      </c>
      <c r="C22" t="inlineStr">
        <is>
          <t>2025-12-02 18:39:15</t>
        </is>
      </c>
      <c r="D22" t="inlineStr">
        <is>
          <t>49</t>
        </is>
      </c>
      <c r="E22" t="inlineStr">
        <is>
          <t>Baba Yaga Art Of Chinese - By Posh Foods</t>
        </is>
      </c>
      <c r="F22" t="inlineStr">
        <is>
          <t>20037890</t>
        </is>
      </c>
      <c r="G22" t="inlineStr">
        <is>
          <t>Flat ₹100 off (2025-11-26 - 2031-01-01)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9</t>
        </is>
      </c>
      <c r="O22" t="n">
        <v>319</v>
      </c>
      <c r="P22" t="n">
        <v>0</v>
      </c>
      <c r="Q22" t="n">
        <v>0</v>
      </c>
      <c r="R22" t="n">
        <v>70</v>
      </c>
      <c r="S22" t="n">
        <v>19.4</v>
      </c>
      <c r="T22" t="n">
        <v>0</v>
      </c>
      <c r="U22" t="n">
        <v>0</v>
      </c>
      <c r="V22" t="n">
        <v>11.48</v>
      </c>
      <c r="W22" t="n">
        <v>241.08</v>
      </c>
      <c r="X22" t="n">
        <v>229.6</v>
      </c>
      <c r="Y22" t="n">
        <v>0</v>
      </c>
      <c r="Z22" t="n">
        <v>0</v>
      </c>
      <c r="AA22" t="n">
        <v>229.6</v>
      </c>
      <c r="AB22" t="n">
        <v>23</v>
      </c>
      <c r="AC22" t="n">
        <v>52.81</v>
      </c>
      <c r="AD22" t="n">
        <v>4.76</v>
      </c>
      <c r="AE22" t="n">
        <v>20</v>
      </c>
      <c r="AF22" t="n">
        <v>0</v>
      </c>
      <c r="AG22" t="n">
        <v>3.93</v>
      </c>
      <c r="AH22" t="n">
        <v>4.44</v>
      </c>
      <c r="AI22" t="n">
        <v>73.31999999999999</v>
      </c>
      <c r="AJ22" t="n">
        <v>13.2</v>
      </c>
      <c r="AK22" t="n">
        <v>0</v>
      </c>
      <c r="AL22" t="n">
        <v>229.6</v>
      </c>
      <c r="AM22" t="n">
        <v>0</v>
      </c>
      <c r="AN22" t="n">
        <v>0</v>
      </c>
      <c r="AO22" t="n">
        <v>0.23</v>
      </c>
      <c r="AP22" t="n">
        <v>11.48</v>
      </c>
      <c r="AQ22" t="n">
        <v>0</v>
      </c>
      <c r="AR22" t="n">
        <v>24.91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27.09</v>
      </c>
      <c r="AY22" t="n">
        <v>0</v>
      </c>
      <c r="AZ22" t="n">
        <v>0</v>
      </c>
      <c r="BA22" t="n">
        <v>27.09</v>
      </c>
      <c r="BB22" t="n">
        <v>125.32</v>
      </c>
      <c r="BC22" t="n">
        <v>0</v>
      </c>
      <c r="BD22" t="n">
        <v>115.76</v>
      </c>
      <c r="BE22" t="inlineStr">
        <is>
          <t>settled</t>
        </is>
      </c>
      <c r="BF22" t="inlineStr">
        <is>
          <t>2025-12-10 05:30:00</t>
        </is>
      </c>
      <c r="BG22" t="inlineStr">
        <is>
          <t>CITIN25668340126</t>
        </is>
      </c>
      <c r="BH22" t="n">
        <v>0</v>
      </c>
      <c r="BI22" t="inlineStr">
        <is>
          <t>aa9a595ccfdc25c97e22bd36d6fe4cea091e765cd9ea1707f682b71d25919766</t>
        </is>
      </c>
    </row>
    <row r="23">
      <c r="A23" t="inlineStr">
        <is>
          <t>18</t>
        </is>
      </c>
      <c r="B23" t="inlineStr">
        <is>
          <t>7537879061</t>
        </is>
      </c>
      <c r="C23" t="inlineStr">
        <is>
          <t>2025-12-02 18:50:27</t>
        </is>
      </c>
      <c r="D23" t="inlineStr">
        <is>
          <t>49</t>
        </is>
      </c>
      <c r="E23" t="inlineStr">
        <is>
          <t>Baba Yaga Art Of Chinese - By Posh Foods</t>
        </is>
      </c>
      <c r="F23" t="inlineStr">
        <is>
          <t>20037890</t>
        </is>
      </c>
      <c r="G23" t="inlineStr">
        <is>
          <t>NA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9</t>
        </is>
      </c>
      <c r="O23" t="n">
        <v>335</v>
      </c>
      <c r="P23" t="n">
        <v>0</v>
      </c>
      <c r="Q23" t="n">
        <v>0</v>
      </c>
      <c r="R23" t="n">
        <v>0</v>
      </c>
      <c r="S23" t="n">
        <v>141.5</v>
      </c>
      <c r="T23" t="n">
        <v>0</v>
      </c>
      <c r="U23" t="n">
        <v>0</v>
      </c>
      <c r="V23" t="n">
        <v>9.68</v>
      </c>
      <c r="W23" t="n">
        <v>203.18</v>
      </c>
      <c r="X23" t="n">
        <v>193.5</v>
      </c>
      <c r="Y23" t="n">
        <v>0</v>
      </c>
      <c r="Z23" t="n">
        <v>0</v>
      </c>
      <c r="AA23" t="n">
        <v>193.5</v>
      </c>
      <c r="AB23" t="n">
        <v>23</v>
      </c>
      <c r="AC23" t="n">
        <v>44.5</v>
      </c>
      <c r="AD23" t="n">
        <v>1.78</v>
      </c>
      <c r="AE23" t="n">
        <v>0</v>
      </c>
      <c r="AF23" t="n">
        <v>0</v>
      </c>
      <c r="AG23" t="n">
        <v>0</v>
      </c>
      <c r="AH23" t="n">
        <v>3.74</v>
      </c>
      <c r="AI23" t="n">
        <v>48.24</v>
      </c>
      <c r="AJ23" t="n">
        <v>8.68</v>
      </c>
      <c r="AK23" t="n">
        <v>0</v>
      </c>
      <c r="AL23" t="n">
        <v>193.5</v>
      </c>
      <c r="AM23" t="n">
        <v>0</v>
      </c>
      <c r="AN23" t="n">
        <v>0</v>
      </c>
      <c r="AO23" t="n">
        <v>0.19</v>
      </c>
      <c r="AP23" t="n">
        <v>9.68</v>
      </c>
      <c r="AQ23" t="n">
        <v>0</v>
      </c>
      <c r="AR23" t="n">
        <v>18.55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66.79000000000001</v>
      </c>
      <c r="BC23" t="n">
        <v>0</v>
      </c>
      <c r="BD23" t="n">
        <v>136.39</v>
      </c>
      <c r="BE23" t="inlineStr">
        <is>
          <t>settled</t>
        </is>
      </c>
      <c r="BF23" t="inlineStr">
        <is>
          <t>2025-12-10 05:30:00</t>
        </is>
      </c>
      <c r="BG23" t="inlineStr">
        <is>
          <t>CITIN25668340126</t>
        </is>
      </c>
      <c r="BH23" t="n">
        <v>0</v>
      </c>
      <c r="BI23" t="inlineStr">
        <is>
          <t>113a6307635f91cb7af58ecab9f05b81e8afea855e40365251367f69b4a476cb</t>
        </is>
      </c>
    </row>
    <row r="24">
      <c r="A24" t="inlineStr">
        <is>
          <t>19</t>
        </is>
      </c>
      <c r="B24" t="inlineStr">
        <is>
          <t>7541150144</t>
        </is>
      </c>
      <c r="C24" t="inlineStr">
        <is>
          <t>2025-12-02 18:55:57</t>
        </is>
      </c>
      <c r="D24" t="inlineStr">
        <is>
          <t>49</t>
        </is>
      </c>
      <c r="E24" t="inlineStr">
        <is>
          <t>Baba Yaga Art Of Chinese - By Posh Foods</t>
        </is>
      </c>
      <c r="F24" t="inlineStr">
        <is>
          <t>20037890</t>
        </is>
      </c>
      <c r="G24" t="inlineStr">
        <is>
          <t>Flat ₹175 off (2025-11-26 - 2031-01-01)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9</t>
        </is>
      </c>
      <c r="O24" t="n">
        <v>810</v>
      </c>
      <c r="P24" t="n">
        <v>0</v>
      </c>
      <c r="Q24" t="n">
        <v>0</v>
      </c>
      <c r="R24" t="n">
        <v>122</v>
      </c>
      <c r="S24" t="n">
        <v>63.5</v>
      </c>
      <c r="T24" t="n">
        <v>0</v>
      </c>
      <c r="U24" t="n">
        <v>0</v>
      </c>
      <c r="V24" t="n">
        <v>31.23</v>
      </c>
      <c r="W24" t="n">
        <v>655.73</v>
      </c>
      <c r="X24" t="n">
        <v>624.5</v>
      </c>
      <c r="Y24" t="n">
        <v>0</v>
      </c>
      <c r="Z24" t="n">
        <v>0</v>
      </c>
      <c r="AA24" t="n">
        <v>624.5</v>
      </c>
      <c r="AB24" t="n">
        <v>23</v>
      </c>
      <c r="AC24" t="n">
        <v>143.64</v>
      </c>
      <c r="AD24" t="n">
        <v>2.53</v>
      </c>
      <c r="AE24" t="n">
        <v>0</v>
      </c>
      <c r="AF24" t="n">
        <v>0</v>
      </c>
      <c r="AG24" t="n">
        <v>0</v>
      </c>
      <c r="AH24" t="n">
        <v>12.07</v>
      </c>
      <c r="AI24" t="n">
        <v>155.71</v>
      </c>
      <c r="AJ24" t="n">
        <v>28.03</v>
      </c>
      <c r="AK24" t="n">
        <v>0</v>
      </c>
      <c r="AL24" t="n">
        <v>624.5</v>
      </c>
      <c r="AM24" t="n">
        <v>0</v>
      </c>
      <c r="AN24" t="n">
        <v>0</v>
      </c>
      <c r="AO24" t="n">
        <v>0.62</v>
      </c>
      <c r="AP24" t="n">
        <v>31.23</v>
      </c>
      <c r="AQ24" t="n">
        <v>0</v>
      </c>
      <c r="AR24" t="n">
        <v>59.88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215.59</v>
      </c>
      <c r="BC24" t="n">
        <v>0</v>
      </c>
      <c r="BD24" t="n">
        <v>440.14</v>
      </c>
      <c r="BE24" t="inlineStr">
        <is>
          <t>settled</t>
        </is>
      </c>
      <c r="BF24" t="inlineStr">
        <is>
          <t>2025-12-10 05:30:00</t>
        </is>
      </c>
      <c r="BG24" t="inlineStr">
        <is>
          <t>CITIN25668340126</t>
        </is>
      </c>
      <c r="BH24" t="n">
        <v>0</v>
      </c>
      <c r="BI24" t="inlineStr">
        <is>
          <t>7eb198940ab7cdbfb68724802f46675ace16c0c52da68926b38648bc469c0546</t>
        </is>
      </c>
    </row>
    <row r="25">
      <c r="A25" t="inlineStr">
        <is>
          <t>20</t>
        </is>
      </c>
      <c r="B25" t="inlineStr">
        <is>
          <t>7542654249</t>
        </is>
      </c>
      <c r="C25" t="inlineStr">
        <is>
          <t>2025-12-02 19:17:20</t>
        </is>
      </c>
      <c r="D25" t="inlineStr">
        <is>
          <t>49</t>
        </is>
      </c>
      <c r="E25" t="inlineStr">
        <is>
          <t>Baba Yaga Art Of Chinese - By Posh Foods</t>
        </is>
      </c>
      <c r="F25" t="inlineStr">
        <is>
          <t>20037890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9</t>
        </is>
      </c>
      <c r="O25" t="n">
        <v>580</v>
      </c>
      <c r="P25" t="n">
        <v>0</v>
      </c>
      <c r="Q25" t="n">
        <v>0</v>
      </c>
      <c r="R25" t="n">
        <v>0</v>
      </c>
      <c r="S25" t="n">
        <v>58</v>
      </c>
      <c r="T25" t="n">
        <v>0</v>
      </c>
      <c r="U25" t="n">
        <v>0</v>
      </c>
      <c r="V25" t="n">
        <v>26.1</v>
      </c>
      <c r="W25" t="n">
        <v>548.1</v>
      </c>
      <c r="X25" t="n">
        <v>522</v>
      </c>
      <c r="Y25" t="n">
        <v>0</v>
      </c>
      <c r="Z25" t="n">
        <v>0</v>
      </c>
      <c r="AA25" t="n">
        <v>522</v>
      </c>
      <c r="AB25" t="n">
        <v>23</v>
      </c>
      <c r="AC25" t="n">
        <v>120.06</v>
      </c>
      <c r="AD25" t="n">
        <v>0.54</v>
      </c>
      <c r="AE25" t="n">
        <v>0</v>
      </c>
      <c r="AF25" t="n">
        <v>0</v>
      </c>
      <c r="AG25" t="n">
        <v>0</v>
      </c>
      <c r="AH25" t="n">
        <v>10.09</v>
      </c>
      <c r="AI25" t="n">
        <v>130.15</v>
      </c>
      <c r="AJ25" t="n">
        <v>23.43</v>
      </c>
      <c r="AK25" t="n">
        <v>0</v>
      </c>
      <c r="AL25" t="n">
        <v>522</v>
      </c>
      <c r="AM25" t="n">
        <v>0</v>
      </c>
      <c r="AN25" t="n">
        <v>0</v>
      </c>
      <c r="AO25" t="n">
        <v>0.52</v>
      </c>
      <c r="AP25" t="n">
        <v>26.1</v>
      </c>
      <c r="AQ25" t="n">
        <v>0</v>
      </c>
      <c r="AR25" t="n">
        <v>50.05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180.2</v>
      </c>
      <c r="BC25" t="n">
        <v>0</v>
      </c>
      <c r="BD25" t="n">
        <v>367.9</v>
      </c>
      <c r="BE25" t="inlineStr">
        <is>
          <t>settled</t>
        </is>
      </c>
      <c r="BF25" t="inlineStr">
        <is>
          <t>2025-12-10 05:30:00</t>
        </is>
      </c>
      <c r="BG25" t="inlineStr">
        <is>
          <t>CITIN25668340126</t>
        </is>
      </c>
      <c r="BH25" t="n">
        <v>0</v>
      </c>
      <c r="BI25" t="inlineStr">
        <is>
          <t>d5477f349a4591563443136f736052b73f1ee6271f2a7f6ab086269c948aeee9</t>
        </is>
      </c>
    </row>
    <row r="26">
      <c r="A26" t="inlineStr">
        <is>
          <t>21</t>
        </is>
      </c>
      <c r="B26" t="inlineStr">
        <is>
          <t>7529386226</t>
        </is>
      </c>
      <c r="C26" t="inlineStr">
        <is>
          <t>2025-12-02 19:26:24</t>
        </is>
      </c>
      <c r="D26" t="inlineStr">
        <is>
          <t>49</t>
        </is>
      </c>
      <c r="E26" t="inlineStr">
        <is>
          <t>Baba Yaga Art Of Chinese - By Posh Foods</t>
        </is>
      </c>
      <c r="F26" t="inlineStr">
        <is>
          <t>20037890</t>
        </is>
      </c>
      <c r="G26" t="inlineStr">
        <is>
          <t>Flat ₹150 off (2025-11-26 - 2031-01-01)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9</t>
        </is>
      </c>
      <c r="O26" t="n">
        <v>685</v>
      </c>
      <c r="P26" t="n">
        <v>0</v>
      </c>
      <c r="Q26" t="n">
        <v>0</v>
      </c>
      <c r="R26" t="n">
        <v>105</v>
      </c>
      <c r="S26" t="n">
        <v>53.5</v>
      </c>
      <c r="T26" t="n">
        <v>0</v>
      </c>
      <c r="U26" t="n">
        <v>0</v>
      </c>
      <c r="V26" t="n">
        <v>26.33</v>
      </c>
      <c r="W26" t="n">
        <v>552.83</v>
      </c>
      <c r="X26" t="n">
        <v>526.5</v>
      </c>
      <c r="Y26" t="n">
        <v>0</v>
      </c>
      <c r="Z26" t="n">
        <v>0</v>
      </c>
      <c r="AA26" t="n">
        <v>526.5</v>
      </c>
      <c r="AB26" t="n">
        <v>23</v>
      </c>
      <c r="AC26" t="n">
        <v>121.1</v>
      </c>
      <c r="AD26" t="n">
        <v>4.89</v>
      </c>
      <c r="AE26" t="n">
        <v>20</v>
      </c>
      <c r="AF26" t="n">
        <v>0</v>
      </c>
      <c r="AG26" t="n">
        <v>0</v>
      </c>
      <c r="AH26" t="n">
        <v>10.17</v>
      </c>
      <c r="AI26" t="n">
        <v>151.27</v>
      </c>
      <c r="AJ26" t="n">
        <v>27.23</v>
      </c>
      <c r="AK26" t="n">
        <v>0</v>
      </c>
      <c r="AL26" t="n">
        <v>526.5</v>
      </c>
      <c r="AM26" t="n">
        <v>0</v>
      </c>
      <c r="AN26" t="n">
        <v>0</v>
      </c>
      <c r="AO26" t="n">
        <v>0.53</v>
      </c>
      <c r="AP26" t="n">
        <v>26.32</v>
      </c>
      <c r="AQ26" t="n">
        <v>0.01</v>
      </c>
      <c r="AR26" t="n">
        <v>54.08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205.35</v>
      </c>
      <c r="BC26" t="n">
        <v>0</v>
      </c>
      <c r="BD26" t="n">
        <v>347.48</v>
      </c>
      <c r="BE26" t="inlineStr">
        <is>
          <t>settled</t>
        </is>
      </c>
      <c r="BF26" t="inlineStr">
        <is>
          <t>2025-12-10 05:30:00</t>
        </is>
      </c>
      <c r="BG26" t="inlineStr">
        <is>
          <t>CITIN25668340126</t>
        </is>
      </c>
      <c r="BH26" t="n">
        <v>0</v>
      </c>
      <c r="BI26" t="inlineStr">
        <is>
          <t>5a049e0b923eb08c8c2cd72d10fd70bf4e10b1cf1420bf57a0698dfee6920606</t>
        </is>
      </c>
    </row>
    <row r="27">
      <c r="A27" t="inlineStr">
        <is>
          <t>22</t>
        </is>
      </c>
      <c r="B27" t="inlineStr">
        <is>
          <t>7537960546</t>
        </is>
      </c>
      <c r="C27" t="inlineStr">
        <is>
          <t>2025-12-02 20:02:34</t>
        </is>
      </c>
      <c r="D27" t="inlineStr">
        <is>
          <t>49</t>
        </is>
      </c>
      <c r="E27" t="inlineStr">
        <is>
          <t>Baba Yaga Art Of Chinese - By Posh Foods</t>
        </is>
      </c>
      <c r="F27" t="inlineStr">
        <is>
          <t>20037890</t>
        </is>
      </c>
      <c r="G27" t="inlineStr">
        <is>
          <t>Flat ₹100 off (2025-11-26 - 2031-01-01)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9</t>
        </is>
      </c>
      <c r="O27" t="n">
        <v>379</v>
      </c>
      <c r="P27" t="n">
        <v>0</v>
      </c>
      <c r="Q27" t="n">
        <v>0</v>
      </c>
      <c r="R27" t="n">
        <v>70</v>
      </c>
      <c r="S27" t="n">
        <v>27.9</v>
      </c>
      <c r="T27" t="n">
        <v>0</v>
      </c>
      <c r="U27" t="n">
        <v>0</v>
      </c>
      <c r="V27" t="n">
        <v>14.06</v>
      </c>
      <c r="W27" t="n">
        <v>295.16</v>
      </c>
      <c r="X27" t="n">
        <v>281.1</v>
      </c>
      <c r="Y27" t="n">
        <v>0</v>
      </c>
      <c r="Z27" t="n">
        <v>0</v>
      </c>
      <c r="AA27" t="n">
        <v>281.1</v>
      </c>
      <c r="AB27" t="n">
        <v>23</v>
      </c>
      <c r="AC27" t="n">
        <v>64.65000000000001</v>
      </c>
      <c r="AD27" t="n">
        <v>2.92</v>
      </c>
      <c r="AE27" t="n">
        <v>0</v>
      </c>
      <c r="AF27" t="n">
        <v>0</v>
      </c>
      <c r="AG27" t="n">
        <v>0</v>
      </c>
      <c r="AH27" t="n">
        <v>5.43</v>
      </c>
      <c r="AI27" t="n">
        <v>70.08</v>
      </c>
      <c r="AJ27" t="n">
        <v>12.62</v>
      </c>
      <c r="AK27" t="n">
        <v>0</v>
      </c>
      <c r="AL27" t="n">
        <v>281.1</v>
      </c>
      <c r="AM27" t="n">
        <v>0</v>
      </c>
      <c r="AN27" t="n">
        <v>0</v>
      </c>
      <c r="AO27" t="n">
        <v>0.28</v>
      </c>
      <c r="AP27" t="n">
        <v>14.06</v>
      </c>
      <c r="AQ27" t="n">
        <v>0</v>
      </c>
      <c r="AR27" t="n">
        <v>26.96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97.04000000000001</v>
      </c>
      <c r="BC27" t="n">
        <v>0</v>
      </c>
      <c r="BD27" t="n">
        <v>198.12</v>
      </c>
      <c r="BE27" t="inlineStr">
        <is>
          <t>settled</t>
        </is>
      </c>
      <c r="BF27" t="inlineStr">
        <is>
          <t>2025-12-10 05:30:00</t>
        </is>
      </c>
      <c r="BG27" t="inlineStr">
        <is>
          <t>CITIN25668340126</t>
        </is>
      </c>
      <c r="BH27" t="n">
        <v>0</v>
      </c>
      <c r="BI27" t="inlineStr">
        <is>
          <t>378349a701b8ee6dafa97693cfcc10f19f31fa78e439d2d4cf1d3f971ddbd869</t>
        </is>
      </c>
    </row>
    <row r="28">
      <c r="A28" t="inlineStr">
        <is>
          <t>23</t>
        </is>
      </c>
      <c r="B28" t="inlineStr">
        <is>
          <t>7535859559</t>
        </is>
      </c>
      <c r="C28" t="inlineStr">
        <is>
          <t>2025-12-02 20:21:58</t>
        </is>
      </c>
      <c r="D28" t="inlineStr">
        <is>
          <t>49</t>
        </is>
      </c>
      <c r="E28" t="inlineStr">
        <is>
          <t>Baba Yaga Art Of Chinese - By Posh Foods</t>
        </is>
      </c>
      <c r="F28" t="inlineStr">
        <is>
          <t>20037890</t>
        </is>
      </c>
      <c r="G28" t="inlineStr">
        <is>
          <t>Flat ₹80 off (2025-11-26 - 2031-01-01)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9</t>
        </is>
      </c>
      <c r="O28" t="n">
        <v>265</v>
      </c>
      <c r="P28" t="n">
        <v>0</v>
      </c>
      <c r="Q28" t="n">
        <v>0</v>
      </c>
      <c r="R28" t="n">
        <v>56</v>
      </c>
      <c r="S28" t="n">
        <v>0</v>
      </c>
      <c r="T28" t="n">
        <v>0</v>
      </c>
      <c r="U28" t="n">
        <v>0</v>
      </c>
      <c r="V28" t="n">
        <v>10.45</v>
      </c>
      <c r="W28" t="n">
        <v>219.45</v>
      </c>
      <c r="X28" t="n">
        <v>209</v>
      </c>
      <c r="Y28" t="n">
        <v>0</v>
      </c>
      <c r="Z28" t="n">
        <v>0</v>
      </c>
      <c r="AA28" t="n">
        <v>209</v>
      </c>
      <c r="AB28" t="n">
        <v>23</v>
      </c>
      <c r="AC28" t="n">
        <v>48.07</v>
      </c>
      <c r="AD28" t="n">
        <v>2.65</v>
      </c>
      <c r="AE28" t="n">
        <v>0</v>
      </c>
      <c r="AF28" t="n">
        <v>0</v>
      </c>
      <c r="AG28" t="n">
        <v>0</v>
      </c>
      <c r="AH28" t="n">
        <v>4.04</v>
      </c>
      <c r="AI28" t="n">
        <v>52.11</v>
      </c>
      <c r="AJ28" t="n">
        <v>9.380000000000001</v>
      </c>
      <c r="AK28" t="n">
        <v>0</v>
      </c>
      <c r="AL28" t="n">
        <v>209</v>
      </c>
      <c r="AM28" t="n">
        <v>0</v>
      </c>
      <c r="AN28" t="n">
        <v>0</v>
      </c>
      <c r="AO28" t="n">
        <v>0.21</v>
      </c>
      <c r="AP28" t="n">
        <v>10.45</v>
      </c>
      <c r="AQ28" t="n">
        <v>0</v>
      </c>
      <c r="AR28" t="n">
        <v>20.04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72.15000000000001</v>
      </c>
      <c r="BC28" t="n">
        <v>0</v>
      </c>
      <c r="BD28" t="n">
        <v>147.3</v>
      </c>
      <c r="BE28" t="inlineStr">
        <is>
          <t>settled</t>
        </is>
      </c>
      <c r="BF28" t="inlineStr">
        <is>
          <t>2025-12-10 05:30:00</t>
        </is>
      </c>
      <c r="BG28" t="inlineStr">
        <is>
          <t>CITIN25668340126</t>
        </is>
      </c>
      <c r="BH28" t="n">
        <v>0</v>
      </c>
      <c r="BI28" t="inlineStr">
        <is>
          <t>d61c8df7f0680e2851f9a15cc69c3a8f2049598b9c96c26adf3ac31603785c2b</t>
        </is>
      </c>
    </row>
    <row r="29">
      <c r="A29" t="inlineStr">
        <is>
          <t>24</t>
        </is>
      </c>
      <c r="B29" t="inlineStr">
        <is>
          <t>7541954270</t>
        </is>
      </c>
      <c r="C29" t="inlineStr">
        <is>
          <t>2025-12-02 20:28:06</t>
        </is>
      </c>
      <c r="D29" t="inlineStr">
        <is>
          <t>49</t>
        </is>
      </c>
      <c r="E29" t="inlineStr">
        <is>
          <t>Baba Yaga Art Of Chinese - By Posh Foods</t>
        </is>
      </c>
      <c r="F29" t="inlineStr">
        <is>
          <t>20037890</t>
        </is>
      </c>
      <c r="G29" t="inlineStr">
        <is>
          <t>Flat ₹100 off (2025-11-26 - 2031-01-01)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9</t>
        </is>
      </c>
      <c r="O29" t="n">
        <v>265</v>
      </c>
      <c r="P29" t="n">
        <v>0</v>
      </c>
      <c r="Q29" t="n">
        <v>0</v>
      </c>
      <c r="R29" t="n">
        <v>70</v>
      </c>
      <c r="S29" t="n">
        <v>0</v>
      </c>
      <c r="T29" t="n">
        <v>0</v>
      </c>
      <c r="U29" t="n">
        <v>0</v>
      </c>
      <c r="V29" t="n">
        <v>9.75</v>
      </c>
      <c r="W29" t="n">
        <v>204.75</v>
      </c>
      <c r="X29" t="n">
        <v>195</v>
      </c>
      <c r="Y29" t="n">
        <v>0</v>
      </c>
      <c r="Z29" t="n">
        <v>0</v>
      </c>
      <c r="AA29" t="n">
        <v>195</v>
      </c>
      <c r="AB29" t="n">
        <v>23</v>
      </c>
      <c r="AC29" t="n">
        <v>44.85</v>
      </c>
      <c r="AD29" t="n">
        <v>3.42</v>
      </c>
      <c r="AE29" t="n">
        <v>0</v>
      </c>
      <c r="AF29" t="n">
        <v>0</v>
      </c>
      <c r="AG29" t="n">
        <v>0</v>
      </c>
      <c r="AH29" t="n">
        <v>3.77</v>
      </c>
      <c r="AI29" t="n">
        <v>48.62</v>
      </c>
      <c r="AJ29" t="n">
        <v>8.75</v>
      </c>
      <c r="AK29" t="n">
        <v>0</v>
      </c>
      <c r="AL29" t="n">
        <v>195</v>
      </c>
      <c r="AM29" t="n">
        <v>0</v>
      </c>
      <c r="AN29" t="n">
        <v>0</v>
      </c>
      <c r="AO29" t="n">
        <v>0.2</v>
      </c>
      <c r="AP29" t="n">
        <v>9.75</v>
      </c>
      <c r="AQ29" t="n">
        <v>0</v>
      </c>
      <c r="AR29" t="n">
        <v>18.7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67.31999999999999</v>
      </c>
      <c r="BC29" t="n">
        <v>0</v>
      </c>
      <c r="BD29" t="n">
        <v>137.43</v>
      </c>
      <c r="BE29" t="inlineStr">
        <is>
          <t>settled</t>
        </is>
      </c>
      <c r="BF29" t="inlineStr">
        <is>
          <t>2025-12-10 05:30:00</t>
        </is>
      </c>
      <c r="BG29" t="inlineStr">
        <is>
          <t>CITIN25668340126</t>
        </is>
      </c>
      <c r="BH29" t="n">
        <v>0</v>
      </c>
      <c r="BI29" t="inlineStr">
        <is>
          <t>2767b0373cab324a1a9a4a24ffc58175c374d62fb3499d715de55db0e54392a4</t>
        </is>
      </c>
    </row>
    <row r="30">
      <c r="A30" t="inlineStr">
        <is>
          <t>25</t>
        </is>
      </c>
      <c r="B30" t="inlineStr">
        <is>
          <t>7542931326</t>
        </is>
      </c>
      <c r="C30" t="inlineStr">
        <is>
          <t>2025-12-02 20:30:55</t>
        </is>
      </c>
      <c r="D30" t="inlineStr">
        <is>
          <t>49</t>
        </is>
      </c>
      <c r="E30" t="inlineStr">
        <is>
          <t>Baba Yaga Art Of Chinese - By Posh Foods</t>
        </is>
      </c>
      <c r="F30" t="inlineStr">
        <is>
          <t>20037890</t>
        </is>
      </c>
      <c r="G30" t="inlineStr">
        <is>
          <t>Flat ₹100 off (2025-11-26 - 2031-01-01)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9</t>
        </is>
      </c>
      <c r="O30" t="n">
        <v>210</v>
      </c>
      <c r="P30" t="n">
        <v>0</v>
      </c>
      <c r="Q30" t="n">
        <v>0</v>
      </c>
      <c r="R30" t="n">
        <v>70</v>
      </c>
      <c r="S30" t="n">
        <v>0</v>
      </c>
      <c r="T30" t="n">
        <v>0</v>
      </c>
      <c r="U30" t="n">
        <v>0</v>
      </c>
      <c r="V30" t="n">
        <v>7</v>
      </c>
      <c r="W30" t="n">
        <v>147</v>
      </c>
      <c r="X30" t="n">
        <v>140</v>
      </c>
      <c r="Y30" t="n">
        <v>0</v>
      </c>
      <c r="Z30" t="n">
        <v>0</v>
      </c>
      <c r="AA30" t="n">
        <v>140</v>
      </c>
      <c r="AB30" t="n">
        <v>23</v>
      </c>
      <c r="AC30" t="n">
        <v>32.2</v>
      </c>
      <c r="AD30" t="n">
        <v>2.7</v>
      </c>
      <c r="AE30" t="n">
        <v>0</v>
      </c>
      <c r="AF30" t="n">
        <v>0</v>
      </c>
      <c r="AG30" t="n">
        <v>0</v>
      </c>
      <c r="AH30" t="n">
        <v>2.7</v>
      </c>
      <c r="AI30" t="n">
        <v>34.9</v>
      </c>
      <c r="AJ30" t="n">
        <v>6.29</v>
      </c>
      <c r="AK30" t="n">
        <v>0</v>
      </c>
      <c r="AL30" t="n">
        <v>140</v>
      </c>
      <c r="AM30" t="n">
        <v>0</v>
      </c>
      <c r="AN30" t="n">
        <v>0</v>
      </c>
      <c r="AO30" t="n">
        <v>0.14</v>
      </c>
      <c r="AP30" t="n">
        <v>7</v>
      </c>
      <c r="AQ30" t="n">
        <v>0</v>
      </c>
      <c r="AR30" t="n">
        <v>13.43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48.33</v>
      </c>
      <c r="BC30" t="n">
        <v>0</v>
      </c>
      <c r="BD30" t="n">
        <v>98.67</v>
      </c>
      <c r="BE30" t="inlineStr">
        <is>
          <t>settled</t>
        </is>
      </c>
      <c r="BF30" t="inlineStr">
        <is>
          <t>2025-12-10 05:30:00</t>
        </is>
      </c>
      <c r="BG30" t="inlineStr">
        <is>
          <t>CITIN25668340126</t>
        </is>
      </c>
      <c r="BH30" t="n">
        <v>0</v>
      </c>
      <c r="BI30" t="inlineStr">
        <is>
          <t>a9497f862f1b53c10a5cae694af67f5ced2628d6758085437ba73f57a21884cb</t>
        </is>
      </c>
    </row>
    <row r="31">
      <c r="A31" t="inlineStr">
        <is>
          <t>26</t>
        </is>
      </c>
      <c r="B31" t="inlineStr">
        <is>
          <t>7542809446</t>
        </is>
      </c>
      <c r="C31" t="inlineStr">
        <is>
          <t>2025-12-02 22:16:01</t>
        </is>
      </c>
      <c r="D31" t="inlineStr">
        <is>
          <t>49</t>
        </is>
      </c>
      <c r="E31" t="inlineStr">
        <is>
          <t>Baba Yaga Art Of Chinese - By Posh Foods</t>
        </is>
      </c>
      <c r="F31" t="inlineStr">
        <is>
          <t>20037890</t>
        </is>
      </c>
      <c r="G31" t="inlineStr">
        <is>
          <t>Flat ₹100 off (2025-11-26 - 2031-01-01)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9</t>
        </is>
      </c>
      <c r="O31" t="n">
        <v>265</v>
      </c>
      <c r="P31" t="n">
        <v>0</v>
      </c>
      <c r="Q31" t="n">
        <v>0</v>
      </c>
      <c r="R31" t="n">
        <v>70</v>
      </c>
      <c r="S31" t="n">
        <v>0</v>
      </c>
      <c r="T31" t="n">
        <v>0</v>
      </c>
      <c r="U31" t="n">
        <v>0</v>
      </c>
      <c r="V31" t="n">
        <v>9.75</v>
      </c>
      <c r="W31" t="n">
        <v>204.75</v>
      </c>
      <c r="X31" t="n">
        <v>195</v>
      </c>
      <c r="Y31" t="n">
        <v>0</v>
      </c>
      <c r="Z31" t="n">
        <v>0</v>
      </c>
      <c r="AA31" t="n">
        <v>195</v>
      </c>
      <c r="AB31" t="n">
        <v>23</v>
      </c>
      <c r="AC31" t="n">
        <v>44.85</v>
      </c>
      <c r="AD31" t="n">
        <v>3.11</v>
      </c>
      <c r="AE31" t="n">
        <v>0</v>
      </c>
      <c r="AF31" t="n">
        <v>0</v>
      </c>
      <c r="AG31" t="n">
        <v>0</v>
      </c>
      <c r="AH31" t="n">
        <v>3.77</v>
      </c>
      <c r="AI31" t="n">
        <v>48.62</v>
      </c>
      <c r="AJ31" t="n">
        <v>8.75</v>
      </c>
      <c r="AK31" t="n">
        <v>0</v>
      </c>
      <c r="AL31" t="n">
        <v>195</v>
      </c>
      <c r="AM31" t="n">
        <v>0</v>
      </c>
      <c r="AN31" t="n">
        <v>0</v>
      </c>
      <c r="AO31" t="n">
        <v>0.2</v>
      </c>
      <c r="AP31" t="n">
        <v>9.75</v>
      </c>
      <c r="AQ31" t="n">
        <v>0</v>
      </c>
      <c r="AR31" t="n">
        <v>18.7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67.31999999999999</v>
      </c>
      <c r="BC31" t="n">
        <v>0</v>
      </c>
      <c r="BD31" t="n">
        <v>137.43</v>
      </c>
      <c r="BE31" t="inlineStr">
        <is>
          <t>settled</t>
        </is>
      </c>
      <c r="BF31" t="inlineStr">
        <is>
          <t>2025-12-10 05:30:00</t>
        </is>
      </c>
      <c r="BG31" t="inlineStr">
        <is>
          <t>CITIN25668340126</t>
        </is>
      </c>
      <c r="BH31" t="n">
        <v>0</v>
      </c>
      <c r="BI31" t="inlineStr">
        <is>
          <t>d32c6219b212df512347332cc81efbf8f44bc0013813fed097ddeda24fc1ca62</t>
        </is>
      </c>
    </row>
    <row r="32">
      <c r="A32" t="inlineStr">
        <is>
          <t>27</t>
        </is>
      </c>
      <c r="B32" t="inlineStr">
        <is>
          <t>7542985838</t>
        </is>
      </c>
      <c r="C32" t="inlineStr">
        <is>
          <t>2025-12-02 22:32:38</t>
        </is>
      </c>
      <c r="D32" t="inlineStr">
        <is>
          <t>49</t>
        </is>
      </c>
      <c r="E32" t="inlineStr">
        <is>
          <t>Baba Yaga Art Of Chinese - By Posh Foods</t>
        </is>
      </c>
      <c r="F32" t="inlineStr">
        <is>
          <t>20037890</t>
        </is>
      </c>
      <c r="G32" t="inlineStr">
        <is>
          <t>Flat ₹100 off (2025-11-26 - 2031-01-01)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9</t>
        </is>
      </c>
      <c r="O32" t="n">
        <v>335</v>
      </c>
      <c r="P32" t="n">
        <v>0</v>
      </c>
      <c r="Q32" t="n">
        <v>0</v>
      </c>
      <c r="R32" t="n">
        <v>70</v>
      </c>
      <c r="S32" t="n">
        <v>23.5</v>
      </c>
      <c r="T32" t="n">
        <v>0</v>
      </c>
      <c r="U32" t="n">
        <v>0</v>
      </c>
      <c r="V32" t="n">
        <v>12.08</v>
      </c>
      <c r="W32" t="n">
        <v>253.58</v>
      </c>
      <c r="X32" t="n">
        <v>241.5</v>
      </c>
      <c r="Y32" t="n">
        <v>0</v>
      </c>
      <c r="Z32" t="n">
        <v>0</v>
      </c>
      <c r="AA32" t="n">
        <v>241.5</v>
      </c>
      <c r="AB32" t="n">
        <v>23</v>
      </c>
      <c r="AC32" t="n">
        <v>55.54</v>
      </c>
      <c r="AD32" t="n">
        <v>3.68</v>
      </c>
      <c r="AE32" t="n">
        <v>0</v>
      </c>
      <c r="AF32" t="n">
        <v>0</v>
      </c>
      <c r="AG32" t="n">
        <v>0</v>
      </c>
      <c r="AH32" t="n">
        <v>4.67</v>
      </c>
      <c r="AI32" t="n">
        <v>60.21</v>
      </c>
      <c r="AJ32" t="n">
        <v>10.84</v>
      </c>
      <c r="AK32" t="n">
        <v>0</v>
      </c>
      <c r="AL32" t="n">
        <v>241.5</v>
      </c>
      <c r="AM32" t="n">
        <v>0</v>
      </c>
      <c r="AN32" t="n">
        <v>0</v>
      </c>
      <c r="AO32" t="n">
        <v>0.24</v>
      </c>
      <c r="AP32" t="n">
        <v>12.08</v>
      </c>
      <c r="AQ32" t="n">
        <v>0</v>
      </c>
      <c r="AR32" t="n">
        <v>23.16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83.37</v>
      </c>
      <c r="BC32" t="n">
        <v>0</v>
      </c>
      <c r="BD32" t="n">
        <v>170.21</v>
      </c>
      <c r="BE32" t="inlineStr">
        <is>
          <t>settled</t>
        </is>
      </c>
      <c r="BF32" t="inlineStr">
        <is>
          <t>2025-12-10 05:30:00</t>
        </is>
      </c>
      <c r="BG32" t="inlineStr">
        <is>
          <t>CITIN25668340126</t>
        </is>
      </c>
      <c r="BH32" t="n">
        <v>0</v>
      </c>
      <c r="BI32" t="inlineStr">
        <is>
          <t>e6b790b098082e96e4a289532f203c1dcde9fafb8b1eab861e83d7fb34e0a966</t>
        </is>
      </c>
    </row>
    <row r="33">
      <c r="A33" t="inlineStr">
        <is>
          <t>28</t>
        </is>
      </c>
      <c r="B33" t="inlineStr">
        <is>
          <t>7540666658</t>
        </is>
      </c>
      <c r="C33" t="inlineStr">
        <is>
          <t>2025-12-02 22:38:53</t>
        </is>
      </c>
      <c r="D33" t="inlineStr">
        <is>
          <t>49</t>
        </is>
      </c>
      <c r="E33" t="inlineStr">
        <is>
          <t>Baba Yaga Art Of Chinese - By Posh Foods</t>
        </is>
      </c>
      <c r="F33" t="inlineStr">
        <is>
          <t>20037890</t>
        </is>
      </c>
      <c r="G33" t="inlineStr">
        <is>
          <t>Flat ₹100 off (2025-11-26 - 2031-01-01)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9</t>
        </is>
      </c>
      <c r="O33" t="n">
        <v>265</v>
      </c>
      <c r="P33" t="n">
        <v>0</v>
      </c>
      <c r="Q33" t="n">
        <v>0</v>
      </c>
      <c r="R33" t="n">
        <v>70</v>
      </c>
      <c r="S33" t="n">
        <v>0</v>
      </c>
      <c r="T33" t="n">
        <v>0</v>
      </c>
      <c r="U33" t="n">
        <v>0</v>
      </c>
      <c r="V33" t="n">
        <v>9.75</v>
      </c>
      <c r="W33" t="n">
        <v>204.75</v>
      </c>
      <c r="X33" t="n">
        <v>195</v>
      </c>
      <c r="Y33" t="n">
        <v>0</v>
      </c>
      <c r="Z33" t="n">
        <v>0</v>
      </c>
      <c r="AA33" t="n">
        <v>195</v>
      </c>
      <c r="AB33" t="n">
        <v>23</v>
      </c>
      <c r="AC33" t="n">
        <v>44.85</v>
      </c>
      <c r="AD33" t="n">
        <v>2.31</v>
      </c>
      <c r="AE33" t="n">
        <v>0</v>
      </c>
      <c r="AF33" t="n">
        <v>0</v>
      </c>
      <c r="AG33" t="n">
        <v>0</v>
      </c>
      <c r="AH33" t="n">
        <v>3.77</v>
      </c>
      <c r="AI33" t="n">
        <v>48.62</v>
      </c>
      <c r="AJ33" t="n">
        <v>8.75</v>
      </c>
      <c r="AK33" t="n">
        <v>0</v>
      </c>
      <c r="AL33" t="n">
        <v>195</v>
      </c>
      <c r="AM33" t="n">
        <v>0</v>
      </c>
      <c r="AN33" t="n">
        <v>0</v>
      </c>
      <c r="AO33" t="n">
        <v>0.2</v>
      </c>
      <c r="AP33" t="n">
        <v>9.75</v>
      </c>
      <c r="AQ33" t="n">
        <v>0</v>
      </c>
      <c r="AR33" t="n">
        <v>18.7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23.01</v>
      </c>
      <c r="AY33" t="n">
        <v>0</v>
      </c>
      <c r="AZ33" t="n">
        <v>0</v>
      </c>
      <c r="BA33" t="n">
        <v>23.01</v>
      </c>
      <c r="BB33" t="n">
        <v>90.33</v>
      </c>
      <c r="BC33" t="n">
        <v>0</v>
      </c>
      <c r="BD33" t="n">
        <v>114.42</v>
      </c>
      <c r="BE33" t="inlineStr">
        <is>
          <t>settled</t>
        </is>
      </c>
      <c r="BF33" t="inlineStr">
        <is>
          <t>2025-12-10 05:30:00</t>
        </is>
      </c>
      <c r="BG33" t="inlineStr">
        <is>
          <t>CITIN25668340126</t>
        </is>
      </c>
      <c r="BH33" t="n">
        <v>0</v>
      </c>
      <c r="BI33" t="inlineStr">
        <is>
          <t>7db2bf41d31d1bf57b924af2269bf3a3e9079d7aaea2a86b5d43a8438c8bdc4c</t>
        </is>
      </c>
    </row>
    <row r="34">
      <c r="A34" t="inlineStr">
        <is>
          <t>29</t>
        </is>
      </c>
      <c r="B34" t="inlineStr">
        <is>
          <t>7538585858</t>
        </is>
      </c>
      <c r="C34" t="inlineStr">
        <is>
          <t>2025-12-02 22:42:42</t>
        </is>
      </c>
      <c r="D34" t="inlineStr">
        <is>
          <t>49</t>
        </is>
      </c>
      <c r="E34" t="inlineStr">
        <is>
          <t>Baba Yaga Art Of Chinese - By Posh Foods</t>
        </is>
      </c>
      <c r="F34" t="inlineStr">
        <is>
          <t>20037890</t>
        </is>
      </c>
      <c r="G34" t="inlineStr">
        <is>
          <t>Flat ₹150 off (2025-11-26 - 2031-01-01)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9</t>
        </is>
      </c>
      <c r="O34" t="n">
        <v>580</v>
      </c>
      <c r="P34" t="n">
        <v>0</v>
      </c>
      <c r="Q34" t="n">
        <v>0</v>
      </c>
      <c r="R34" t="n">
        <v>105</v>
      </c>
      <c r="S34" t="n">
        <v>43</v>
      </c>
      <c r="T34" t="n">
        <v>0</v>
      </c>
      <c r="U34" t="n">
        <v>0</v>
      </c>
      <c r="V34" t="n">
        <v>21.6</v>
      </c>
      <c r="W34" t="n">
        <v>453.6</v>
      </c>
      <c r="X34" t="n">
        <v>432</v>
      </c>
      <c r="Y34" t="n">
        <v>0</v>
      </c>
      <c r="Z34" t="n">
        <v>0</v>
      </c>
      <c r="AA34" t="n">
        <v>432</v>
      </c>
      <c r="AB34" t="n">
        <v>23</v>
      </c>
      <c r="AC34" t="n">
        <v>99.36</v>
      </c>
      <c r="AD34" t="n">
        <v>1.35</v>
      </c>
      <c r="AE34" t="n">
        <v>0</v>
      </c>
      <c r="AF34" t="n">
        <v>0</v>
      </c>
      <c r="AG34" t="n">
        <v>0</v>
      </c>
      <c r="AH34" t="n">
        <v>8.35</v>
      </c>
      <c r="AI34" t="n">
        <v>107.71</v>
      </c>
      <c r="AJ34" t="n">
        <v>19.38</v>
      </c>
      <c r="AK34" t="n">
        <v>0</v>
      </c>
      <c r="AL34" t="n">
        <v>432</v>
      </c>
      <c r="AM34" t="n">
        <v>0</v>
      </c>
      <c r="AN34" t="n">
        <v>0</v>
      </c>
      <c r="AO34" t="n">
        <v>0.43</v>
      </c>
      <c r="AP34" t="n">
        <v>21.6</v>
      </c>
      <c r="AQ34" t="n">
        <v>0</v>
      </c>
      <c r="AR34" t="n">
        <v>41.41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149.12</v>
      </c>
      <c r="BC34" t="n">
        <v>0</v>
      </c>
      <c r="BD34" t="n">
        <v>304.48</v>
      </c>
      <c r="BE34" t="inlineStr">
        <is>
          <t>settled</t>
        </is>
      </c>
      <c r="BF34" t="inlineStr">
        <is>
          <t>2025-12-10 05:30:00</t>
        </is>
      </c>
      <c r="BG34" t="inlineStr">
        <is>
          <t>CITIN25668340126</t>
        </is>
      </c>
      <c r="BH34" t="n">
        <v>0</v>
      </c>
      <c r="BI34" t="inlineStr">
        <is>
          <t>738e0f6090a94c5c82614ccc27ca1400f9c59dccc681ad57f50db223b9d82634</t>
        </is>
      </c>
    </row>
    <row r="35">
      <c r="A35" t="inlineStr">
        <is>
          <t>30</t>
        </is>
      </c>
      <c r="B35" t="inlineStr">
        <is>
          <t>7542889579</t>
        </is>
      </c>
      <c r="C35" t="inlineStr">
        <is>
          <t>2025-12-03 00:12:34</t>
        </is>
      </c>
      <c r="D35" t="inlineStr">
        <is>
          <t>49</t>
        </is>
      </c>
      <c r="E35" t="inlineStr">
        <is>
          <t>Baba Yaga Art Of Chinese - By Posh Foods</t>
        </is>
      </c>
      <c r="F35" t="inlineStr">
        <is>
          <t>20037890</t>
        </is>
      </c>
      <c r="G35" t="inlineStr">
        <is>
          <t>Flat ₹100 off (2025-12-03 - 2031-01-01)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9</t>
        </is>
      </c>
      <c r="O35" t="n">
        <v>335</v>
      </c>
      <c r="P35" t="n">
        <v>0</v>
      </c>
      <c r="Q35" t="n">
        <v>0</v>
      </c>
      <c r="R35" t="n">
        <v>70</v>
      </c>
      <c r="S35" t="n">
        <v>23.5</v>
      </c>
      <c r="T35" t="n">
        <v>0</v>
      </c>
      <c r="U35" t="n">
        <v>0</v>
      </c>
      <c r="V35" t="n">
        <v>12.08</v>
      </c>
      <c r="W35" t="n">
        <v>253.58</v>
      </c>
      <c r="X35" t="n">
        <v>241.5</v>
      </c>
      <c r="Y35" t="n">
        <v>0</v>
      </c>
      <c r="Z35" t="n">
        <v>0</v>
      </c>
      <c r="AA35" t="n">
        <v>241.5</v>
      </c>
      <c r="AB35" t="n">
        <v>23</v>
      </c>
      <c r="AC35" t="n">
        <v>55.54</v>
      </c>
      <c r="AD35" t="n">
        <v>3.52</v>
      </c>
      <c r="AE35" t="n">
        <v>0</v>
      </c>
      <c r="AF35" t="n">
        <v>0</v>
      </c>
      <c r="AG35" t="n">
        <v>0</v>
      </c>
      <c r="AH35" t="n">
        <v>4.67</v>
      </c>
      <c r="AI35" t="n">
        <v>60.21</v>
      </c>
      <c r="AJ35" t="n">
        <v>10.84</v>
      </c>
      <c r="AK35" t="n">
        <v>0</v>
      </c>
      <c r="AL35" t="n">
        <v>241.5</v>
      </c>
      <c r="AM35" t="n">
        <v>0</v>
      </c>
      <c r="AN35" t="n">
        <v>0</v>
      </c>
      <c r="AO35" t="n">
        <v>0.24</v>
      </c>
      <c r="AP35" t="n">
        <v>12.08</v>
      </c>
      <c r="AQ35" t="n">
        <v>0</v>
      </c>
      <c r="AR35" t="n">
        <v>23.16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28.5</v>
      </c>
      <c r="AY35" t="n">
        <v>0</v>
      </c>
      <c r="AZ35" t="n">
        <v>0</v>
      </c>
      <c r="BA35" t="n">
        <v>28.5</v>
      </c>
      <c r="BB35" t="n">
        <v>111.87</v>
      </c>
      <c r="BC35" t="n">
        <v>0</v>
      </c>
      <c r="BD35" t="n">
        <v>141.71</v>
      </c>
      <c r="BE35" t="inlineStr">
        <is>
          <t>settled</t>
        </is>
      </c>
      <c r="BF35" t="inlineStr">
        <is>
          <t>2025-12-10 05:30:00</t>
        </is>
      </c>
      <c r="BG35" t="inlineStr">
        <is>
          <t>CITIN25668340126</t>
        </is>
      </c>
      <c r="BH35" t="n">
        <v>0</v>
      </c>
      <c r="BI35" t="inlineStr">
        <is>
          <t>44fcc9821e566e91573ee60d591141fc838a1483f691c837949456c3bdd26b9b</t>
        </is>
      </c>
    </row>
    <row r="36">
      <c r="A36" t="inlineStr">
        <is>
          <t>31</t>
        </is>
      </c>
      <c r="B36" t="inlineStr">
        <is>
          <t>7529173500</t>
        </is>
      </c>
      <c r="C36" t="inlineStr">
        <is>
          <t>2025-12-03 00:34:18</t>
        </is>
      </c>
      <c r="D36" t="inlineStr">
        <is>
          <t>49</t>
        </is>
      </c>
      <c r="E36" t="inlineStr">
        <is>
          <t>Baba Yaga Art Of Chinese - By Posh Foods</t>
        </is>
      </c>
      <c r="F36" t="inlineStr">
        <is>
          <t>20037890</t>
        </is>
      </c>
      <c r="G36" t="inlineStr">
        <is>
          <t>Flat ₹100 off (2025-11-22 - 2031-01-01)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9</t>
        </is>
      </c>
      <c r="O36" t="n">
        <v>319</v>
      </c>
      <c r="P36" t="n">
        <v>0</v>
      </c>
      <c r="Q36" t="n">
        <v>0</v>
      </c>
      <c r="R36" t="n">
        <v>100</v>
      </c>
      <c r="S36" t="n">
        <v>21.9</v>
      </c>
      <c r="T36" t="n">
        <v>0</v>
      </c>
      <c r="U36" t="n">
        <v>0</v>
      </c>
      <c r="V36" t="n">
        <v>9.859999999999999</v>
      </c>
      <c r="W36" t="n">
        <v>206.96</v>
      </c>
      <c r="X36" t="n">
        <v>197.1</v>
      </c>
      <c r="Y36" t="n">
        <v>0</v>
      </c>
      <c r="Z36" t="n">
        <v>0</v>
      </c>
      <c r="AA36" t="n">
        <v>197.1</v>
      </c>
      <c r="AB36" t="n">
        <v>23</v>
      </c>
      <c r="AC36" t="n">
        <v>45.33</v>
      </c>
      <c r="AD36" t="n">
        <v>3.51</v>
      </c>
      <c r="AE36" t="n">
        <v>0</v>
      </c>
      <c r="AF36" t="n">
        <v>0</v>
      </c>
      <c r="AG36" t="n">
        <v>0</v>
      </c>
      <c r="AH36" t="n">
        <v>3.81</v>
      </c>
      <c r="AI36" t="n">
        <v>49.14</v>
      </c>
      <c r="AJ36" t="n">
        <v>8.85</v>
      </c>
      <c r="AK36" t="n">
        <v>0</v>
      </c>
      <c r="AL36" t="n">
        <v>197.1</v>
      </c>
      <c r="AM36" t="n">
        <v>0</v>
      </c>
      <c r="AN36" t="n">
        <v>0</v>
      </c>
      <c r="AO36" t="n">
        <v>0.2</v>
      </c>
      <c r="AP36" t="n">
        <v>9.859999999999999</v>
      </c>
      <c r="AQ36" t="n">
        <v>0</v>
      </c>
      <c r="AR36" t="n">
        <v>18.91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68.05</v>
      </c>
      <c r="BC36" t="n">
        <v>0</v>
      </c>
      <c r="BD36" t="n">
        <v>138.91</v>
      </c>
      <c r="BE36" t="inlineStr">
        <is>
          <t>settled</t>
        </is>
      </c>
      <c r="BF36" t="inlineStr">
        <is>
          <t>2025-12-10 05:30:00</t>
        </is>
      </c>
      <c r="BG36" t="inlineStr">
        <is>
          <t>CITIN25668340126</t>
        </is>
      </c>
      <c r="BH36" t="n">
        <v>0</v>
      </c>
      <c r="BI36" t="inlineStr">
        <is>
          <t>854ddb5c6e41b287271a21a01dff1bf3d408a58022ff6c81b57596d833d56886</t>
        </is>
      </c>
    </row>
    <row r="37">
      <c r="A37" t="inlineStr">
        <is>
          <t>32</t>
        </is>
      </c>
      <c r="B37" t="inlineStr">
        <is>
          <t>7542831781</t>
        </is>
      </c>
      <c r="C37" t="inlineStr">
        <is>
          <t>2025-12-03 00:58:45</t>
        </is>
      </c>
      <c r="D37" t="inlineStr">
        <is>
          <t>49</t>
        </is>
      </c>
      <c r="E37" t="inlineStr">
        <is>
          <t>Baba Yaga Art Of Chinese - By Posh Foods</t>
        </is>
      </c>
      <c r="F37" t="inlineStr">
        <is>
          <t>20037890</t>
        </is>
      </c>
      <c r="G37" t="inlineStr">
        <is>
          <t>NA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9</t>
        </is>
      </c>
      <c r="O37" t="n">
        <v>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13.25</v>
      </c>
      <c r="W37" t="n">
        <v>278.25</v>
      </c>
      <c r="X37" t="n">
        <v>265</v>
      </c>
      <c r="Y37" t="n">
        <v>0</v>
      </c>
      <c r="Z37" t="n">
        <v>0</v>
      </c>
      <c r="AA37" t="n">
        <v>265</v>
      </c>
      <c r="AB37" t="n">
        <v>23</v>
      </c>
      <c r="AC37" t="n">
        <v>60.95</v>
      </c>
      <c r="AD37" t="n">
        <v>1.57</v>
      </c>
      <c r="AE37" t="n">
        <v>0</v>
      </c>
      <c r="AF37" t="n">
        <v>0</v>
      </c>
      <c r="AG37" t="n">
        <v>0</v>
      </c>
      <c r="AH37" t="n">
        <v>5.12</v>
      </c>
      <c r="AI37" t="n">
        <v>66.06999999999999</v>
      </c>
      <c r="AJ37" t="n">
        <v>11.89</v>
      </c>
      <c r="AK37" t="n">
        <v>0</v>
      </c>
      <c r="AL37" t="n">
        <v>265</v>
      </c>
      <c r="AM37" t="n">
        <v>0</v>
      </c>
      <c r="AN37" t="n">
        <v>0</v>
      </c>
      <c r="AO37" t="n">
        <v>0.26</v>
      </c>
      <c r="AP37" t="n">
        <v>13.25</v>
      </c>
      <c r="AQ37" t="n">
        <v>0</v>
      </c>
      <c r="AR37" t="n">
        <v>25.4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91.47</v>
      </c>
      <c r="BC37" t="n">
        <v>0</v>
      </c>
      <c r="BD37" t="n">
        <v>186.78</v>
      </c>
      <c r="BE37" t="inlineStr">
        <is>
          <t>settled</t>
        </is>
      </c>
      <c r="BF37" t="inlineStr">
        <is>
          <t>2025-12-10 05:30:00</t>
        </is>
      </c>
      <c r="BG37" t="inlineStr">
        <is>
          <t>CITIN25668340126</t>
        </is>
      </c>
      <c r="BH37" t="n">
        <v>0</v>
      </c>
      <c r="BI37" t="inlineStr">
        <is>
          <t>a4168965c14125cf480f01e1513afd4f12cfbd7aedf3822b9dce4ae30862e6fa</t>
        </is>
      </c>
    </row>
    <row r="38">
      <c r="A38" t="inlineStr">
        <is>
          <t>33</t>
        </is>
      </c>
      <c r="B38" t="inlineStr">
        <is>
          <t>7529211746</t>
        </is>
      </c>
      <c r="C38" t="inlineStr">
        <is>
          <t>2025-12-03 20:17:52</t>
        </is>
      </c>
      <c r="D38" t="inlineStr">
        <is>
          <t>49</t>
        </is>
      </c>
      <c r="E38" t="inlineStr">
        <is>
          <t>Baba Yaga Art Of Chinese - By Posh Foods</t>
        </is>
      </c>
      <c r="F38" t="inlineStr">
        <is>
          <t>20037890</t>
        </is>
      </c>
      <c r="G38" t="inlineStr">
        <is>
          <t>Flat ₹175 off (2025-12-03 - 2031-01-01)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9</t>
        </is>
      </c>
      <c r="O38" t="n">
        <v>754</v>
      </c>
      <c r="P38" t="n">
        <v>0</v>
      </c>
      <c r="Q38" t="n">
        <v>0</v>
      </c>
      <c r="R38" t="n">
        <v>175</v>
      </c>
      <c r="S38" t="n">
        <v>57.9</v>
      </c>
      <c r="T38" t="n">
        <v>0</v>
      </c>
      <c r="U38" t="n">
        <v>0</v>
      </c>
      <c r="V38" t="n">
        <v>26.06</v>
      </c>
      <c r="W38" t="n">
        <v>547.16</v>
      </c>
      <c r="X38" t="n">
        <v>521.1</v>
      </c>
      <c r="Y38" t="n">
        <v>0</v>
      </c>
      <c r="Z38" t="n">
        <v>0</v>
      </c>
      <c r="AA38" t="n">
        <v>521.1</v>
      </c>
      <c r="AB38" t="n">
        <v>23</v>
      </c>
      <c r="AC38" t="n">
        <v>119.85</v>
      </c>
      <c r="AD38" t="n">
        <v>1.48</v>
      </c>
      <c r="AE38" t="n">
        <v>0</v>
      </c>
      <c r="AF38" t="n">
        <v>0</v>
      </c>
      <c r="AG38" t="n">
        <v>0</v>
      </c>
      <c r="AH38" t="n">
        <v>10.07</v>
      </c>
      <c r="AI38" t="n">
        <v>129.92</v>
      </c>
      <c r="AJ38" t="n">
        <v>23.38</v>
      </c>
      <c r="AK38" t="n">
        <v>0</v>
      </c>
      <c r="AL38" t="n">
        <v>521.1</v>
      </c>
      <c r="AM38" t="n">
        <v>0</v>
      </c>
      <c r="AN38" t="n">
        <v>0</v>
      </c>
      <c r="AO38" t="n">
        <v>0.52</v>
      </c>
      <c r="AP38" t="n">
        <v>26.06</v>
      </c>
      <c r="AQ38" t="n">
        <v>0</v>
      </c>
      <c r="AR38" t="n">
        <v>49.96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61.49</v>
      </c>
      <c r="AY38" t="n">
        <v>0</v>
      </c>
      <c r="AZ38" t="n">
        <v>0</v>
      </c>
      <c r="BA38" t="n">
        <v>61.49</v>
      </c>
      <c r="BB38" t="n">
        <v>241.37</v>
      </c>
      <c r="BC38" t="n">
        <v>0</v>
      </c>
      <c r="BD38" t="n">
        <v>305.79</v>
      </c>
      <c r="BE38" t="inlineStr">
        <is>
          <t>settled</t>
        </is>
      </c>
      <c r="BF38" t="inlineStr">
        <is>
          <t>2025-12-10 05:30:00</t>
        </is>
      </c>
      <c r="BG38" t="inlineStr">
        <is>
          <t>CITIN25668340126</t>
        </is>
      </c>
      <c r="BH38" t="n">
        <v>0</v>
      </c>
      <c r="BI38" t="inlineStr">
        <is>
          <t>1404309534c033de9a83f0124b77ea77c3c97d9e4489aea0639590955fe8e9a6</t>
        </is>
      </c>
    </row>
    <row r="39">
      <c r="A39" t="inlineStr">
        <is>
          <t>34</t>
        </is>
      </c>
      <c r="B39" t="inlineStr">
        <is>
          <t>7543015281</t>
        </is>
      </c>
      <c r="C39" t="inlineStr">
        <is>
          <t>2025-12-03 20:25:34</t>
        </is>
      </c>
      <c r="D39" t="inlineStr">
        <is>
          <t>49</t>
        </is>
      </c>
      <c r="E39" t="inlineStr">
        <is>
          <t>Baba Yaga Art Of Chinese - By Posh Foods</t>
        </is>
      </c>
      <c r="F39" t="inlineStr">
        <is>
          <t>20037890</t>
        </is>
      </c>
      <c r="G39" t="inlineStr">
        <is>
          <t>Flat ₹125 off (2025-12-03 - 2031-01-01)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9</t>
        </is>
      </c>
      <c r="O39" t="n">
        <v>350</v>
      </c>
      <c r="P39" t="n">
        <v>0</v>
      </c>
      <c r="Q39" t="n">
        <v>0</v>
      </c>
      <c r="R39" t="n">
        <v>87</v>
      </c>
      <c r="S39" t="n">
        <v>22.5</v>
      </c>
      <c r="T39" t="n">
        <v>0</v>
      </c>
      <c r="U39" t="n">
        <v>0</v>
      </c>
      <c r="V39" t="n">
        <v>12.03</v>
      </c>
      <c r="W39" t="n">
        <v>252.53</v>
      </c>
      <c r="X39" t="n">
        <v>240.5</v>
      </c>
      <c r="Y39" t="n">
        <v>0</v>
      </c>
      <c r="Z39" t="n">
        <v>0</v>
      </c>
      <c r="AA39" t="n">
        <v>240.5</v>
      </c>
      <c r="AB39" t="n">
        <v>23</v>
      </c>
      <c r="AC39" t="n">
        <v>55.32</v>
      </c>
      <c r="AD39" t="n">
        <v>3.36</v>
      </c>
      <c r="AE39" t="n">
        <v>0</v>
      </c>
      <c r="AF39" t="n">
        <v>0</v>
      </c>
      <c r="AG39" t="n">
        <v>0</v>
      </c>
      <c r="AH39" t="n">
        <v>4.65</v>
      </c>
      <c r="AI39" t="n">
        <v>59.97</v>
      </c>
      <c r="AJ39" t="n">
        <v>10.8</v>
      </c>
      <c r="AK39" t="n">
        <v>0</v>
      </c>
      <c r="AL39" t="n">
        <v>240.5</v>
      </c>
      <c r="AM39" t="n">
        <v>0</v>
      </c>
      <c r="AN39" t="n">
        <v>0</v>
      </c>
      <c r="AO39" t="n">
        <v>0.24</v>
      </c>
      <c r="AP39" t="n">
        <v>12.03</v>
      </c>
      <c r="AQ39" t="n">
        <v>0</v>
      </c>
      <c r="AR39" t="n">
        <v>23.07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83.04000000000001</v>
      </c>
      <c r="BC39" t="n">
        <v>0</v>
      </c>
      <c r="BD39" t="n">
        <v>169.49</v>
      </c>
      <c r="BE39" t="inlineStr">
        <is>
          <t>settled</t>
        </is>
      </c>
      <c r="BF39" t="inlineStr">
        <is>
          <t>2025-12-10 05:30:00</t>
        </is>
      </c>
      <c r="BG39" t="inlineStr">
        <is>
          <t>CITIN25668340126</t>
        </is>
      </c>
      <c r="BH39" t="n">
        <v>0</v>
      </c>
      <c r="BI39" t="inlineStr">
        <is>
          <t>ceff2a7877e961079ecf1204d415828e8a90fda8c46bff409abfb51a87b5be76</t>
        </is>
      </c>
    </row>
    <row r="40">
      <c r="A40" t="inlineStr">
        <is>
          <t>35</t>
        </is>
      </c>
      <c r="B40" t="inlineStr">
        <is>
          <t>7544080336</t>
        </is>
      </c>
      <c r="C40" t="inlineStr">
        <is>
          <t>2025-12-03 20:42:46</t>
        </is>
      </c>
      <c r="D40" t="inlineStr">
        <is>
          <t>49</t>
        </is>
      </c>
      <c r="E40" t="inlineStr">
        <is>
          <t>Baba Yaga Art Of Chinese - By Posh Foods</t>
        </is>
      </c>
      <c r="F40" t="inlineStr">
        <is>
          <t>20037890</t>
        </is>
      </c>
      <c r="G40" t="inlineStr">
        <is>
          <t>Flat ₹100 off (2025-11-22 - 2031-01-01)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9</t>
        </is>
      </c>
      <c r="O40" t="n">
        <v>315</v>
      </c>
      <c r="P40" t="n">
        <v>0</v>
      </c>
      <c r="Q40" t="n">
        <v>0</v>
      </c>
      <c r="R40" t="n">
        <v>100</v>
      </c>
      <c r="S40" t="n">
        <v>21.5</v>
      </c>
      <c r="T40" t="n">
        <v>0</v>
      </c>
      <c r="U40" t="n">
        <v>0</v>
      </c>
      <c r="V40" t="n">
        <v>9.68</v>
      </c>
      <c r="W40" t="n">
        <v>203.18</v>
      </c>
      <c r="X40" t="n">
        <v>193.5</v>
      </c>
      <c r="Y40" t="n">
        <v>0</v>
      </c>
      <c r="Z40" t="n">
        <v>0</v>
      </c>
      <c r="AA40" t="n">
        <v>193.5</v>
      </c>
      <c r="AB40" t="n">
        <v>23</v>
      </c>
      <c r="AC40" t="n">
        <v>44.5</v>
      </c>
      <c r="AD40" t="n">
        <v>6.02</v>
      </c>
      <c r="AE40" t="n">
        <v>40</v>
      </c>
      <c r="AF40" t="n">
        <v>0</v>
      </c>
      <c r="AG40" t="n">
        <v>26.45</v>
      </c>
      <c r="AH40" t="n">
        <v>3.74</v>
      </c>
      <c r="AI40" t="n">
        <v>61.79</v>
      </c>
      <c r="AJ40" t="n">
        <v>11.12</v>
      </c>
      <c r="AK40" t="n">
        <v>0</v>
      </c>
      <c r="AL40" t="n">
        <v>193.5</v>
      </c>
      <c r="AM40" t="n">
        <v>0</v>
      </c>
      <c r="AN40" t="n">
        <v>0</v>
      </c>
      <c r="AO40" t="n">
        <v>0.19</v>
      </c>
      <c r="AP40" t="n">
        <v>9.68</v>
      </c>
      <c r="AQ40" t="n">
        <v>0</v>
      </c>
      <c r="AR40" t="n">
        <v>20.99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82.78</v>
      </c>
      <c r="BC40" t="n">
        <v>0</v>
      </c>
      <c r="BD40" t="n">
        <v>120.4</v>
      </c>
      <c r="BE40" t="inlineStr">
        <is>
          <t>settled</t>
        </is>
      </c>
      <c r="BF40" t="inlineStr">
        <is>
          <t>2025-12-10 05:30:00</t>
        </is>
      </c>
      <c r="BG40" t="inlineStr">
        <is>
          <t>CITIN25668340126</t>
        </is>
      </c>
      <c r="BH40" t="n">
        <v>0</v>
      </c>
      <c r="BI40" t="inlineStr">
        <is>
          <t>3298257e43a0920f212dab624312dcc721c80cf03469aebeda25d9ded7f87c45</t>
        </is>
      </c>
    </row>
    <row r="41">
      <c r="A41" t="inlineStr">
        <is>
          <t>36</t>
        </is>
      </c>
      <c r="B41" t="inlineStr">
        <is>
          <t>7540463201</t>
        </is>
      </c>
      <c r="C41" t="inlineStr">
        <is>
          <t>2025-12-03 21:10:55</t>
        </is>
      </c>
      <c r="D41" t="inlineStr">
        <is>
          <t>49</t>
        </is>
      </c>
      <c r="E41" t="inlineStr">
        <is>
          <t>Baba Yaga Art Of Chinese - By Posh Foods</t>
        </is>
      </c>
      <c r="F41" t="inlineStr">
        <is>
          <t>20037890</t>
        </is>
      </c>
      <c r="G41" t="inlineStr">
        <is>
          <t>Flat ₹125 off (2025-12-03 - 2031-01-01)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9</t>
        </is>
      </c>
      <c r="O41" t="n">
        <v>365</v>
      </c>
      <c r="P41" t="n">
        <v>0</v>
      </c>
      <c r="Q41" t="n">
        <v>0</v>
      </c>
      <c r="R41" t="n">
        <v>87</v>
      </c>
      <c r="S41" t="n">
        <v>24</v>
      </c>
      <c r="T41" t="n">
        <v>0</v>
      </c>
      <c r="U41" t="n">
        <v>0</v>
      </c>
      <c r="V41" t="n">
        <v>12.7</v>
      </c>
      <c r="W41" t="n">
        <v>266.7</v>
      </c>
      <c r="X41" t="n">
        <v>254</v>
      </c>
      <c r="Y41" t="n">
        <v>0</v>
      </c>
      <c r="Z41" t="n">
        <v>0</v>
      </c>
      <c r="AA41" t="n">
        <v>254</v>
      </c>
      <c r="AB41" t="n">
        <v>23</v>
      </c>
      <c r="AC41" t="n">
        <v>58.42</v>
      </c>
      <c r="AD41" t="n">
        <v>6.6</v>
      </c>
      <c r="AE41" t="n">
        <v>40</v>
      </c>
      <c r="AF41" t="n">
        <v>0</v>
      </c>
      <c r="AG41" t="n">
        <v>22.22</v>
      </c>
      <c r="AH41" t="n">
        <v>4.91</v>
      </c>
      <c r="AI41" t="n">
        <v>81.11</v>
      </c>
      <c r="AJ41" t="n">
        <v>14.6</v>
      </c>
      <c r="AK41" t="n">
        <v>0</v>
      </c>
      <c r="AL41" t="n">
        <v>254</v>
      </c>
      <c r="AM41" t="n">
        <v>0</v>
      </c>
      <c r="AN41" t="n">
        <v>0</v>
      </c>
      <c r="AO41" t="n">
        <v>0.25</v>
      </c>
      <c r="AP41" t="n">
        <v>12.7</v>
      </c>
      <c r="AQ41" t="n">
        <v>0</v>
      </c>
      <c r="AR41" t="n">
        <v>27.55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108.66</v>
      </c>
      <c r="BC41" t="n">
        <v>0</v>
      </c>
      <c r="BD41" t="n">
        <v>158.04</v>
      </c>
      <c r="BE41" t="inlineStr">
        <is>
          <t>settled</t>
        </is>
      </c>
      <c r="BF41" t="inlineStr">
        <is>
          <t>2025-12-10 05:30:00</t>
        </is>
      </c>
      <c r="BG41" t="inlineStr">
        <is>
          <t>CITIN25668340126</t>
        </is>
      </c>
      <c r="BH41" t="n">
        <v>0</v>
      </c>
      <c r="BI41" t="inlineStr">
        <is>
          <t>3209ef865dda9758b8805c0b1b974ddb471cc4b042879204ad571b493d1826fe</t>
        </is>
      </c>
    </row>
    <row r="42">
      <c r="A42" t="inlineStr">
        <is>
          <t>37</t>
        </is>
      </c>
      <c r="B42" t="inlineStr">
        <is>
          <t>7538493828</t>
        </is>
      </c>
      <c r="C42" t="inlineStr">
        <is>
          <t>2025-12-03 21:13:59</t>
        </is>
      </c>
      <c r="D42" t="inlineStr">
        <is>
          <t>49</t>
        </is>
      </c>
      <c r="E42" t="inlineStr">
        <is>
          <t>Baba Yaga Art Of Chinese - By Posh Foods</t>
        </is>
      </c>
      <c r="F42" t="inlineStr">
        <is>
          <t>20037890</t>
        </is>
      </c>
      <c r="G42" t="inlineStr">
        <is>
          <t>Flat ₹100 off (2025-12-03 - 2031-01-01)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9</t>
        </is>
      </c>
      <c r="O42" t="n">
        <v>315</v>
      </c>
      <c r="P42" t="n">
        <v>0</v>
      </c>
      <c r="Q42" t="n">
        <v>0</v>
      </c>
      <c r="R42" t="n">
        <v>70</v>
      </c>
      <c r="S42" t="n">
        <v>8.5</v>
      </c>
      <c r="T42" t="n">
        <v>0</v>
      </c>
      <c r="U42" t="n">
        <v>0</v>
      </c>
      <c r="V42" t="n">
        <v>11.83</v>
      </c>
      <c r="W42" t="n">
        <v>248.33</v>
      </c>
      <c r="X42" t="n">
        <v>236.5</v>
      </c>
      <c r="Y42" t="n">
        <v>0</v>
      </c>
      <c r="Z42" t="n">
        <v>0</v>
      </c>
      <c r="AA42" t="n">
        <v>236.5</v>
      </c>
      <c r="AB42" t="n">
        <v>23</v>
      </c>
      <c r="AC42" t="n">
        <v>54.4</v>
      </c>
      <c r="AD42" t="n">
        <v>7.21</v>
      </c>
      <c r="AE42" t="n">
        <v>40</v>
      </c>
      <c r="AF42" t="n">
        <v>0</v>
      </c>
      <c r="AG42" t="n">
        <v>23.45</v>
      </c>
      <c r="AH42" t="n">
        <v>4.57</v>
      </c>
      <c r="AI42" t="n">
        <v>75.52</v>
      </c>
      <c r="AJ42" t="n">
        <v>13.59</v>
      </c>
      <c r="AK42" t="n">
        <v>0</v>
      </c>
      <c r="AL42" t="n">
        <v>236.5</v>
      </c>
      <c r="AM42" t="n">
        <v>0</v>
      </c>
      <c r="AN42" t="n">
        <v>0</v>
      </c>
      <c r="AO42" t="n">
        <v>0.24</v>
      </c>
      <c r="AP42" t="n">
        <v>11.83</v>
      </c>
      <c r="AQ42" t="n">
        <v>0</v>
      </c>
      <c r="AR42" t="n">
        <v>25.66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101.18</v>
      </c>
      <c r="BC42" t="n">
        <v>0</v>
      </c>
      <c r="BD42" t="n">
        <v>147.15</v>
      </c>
      <c r="BE42" t="inlineStr">
        <is>
          <t>settled</t>
        </is>
      </c>
      <c r="BF42" t="inlineStr">
        <is>
          <t>2025-12-10 05:30:00</t>
        </is>
      </c>
      <c r="BG42" t="inlineStr">
        <is>
          <t>CITIN25668340126</t>
        </is>
      </c>
      <c r="BH42" t="n">
        <v>0</v>
      </c>
      <c r="BI42" t="inlineStr">
        <is>
          <t>5f8ed80ca835ad3e174c9df24a2277baec4c32565b39fe8abaa24bc6e7dd15d5</t>
        </is>
      </c>
    </row>
    <row r="43">
      <c r="A43" t="inlineStr">
        <is>
          <t>38</t>
        </is>
      </c>
      <c r="B43" t="inlineStr">
        <is>
          <t>7544932250</t>
        </is>
      </c>
      <c r="C43" t="inlineStr">
        <is>
          <t>2025-12-03 21:35:26</t>
        </is>
      </c>
      <c r="D43" t="inlineStr">
        <is>
          <t>49</t>
        </is>
      </c>
      <c r="E43" t="inlineStr">
        <is>
          <t>Baba Yaga Art Of Chinese - By Posh Foods</t>
        </is>
      </c>
      <c r="F43" t="inlineStr">
        <is>
          <t>20037890</t>
        </is>
      </c>
      <c r="G43" t="inlineStr">
        <is>
          <t>Flat ₹80 off (2025-12-03 - 2031-01-01)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9</t>
        </is>
      </c>
      <c r="O43" t="n">
        <v>265</v>
      </c>
      <c r="P43" t="n">
        <v>0</v>
      </c>
      <c r="Q43" t="n">
        <v>0</v>
      </c>
      <c r="R43" t="n">
        <v>56</v>
      </c>
      <c r="S43" t="n">
        <v>0</v>
      </c>
      <c r="T43" t="n">
        <v>0</v>
      </c>
      <c r="U43" t="n">
        <v>0</v>
      </c>
      <c r="V43" t="n">
        <v>10.45</v>
      </c>
      <c r="W43" t="n">
        <v>219.45</v>
      </c>
      <c r="X43" t="n">
        <v>209</v>
      </c>
      <c r="Y43" t="n">
        <v>0</v>
      </c>
      <c r="Z43" t="n">
        <v>0</v>
      </c>
      <c r="AA43" t="n">
        <v>209</v>
      </c>
      <c r="AB43" t="n">
        <v>23</v>
      </c>
      <c r="AC43" t="n">
        <v>48.07</v>
      </c>
      <c r="AD43" t="n">
        <v>1.45</v>
      </c>
      <c r="AE43" t="n">
        <v>0</v>
      </c>
      <c r="AF43" t="n">
        <v>0</v>
      </c>
      <c r="AG43" t="n">
        <v>0</v>
      </c>
      <c r="AH43" t="n">
        <v>4.04</v>
      </c>
      <c r="AI43" t="n">
        <v>52.11</v>
      </c>
      <c r="AJ43" t="n">
        <v>9.380000000000001</v>
      </c>
      <c r="AK43" t="n">
        <v>0</v>
      </c>
      <c r="AL43" t="n">
        <v>209</v>
      </c>
      <c r="AM43" t="n">
        <v>0</v>
      </c>
      <c r="AN43" t="n">
        <v>0</v>
      </c>
      <c r="AO43" t="n">
        <v>0.21</v>
      </c>
      <c r="AP43" t="n">
        <v>10.45</v>
      </c>
      <c r="AQ43" t="n">
        <v>0</v>
      </c>
      <c r="AR43" t="n">
        <v>20.04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24.66</v>
      </c>
      <c r="AY43" t="n">
        <v>0</v>
      </c>
      <c r="AZ43" t="n">
        <v>0</v>
      </c>
      <c r="BA43" t="n">
        <v>24.66</v>
      </c>
      <c r="BB43" t="n">
        <v>96.81</v>
      </c>
      <c r="BC43" t="n">
        <v>0</v>
      </c>
      <c r="BD43" t="n">
        <v>122.64</v>
      </c>
      <c r="BE43" t="inlineStr">
        <is>
          <t>settled</t>
        </is>
      </c>
      <c r="BF43" t="inlineStr">
        <is>
          <t>2025-12-10 05:30:00</t>
        </is>
      </c>
      <c r="BG43" t="inlineStr">
        <is>
          <t>CITIN25668340126</t>
        </is>
      </c>
      <c r="BH43" t="n">
        <v>0</v>
      </c>
      <c r="BI43" t="inlineStr">
        <is>
          <t>5df2a7e5646b89b7ce944d1bd074c8b7d634d696f3d1cadf52fdff4197b1cf62</t>
        </is>
      </c>
    </row>
    <row r="44">
      <c r="A44" t="inlineStr">
        <is>
          <t>39</t>
        </is>
      </c>
      <c r="B44" t="inlineStr">
        <is>
          <t>7544503377</t>
        </is>
      </c>
      <c r="C44" t="inlineStr">
        <is>
          <t>2025-12-03 22:27:08</t>
        </is>
      </c>
      <c r="D44" t="inlineStr">
        <is>
          <t>49</t>
        </is>
      </c>
      <c r="E44" t="inlineStr">
        <is>
          <t>Baba Yaga Art Of Chinese - By Posh Foods</t>
        </is>
      </c>
      <c r="F44" t="inlineStr">
        <is>
          <t>20037890</t>
        </is>
      </c>
      <c r="G44" t="inlineStr">
        <is>
          <t>Flat ₹100 off (2025-11-22 - 2031-01-01)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9</t>
        </is>
      </c>
      <c r="O44" t="n">
        <v>315</v>
      </c>
      <c r="P44" t="n">
        <v>0</v>
      </c>
      <c r="Q44" t="n">
        <v>0</v>
      </c>
      <c r="R44" t="n">
        <v>100</v>
      </c>
      <c r="S44" t="n">
        <v>0</v>
      </c>
      <c r="T44" t="n">
        <v>0</v>
      </c>
      <c r="U44" t="n">
        <v>0</v>
      </c>
      <c r="V44" t="n">
        <v>10.75</v>
      </c>
      <c r="W44" t="n">
        <v>225.75</v>
      </c>
      <c r="X44" t="n">
        <v>215</v>
      </c>
      <c r="Y44" t="n">
        <v>0</v>
      </c>
      <c r="Z44" t="n">
        <v>0</v>
      </c>
      <c r="AA44" t="n">
        <v>215</v>
      </c>
      <c r="AB44" t="n">
        <v>23</v>
      </c>
      <c r="AC44" t="n">
        <v>49.45</v>
      </c>
      <c r="AD44" t="n">
        <v>1.77</v>
      </c>
      <c r="AE44" t="n">
        <v>0</v>
      </c>
      <c r="AF44" t="n">
        <v>0</v>
      </c>
      <c r="AG44" t="n">
        <v>0</v>
      </c>
      <c r="AH44" t="n">
        <v>4.15</v>
      </c>
      <c r="AI44" t="n">
        <v>53.6</v>
      </c>
      <c r="AJ44" t="n">
        <v>9.65</v>
      </c>
      <c r="AK44" t="n">
        <v>0</v>
      </c>
      <c r="AL44" t="n">
        <v>215</v>
      </c>
      <c r="AM44" t="n">
        <v>0</v>
      </c>
      <c r="AN44" t="n">
        <v>0</v>
      </c>
      <c r="AO44" t="n">
        <v>0.22</v>
      </c>
      <c r="AP44" t="n">
        <v>10.75</v>
      </c>
      <c r="AQ44" t="n">
        <v>0</v>
      </c>
      <c r="AR44" t="n">
        <v>20.62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74.22</v>
      </c>
      <c r="BC44" t="n">
        <v>0</v>
      </c>
      <c r="BD44" t="n">
        <v>151.53</v>
      </c>
      <c r="BE44" t="inlineStr">
        <is>
          <t>settled</t>
        </is>
      </c>
      <c r="BF44" t="inlineStr">
        <is>
          <t>2025-12-10 05:30:00</t>
        </is>
      </c>
      <c r="BG44" t="inlineStr">
        <is>
          <t>CITIN25668340126</t>
        </is>
      </c>
      <c r="BH44" t="n">
        <v>0</v>
      </c>
      <c r="BI44" t="inlineStr">
        <is>
          <t>0d5ed678a9e7d044854156f30afb74c8798dc3e6e26fbde3cac8cfa90afb6e43</t>
        </is>
      </c>
    </row>
    <row r="45">
      <c r="A45" t="inlineStr">
        <is>
          <t>40</t>
        </is>
      </c>
      <c r="B45" t="inlineStr">
        <is>
          <t>7544952078</t>
        </is>
      </c>
      <c r="C45" t="inlineStr">
        <is>
          <t>2025-12-03 23:02:55</t>
        </is>
      </c>
      <c r="D45" t="inlineStr">
        <is>
          <t>49</t>
        </is>
      </c>
      <c r="E45" t="inlineStr">
        <is>
          <t>Baba Yaga Art Of Chinese - By Posh Foods</t>
        </is>
      </c>
      <c r="F45" t="inlineStr">
        <is>
          <t>20037890</t>
        </is>
      </c>
      <c r="G45" t="inlineStr">
        <is>
          <t>Flat ₹150 off (2025-12-03 - 2031-01-01)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9</t>
        </is>
      </c>
      <c r="O45" t="n">
        <v>669</v>
      </c>
      <c r="P45" t="n">
        <v>0</v>
      </c>
      <c r="Q45" t="n">
        <v>0</v>
      </c>
      <c r="R45" t="n">
        <v>150</v>
      </c>
      <c r="S45" t="n">
        <v>51.9</v>
      </c>
      <c r="T45" t="n">
        <v>0</v>
      </c>
      <c r="U45" t="n">
        <v>0</v>
      </c>
      <c r="V45" t="n">
        <v>23.36</v>
      </c>
      <c r="W45" t="n">
        <v>490.46</v>
      </c>
      <c r="X45" t="n">
        <v>467.1</v>
      </c>
      <c r="Y45" t="n">
        <v>0</v>
      </c>
      <c r="Z45" t="n">
        <v>0</v>
      </c>
      <c r="AA45" t="n">
        <v>467.1</v>
      </c>
      <c r="AB45" t="n">
        <v>23</v>
      </c>
      <c r="AC45" t="n">
        <v>107.43</v>
      </c>
      <c r="AD45" t="n">
        <v>5.11</v>
      </c>
      <c r="AE45" t="n">
        <v>20</v>
      </c>
      <c r="AF45" t="n">
        <v>0</v>
      </c>
      <c r="AG45" t="n">
        <v>0</v>
      </c>
      <c r="AH45" t="n">
        <v>9.02</v>
      </c>
      <c r="AI45" t="n">
        <v>136.45</v>
      </c>
      <c r="AJ45" t="n">
        <v>24.56</v>
      </c>
      <c r="AK45" t="n">
        <v>0</v>
      </c>
      <c r="AL45" t="n">
        <v>467.1</v>
      </c>
      <c r="AM45" t="n">
        <v>0</v>
      </c>
      <c r="AN45" t="n">
        <v>0</v>
      </c>
      <c r="AO45" t="n">
        <v>0.47</v>
      </c>
      <c r="AP45" t="n">
        <v>23.36</v>
      </c>
      <c r="AQ45" t="n">
        <v>0</v>
      </c>
      <c r="AR45" t="n">
        <v>48.39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184.84</v>
      </c>
      <c r="BC45" t="n">
        <v>0</v>
      </c>
      <c r="BD45" t="n">
        <v>305.62</v>
      </c>
      <c r="BE45" t="inlineStr">
        <is>
          <t>settled</t>
        </is>
      </c>
      <c r="BF45" t="inlineStr">
        <is>
          <t>2025-12-10 05:30:00</t>
        </is>
      </c>
      <c r="BG45" t="inlineStr">
        <is>
          <t>CITIN25668340126</t>
        </is>
      </c>
      <c r="BH45" t="n">
        <v>0</v>
      </c>
      <c r="BI45" t="inlineStr">
        <is>
          <t>9a66774ea84a3270fa9c3c0a1f4fca7f906e7a407b3e25a0b957eaa4ff1b87c2</t>
        </is>
      </c>
    </row>
    <row r="46">
      <c r="A46" t="inlineStr">
        <is>
          <t>41</t>
        </is>
      </c>
      <c r="B46" t="inlineStr">
        <is>
          <t>7545058585</t>
        </is>
      </c>
      <c r="C46" t="inlineStr">
        <is>
          <t>2025-12-04 00:01:43</t>
        </is>
      </c>
      <c r="D46" t="inlineStr">
        <is>
          <t>49</t>
        </is>
      </c>
      <c r="E46" t="inlineStr">
        <is>
          <t>Baba Yaga Art Of Chinese - By Posh Foods</t>
        </is>
      </c>
      <c r="F46" t="inlineStr">
        <is>
          <t>20037890</t>
        </is>
      </c>
      <c r="G46" t="inlineStr">
        <is>
          <t>Flat ₹175 off (2025-12-03 - 2031-01-01)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9</t>
        </is>
      </c>
      <c r="O46" t="n">
        <v>685</v>
      </c>
      <c r="P46" t="n">
        <v>0</v>
      </c>
      <c r="Q46" t="n">
        <v>0</v>
      </c>
      <c r="R46" t="n">
        <v>122</v>
      </c>
      <c r="S46" t="n">
        <v>51</v>
      </c>
      <c r="T46" t="n">
        <v>0</v>
      </c>
      <c r="U46" t="n">
        <v>0</v>
      </c>
      <c r="V46" t="n">
        <v>25.6</v>
      </c>
      <c r="W46" t="n">
        <v>537.6</v>
      </c>
      <c r="X46" t="n">
        <v>512</v>
      </c>
      <c r="Y46" t="n">
        <v>0</v>
      </c>
      <c r="Z46" t="n">
        <v>0</v>
      </c>
      <c r="AA46" t="n">
        <v>512</v>
      </c>
      <c r="AB46" t="n">
        <v>23</v>
      </c>
      <c r="AC46" t="n">
        <v>117.76</v>
      </c>
      <c r="AD46" t="n">
        <v>2.46</v>
      </c>
      <c r="AE46" t="n">
        <v>0</v>
      </c>
      <c r="AF46" t="n">
        <v>0</v>
      </c>
      <c r="AG46" t="n">
        <v>0</v>
      </c>
      <c r="AH46" t="n">
        <v>9.890000000000001</v>
      </c>
      <c r="AI46" t="n">
        <v>127.65</v>
      </c>
      <c r="AJ46" t="n">
        <v>22.98</v>
      </c>
      <c r="AK46" t="n">
        <v>0</v>
      </c>
      <c r="AL46" t="n">
        <v>512</v>
      </c>
      <c r="AM46" t="n">
        <v>0</v>
      </c>
      <c r="AN46" t="n">
        <v>0</v>
      </c>
      <c r="AO46" t="n">
        <v>0.51</v>
      </c>
      <c r="AP46" t="n">
        <v>25.6</v>
      </c>
      <c r="AQ46" t="n">
        <v>0</v>
      </c>
      <c r="AR46" t="n">
        <v>49.09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60.42</v>
      </c>
      <c r="AY46" t="n">
        <v>0</v>
      </c>
      <c r="AZ46" t="n">
        <v>0</v>
      </c>
      <c r="BA46" t="n">
        <v>60.42</v>
      </c>
      <c r="BB46" t="n">
        <v>237.16</v>
      </c>
      <c r="BC46" t="n">
        <v>0</v>
      </c>
      <c r="BD46" t="n">
        <v>300.44</v>
      </c>
      <c r="BE46" t="inlineStr">
        <is>
          <t>settled</t>
        </is>
      </c>
      <c r="BF46" t="inlineStr">
        <is>
          <t>2025-12-10 05:30:00</t>
        </is>
      </c>
      <c r="BG46" t="inlineStr">
        <is>
          <t>CITIN25668340126</t>
        </is>
      </c>
      <c r="BH46" t="n">
        <v>0</v>
      </c>
      <c r="BI46" t="inlineStr">
        <is>
          <t>9e08eb342cf95bab8213b13e147fabbefcfdee79a42c0e7cf21c8057ac3a44df</t>
        </is>
      </c>
    </row>
    <row r="47">
      <c r="A47" t="inlineStr">
        <is>
          <t>42</t>
        </is>
      </c>
      <c r="B47" t="inlineStr">
        <is>
          <t>7540722749</t>
        </is>
      </c>
      <c r="C47" t="inlineStr">
        <is>
          <t>2025-12-04 00:53:04</t>
        </is>
      </c>
      <c r="D47" t="inlineStr">
        <is>
          <t>49</t>
        </is>
      </c>
      <c r="E47" t="inlineStr">
        <is>
          <t>Baba Yaga Art Of Chinese - By Posh Foods</t>
        </is>
      </c>
      <c r="F47" t="inlineStr">
        <is>
          <t>20037890</t>
        </is>
      </c>
      <c r="G47" t="inlineStr">
        <is>
          <t>Flat ₹80 off (2025-12-03 - 2031-01-01)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9</t>
        </is>
      </c>
      <c r="O47" t="n">
        <v>265</v>
      </c>
      <c r="P47" t="n">
        <v>0</v>
      </c>
      <c r="Q47" t="n">
        <v>0</v>
      </c>
      <c r="R47" t="n">
        <v>56</v>
      </c>
      <c r="S47" t="n">
        <v>0</v>
      </c>
      <c r="T47" t="n">
        <v>0</v>
      </c>
      <c r="U47" t="n">
        <v>0</v>
      </c>
      <c r="V47" t="n">
        <v>10.45</v>
      </c>
      <c r="W47" t="n">
        <v>219.45</v>
      </c>
      <c r="X47" t="n">
        <v>209</v>
      </c>
      <c r="Y47" t="n">
        <v>0</v>
      </c>
      <c r="Z47" t="n">
        <v>0</v>
      </c>
      <c r="AA47" t="n">
        <v>209</v>
      </c>
      <c r="AB47" t="n">
        <v>23</v>
      </c>
      <c r="AC47" t="n">
        <v>48.07</v>
      </c>
      <c r="AD47" t="n">
        <v>4.69</v>
      </c>
      <c r="AE47" t="n">
        <v>20</v>
      </c>
      <c r="AF47" t="n">
        <v>0</v>
      </c>
      <c r="AG47" t="n">
        <v>5.37</v>
      </c>
      <c r="AH47" t="n">
        <v>4.04</v>
      </c>
      <c r="AI47" t="n">
        <v>66.73999999999999</v>
      </c>
      <c r="AJ47" t="n">
        <v>12.01</v>
      </c>
      <c r="AK47" t="n">
        <v>0</v>
      </c>
      <c r="AL47" t="n">
        <v>209</v>
      </c>
      <c r="AM47" t="n">
        <v>0</v>
      </c>
      <c r="AN47" t="n">
        <v>0</v>
      </c>
      <c r="AO47" t="n">
        <v>0.21</v>
      </c>
      <c r="AP47" t="n">
        <v>10.45</v>
      </c>
      <c r="AQ47" t="n">
        <v>0</v>
      </c>
      <c r="AR47" t="n">
        <v>22.67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89.41</v>
      </c>
      <c r="BC47" t="n">
        <v>0</v>
      </c>
      <c r="BD47" t="n">
        <v>130.04</v>
      </c>
      <c r="BE47" t="inlineStr">
        <is>
          <t>settled</t>
        </is>
      </c>
      <c r="BF47" t="inlineStr">
        <is>
          <t>2025-12-10 05:30:00</t>
        </is>
      </c>
      <c r="BG47" t="inlineStr">
        <is>
          <t>CITIN25668340126</t>
        </is>
      </c>
      <c r="BH47" t="n">
        <v>0</v>
      </c>
      <c r="BI47" t="inlineStr">
        <is>
          <t>8c665a7483b7ec80d12f77468e149bc6a1d474f754fdbaf994caba300b100942</t>
        </is>
      </c>
    </row>
    <row r="48">
      <c r="A48" t="inlineStr">
        <is>
          <t>43</t>
        </is>
      </c>
      <c r="B48" t="inlineStr">
        <is>
          <t>7542277087</t>
        </is>
      </c>
      <c r="C48" t="inlineStr">
        <is>
          <t>2025-12-04 14:52:17</t>
        </is>
      </c>
      <c r="D48" t="inlineStr">
        <is>
          <t>49</t>
        </is>
      </c>
      <c r="E48" t="inlineStr">
        <is>
          <t>Baba Yaga Art Of Chinese - By Posh Foods</t>
        </is>
      </c>
      <c r="F48" t="inlineStr">
        <is>
          <t>20037890</t>
        </is>
      </c>
      <c r="G48" t="inlineStr">
        <is>
          <t>Flat ₹150 off (2025-12-03 - 2031-01-01)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9</t>
        </is>
      </c>
      <c r="O48" t="n">
        <v>560</v>
      </c>
      <c r="P48" t="n">
        <v>0</v>
      </c>
      <c r="Q48" t="n">
        <v>0</v>
      </c>
      <c r="R48" t="n">
        <v>105</v>
      </c>
      <c r="S48" t="n">
        <v>41</v>
      </c>
      <c r="T48" t="n">
        <v>0</v>
      </c>
      <c r="U48" t="n">
        <v>0</v>
      </c>
      <c r="V48" t="n">
        <v>20.7</v>
      </c>
      <c r="W48" t="n">
        <v>434.7</v>
      </c>
      <c r="X48" t="n">
        <v>414</v>
      </c>
      <c r="Y48" t="n">
        <v>0</v>
      </c>
      <c r="Z48" t="n">
        <v>0</v>
      </c>
      <c r="AA48" t="n">
        <v>414</v>
      </c>
      <c r="AB48" t="n">
        <v>23</v>
      </c>
      <c r="AC48" t="n">
        <v>95.22</v>
      </c>
      <c r="AD48" t="n">
        <v>6.74</v>
      </c>
      <c r="AE48" t="n">
        <v>40</v>
      </c>
      <c r="AF48" t="n">
        <v>0</v>
      </c>
      <c r="AG48" t="n">
        <v>11.02</v>
      </c>
      <c r="AH48" t="n">
        <v>8</v>
      </c>
      <c r="AI48" t="n">
        <v>132.2</v>
      </c>
      <c r="AJ48" t="n">
        <v>23.8</v>
      </c>
      <c r="AK48" t="n">
        <v>0</v>
      </c>
      <c r="AL48" t="n">
        <v>414</v>
      </c>
      <c r="AM48" t="n">
        <v>0</v>
      </c>
      <c r="AN48" t="n">
        <v>0</v>
      </c>
      <c r="AO48" t="n">
        <v>0.41</v>
      </c>
      <c r="AP48" t="n">
        <v>20.7</v>
      </c>
      <c r="AQ48" t="n">
        <v>0</v>
      </c>
      <c r="AR48" t="n">
        <v>44.91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177.11</v>
      </c>
      <c r="BC48" t="n">
        <v>0</v>
      </c>
      <c r="BD48" t="n">
        <v>257.59</v>
      </c>
      <c r="BE48" t="inlineStr">
        <is>
          <t>settled</t>
        </is>
      </c>
      <c r="BF48" t="inlineStr">
        <is>
          <t>2025-12-10 05:30:00</t>
        </is>
      </c>
      <c r="BG48" t="inlineStr">
        <is>
          <t>CITIN25668340126</t>
        </is>
      </c>
      <c r="BH48" t="n">
        <v>0</v>
      </c>
      <c r="BI48" t="inlineStr">
        <is>
          <t>f1d006c64369a98da7055ed2bb494918067471be1478dab9ee3df7c9f55a4684</t>
        </is>
      </c>
    </row>
    <row r="49">
      <c r="A49" t="inlineStr">
        <is>
          <t>44</t>
        </is>
      </c>
      <c r="B49" t="inlineStr">
        <is>
          <t>7546936337</t>
        </is>
      </c>
      <c r="C49" t="inlineStr">
        <is>
          <t>2025-12-04 15:36:46</t>
        </is>
      </c>
      <c r="D49" t="inlineStr">
        <is>
          <t>49</t>
        </is>
      </c>
      <c r="E49" t="inlineStr">
        <is>
          <t>Baba Yaga Art Of Chinese - By Posh Foods</t>
        </is>
      </c>
      <c r="F49" t="inlineStr">
        <is>
          <t>20037890</t>
        </is>
      </c>
      <c r="G49" t="inlineStr">
        <is>
          <t>Flat 20% off (2025-09-25 - 2031-01-01)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9</t>
        </is>
      </c>
      <c r="O49" t="n">
        <v>1230</v>
      </c>
      <c r="P49" t="n">
        <v>0</v>
      </c>
      <c r="Q49" t="n">
        <v>0</v>
      </c>
      <c r="R49" t="n">
        <v>246</v>
      </c>
      <c r="S49" t="n">
        <v>98.40000000000001</v>
      </c>
      <c r="T49" t="n">
        <v>0</v>
      </c>
      <c r="U49" t="n">
        <v>0</v>
      </c>
      <c r="V49" t="n">
        <v>44.28</v>
      </c>
      <c r="W49" t="n">
        <v>929.88</v>
      </c>
      <c r="X49" t="n">
        <v>885.6</v>
      </c>
      <c r="Y49" t="n">
        <v>0</v>
      </c>
      <c r="Z49" t="n">
        <v>0</v>
      </c>
      <c r="AA49" t="n">
        <v>885.6</v>
      </c>
      <c r="AB49" t="n">
        <v>23</v>
      </c>
      <c r="AC49" t="n">
        <v>203.69</v>
      </c>
      <c r="AD49" t="n">
        <v>1.85</v>
      </c>
      <c r="AE49" t="n">
        <v>0</v>
      </c>
      <c r="AF49" t="n">
        <v>0</v>
      </c>
      <c r="AG49" t="n">
        <v>0</v>
      </c>
      <c r="AH49" t="n">
        <v>17.11</v>
      </c>
      <c r="AI49" t="n">
        <v>220.8</v>
      </c>
      <c r="AJ49" t="n">
        <v>39.74</v>
      </c>
      <c r="AK49" t="n">
        <v>0</v>
      </c>
      <c r="AL49" t="n">
        <v>885.6</v>
      </c>
      <c r="AM49" t="n">
        <v>0</v>
      </c>
      <c r="AN49" t="n">
        <v>0</v>
      </c>
      <c r="AO49" t="n">
        <v>0.89</v>
      </c>
      <c r="AP49" t="n">
        <v>44.28</v>
      </c>
      <c r="AQ49" t="n">
        <v>0</v>
      </c>
      <c r="AR49" t="n">
        <v>84.91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305.71</v>
      </c>
      <c r="BC49" t="n">
        <v>0</v>
      </c>
      <c r="BD49" t="n">
        <v>624.17</v>
      </c>
      <c r="BE49" t="inlineStr">
        <is>
          <t>settled</t>
        </is>
      </c>
      <c r="BF49" t="inlineStr">
        <is>
          <t>2025-12-10 05:30:00</t>
        </is>
      </c>
      <c r="BG49" t="inlineStr">
        <is>
          <t>CITIN25668340126</t>
        </is>
      </c>
      <c r="BH49" t="n">
        <v>0</v>
      </c>
      <c r="BI49" t="inlineStr">
        <is>
          <t>cfe294e90468cfd3c6bb7b6e50e9df98c196f69d5964ddac3d2d530768423bc5</t>
        </is>
      </c>
    </row>
    <row r="50">
      <c r="A50" t="inlineStr">
        <is>
          <t>45</t>
        </is>
      </c>
      <c r="B50" t="inlineStr">
        <is>
          <t>7545119367</t>
        </is>
      </c>
      <c r="C50" t="inlineStr">
        <is>
          <t>2025-12-04 17:35:41</t>
        </is>
      </c>
      <c r="D50" t="inlineStr">
        <is>
          <t>49</t>
        </is>
      </c>
      <c r="E50" t="inlineStr">
        <is>
          <t>Baba Yaga Art Of Chinese - By Posh Foods</t>
        </is>
      </c>
      <c r="F50" t="inlineStr">
        <is>
          <t>20037890</t>
        </is>
      </c>
      <c r="G50" t="inlineStr">
        <is>
          <t>Flat ₹100 off (2025-12-03 - 2031-01-01)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9</t>
        </is>
      </c>
      <c r="O50" t="n">
        <v>265</v>
      </c>
      <c r="P50" t="n">
        <v>0</v>
      </c>
      <c r="Q50" t="n">
        <v>0</v>
      </c>
      <c r="R50" t="n">
        <v>70</v>
      </c>
      <c r="S50" t="n">
        <v>0</v>
      </c>
      <c r="T50" t="n">
        <v>0</v>
      </c>
      <c r="U50" t="n">
        <v>0</v>
      </c>
      <c r="V50" t="n">
        <v>9.75</v>
      </c>
      <c r="W50" t="n">
        <v>204.75</v>
      </c>
      <c r="X50" t="n">
        <v>195</v>
      </c>
      <c r="Y50" t="n">
        <v>0</v>
      </c>
      <c r="Z50" t="n">
        <v>0</v>
      </c>
      <c r="AA50" t="n">
        <v>195</v>
      </c>
      <c r="AB50" t="n">
        <v>23</v>
      </c>
      <c r="AC50" t="n">
        <v>44.85</v>
      </c>
      <c r="AD50" t="n">
        <v>3.2</v>
      </c>
      <c r="AE50" t="n">
        <v>0</v>
      </c>
      <c r="AF50" t="n">
        <v>0</v>
      </c>
      <c r="AG50" t="n">
        <v>0</v>
      </c>
      <c r="AH50" t="n">
        <v>3.77</v>
      </c>
      <c r="AI50" t="n">
        <v>48.62</v>
      </c>
      <c r="AJ50" t="n">
        <v>8.75</v>
      </c>
      <c r="AK50" t="n">
        <v>0</v>
      </c>
      <c r="AL50" t="n">
        <v>195</v>
      </c>
      <c r="AM50" t="n">
        <v>0</v>
      </c>
      <c r="AN50" t="n">
        <v>0</v>
      </c>
      <c r="AO50" t="n">
        <v>0.2</v>
      </c>
      <c r="AP50" t="n">
        <v>9.75</v>
      </c>
      <c r="AQ50" t="n">
        <v>0</v>
      </c>
      <c r="AR50" t="n">
        <v>18.7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23.01</v>
      </c>
      <c r="AY50" t="n">
        <v>0</v>
      </c>
      <c r="AZ50" t="n">
        <v>0</v>
      </c>
      <c r="BA50" t="n">
        <v>23.01</v>
      </c>
      <c r="BB50" t="n">
        <v>90.33</v>
      </c>
      <c r="BC50" t="n">
        <v>0</v>
      </c>
      <c r="BD50" t="n">
        <v>114.42</v>
      </c>
      <c r="BE50" t="inlineStr">
        <is>
          <t>settled</t>
        </is>
      </c>
      <c r="BF50" t="inlineStr">
        <is>
          <t>2025-12-10 05:30:00</t>
        </is>
      </c>
      <c r="BG50" t="inlineStr">
        <is>
          <t>CITIN25668340126</t>
        </is>
      </c>
      <c r="BH50" t="n">
        <v>0</v>
      </c>
      <c r="BI50" t="inlineStr">
        <is>
          <t>d620331fc1d741722993c88e538c5d01820767733e9a4f34a8dc6e707abde7ce</t>
        </is>
      </c>
    </row>
    <row r="51">
      <c r="A51" t="inlineStr">
        <is>
          <t>46</t>
        </is>
      </c>
      <c r="B51" t="inlineStr">
        <is>
          <t>7542223356</t>
        </is>
      </c>
      <c r="C51" t="inlineStr">
        <is>
          <t>2025-12-04 17:39:27</t>
        </is>
      </c>
      <c r="D51" t="inlineStr">
        <is>
          <t>49</t>
        </is>
      </c>
      <c r="E51" t="inlineStr">
        <is>
          <t>Baba Yaga Art Of Chinese - By Posh Foods</t>
        </is>
      </c>
      <c r="F51" t="inlineStr">
        <is>
          <t>20037890</t>
        </is>
      </c>
      <c r="G51" t="inlineStr">
        <is>
          <t>NA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9</t>
        </is>
      </c>
      <c r="O51" t="n">
        <v>475</v>
      </c>
      <c r="P51" t="n">
        <v>0</v>
      </c>
      <c r="Q51" t="n">
        <v>0</v>
      </c>
      <c r="R51" t="n">
        <v>0</v>
      </c>
      <c r="S51" t="n">
        <v>47.5</v>
      </c>
      <c r="T51" t="n">
        <v>0</v>
      </c>
      <c r="U51" t="n">
        <v>0</v>
      </c>
      <c r="V51" t="n">
        <v>21.38</v>
      </c>
      <c r="W51" t="n">
        <v>448.88</v>
      </c>
      <c r="X51" t="n">
        <v>427.5</v>
      </c>
      <c r="Y51" t="n">
        <v>0</v>
      </c>
      <c r="Z51" t="n">
        <v>0</v>
      </c>
      <c r="AA51" t="n">
        <v>427.5</v>
      </c>
      <c r="AB51" t="n">
        <v>23</v>
      </c>
      <c r="AC51" t="n">
        <v>98.31999999999999</v>
      </c>
      <c r="AD51" t="n">
        <v>5.49</v>
      </c>
      <c r="AE51" t="n">
        <v>20</v>
      </c>
      <c r="AF51" t="n">
        <v>0</v>
      </c>
      <c r="AG51" t="n">
        <v>0</v>
      </c>
      <c r="AH51" t="n">
        <v>8.26</v>
      </c>
      <c r="AI51" t="n">
        <v>126.58</v>
      </c>
      <c r="AJ51" t="n">
        <v>22.79</v>
      </c>
      <c r="AK51" t="n">
        <v>0</v>
      </c>
      <c r="AL51" t="n">
        <v>427.5</v>
      </c>
      <c r="AM51" t="n">
        <v>0</v>
      </c>
      <c r="AN51" t="n">
        <v>0</v>
      </c>
      <c r="AO51" t="n">
        <v>0.43</v>
      </c>
      <c r="AP51" t="n">
        <v>21.38</v>
      </c>
      <c r="AQ51" t="n">
        <v>0</v>
      </c>
      <c r="AR51" t="n">
        <v>44.6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171.18</v>
      </c>
      <c r="BC51" t="n">
        <v>0</v>
      </c>
      <c r="BD51" t="n">
        <v>277.7</v>
      </c>
      <c r="BE51" t="inlineStr">
        <is>
          <t>settled</t>
        </is>
      </c>
      <c r="BF51" t="inlineStr">
        <is>
          <t>2025-12-10 05:30:00</t>
        </is>
      </c>
      <c r="BG51" t="inlineStr">
        <is>
          <t>CITIN25668340126</t>
        </is>
      </c>
      <c r="BH51" t="n">
        <v>0</v>
      </c>
      <c r="BI51" t="inlineStr">
        <is>
          <t>9746952fe0e9d4dccbe82f4da9b54706f9907dc60642b741213b3235d8e07c84</t>
        </is>
      </c>
    </row>
    <row r="52">
      <c r="A52" t="inlineStr">
        <is>
          <t>47</t>
        </is>
      </c>
      <c r="B52" t="inlineStr">
        <is>
          <t>7529027104</t>
        </is>
      </c>
      <c r="C52" t="inlineStr">
        <is>
          <t>2025-12-04 18:28:03</t>
        </is>
      </c>
      <c r="D52" t="inlineStr">
        <is>
          <t>49</t>
        </is>
      </c>
      <c r="E52" t="inlineStr">
        <is>
          <t>Baba Yaga Art Of Chinese - By Posh Foods</t>
        </is>
      </c>
      <c r="F52" t="inlineStr">
        <is>
          <t>20037890</t>
        </is>
      </c>
      <c r="G52" t="inlineStr">
        <is>
          <t>Flat ₹100 off (2025-11-22 - 2031-01-01)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9</t>
        </is>
      </c>
      <c r="O52" t="n">
        <v>335</v>
      </c>
      <c r="P52" t="n">
        <v>0</v>
      </c>
      <c r="Q52" t="n">
        <v>0</v>
      </c>
      <c r="R52" t="n">
        <v>100</v>
      </c>
      <c r="S52" t="n">
        <v>23.5</v>
      </c>
      <c r="T52" t="n">
        <v>0</v>
      </c>
      <c r="U52" t="n">
        <v>0</v>
      </c>
      <c r="V52" t="n">
        <v>10.58</v>
      </c>
      <c r="W52" t="n">
        <v>222.08</v>
      </c>
      <c r="X52" t="n">
        <v>211.5</v>
      </c>
      <c r="Y52" t="n">
        <v>0</v>
      </c>
      <c r="Z52" t="n">
        <v>0</v>
      </c>
      <c r="AA52" t="n">
        <v>211.5</v>
      </c>
      <c r="AB52" t="n">
        <v>23</v>
      </c>
      <c r="AC52" t="n">
        <v>48.64</v>
      </c>
      <c r="AD52" t="n">
        <v>2.98</v>
      </c>
      <c r="AE52" t="n">
        <v>0</v>
      </c>
      <c r="AF52" t="n">
        <v>0</v>
      </c>
      <c r="AG52" t="n">
        <v>0</v>
      </c>
      <c r="AH52" t="n">
        <v>4.09</v>
      </c>
      <c r="AI52" t="n">
        <v>52.73</v>
      </c>
      <c r="AJ52" t="n">
        <v>9.5</v>
      </c>
      <c r="AK52" t="n">
        <v>0</v>
      </c>
      <c r="AL52" t="n">
        <v>211.5</v>
      </c>
      <c r="AM52" t="n">
        <v>0</v>
      </c>
      <c r="AN52" t="n">
        <v>0</v>
      </c>
      <c r="AO52" t="n">
        <v>0.21</v>
      </c>
      <c r="AP52" t="n">
        <v>10.58</v>
      </c>
      <c r="AQ52" t="n">
        <v>0</v>
      </c>
      <c r="AR52" t="n">
        <v>20.29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73.02</v>
      </c>
      <c r="BC52" t="n">
        <v>0</v>
      </c>
      <c r="BD52" t="n">
        <v>149.06</v>
      </c>
      <c r="BE52" t="inlineStr">
        <is>
          <t>settled</t>
        </is>
      </c>
      <c r="BF52" t="inlineStr">
        <is>
          <t>2025-12-10 05:30:00</t>
        </is>
      </c>
      <c r="BG52" t="inlineStr">
        <is>
          <t>CITIN25668340126</t>
        </is>
      </c>
      <c r="BH52" t="n">
        <v>0</v>
      </c>
      <c r="BI52" t="inlineStr">
        <is>
          <t>978695bde0837622c561037c1d9700aca32ebb217d039ae24b5c9d6204933978</t>
        </is>
      </c>
    </row>
    <row r="53">
      <c r="A53" t="inlineStr">
        <is>
          <t>48</t>
        </is>
      </c>
      <c r="B53" t="inlineStr">
        <is>
          <t>7548244245</t>
        </is>
      </c>
      <c r="C53" t="inlineStr">
        <is>
          <t>2025-12-04 18:56:09</t>
        </is>
      </c>
      <c r="D53" t="inlineStr">
        <is>
          <t>49</t>
        </is>
      </c>
      <c r="E53" t="inlineStr">
        <is>
          <t>Baba Yaga Art Of Chinese - By Posh Foods</t>
        </is>
      </c>
      <c r="F53" t="inlineStr">
        <is>
          <t>20037890</t>
        </is>
      </c>
      <c r="G53" t="inlineStr">
        <is>
          <t>Flat ₹175 off (2025-12-03 - 2031-01-01)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9</t>
        </is>
      </c>
      <c r="O53" t="n">
        <v>860</v>
      </c>
      <c r="P53" t="n">
        <v>0</v>
      </c>
      <c r="Q53" t="n">
        <v>0</v>
      </c>
      <c r="R53" t="n">
        <v>175</v>
      </c>
      <c r="S53" t="n">
        <v>68.5</v>
      </c>
      <c r="T53" t="n">
        <v>0</v>
      </c>
      <c r="U53" t="n">
        <v>0</v>
      </c>
      <c r="V53" t="n">
        <v>30.83</v>
      </c>
      <c r="W53" t="n">
        <v>647.33</v>
      </c>
      <c r="X53" t="n">
        <v>616.5</v>
      </c>
      <c r="Y53" t="n">
        <v>0</v>
      </c>
      <c r="Z53" t="n">
        <v>0</v>
      </c>
      <c r="AA53" t="n">
        <v>616.5</v>
      </c>
      <c r="AB53" t="n">
        <v>23</v>
      </c>
      <c r="AC53" t="n">
        <v>141.8</v>
      </c>
      <c r="AD53" t="n">
        <v>3.73</v>
      </c>
      <c r="AE53" t="n">
        <v>0</v>
      </c>
      <c r="AF53" t="n">
        <v>0</v>
      </c>
      <c r="AG53" t="n">
        <v>0</v>
      </c>
      <c r="AH53" t="n">
        <v>11.91</v>
      </c>
      <c r="AI53" t="n">
        <v>153.71</v>
      </c>
      <c r="AJ53" t="n">
        <v>27.66</v>
      </c>
      <c r="AK53" t="n">
        <v>0</v>
      </c>
      <c r="AL53" t="n">
        <v>616.5</v>
      </c>
      <c r="AM53" t="n">
        <v>0</v>
      </c>
      <c r="AN53" t="n">
        <v>0</v>
      </c>
      <c r="AO53" t="n">
        <v>0.62</v>
      </c>
      <c r="AP53" t="n">
        <v>30.83</v>
      </c>
      <c r="AQ53" t="n">
        <v>0</v>
      </c>
      <c r="AR53" t="n">
        <v>59.11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212.82</v>
      </c>
      <c r="BC53" t="n">
        <v>0</v>
      </c>
      <c r="BD53" t="n">
        <v>434.51</v>
      </c>
      <c r="BE53" t="inlineStr">
        <is>
          <t>settled</t>
        </is>
      </c>
      <c r="BF53" t="inlineStr">
        <is>
          <t>2025-12-10 05:30:00</t>
        </is>
      </c>
      <c r="BG53" t="inlineStr">
        <is>
          <t>CITIN25668340126</t>
        </is>
      </c>
      <c r="BH53" t="n">
        <v>0</v>
      </c>
      <c r="BI53" t="inlineStr">
        <is>
          <t>cb6c30574f61f202770a674832047997b7b08ec593a33ddf835b3fed54334388</t>
        </is>
      </c>
    </row>
    <row r="54">
      <c r="A54" t="inlineStr">
        <is>
          <t>49</t>
        </is>
      </c>
      <c r="B54" t="inlineStr">
        <is>
          <t>7538315695</t>
        </is>
      </c>
      <c r="C54" t="inlineStr">
        <is>
          <t>2025-12-04 19:22:11</t>
        </is>
      </c>
      <c r="D54" t="inlineStr">
        <is>
          <t>49</t>
        </is>
      </c>
      <c r="E54" t="inlineStr">
        <is>
          <t>Baba Yaga Art Of Chinese - By Posh Foods</t>
        </is>
      </c>
      <c r="F54" t="inlineStr">
        <is>
          <t>20037890</t>
        </is>
      </c>
      <c r="G54" t="inlineStr">
        <is>
          <t>30% off upto ₹75 (2025-12-03 - 2031-01-01)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9</t>
        </is>
      </c>
      <c r="O54" t="n">
        <v>319</v>
      </c>
      <c r="P54" t="n">
        <v>0</v>
      </c>
      <c r="Q54" t="n">
        <v>0</v>
      </c>
      <c r="R54" t="n">
        <v>75</v>
      </c>
      <c r="S54" t="n">
        <v>24.4</v>
      </c>
      <c r="T54" t="n">
        <v>0</v>
      </c>
      <c r="U54" t="n">
        <v>0</v>
      </c>
      <c r="V54" t="n">
        <v>10.98</v>
      </c>
      <c r="W54" t="n">
        <v>230.58</v>
      </c>
      <c r="X54" t="n">
        <v>219.6</v>
      </c>
      <c r="Y54" t="n">
        <v>0</v>
      </c>
      <c r="Z54" t="n">
        <v>0</v>
      </c>
      <c r="AA54" t="n">
        <v>219.6</v>
      </c>
      <c r="AB54" t="n">
        <v>23</v>
      </c>
      <c r="AC54" t="n">
        <v>50.51</v>
      </c>
      <c r="AD54" t="n">
        <v>1.78</v>
      </c>
      <c r="AE54" t="n">
        <v>0</v>
      </c>
      <c r="AF54" t="n">
        <v>0</v>
      </c>
      <c r="AG54" t="n">
        <v>0</v>
      </c>
      <c r="AH54" t="n">
        <v>4.24</v>
      </c>
      <c r="AI54" t="n">
        <v>54.75</v>
      </c>
      <c r="AJ54" t="n">
        <v>9.85</v>
      </c>
      <c r="AK54" t="n">
        <v>0</v>
      </c>
      <c r="AL54" t="n">
        <v>219.6</v>
      </c>
      <c r="AM54" t="n">
        <v>0</v>
      </c>
      <c r="AN54" t="n">
        <v>0</v>
      </c>
      <c r="AO54" t="n">
        <v>0.22</v>
      </c>
      <c r="AP54" t="n">
        <v>10.98</v>
      </c>
      <c r="AQ54" t="n">
        <v>0</v>
      </c>
      <c r="AR54" t="n">
        <v>21.05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75.8</v>
      </c>
      <c r="BC54" t="n">
        <v>0</v>
      </c>
      <c r="BD54" t="n">
        <v>154.78</v>
      </c>
      <c r="BE54" t="inlineStr">
        <is>
          <t>settled</t>
        </is>
      </c>
      <c r="BF54" t="inlineStr">
        <is>
          <t>2025-12-10 05:30:00</t>
        </is>
      </c>
      <c r="BG54" t="inlineStr">
        <is>
          <t>CITIN25668340126</t>
        </is>
      </c>
      <c r="BH54" t="n">
        <v>0</v>
      </c>
      <c r="BI54" t="inlineStr">
        <is>
          <t>9ab782de08ed74f31bcd7ed8461a983a721fb231cb5d4bb592f78fc4cbef556c</t>
        </is>
      </c>
    </row>
    <row r="55">
      <c r="A55" t="inlineStr">
        <is>
          <t>50</t>
        </is>
      </c>
      <c r="B55" t="inlineStr">
        <is>
          <t>7543910782</t>
        </is>
      </c>
      <c r="C55" t="inlineStr">
        <is>
          <t>2025-12-04 19:33:39</t>
        </is>
      </c>
      <c r="D55" t="inlineStr">
        <is>
          <t>49</t>
        </is>
      </c>
      <c r="E55" t="inlineStr">
        <is>
          <t>Baba Yaga Art Of Chinese - By Posh Foods</t>
        </is>
      </c>
      <c r="F55" t="inlineStr">
        <is>
          <t>20037890</t>
        </is>
      </c>
      <c r="G55" t="inlineStr">
        <is>
          <t>Flat ₹175 off (2025-12-03 - 2031-01-01)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9</t>
        </is>
      </c>
      <c r="O55" t="n">
        <v>680</v>
      </c>
      <c r="P55" t="n">
        <v>0</v>
      </c>
      <c r="Q55" t="n">
        <v>0</v>
      </c>
      <c r="R55" t="n">
        <v>122</v>
      </c>
      <c r="S55" t="n">
        <v>0</v>
      </c>
      <c r="T55" t="n">
        <v>0</v>
      </c>
      <c r="U55" t="n">
        <v>0</v>
      </c>
      <c r="V55" t="n">
        <v>27.9</v>
      </c>
      <c r="W55" t="n">
        <v>585.9</v>
      </c>
      <c r="X55" t="n">
        <v>558</v>
      </c>
      <c r="Y55" t="n">
        <v>0</v>
      </c>
      <c r="Z55" t="n">
        <v>0</v>
      </c>
      <c r="AA55" t="n">
        <v>558</v>
      </c>
      <c r="AB55" t="n">
        <v>23</v>
      </c>
      <c r="AC55" t="n">
        <v>128.34</v>
      </c>
      <c r="AD55" t="n">
        <v>2.54</v>
      </c>
      <c r="AE55" t="n">
        <v>0</v>
      </c>
      <c r="AF55" t="n">
        <v>0</v>
      </c>
      <c r="AG55" t="n">
        <v>0</v>
      </c>
      <c r="AH55" t="n">
        <v>10.78</v>
      </c>
      <c r="AI55" t="n">
        <v>139.12</v>
      </c>
      <c r="AJ55" t="n">
        <v>25.04</v>
      </c>
      <c r="AK55" t="n">
        <v>0</v>
      </c>
      <c r="AL55" t="n">
        <v>558</v>
      </c>
      <c r="AM55" t="n">
        <v>0</v>
      </c>
      <c r="AN55" t="n">
        <v>0</v>
      </c>
      <c r="AO55" t="n">
        <v>0.5600000000000001</v>
      </c>
      <c r="AP55" t="n">
        <v>27.9</v>
      </c>
      <c r="AQ55" t="n">
        <v>0</v>
      </c>
      <c r="AR55" t="n">
        <v>53.5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192.62</v>
      </c>
      <c r="BC55" t="n">
        <v>0</v>
      </c>
      <c r="BD55" t="n">
        <v>393.28</v>
      </c>
      <c r="BE55" t="inlineStr">
        <is>
          <t>settled</t>
        </is>
      </c>
      <c r="BF55" t="inlineStr">
        <is>
          <t>2025-12-10 05:30:00</t>
        </is>
      </c>
      <c r="BG55" t="inlineStr">
        <is>
          <t>CITIN25668340126</t>
        </is>
      </c>
      <c r="BH55" t="n">
        <v>0</v>
      </c>
      <c r="BI55" t="inlineStr">
        <is>
          <t>8bdbd096a49724804ad94eedf45f39897ce47ef78ace2fad43b6bfc61c1cd066</t>
        </is>
      </c>
    </row>
    <row r="56">
      <c r="A56" t="inlineStr">
        <is>
          <t>51</t>
        </is>
      </c>
      <c r="B56" t="inlineStr">
        <is>
          <t>7546590100</t>
        </is>
      </c>
      <c r="C56" t="inlineStr">
        <is>
          <t>2025-12-04 20:16:05</t>
        </is>
      </c>
      <c r="D56" t="inlineStr">
        <is>
          <t>49</t>
        </is>
      </c>
      <c r="E56" t="inlineStr">
        <is>
          <t>Baba Yaga Art Of Chinese - By Posh Foods</t>
        </is>
      </c>
      <c r="F56" t="inlineStr">
        <is>
          <t>20037890</t>
        </is>
      </c>
      <c r="G56" t="inlineStr">
        <is>
          <t>Flat 20% off (2025-09-25 - 2031-01-01)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9</t>
        </is>
      </c>
      <c r="O56" t="n">
        <v>1049</v>
      </c>
      <c r="P56" t="n">
        <v>0</v>
      </c>
      <c r="Q56" t="n">
        <v>0</v>
      </c>
      <c r="R56" t="n">
        <v>209.8</v>
      </c>
      <c r="S56" t="n">
        <v>83.92</v>
      </c>
      <c r="T56" t="n">
        <v>0</v>
      </c>
      <c r="U56" t="n">
        <v>0</v>
      </c>
      <c r="V56" t="n">
        <v>37.77</v>
      </c>
      <c r="W56" t="n">
        <v>793.05</v>
      </c>
      <c r="X56" t="n">
        <v>755.28</v>
      </c>
      <c r="Y56" t="n">
        <v>0</v>
      </c>
      <c r="Z56" t="n">
        <v>0</v>
      </c>
      <c r="AA56" t="n">
        <v>755.28</v>
      </c>
      <c r="AB56" t="n">
        <v>23</v>
      </c>
      <c r="AC56" t="n">
        <v>173.71</v>
      </c>
      <c r="AD56" t="n">
        <v>1.68</v>
      </c>
      <c r="AE56" t="n">
        <v>0</v>
      </c>
      <c r="AF56" t="n">
        <v>0</v>
      </c>
      <c r="AG56" t="n">
        <v>0</v>
      </c>
      <c r="AH56" t="n">
        <v>14.59</v>
      </c>
      <c r="AI56" t="n">
        <v>188.3</v>
      </c>
      <c r="AJ56" t="n">
        <v>33.9</v>
      </c>
      <c r="AK56" t="n">
        <v>0</v>
      </c>
      <c r="AL56" t="n">
        <v>755.28</v>
      </c>
      <c r="AM56" t="n">
        <v>0</v>
      </c>
      <c r="AN56" t="n">
        <v>0</v>
      </c>
      <c r="AO56" t="n">
        <v>0.76</v>
      </c>
      <c r="AP56" t="n">
        <v>37.76</v>
      </c>
      <c r="AQ56" t="n">
        <v>0.01</v>
      </c>
      <c r="AR56" t="n">
        <v>72.42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260.72</v>
      </c>
      <c r="BC56" t="n">
        <v>0</v>
      </c>
      <c r="BD56" t="n">
        <v>532.33</v>
      </c>
      <c r="BE56" t="inlineStr">
        <is>
          <t>settled</t>
        </is>
      </c>
      <c r="BF56" t="inlineStr">
        <is>
          <t>2025-12-10 05:30:00</t>
        </is>
      </c>
      <c r="BG56" t="inlineStr">
        <is>
          <t>CITIN25668340126</t>
        </is>
      </c>
      <c r="BH56" t="n">
        <v>0</v>
      </c>
      <c r="BI56" t="inlineStr">
        <is>
          <t>66a6314a463e7b4af221617d953a8f9865edad5ff267abf258447b95a637b781</t>
        </is>
      </c>
    </row>
    <row r="57">
      <c r="A57" t="inlineStr">
        <is>
          <t>52</t>
        </is>
      </c>
      <c r="B57" t="inlineStr">
        <is>
          <t>7541510259</t>
        </is>
      </c>
      <c r="C57" t="inlineStr">
        <is>
          <t>2025-12-04 21:11:28</t>
        </is>
      </c>
      <c r="D57" t="inlineStr">
        <is>
          <t>49</t>
        </is>
      </c>
      <c r="E57" t="inlineStr">
        <is>
          <t>Baba Yaga Art Of Chinese - By Posh Foods</t>
        </is>
      </c>
      <c r="F57" t="inlineStr">
        <is>
          <t>20037890</t>
        </is>
      </c>
      <c r="G57" t="inlineStr">
        <is>
          <t>Flat ₹100 off (2025-12-03 - 2031-01-01)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9</t>
        </is>
      </c>
      <c r="O57" t="n">
        <v>560</v>
      </c>
      <c r="P57" t="n">
        <v>0</v>
      </c>
      <c r="Q57" t="n">
        <v>0</v>
      </c>
      <c r="R57" t="n">
        <v>70</v>
      </c>
      <c r="S57" t="n">
        <v>46</v>
      </c>
      <c r="T57" t="n">
        <v>0</v>
      </c>
      <c r="U57" t="n">
        <v>0</v>
      </c>
      <c r="V57" t="n">
        <v>22.2</v>
      </c>
      <c r="W57" t="n">
        <v>466.2</v>
      </c>
      <c r="X57" t="n">
        <v>444</v>
      </c>
      <c r="Y57" t="n">
        <v>0</v>
      </c>
      <c r="Z57" t="n">
        <v>0</v>
      </c>
      <c r="AA57" t="n">
        <v>444</v>
      </c>
      <c r="AB57" t="n">
        <v>23</v>
      </c>
      <c r="AC57" t="n">
        <v>102.12</v>
      </c>
      <c r="AD57" t="n">
        <v>4.87</v>
      </c>
      <c r="AE57" t="n">
        <v>20</v>
      </c>
      <c r="AF57" t="n">
        <v>0</v>
      </c>
      <c r="AG57" t="n">
        <v>0</v>
      </c>
      <c r="AH57" t="n">
        <v>8.58</v>
      </c>
      <c r="AI57" t="n">
        <v>130.7</v>
      </c>
      <c r="AJ57" t="n">
        <v>23.52</v>
      </c>
      <c r="AK57" t="n">
        <v>0</v>
      </c>
      <c r="AL57" t="n">
        <v>444</v>
      </c>
      <c r="AM57" t="n">
        <v>0</v>
      </c>
      <c r="AN57" t="n">
        <v>0</v>
      </c>
      <c r="AO57" t="n">
        <v>0.44</v>
      </c>
      <c r="AP57" t="n">
        <v>22.2</v>
      </c>
      <c r="AQ57" t="n">
        <v>0</v>
      </c>
      <c r="AR57" t="n">
        <v>46.16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176.86</v>
      </c>
      <c r="BC57" t="n">
        <v>0</v>
      </c>
      <c r="BD57" t="n">
        <v>289.34</v>
      </c>
      <c r="BE57" t="inlineStr">
        <is>
          <t>settled</t>
        </is>
      </c>
      <c r="BF57" t="inlineStr">
        <is>
          <t>2025-12-10 05:30:00</t>
        </is>
      </c>
      <c r="BG57" t="inlineStr">
        <is>
          <t>CITIN25668340126</t>
        </is>
      </c>
      <c r="BH57" t="n">
        <v>0</v>
      </c>
      <c r="BI57" t="inlineStr">
        <is>
          <t>230b95fc31d54cb6607faddebb186326ceda7861679b43ee11c8ac86fc75beea</t>
        </is>
      </c>
    </row>
    <row r="58">
      <c r="A58" t="inlineStr">
        <is>
          <t>53</t>
        </is>
      </c>
      <c r="B58" t="inlineStr">
        <is>
          <t>7549164191</t>
        </is>
      </c>
      <c r="C58" t="inlineStr">
        <is>
          <t>2025-12-04 21:15:45</t>
        </is>
      </c>
      <c r="D58" t="inlineStr">
        <is>
          <t>49</t>
        </is>
      </c>
      <c r="E58" t="inlineStr">
        <is>
          <t>Baba Yaga Art Of Chinese - By Posh Foods</t>
        </is>
      </c>
      <c r="F58" t="inlineStr">
        <is>
          <t>20037890</t>
        </is>
      </c>
      <c r="G58" t="inlineStr">
        <is>
          <t>Flat ₹125 off (2025-12-03 - 2031-01-01)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9</t>
        </is>
      </c>
      <c r="O58" t="n">
        <v>350</v>
      </c>
      <c r="P58" t="n">
        <v>0</v>
      </c>
      <c r="Q58" t="n">
        <v>0</v>
      </c>
      <c r="R58" t="n">
        <v>87</v>
      </c>
      <c r="S58" t="n">
        <v>22.5</v>
      </c>
      <c r="T58" t="n">
        <v>0</v>
      </c>
      <c r="U58" t="n">
        <v>0</v>
      </c>
      <c r="V58" t="n">
        <v>12.03</v>
      </c>
      <c r="W58" t="n">
        <v>252.53</v>
      </c>
      <c r="X58" t="n">
        <v>240.5</v>
      </c>
      <c r="Y58" t="n">
        <v>0</v>
      </c>
      <c r="Z58" t="n">
        <v>0</v>
      </c>
      <c r="AA58" t="n">
        <v>240.5</v>
      </c>
      <c r="AB58" t="n">
        <v>23</v>
      </c>
      <c r="AC58" t="n">
        <v>55.32</v>
      </c>
      <c r="AD58" t="n">
        <v>2.39</v>
      </c>
      <c r="AE58" t="n">
        <v>0</v>
      </c>
      <c r="AF58" t="n">
        <v>0</v>
      </c>
      <c r="AG58" t="n">
        <v>0</v>
      </c>
      <c r="AH58" t="n">
        <v>4.65</v>
      </c>
      <c r="AI58" t="n">
        <v>59.97</v>
      </c>
      <c r="AJ58" t="n">
        <v>10.8</v>
      </c>
      <c r="AK58" t="n">
        <v>0</v>
      </c>
      <c r="AL58" t="n">
        <v>240.5</v>
      </c>
      <c r="AM58" t="n">
        <v>0</v>
      </c>
      <c r="AN58" t="n">
        <v>0</v>
      </c>
      <c r="AO58" t="n">
        <v>0.24</v>
      </c>
      <c r="AP58" t="n">
        <v>12.03</v>
      </c>
      <c r="AQ58" t="n">
        <v>0</v>
      </c>
      <c r="AR58" t="n">
        <v>23.07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83.04000000000001</v>
      </c>
      <c r="BC58" t="n">
        <v>0</v>
      </c>
      <c r="BD58" t="n">
        <v>169.49</v>
      </c>
      <c r="BE58" t="inlineStr">
        <is>
          <t>settled</t>
        </is>
      </c>
      <c r="BF58" t="inlineStr">
        <is>
          <t>2025-12-10 05:30:00</t>
        </is>
      </c>
      <c r="BG58" t="inlineStr">
        <is>
          <t>CITIN25668340126</t>
        </is>
      </c>
      <c r="BH58" t="n">
        <v>0</v>
      </c>
      <c r="BI58" t="inlineStr">
        <is>
          <t>7afe6f3396430a86563d671c6af3b8e3f4099c036d53867e715bb4d2c13c39d8</t>
        </is>
      </c>
    </row>
    <row r="59">
      <c r="A59" t="inlineStr">
        <is>
          <t>54</t>
        </is>
      </c>
      <c r="B59" t="inlineStr">
        <is>
          <t>7532557570</t>
        </is>
      </c>
      <c r="C59" t="inlineStr">
        <is>
          <t>2025-12-04 21:55:43</t>
        </is>
      </c>
      <c r="D59" t="inlineStr">
        <is>
          <t>49</t>
        </is>
      </c>
      <c r="E59" t="inlineStr">
        <is>
          <t>Baba Yaga Art Of Chinese - By Posh Foods</t>
        </is>
      </c>
      <c r="F59" t="inlineStr">
        <is>
          <t>20037890</t>
        </is>
      </c>
      <c r="G59" t="inlineStr">
        <is>
          <t>Flat ₹175 off (2025-12-03 - 2031-01-01)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9</t>
        </is>
      </c>
      <c r="O59" t="n">
        <v>630</v>
      </c>
      <c r="P59" t="n">
        <v>0</v>
      </c>
      <c r="Q59" t="n">
        <v>0</v>
      </c>
      <c r="R59" t="n">
        <v>122</v>
      </c>
      <c r="S59" t="n">
        <v>45.5</v>
      </c>
      <c r="T59" t="n">
        <v>0</v>
      </c>
      <c r="U59" t="n">
        <v>0</v>
      </c>
      <c r="V59" t="n">
        <v>23.13</v>
      </c>
      <c r="W59" t="n">
        <v>485.63</v>
      </c>
      <c r="X59" t="n">
        <v>462.5</v>
      </c>
      <c r="Y59" t="n">
        <v>0</v>
      </c>
      <c r="Z59" t="n">
        <v>0</v>
      </c>
      <c r="AA59" t="n">
        <v>462.5</v>
      </c>
      <c r="AB59" t="n">
        <v>23</v>
      </c>
      <c r="AC59" t="n">
        <v>106.38</v>
      </c>
      <c r="AD59" t="n">
        <v>5.09</v>
      </c>
      <c r="AE59" t="n">
        <v>20</v>
      </c>
      <c r="AF59" t="n">
        <v>0</v>
      </c>
      <c r="AG59" t="n">
        <v>0</v>
      </c>
      <c r="AH59" t="n">
        <v>8.94</v>
      </c>
      <c r="AI59" t="n">
        <v>135.32</v>
      </c>
      <c r="AJ59" t="n">
        <v>24.36</v>
      </c>
      <c r="AK59" t="n">
        <v>0</v>
      </c>
      <c r="AL59" t="n">
        <v>462.5</v>
      </c>
      <c r="AM59" t="n">
        <v>0</v>
      </c>
      <c r="AN59" t="n">
        <v>0</v>
      </c>
      <c r="AO59" t="n">
        <v>0.46</v>
      </c>
      <c r="AP59" t="n">
        <v>23.13</v>
      </c>
      <c r="AQ59" t="n">
        <v>0</v>
      </c>
      <c r="AR59" t="n">
        <v>47.95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54.57</v>
      </c>
      <c r="AY59" t="n">
        <v>0</v>
      </c>
      <c r="AZ59" t="n">
        <v>0</v>
      </c>
      <c r="BA59" t="n">
        <v>54.57</v>
      </c>
      <c r="BB59" t="n">
        <v>237.84</v>
      </c>
      <c r="BC59" t="n">
        <v>0</v>
      </c>
      <c r="BD59" t="n">
        <v>247.79</v>
      </c>
      <c r="BE59" t="inlineStr">
        <is>
          <t>settled</t>
        </is>
      </c>
      <c r="BF59" t="inlineStr">
        <is>
          <t>2025-12-10 05:30:00</t>
        </is>
      </c>
      <c r="BG59" t="inlineStr">
        <is>
          <t>CITIN25668340126</t>
        </is>
      </c>
      <c r="BH59" t="n">
        <v>0</v>
      </c>
      <c r="BI59" t="inlineStr">
        <is>
          <t>e83415fa6b5f4439af25ad5d699662e956eab91a376c719c623032606fc5f326</t>
        </is>
      </c>
    </row>
    <row r="60">
      <c r="A60" t="inlineStr">
        <is>
          <t>55</t>
        </is>
      </c>
      <c r="B60" t="inlineStr">
        <is>
          <t>7547939736</t>
        </is>
      </c>
      <c r="C60" t="inlineStr">
        <is>
          <t>2025-12-04 23:33:35</t>
        </is>
      </c>
      <c r="D60" t="inlineStr">
        <is>
          <t>49</t>
        </is>
      </c>
      <c r="E60" t="inlineStr">
        <is>
          <t>Baba Yaga Art Of Chinese - By Posh Foods</t>
        </is>
      </c>
      <c r="F60" t="inlineStr">
        <is>
          <t>20037890</t>
        </is>
      </c>
      <c r="G60" t="inlineStr">
        <is>
          <t>Flat ₹175 off (2025-12-03 - 2031-01-01)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9</t>
        </is>
      </c>
      <c r="O60" t="n">
        <v>684</v>
      </c>
      <c r="P60" t="n">
        <v>0</v>
      </c>
      <c r="Q60" t="n">
        <v>0</v>
      </c>
      <c r="R60" t="n">
        <v>122</v>
      </c>
      <c r="S60" t="n">
        <v>50.9</v>
      </c>
      <c r="T60" t="n">
        <v>0</v>
      </c>
      <c r="U60" t="n">
        <v>0</v>
      </c>
      <c r="V60" t="n">
        <v>25.56</v>
      </c>
      <c r="W60" t="n">
        <v>536.66</v>
      </c>
      <c r="X60" t="n">
        <v>511.1</v>
      </c>
      <c r="Y60" t="n">
        <v>0</v>
      </c>
      <c r="Z60" t="n">
        <v>0</v>
      </c>
      <c r="AA60" t="n">
        <v>511.1</v>
      </c>
      <c r="AB60" t="n">
        <v>23</v>
      </c>
      <c r="AC60" t="n">
        <v>117.55</v>
      </c>
      <c r="AD60" t="n">
        <v>3.43</v>
      </c>
      <c r="AE60" t="n">
        <v>0</v>
      </c>
      <c r="AF60" t="n">
        <v>0</v>
      </c>
      <c r="AG60" t="n">
        <v>0</v>
      </c>
      <c r="AH60" t="n">
        <v>9.869999999999999</v>
      </c>
      <c r="AI60" t="n">
        <v>127.42</v>
      </c>
      <c r="AJ60" t="n">
        <v>22.94</v>
      </c>
      <c r="AK60" t="n">
        <v>0</v>
      </c>
      <c r="AL60" t="n">
        <v>511.1</v>
      </c>
      <c r="AM60" t="n">
        <v>0</v>
      </c>
      <c r="AN60" t="n">
        <v>0</v>
      </c>
      <c r="AO60" t="n">
        <v>0.51</v>
      </c>
      <c r="AP60" t="n">
        <v>25.55</v>
      </c>
      <c r="AQ60" t="n">
        <v>0.01</v>
      </c>
      <c r="AR60" t="n">
        <v>49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60.31</v>
      </c>
      <c r="AY60" t="n">
        <v>0</v>
      </c>
      <c r="AZ60" t="n">
        <v>0</v>
      </c>
      <c r="BA60" t="n">
        <v>60.31</v>
      </c>
      <c r="BB60" t="n">
        <v>236.73</v>
      </c>
      <c r="BC60" t="n">
        <v>0</v>
      </c>
      <c r="BD60" t="n">
        <v>299.93</v>
      </c>
      <c r="BE60" t="inlineStr">
        <is>
          <t>settled</t>
        </is>
      </c>
      <c r="BF60" t="inlineStr">
        <is>
          <t>2025-12-10 05:30:00</t>
        </is>
      </c>
      <c r="BG60" t="inlineStr">
        <is>
          <t>CITIN25668340126</t>
        </is>
      </c>
      <c r="BH60" t="n">
        <v>0</v>
      </c>
      <c r="BI60" t="inlineStr">
        <is>
          <t>d4f21ec7b77568086b9f98cdab8b44009998a6f78682e55c60ff2c10b5009691</t>
        </is>
      </c>
    </row>
    <row r="61">
      <c r="A61" t="inlineStr">
        <is>
          <t>56</t>
        </is>
      </c>
      <c r="B61" t="inlineStr">
        <is>
          <t>7532724827</t>
        </is>
      </c>
      <c r="C61" t="inlineStr">
        <is>
          <t>2025-12-05 13:35:48</t>
        </is>
      </c>
      <c r="D61" t="inlineStr">
        <is>
          <t>49</t>
        </is>
      </c>
      <c r="E61" t="inlineStr">
        <is>
          <t>Baba Yaga Art Of Chinese - By Posh Foods</t>
        </is>
      </c>
      <c r="F61" t="inlineStr">
        <is>
          <t>20037890</t>
        </is>
      </c>
      <c r="G61" t="inlineStr">
        <is>
          <t>Flat ₹100 off (2025-11-22 - 2031-01-01)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9</t>
        </is>
      </c>
      <c r="O61" t="n">
        <v>319</v>
      </c>
      <c r="P61" t="n">
        <v>0</v>
      </c>
      <c r="Q61" t="n">
        <v>0</v>
      </c>
      <c r="R61" t="n">
        <v>100</v>
      </c>
      <c r="S61" t="n">
        <v>0</v>
      </c>
      <c r="T61" t="n">
        <v>0</v>
      </c>
      <c r="U61" t="n">
        <v>0</v>
      </c>
      <c r="V61" t="n">
        <v>10.95</v>
      </c>
      <c r="W61" t="n">
        <v>229.95</v>
      </c>
      <c r="X61" t="n">
        <v>219</v>
      </c>
      <c r="Y61" t="n">
        <v>0</v>
      </c>
      <c r="Z61" t="n">
        <v>0</v>
      </c>
      <c r="AA61" t="n">
        <v>219</v>
      </c>
      <c r="AB61" t="n">
        <v>23</v>
      </c>
      <c r="AC61" t="n">
        <v>50.37</v>
      </c>
      <c r="AD61" t="n">
        <v>5</v>
      </c>
      <c r="AE61" t="n">
        <v>20</v>
      </c>
      <c r="AF61" t="n">
        <v>0</v>
      </c>
      <c r="AG61" t="n">
        <v>4.67</v>
      </c>
      <c r="AH61" t="n">
        <v>4.23</v>
      </c>
      <c r="AI61" t="n">
        <v>69.93000000000001</v>
      </c>
      <c r="AJ61" t="n">
        <v>12.59</v>
      </c>
      <c r="AK61" t="n">
        <v>0</v>
      </c>
      <c r="AL61" t="n">
        <v>219</v>
      </c>
      <c r="AM61" t="n">
        <v>0</v>
      </c>
      <c r="AN61" t="n">
        <v>0</v>
      </c>
      <c r="AO61" t="n">
        <v>0.22</v>
      </c>
      <c r="AP61" t="n">
        <v>10.95</v>
      </c>
      <c r="AQ61" t="n">
        <v>0</v>
      </c>
      <c r="AR61" t="n">
        <v>23.76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93.69</v>
      </c>
      <c r="BC61" t="n">
        <v>0</v>
      </c>
      <c r="BD61" t="n">
        <v>136.26</v>
      </c>
      <c r="BE61" t="inlineStr">
        <is>
          <t>settled</t>
        </is>
      </c>
      <c r="BF61" t="inlineStr">
        <is>
          <t>2025-12-10 05:30:00</t>
        </is>
      </c>
      <c r="BG61" t="inlineStr">
        <is>
          <t>CITIN25668340126</t>
        </is>
      </c>
      <c r="BH61" t="n">
        <v>0</v>
      </c>
      <c r="BI61" t="inlineStr">
        <is>
          <t>70d3d9525cadc843b197e97cac1506d75c42679176e41ea2349a4f76e80ded04</t>
        </is>
      </c>
    </row>
    <row r="62">
      <c r="A62" t="inlineStr">
        <is>
          <t>57</t>
        </is>
      </c>
      <c r="B62" t="inlineStr">
        <is>
          <t>7550174883</t>
        </is>
      </c>
      <c r="C62" t="inlineStr">
        <is>
          <t>2025-12-05 15:41:27</t>
        </is>
      </c>
      <c r="D62" t="inlineStr">
        <is>
          <t>49</t>
        </is>
      </c>
      <c r="E62" t="inlineStr">
        <is>
          <t>Baba Yaga Art Of Chinese - By Posh Foods</t>
        </is>
      </c>
      <c r="F62" t="inlineStr">
        <is>
          <t>20037890</t>
        </is>
      </c>
      <c r="G62" t="inlineStr">
        <is>
          <t>Flat ₹150 off (2025-12-03 - 2031-01-01)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9</t>
        </is>
      </c>
      <c r="O62" t="n">
        <v>684</v>
      </c>
      <c r="P62" t="n">
        <v>0</v>
      </c>
      <c r="Q62" t="n">
        <v>0</v>
      </c>
      <c r="R62" t="n">
        <v>150</v>
      </c>
      <c r="S62" t="n">
        <v>53.4</v>
      </c>
      <c r="T62" t="n">
        <v>0</v>
      </c>
      <c r="U62" t="n">
        <v>0</v>
      </c>
      <c r="V62" t="n">
        <v>24.03</v>
      </c>
      <c r="W62" t="n">
        <v>504.63</v>
      </c>
      <c r="X62" t="n">
        <v>480.6</v>
      </c>
      <c r="Y62" t="n">
        <v>0</v>
      </c>
      <c r="Z62" t="n">
        <v>0</v>
      </c>
      <c r="AA62" t="n">
        <v>480.6</v>
      </c>
      <c r="AB62" t="n">
        <v>23</v>
      </c>
      <c r="AC62" t="n">
        <v>110.54</v>
      </c>
      <c r="AD62" t="n">
        <v>0.9</v>
      </c>
      <c r="AE62" t="n">
        <v>0</v>
      </c>
      <c r="AF62" t="n">
        <v>0</v>
      </c>
      <c r="AG62" t="n">
        <v>0</v>
      </c>
      <c r="AH62" t="n">
        <v>9.289999999999999</v>
      </c>
      <c r="AI62" t="n">
        <v>119.83</v>
      </c>
      <c r="AJ62" t="n">
        <v>21.57</v>
      </c>
      <c r="AK62" t="n">
        <v>0</v>
      </c>
      <c r="AL62" t="n">
        <v>480.6</v>
      </c>
      <c r="AM62" t="n">
        <v>0</v>
      </c>
      <c r="AN62" t="n">
        <v>0</v>
      </c>
      <c r="AO62" t="n">
        <v>0.48</v>
      </c>
      <c r="AP62" t="n">
        <v>24.03</v>
      </c>
      <c r="AQ62" t="n">
        <v>0</v>
      </c>
      <c r="AR62" t="n">
        <v>46.08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165.91</v>
      </c>
      <c r="BC62" t="n">
        <v>0</v>
      </c>
      <c r="BD62" t="n">
        <v>338.72</v>
      </c>
      <c r="BE62" t="inlineStr">
        <is>
          <t>settled</t>
        </is>
      </c>
      <c r="BF62" t="inlineStr">
        <is>
          <t>2025-12-10 05:30:00</t>
        </is>
      </c>
      <c r="BG62" t="inlineStr">
        <is>
          <t>CITIN25668340126</t>
        </is>
      </c>
      <c r="BH62" t="n">
        <v>0</v>
      </c>
      <c r="BI62" t="inlineStr">
        <is>
          <t>ec418be76201ee63bc8530580715ac14368c20b2474ef61005823116a24c6483</t>
        </is>
      </c>
    </row>
    <row r="63">
      <c r="A63" t="inlineStr">
        <is>
          <t>58</t>
        </is>
      </c>
      <c r="B63" t="inlineStr">
        <is>
          <t>7550010699</t>
        </is>
      </c>
      <c r="C63" t="inlineStr">
        <is>
          <t>2025-12-05 16:34:45</t>
        </is>
      </c>
      <c r="D63" t="inlineStr">
        <is>
          <t>49</t>
        </is>
      </c>
      <c r="E63" t="inlineStr">
        <is>
          <t>Baba Yaga Art Of Chinese - By Posh Foods</t>
        </is>
      </c>
      <c r="F63" t="inlineStr">
        <is>
          <t>20037890</t>
        </is>
      </c>
      <c r="G63" t="inlineStr">
        <is>
          <t>Flat ₹100 off (2025-12-03 - 2031-01-01)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9</t>
        </is>
      </c>
      <c r="O63" t="n">
        <v>335</v>
      </c>
      <c r="P63" t="n">
        <v>0</v>
      </c>
      <c r="Q63" t="n">
        <v>0</v>
      </c>
      <c r="R63" t="n">
        <v>70</v>
      </c>
      <c r="S63" t="n">
        <v>23.5</v>
      </c>
      <c r="T63" t="n">
        <v>0</v>
      </c>
      <c r="U63" t="n">
        <v>0</v>
      </c>
      <c r="V63" t="n">
        <v>12.08</v>
      </c>
      <c r="W63" t="n">
        <v>253.58</v>
      </c>
      <c r="X63" t="n">
        <v>241.5</v>
      </c>
      <c r="Y63" t="n">
        <v>0</v>
      </c>
      <c r="Z63" t="n">
        <v>0</v>
      </c>
      <c r="AA63" t="n">
        <v>241.5</v>
      </c>
      <c r="AB63" t="n">
        <v>23</v>
      </c>
      <c r="AC63" t="n">
        <v>55.54</v>
      </c>
      <c r="AD63" t="n">
        <v>3.76</v>
      </c>
      <c r="AE63" t="n">
        <v>0</v>
      </c>
      <c r="AF63" t="n">
        <v>0</v>
      </c>
      <c r="AG63" t="n">
        <v>0</v>
      </c>
      <c r="AH63" t="n">
        <v>4.67</v>
      </c>
      <c r="AI63" t="n">
        <v>60.21</v>
      </c>
      <c r="AJ63" t="n">
        <v>10.84</v>
      </c>
      <c r="AK63" t="n">
        <v>0</v>
      </c>
      <c r="AL63" t="n">
        <v>241.5</v>
      </c>
      <c r="AM63" t="n">
        <v>0</v>
      </c>
      <c r="AN63" t="n">
        <v>0</v>
      </c>
      <c r="AO63" t="n">
        <v>0.24</v>
      </c>
      <c r="AP63" t="n">
        <v>12.08</v>
      </c>
      <c r="AQ63" t="n">
        <v>0</v>
      </c>
      <c r="AR63" t="n">
        <v>23.16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83.37</v>
      </c>
      <c r="BC63" t="n">
        <v>0</v>
      </c>
      <c r="BD63" t="n">
        <v>170.21</v>
      </c>
      <c r="BE63" t="inlineStr">
        <is>
          <t>settled</t>
        </is>
      </c>
      <c r="BF63" t="inlineStr">
        <is>
          <t>2025-12-10 05:30:00</t>
        </is>
      </c>
      <c r="BG63" t="inlineStr">
        <is>
          <t>CITIN25668340126</t>
        </is>
      </c>
      <c r="BH63" t="n">
        <v>0</v>
      </c>
      <c r="BI63" t="inlineStr">
        <is>
          <t>e9e81fed0cfdb2be1961c20d839169dcad266f515849b628482f2ccd979b1292</t>
        </is>
      </c>
    </row>
    <row r="64">
      <c r="A64" t="inlineStr">
        <is>
          <t>59</t>
        </is>
      </c>
      <c r="B64" t="inlineStr">
        <is>
          <t>7549738575</t>
        </is>
      </c>
      <c r="C64" t="inlineStr">
        <is>
          <t>2025-12-05 17:24:40</t>
        </is>
      </c>
      <c r="D64" t="inlineStr">
        <is>
          <t>49</t>
        </is>
      </c>
      <c r="E64" t="inlineStr">
        <is>
          <t>Baba Yaga Art Of Chinese - By Posh Foods</t>
        </is>
      </c>
      <c r="F64" t="inlineStr">
        <is>
          <t>20037890</t>
        </is>
      </c>
      <c r="G64" t="inlineStr">
        <is>
          <t>Flat ₹100 off (2025-11-22 - 2031-01-01)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9</t>
        </is>
      </c>
      <c r="O64" t="n">
        <v>335</v>
      </c>
      <c r="P64" t="n">
        <v>0</v>
      </c>
      <c r="Q64" t="n">
        <v>0</v>
      </c>
      <c r="R64" t="n">
        <v>100</v>
      </c>
      <c r="S64" t="n">
        <v>23.5</v>
      </c>
      <c r="T64" t="n">
        <v>0</v>
      </c>
      <c r="U64" t="n">
        <v>0</v>
      </c>
      <c r="V64" t="n">
        <v>10.58</v>
      </c>
      <c r="W64" t="n">
        <v>222.08</v>
      </c>
      <c r="X64" t="n">
        <v>211.5</v>
      </c>
      <c r="Y64" t="n">
        <v>0</v>
      </c>
      <c r="Z64" t="n">
        <v>0</v>
      </c>
      <c r="AA64" t="n">
        <v>211.5</v>
      </c>
      <c r="AB64" t="n">
        <v>23</v>
      </c>
      <c r="AC64" t="n">
        <v>48.64</v>
      </c>
      <c r="AD64" t="n">
        <v>2.24</v>
      </c>
      <c r="AE64" t="n">
        <v>0</v>
      </c>
      <c r="AF64" t="n">
        <v>0</v>
      </c>
      <c r="AG64" t="n">
        <v>0</v>
      </c>
      <c r="AH64" t="n">
        <v>4.09</v>
      </c>
      <c r="AI64" t="n">
        <v>52.73</v>
      </c>
      <c r="AJ64" t="n">
        <v>9.5</v>
      </c>
      <c r="AK64" t="n">
        <v>0</v>
      </c>
      <c r="AL64" t="n">
        <v>211.5</v>
      </c>
      <c r="AM64" t="n">
        <v>0</v>
      </c>
      <c r="AN64" t="n">
        <v>0</v>
      </c>
      <c r="AO64" t="n">
        <v>0.21</v>
      </c>
      <c r="AP64" t="n">
        <v>10.58</v>
      </c>
      <c r="AQ64" t="n">
        <v>0</v>
      </c>
      <c r="AR64" t="n">
        <v>20.29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73.02</v>
      </c>
      <c r="BC64" t="n">
        <v>0</v>
      </c>
      <c r="BD64" t="n">
        <v>149.06</v>
      </c>
      <c r="BE64" t="inlineStr">
        <is>
          <t>settled</t>
        </is>
      </c>
      <c r="BF64" t="inlineStr">
        <is>
          <t>2025-12-10 05:30:00</t>
        </is>
      </c>
      <c r="BG64" t="inlineStr">
        <is>
          <t>CITIN25668340126</t>
        </is>
      </c>
      <c r="BH64" t="n">
        <v>0</v>
      </c>
      <c r="BI64" t="inlineStr">
        <is>
          <t>96378a99bdcd9cf35da2422d2e89ca41cb27d4c3f376fa1ad3ffaceb4316e593</t>
        </is>
      </c>
    </row>
    <row r="65">
      <c r="A65" t="inlineStr">
        <is>
          <t>60</t>
        </is>
      </c>
      <c r="B65" t="inlineStr">
        <is>
          <t>7551520438</t>
        </is>
      </c>
      <c r="C65" t="inlineStr">
        <is>
          <t>2025-12-05 18:03:50</t>
        </is>
      </c>
      <c r="D65" t="inlineStr">
        <is>
          <t>49</t>
        </is>
      </c>
      <c r="E65" t="inlineStr">
        <is>
          <t>Baba Yaga Art Of Chinese - By Posh Foods</t>
        </is>
      </c>
      <c r="F65" t="inlineStr">
        <is>
          <t>20037890</t>
        </is>
      </c>
      <c r="G65" t="inlineStr">
        <is>
          <t>Flat ₹175 off (2025-12-03 - 2031-01-01)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9</t>
        </is>
      </c>
      <c r="O65" t="n">
        <v>895</v>
      </c>
      <c r="P65" t="n">
        <v>0</v>
      </c>
      <c r="Q65" t="n">
        <v>0</v>
      </c>
      <c r="R65" t="n">
        <v>122</v>
      </c>
      <c r="S65" t="n">
        <v>72</v>
      </c>
      <c r="T65" t="n">
        <v>0</v>
      </c>
      <c r="U65" t="n">
        <v>0</v>
      </c>
      <c r="V65" t="n">
        <v>35.05</v>
      </c>
      <c r="W65" t="n">
        <v>736.05</v>
      </c>
      <c r="X65" t="n">
        <v>701</v>
      </c>
      <c r="Y65" t="n">
        <v>0</v>
      </c>
      <c r="Z65" t="n">
        <v>0</v>
      </c>
      <c r="AA65" t="n">
        <v>701</v>
      </c>
      <c r="AB65" t="n">
        <v>23</v>
      </c>
      <c r="AC65" t="n">
        <v>161.23</v>
      </c>
      <c r="AD65" t="n">
        <v>2.09</v>
      </c>
      <c r="AE65" t="n">
        <v>0</v>
      </c>
      <c r="AF65" t="n">
        <v>0</v>
      </c>
      <c r="AG65" t="n">
        <v>0</v>
      </c>
      <c r="AH65" t="n">
        <v>13.54</v>
      </c>
      <c r="AI65" t="n">
        <v>174.77</v>
      </c>
      <c r="AJ65" t="n">
        <v>31.46</v>
      </c>
      <c r="AK65" t="n">
        <v>0</v>
      </c>
      <c r="AL65" t="n">
        <v>701</v>
      </c>
      <c r="AM65" t="n">
        <v>0</v>
      </c>
      <c r="AN65" t="n">
        <v>0</v>
      </c>
      <c r="AO65" t="n">
        <v>0.7</v>
      </c>
      <c r="AP65" t="n">
        <v>35.05</v>
      </c>
      <c r="AQ65" t="n">
        <v>0</v>
      </c>
      <c r="AR65" t="n">
        <v>67.20999999999999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241.98</v>
      </c>
      <c r="BC65" t="n">
        <v>0</v>
      </c>
      <c r="BD65" t="n">
        <v>494.07</v>
      </c>
      <c r="BE65" t="inlineStr">
        <is>
          <t>settled</t>
        </is>
      </c>
      <c r="BF65" t="inlineStr">
        <is>
          <t>2025-12-10 05:30:00</t>
        </is>
      </c>
      <c r="BG65" t="inlineStr">
        <is>
          <t>CITIN25668340126</t>
        </is>
      </c>
      <c r="BH65" t="n">
        <v>0</v>
      </c>
      <c r="BI65" t="inlineStr">
        <is>
          <t>c550e9e43d047428dac17966bff8e66bc3b544761c1f2cc5e5ea16b988de8d3a</t>
        </is>
      </c>
    </row>
    <row r="66">
      <c r="A66" t="inlineStr">
        <is>
          <t>61</t>
        </is>
      </c>
      <c r="B66" t="inlineStr">
        <is>
          <t>7550054710</t>
        </is>
      </c>
      <c r="C66" t="inlineStr">
        <is>
          <t>2025-12-05 18:13:23</t>
        </is>
      </c>
      <c r="D66" t="inlineStr">
        <is>
          <t>49</t>
        </is>
      </c>
      <c r="E66" t="inlineStr">
        <is>
          <t>Baba Yaga Art Of Chinese - By Posh Foods</t>
        </is>
      </c>
      <c r="F66" t="inlineStr">
        <is>
          <t>20037890</t>
        </is>
      </c>
      <c r="G66" t="inlineStr">
        <is>
          <t>Flat ₹175 off (2025-12-03 - 2031-01-01)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9</t>
        </is>
      </c>
      <c r="O66" t="n">
        <v>650</v>
      </c>
      <c r="P66" t="n">
        <v>0</v>
      </c>
      <c r="Q66" t="n">
        <v>0</v>
      </c>
      <c r="R66" t="n">
        <v>122</v>
      </c>
      <c r="S66" t="n">
        <v>47.5</v>
      </c>
      <c r="T66" t="n">
        <v>0</v>
      </c>
      <c r="U66" t="n">
        <v>0</v>
      </c>
      <c r="V66" t="n">
        <v>24.03</v>
      </c>
      <c r="W66" t="n">
        <v>504.53</v>
      </c>
      <c r="X66" t="n">
        <v>480.5</v>
      </c>
      <c r="Y66" t="n">
        <v>0</v>
      </c>
      <c r="Z66" t="n">
        <v>0</v>
      </c>
      <c r="AA66" t="n">
        <v>480.5</v>
      </c>
      <c r="AB66" t="n">
        <v>23</v>
      </c>
      <c r="AC66" t="n">
        <v>110.52</v>
      </c>
      <c r="AD66" t="n">
        <v>1.71</v>
      </c>
      <c r="AE66" t="n">
        <v>0</v>
      </c>
      <c r="AF66" t="n">
        <v>0</v>
      </c>
      <c r="AG66" t="n">
        <v>0</v>
      </c>
      <c r="AH66" t="n">
        <v>9.279999999999999</v>
      </c>
      <c r="AI66" t="n">
        <v>119.8</v>
      </c>
      <c r="AJ66" t="n">
        <v>21.56</v>
      </c>
      <c r="AK66" t="n">
        <v>0</v>
      </c>
      <c r="AL66" t="n">
        <v>480.5</v>
      </c>
      <c r="AM66" t="n">
        <v>0</v>
      </c>
      <c r="AN66" t="n">
        <v>0</v>
      </c>
      <c r="AO66" t="n">
        <v>0.48</v>
      </c>
      <c r="AP66" t="n">
        <v>24.02</v>
      </c>
      <c r="AQ66" t="n">
        <v>0.01</v>
      </c>
      <c r="AR66" t="n">
        <v>46.06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165.86</v>
      </c>
      <c r="BC66" t="n">
        <v>0</v>
      </c>
      <c r="BD66" t="n">
        <v>338.67</v>
      </c>
      <c r="BE66" t="inlineStr">
        <is>
          <t>settled</t>
        </is>
      </c>
      <c r="BF66" t="inlineStr">
        <is>
          <t>2025-12-10 05:30:00</t>
        </is>
      </c>
      <c r="BG66" t="inlineStr">
        <is>
          <t>CITIN25668340126</t>
        </is>
      </c>
      <c r="BH66" t="n">
        <v>0</v>
      </c>
      <c r="BI66" t="inlineStr">
        <is>
          <t>a277321acbdec9e48f76ac99fa408df7e74f0c2d2ae97a61ae3c23323c423841</t>
        </is>
      </c>
    </row>
    <row r="67">
      <c r="A67" t="inlineStr">
        <is>
          <t>62</t>
        </is>
      </c>
      <c r="B67" t="inlineStr">
        <is>
          <t>7547691241</t>
        </is>
      </c>
      <c r="C67" t="inlineStr">
        <is>
          <t>2025-12-05 18:14:59</t>
        </is>
      </c>
      <c r="D67" t="inlineStr">
        <is>
          <t>49</t>
        </is>
      </c>
      <c r="E67" t="inlineStr">
        <is>
          <t>Baba Yaga Art Of Chinese - By Posh Foods</t>
        </is>
      </c>
      <c r="F67" t="inlineStr">
        <is>
          <t>20037890</t>
        </is>
      </c>
      <c r="G67" t="inlineStr">
        <is>
          <t>Flat 20% off (2025-09-25 - 2031-01-01)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9</t>
        </is>
      </c>
      <c r="O67" t="n">
        <v>1325</v>
      </c>
      <c r="P67" t="n">
        <v>0</v>
      </c>
      <c r="Q67" t="n">
        <v>0</v>
      </c>
      <c r="R67" t="n">
        <v>265</v>
      </c>
      <c r="S67" t="n">
        <v>106</v>
      </c>
      <c r="T67" t="n">
        <v>0</v>
      </c>
      <c r="U67" t="n">
        <v>0</v>
      </c>
      <c r="V67" t="n">
        <v>47.7</v>
      </c>
      <c r="W67" t="n">
        <v>1001.7</v>
      </c>
      <c r="X67" t="n">
        <v>954</v>
      </c>
      <c r="Y67" t="n">
        <v>0</v>
      </c>
      <c r="Z67" t="n">
        <v>0</v>
      </c>
      <c r="AA67" t="n">
        <v>954</v>
      </c>
      <c r="AB67" t="n">
        <v>23</v>
      </c>
      <c r="AC67" t="n">
        <v>219.42</v>
      </c>
      <c r="AD67" t="n">
        <v>2.79</v>
      </c>
      <c r="AE67" t="n">
        <v>0</v>
      </c>
      <c r="AF67" t="n">
        <v>0</v>
      </c>
      <c r="AG67" t="n">
        <v>0</v>
      </c>
      <c r="AH67" t="n">
        <v>18.43</v>
      </c>
      <c r="AI67" t="n">
        <v>237.85</v>
      </c>
      <c r="AJ67" t="n">
        <v>42.82</v>
      </c>
      <c r="AK67" t="n">
        <v>0</v>
      </c>
      <c r="AL67" t="n">
        <v>954</v>
      </c>
      <c r="AM67" t="n">
        <v>0</v>
      </c>
      <c r="AN67" t="n">
        <v>0</v>
      </c>
      <c r="AO67" t="n">
        <v>0.95</v>
      </c>
      <c r="AP67" t="n">
        <v>47.7</v>
      </c>
      <c r="AQ67" t="n">
        <v>0</v>
      </c>
      <c r="AR67" t="n">
        <v>91.47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329.32</v>
      </c>
      <c r="BC67" t="n">
        <v>0</v>
      </c>
      <c r="BD67" t="n">
        <v>672.38</v>
      </c>
      <c r="BE67" t="inlineStr">
        <is>
          <t>settled</t>
        </is>
      </c>
      <c r="BF67" t="inlineStr">
        <is>
          <t>2025-12-10 05:30:00</t>
        </is>
      </c>
      <c r="BG67" t="inlineStr">
        <is>
          <t>CITIN25668340126</t>
        </is>
      </c>
      <c r="BH67" t="n">
        <v>0</v>
      </c>
      <c r="BI67" t="inlineStr">
        <is>
          <t>df8ced5888a8fd5b802f0bf71857c42910772352d0335d56ff749b15d6689101</t>
        </is>
      </c>
    </row>
    <row r="68">
      <c r="A68" t="inlineStr">
        <is>
          <t>63</t>
        </is>
      </c>
      <c r="B68" t="inlineStr">
        <is>
          <t>7550002518</t>
        </is>
      </c>
      <c r="C68" t="inlineStr">
        <is>
          <t>2025-12-05 19:33:39</t>
        </is>
      </c>
      <c r="D68" t="inlineStr">
        <is>
          <t>49</t>
        </is>
      </c>
      <c r="E68" t="inlineStr">
        <is>
          <t>Baba Yaga Art Of Chinese - By Posh Foods</t>
        </is>
      </c>
      <c r="F68" t="inlineStr">
        <is>
          <t>20037890</t>
        </is>
      </c>
      <c r="G68" t="inlineStr">
        <is>
          <t>Flat ₹100 off (2025-12-03 - 2031-01-01)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9</t>
        </is>
      </c>
      <c r="O68" t="n">
        <v>315</v>
      </c>
      <c r="P68" t="n">
        <v>0</v>
      </c>
      <c r="Q68" t="n">
        <v>0</v>
      </c>
      <c r="R68" t="n">
        <v>70</v>
      </c>
      <c r="S68" t="n">
        <v>21.5</v>
      </c>
      <c r="T68" t="n">
        <v>0</v>
      </c>
      <c r="U68" t="n">
        <v>0</v>
      </c>
      <c r="V68" t="n">
        <v>11.18</v>
      </c>
      <c r="W68" t="n">
        <v>234.68</v>
      </c>
      <c r="X68" t="n">
        <v>223.5</v>
      </c>
      <c r="Y68" t="n">
        <v>0</v>
      </c>
      <c r="Z68" t="n">
        <v>0</v>
      </c>
      <c r="AA68" t="n">
        <v>223.5</v>
      </c>
      <c r="AB68" t="n">
        <v>23</v>
      </c>
      <c r="AC68" t="n">
        <v>51.4</v>
      </c>
      <c r="AD68" t="n">
        <v>1.1</v>
      </c>
      <c r="AE68" t="n">
        <v>0</v>
      </c>
      <c r="AF68" t="n">
        <v>0</v>
      </c>
      <c r="AG68" t="n">
        <v>0</v>
      </c>
      <c r="AH68" t="n">
        <v>4.32</v>
      </c>
      <c r="AI68" t="n">
        <v>55.72</v>
      </c>
      <c r="AJ68" t="n">
        <v>10.03</v>
      </c>
      <c r="AK68" t="n">
        <v>0</v>
      </c>
      <c r="AL68" t="n">
        <v>223.5</v>
      </c>
      <c r="AM68" t="n">
        <v>0</v>
      </c>
      <c r="AN68" t="n">
        <v>0</v>
      </c>
      <c r="AO68" t="n">
        <v>0.22</v>
      </c>
      <c r="AP68" t="n">
        <v>11.18</v>
      </c>
      <c r="AQ68" t="n">
        <v>0</v>
      </c>
      <c r="AR68" t="n">
        <v>21.43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77.15000000000001</v>
      </c>
      <c r="BC68" t="n">
        <v>0</v>
      </c>
      <c r="BD68" t="n">
        <v>157.53</v>
      </c>
      <c r="BE68" t="inlineStr">
        <is>
          <t>settled</t>
        </is>
      </c>
      <c r="BF68" t="inlineStr">
        <is>
          <t>2025-12-10 05:30:00</t>
        </is>
      </c>
      <c r="BG68" t="inlineStr">
        <is>
          <t>CITIN25668340126</t>
        </is>
      </c>
      <c r="BH68" t="n">
        <v>0</v>
      </c>
      <c r="BI68" t="inlineStr">
        <is>
          <t>aa0f7c47f9f75a6665949318de3c100c4213e2cbee779f2e31f3f0b345e5ad12</t>
        </is>
      </c>
    </row>
    <row r="69">
      <c r="A69" t="inlineStr">
        <is>
          <t>64</t>
        </is>
      </c>
      <c r="B69" t="inlineStr">
        <is>
          <t>7520732515</t>
        </is>
      </c>
      <c r="C69" t="inlineStr">
        <is>
          <t>2025-12-05 20:48:09</t>
        </is>
      </c>
      <c r="D69" t="inlineStr">
        <is>
          <t>49</t>
        </is>
      </c>
      <c r="E69" t="inlineStr">
        <is>
          <t>Baba Yaga Art Of Chinese - By Posh Foods</t>
        </is>
      </c>
      <c r="F69" t="inlineStr">
        <is>
          <t>20037890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9</t>
        </is>
      </c>
      <c r="O69" t="n">
        <v>580</v>
      </c>
      <c r="P69" t="n">
        <v>0</v>
      </c>
      <c r="Q69" t="n">
        <v>0</v>
      </c>
      <c r="R69" t="n">
        <v>0</v>
      </c>
      <c r="S69" t="n">
        <v>58</v>
      </c>
      <c r="T69" t="n">
        <v>0</v>
      </c>
      <c r="U69" t="n">
        <v>0</v>
      </c>
      <c r="V69" t="n">
        <v>26.1</v>
      </c>
      <c r="W69" t="n">
        <v>548.1</v>
      </c>
      <c r="X69" t="n">
        <v>522</v>
      </c>
      <c r="Y69" t="n">
        <v>0</v>
      </c>
      <c r="Z69" t="n">
        <v>0</v>
      </c>
      <c r="AA69" t="n">
        <v>522</v>
      </c>
      <c r="AB69" t="n">
        <v>23</v>
      </c>
      <c r="AC69" t="n">
        <v>120.06</v>
      </c>
      <c r="AD69" t="n">
        <v>1.83</v>
      </c>
      <c r="AE69" t="n">
        <v>0</v>
      </c>
      <c r="AF69" t="n">
        <v>0</v>
      </c>
      <c r="AG69" t="n">
        <v>0</v>
      </c>
      <c r="AH69" t="n">
        <v>10.09</v>
      </c>
      <c r="AI69" t="n">
        <v>130.15</v>
      </c>
      <c r="AJ69" t="n">
        <v>23.43</v>
      </c>
      <c r="AK69" t="n">
        <v>0</v>
      </c>
      <c r="AL69" t="n">
        <v>522</v>
      </c>
      <c r="AM69" t="n">
        <v>0</v>
      </c>
      <c r="AN69" t="n">
        <v>0</v>
      </c>
      <c r="AO69" t="n">
        <v>0.52</v>
      </c>
      <c r="AP69" t="n">
        <v>26.1</v>
      </c>
      <c r="AQ69" t="n">
        <v>0</v>
      </c>
      <c r="AR69" t="n">
        <v>50.05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180.2</v>
      </c>
      <c r="BC69" t="n">
        <v>0</v>
      </c>
      <c r="BD69" t="n">
        <v>367.9</v>
      </c>
      <c r="BE69" t="inlineStr">
        <is>
          <t>settled</t>
        </is>
      </c>
      <c r="BF69" t="inlineStr">
        <is>
          <t>2025-12-10 05:30:00</t>
        </is>
      </c>
      <c r="BG69" t="inlineStr">
        <is>
          <t>CITIN25668340126</t>
        </is>
      </c>
      <c r="BH69" t="n">
        <v>0</v>
      </c>
      <c r="BI69" t="inlineStr">
        <is>
          <t>41147c3e3d3090e7c081afd827a0b0743eb4bffad5dda770420b67246ea2419a</t>
        </is>
      </c>
    </row>
    <row r="70">
      <c r="A70" t="inlineStr">
        <is>
          <t>65</t>
        </is>
      </c>
      <c r="B70" t="inlineStr">
        <is>
          <t>7548177386</t>
        </is>
      </c>
      <c r="C70" t="inlineStr">
        <is>
          <t>2025-12-05 20:49:42</t>
        </is>
      </c>
      <c r="D70" t="inlineStr">
        <is>
          <t>49</t>
        </is>
      </c>
      <c r="E70" t="inlineStr">
        <is>
          <t>Baba Yaga Art Of Chinese - By Posh Foods</t>
        </is>
      </c>
      <c r="F70" t="inlineStr">
        <is>
          <t>20037890</t>
        </is>
      </c>
      <c r="G70" t="inlineStr">
        <is>
          <t>NA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9</t>
        </is>
      </c>
      <c r="O70" t="n">
        <v>930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46.5</v>
      </c>
      <c r="W70" t="n">
        <v>976.5</v>
      </c>
      <c r="X70" t="n">
        <v>930</v>
      </c>
      <c r="Y70" t="n">
        <v>0</v>
      </c>
      <c r="Z70" t="n">
        <v>0</v>
      </c>
      <c r="AA70" t="n">
        <v>930</v>
      </c>
      <c r="AB70" t="n">
        <v>23</v>
      </c>
      <c r="AC70" t="n">
        <v>213.9</v>
      </c>
      <c r="AD70" t="n">
        <v>5.59</v>
      </c>
      <c r="AE70" t="n">
        <v>20</v>
      </c>
      <c r="AF70" t="n">
        <v>0</v>
      </c>
      <c r="AG70" t="n">
        <v>0</v>
      </c>
      <c r="AH70" t="n">
        <v>17.97</v>
      </c>
      <c r="AI70" t="n">
        <v>251.87</v>
      </c>
      <c r="AJ70" t="n">
        <v>45.33</v>
      </c>
      <c r="AK70" t="n">
        <v>0</v>
      </c>
      <c r="AL70" t="n">
        <v>930</v>
      </c>
      <c r="AM70" t="n">
        <v>0</v>
      </c>
      <c r="AN70" t="n">
        <v>0</v>
      </c>
      <c r="AO70" t="n">
        <v>0.93</v>
      </c>
      <c r="AP70" t="n">
        <v>46.5</v>
      </c>
      <c r="AQ70" t="n">
        <v>0</v>
      </c>
      <c r="AR70" t="n">
        <v>92.76000000000001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344.63</v>
      </c>
      <c r="BC70" t="n">
        <v>0</v>
      </c>
      <c r="BD70" t="n">
        <v>631.87</v>
      </c>
      <c r="BE70" t="inlineStr">
        <is>
          <t>settled</t>
        </is>
      </c>
      <c r="BF70" t="inlineStr">
        <is>
          <t>2025-12-10 05:30:00</t>
        </is>
      </c>
      <c r="BG70" t="inlineStr">
        <is>
          <t>CITIN25668340126</t>
        </is>
      </c>
      <c r="BH70" t="n">
        <v>0</v>
      </c>
      <c r="BI70" t="inlineStr">
        <is>
          <t>c58c6d7feb59d92fc6e724e2de4cd8a6bcbf72331547b23ca4c09b699ebfac04</t>
        </is>
      </c>
    </row>
    <row r="71">
      <c r="A71" t="inlineStr">
        <is>
          <t>66</t>
        </is>
      </c>
      <c r="B71" t="inlineStr">
        <is>
          <t>7541562809</t>
        </is>
      </c>
      <c r="C71" t="inlineStr">
        <is>
          <t>2025-12-05 21:05:36</t>
        </is>
      </c>
      <c r="D71" t="inlineStr">
        <is>
          <t>49</t>
        </is>
      </c>
      <c r="E71" t="inlineStr">
        <is>
          <t>Baba Yaga Art Of Chinese - By Posh Foods</t>
        </is>
      </c>
      <c r="F71" t="inlineStr">
        <is>
          <t>20037890</t>
        </is>
      </c>
      <c r="G71" t="inlineStr">
        <is>
          <t>Flat ₹125 off (2025-12-03 - 2031-01-01)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9</t>
        </is>
      </c>
      <c r="O71" t="n">
        <v>580</v>
      </c>
      <c r="P71" t="n">
        <v>0</v>
      </c>
      <c r="Q71" t="n">
        <v>0</v>
      </c>
      <c r="R71" t="n">
        <v>125</v>
      </c>
      <c r="S71" t="n">
        <v>45.5</v>
      </c>
      <c r="T71" t="n">
        <v>0</v>
      </c>
      <c r="U71" t="n">
        <v>0</v>
      </c>
      <c r="V71" t="n">
        <v>20.48</v>
      </c>
      <c r="W71" t="n">
        <v>429.98</v>
      </c>
      <c r="X71" t="n">
        <v>409.5</v>
      </c>
      <c r="Y71" t="n">
        <v>0</v>
      </c>
      <c r="Z71" t="n">
        <v>0</v>
      </c>
      <c r="AA71" t="n">
        <v>409.5</v>
      </c>
      <c r="AB71" t="n">
        <v>23</v>
      </c>
      <c r="AC71" t="n">
        <v>94.18000000000001</v>
      </c>
      <c r="AD71" t="n">
        <v>2.46</v>
      </c>
      <c r="AE71" t="n">
        <v>0</v>
      </c>
      <c r="AF71" t="n">
        <v>0</v>
      </c>
      <c r="AG71" t="n">
        <v>0</v>
      </c>
      <c r="AH71" t="n">
        <v>7.91</v>
      </c>
      <c r="AI71" t="n">
        <v>102.09</v>
      </c>
      <c r="AJ71" t="n">
        <v>18.37</v>
      </c>
      <c r="AK71" t="n">
        <v>0</v>
      </c>
      <c r="AL71" t="n">
        <v>409.5</v>
      </c>
      <c r="AM71" t="n">
        <v>0</v>
      </c>
      <c r="AN71" t="n">
        <v>0</v>
      </c>
      <c r="AO71" t="n">
        <v>0.41</v>
      </c>
      <c r="AP71" t="n">
        <v>20.47</v>
      </c>
      <c r="AQ71" t="n">
        <v>0.01</v>
      </c>
      <c r="AR71" t="n">
        <v>39.25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141.34</v>
      </c>
      <c r="BC71" t="n">
        <v>0</v>
      </c>
      <c r="BD71" t="n">
        <v>288.64</v>
      </c>
      <c r="BE71" t="inlineStr">
        <is>
          <t>settled</t>
        </is>
      </c>
      <c r="BF71" t="inlineStr">
        <is>
          <t>2025-12-10 05:30:00</t>
        </is>
      </c>
      <c r="BG71" t="inlineStr">
        <is>
          <t>CITIN25668340126</t>
        </is>
      </c>
      <c r="BH71" t="n">
        <v>0</v>
      </c>
      <c r="BI71" t="inlineStr">
        <is>
          <t>de3226be7f32117441c87c09cafbe4fa7cfe68a15489fc422bb00802e7924485</t>
        </is>
      </c>
    </row>
    <row r="72">
      <c r="A72" t="inlineStr">
        <is>
          <t>67</t>
        </is>
      </c>
      <c r="B72" t="inlineStr">
        <is>
          <t>7526455839</t>
        </is>
      </c>
      <c r="C72" t="inlineStr">
        <is>
          <t>2025-12-05 21:08:40</t>
        </is>
      </c>
      <c r="D72" t="inlineStr">
        <is>
          <t>49</t>
        </is>
      </c>
      <c r="E72" t="inlineStr">
        <is>
          <t>Baba Yaga Art Of Chinese - By Posh Foods</t>
        </is>
      </c>
      <c r="F72" t="inlineStr">
        <is>
          <t>20037890</t>
        </is>
      </c>
      <c r="G72" t="inlineStr">
        <is>
          <t>Flat ₹100 off (2025-12-05 - 2031-01-01)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9</t>
        </is>
      </c>
      <c r="O72" t="n">
        <v>319</v>
      </c>
      <c r="P72" t="n">
        <v>0</v>
      </c>
      <c r="Q72" t="n">
        <v>0</v>
      </c>
      <c r="R72" t="n">
        <v>100</v>
      </c>
      <c r="S72" t="n">
        <v>21.9</v>
      </c>
      <c r="T72" t="n">
        <v>0</v>
      </c>
      <c r="U72" t="n">
        <v>0</v>
      </c>
      <c r="V72" t="n">
        <v>9.859999999999999</v>
      </c>
      <c r="W72" t="n">
        <v>206.96</v>
      </c>
      <c r="X72" t="n">
        <v>197.1</v>
      </c>
      <c r="Y72" t="n">
        <v>0</v>
      </c>
      <c r="Z72" t="n">
        <v>0</v>
      </c>
      <c r="AA72" t="n">
        <v>197.1</v>
      </c>
      <c r="AB72" t="n">
        <v>23</v>
      </c>
      <c r="AC72" t="n">
        <v>45.33</v>
      </c>
      <c r="AD72" t="n">
        <v>1.73</v>
      </c>
      <c r="AE72" t="n">
        <v>0</v>
      </c>
      <c r="AF72" t="n">
        <v>0</v>
      </c>
      <c r="AG72" t="n">
        <v>0</v>
      </c>
      <c r="AH72" t="n">
        <v>3.81</v>
      </c>
      <c r="AI72" t="n">
        <v>49.14</v>
      </c>
      <c r="AJ72" t="n">
        <v>8.85</v>
      </c>
      <c r="AK72" t="n">
        <v>0</v>
      </c>
      <c r="AL72" t="n">
        <v>197.1</v>
      </c>
      <c r="AM72" t="n">
        <v>0</v>
      </c>
      <c r="AN72" t="n">
        <v>0</v>
      </c>
      <c r="AO72" t="n">
        <v>0.2</v>
      </c>
      <c r="AP72" t="n">
        <v>9.859999999999999</v>
      </c>
      <c r="AQ72" t="n">
        <v>0</v>
      </c>
      <c r="AR72" t="n">
        <v>18.91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68.05</v>
      </c>
      <c r="BC72" t="n">
        <v>0</v>
      </c>
      <c r="BD72" t="n">
        <v>138.91</v>
      </c>
      <c r="BE72" t="inlineStr">
        <is>
          <t>settled</t>
        </is>
      </c>
      <c r="BF72" t="inlineStr">
        <is>
          <t>2025-12-10 05:30:00</t>
        </is>
      </c>
      <c r="BG72" t="inlineStr">
        <is>
          <t>CITIN25668340126</t>
        </is>
      </c>
      <c r="BH72" t="n">
        <v>0</v>
      </c>
      <c r="BI72" t="inlineStr">
        <is>
          <t>3c449a06a0efb18f864bfd158f757b843c3cbb6c8f5070d4f29c17f4923d8e0e</t>
        </is>
      </c>
    </row>
    <row r="73">
      <c r="A73" t="inlineStr">
        <is>
          <t>68</t>
        </is>
      </c>
      <c r="B73" t="inlineStr">
        <is>
          <t>7536279998</t>
        </is>
      </c>
      <c r="C73" t="inlineStr">
        <is>
          <t>2025-12-05 21:26:36</t>
        </is>
      </c>
      <c r="D73" t="inlineStr">
        <is>
          <t>49</t>
        </is>
      </c>
      <c r="E73" t="inlineStr">
        <is>
          <t>Baba Yaga Art Of Chinese - By Posh Foods</t>
        </is>
      </c>
      <c r="F73" t="inlineStr">
        <is>
          <t>20037890</t>
        </is>
      </c>
      <c r="G73" t="inlineStr">
        <is>
          <t>Flat ₹175 off (2025-12-03 - 2031-01-01)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9</t>
        </is>
      </c>
      <c r="O73" t="n">
        <v>840</v>
      </c>
      <c r="P73" t="n">
        <v>0</v>
      </c>
      <c r="Q73" t="n">
        <v>0</v>
      </c>
      <c r="R73" t="n">
        <v>175</v>
      </c>
      <c r="S73" t="n">
        <v>66.5</v>
      </c>
      <c r="T73" t="n">
        <v>0</v>
      </c>
      <c r="U73" t="n">
        <v>0</v>
      </c>
      <c r="V73" t="n">
        <v>29.93</v>
      </c>
      <c r="W73" t="n">
        <v>628.4299999999999</v>
      </c>
      <c r="X73" t="n">
        <v>598.5</v>
      </c>
      <c r="Y73" t="n">
        <v>0</v>
      </c>
      <c r="Z73" t="n">
        <v>0</v>
      </c>
      <c r="AA73" t="n">
        <v>598.5</v>
      </c>
      <c r="AB73" t="n">
        <v>23</v>
      </c>
      <c r="AC73" t="n">
        <v>137.66</v>
      </c>
      <c r="AD73" t="n">
        <v>4.26</v>
      </c>
      <c r="AE73" t="n">
        <v>20</v>
      </c>
      <c r="AF73" t="n">
        <v>0</v>
      </c>
      <c r="AG73" t="n">
        <v>0</v>
      </c>
      <c r="AH73" t="n">
        <v>11.56</v>
      </c>
      <c r="AI73" t="n">
        <v>169.22</v>
      </c>
      <c r="AJ73" t="n">
        <v>30.46</v>
      </c>
      <c r="AK73" t="n">
        <v>0</v>
      </c>
      <c r="AL73" t="n">
        <v>598.5</v>
      </c>
      <c r="AM73" t="n">
        <v>0</v>
      </c>
      <c r="AN73" t="n">
        <v>0</v>
      </c>
      <c r="AO73" t="n">
        <v>0.6</v>
      </c>
      <c r="AP73" t="n">
        <v>29.93</v>
      </c>
      <c r="AQ73" t="n">
        <v>0</v>
      </c>
      <c r="AR73" t="n">
        <v>60.99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230.21</v>
      </c>
      <c r="BC73" t="n">
        <v>0</v>
      </c>
      <c r="BD73" t="n">
        <v>398.22</v>
      </c>
      <c r="BE73" t="inlineStr">
        <is>
          <t>settled</t>
        </is>
      </c>
      <c r="BF73" t="inlineStr">
        <is>
          <t>2025-12-10 05:30:00</t>
        </is>
      </c>
      <c r="BG73" t="inlineStr">
        <is>
          <t>CITIN25668340126</t>
        </is>
      </c>
      <c r="BH73" t="n">
        <v>0</v>
      </c>
      <c r="BI73" t="inlineStr">
        <is>
          <t>daf5bbfbf0f0ad736508471585ea70506ab5f87ca33f4796d255bc0d20f32170</t>
        </is>
      </c>
    </row>
    <row r="74">
      <c r="A74" t="inlineStr">
        <is>
          <t>69</t>
        </is>
      </c>
      <c r="B74" t="inlineStr">
        <is>
          <t>7552072645</t>
        </is>
      </c>
      <c r="C74" t="inlineStr">
        <is>
          <t>2025-12-05 21:31:58</t>
        </is>
      </c>
      <c r="D74" t="inlineStr">
        <is>
          <t>49</t>
        </is>
      </c>
      <c r="E74" t="inlineStr">
        <is>
          <t>Baba Yaga Art Of Chinese - By Posh Foods</t>
        </is>
      </c>
      <c r="F74" t="inlineStr">
        <is>
          <t>20037890</t>
        </is>
      </c>
      <c r="G74" t="inlineStr">
        <is>
          <t>NA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9</t>
        </is>
      </c>
      <c r="O74" t="n">
        <v>959</v>
      </c>
      <c r="P74" t="n">
        <v>0</v>
      </c>
      <c r="Q74" t="n">
        <v>0</v>
      </c>
      <c r="R74" t="n">
        <v>0</v>
      </c>
      <c r="S74" t="n">
        <v>95.90000000000001</v>
      </c>
      <c r="T74" t="n">
        <v>0</v>
      </c>
      <c r="U74" t="n">
        <v>0</v>
      </c>
      <c r="V74" t="n">
        <v>43.16</v>
      </c>
      <c r="W74" t="n">
        <v>906.26</v>
      </c>
      <c r="X74" t="n">
        <v>863.1</v>
      </c>
      <c r="Y74" t="n">
        <v>0</v>
      </c>
      <c r="Z74" t="n">
        <v>0</v>
      </c>
      <c r="AA74" t="n">
        <v>863.1</v>
      </c>
      <c r="AB74" t="n">
        <v>23</v>
      </c>
      <c r="AC74" t="n">
        <v>198.51</v>
      </c>
      <c r="AD74" t="n">
        <v>1.27</v>
      </c>
      <c r="AE74" t="n">
        <v>0</v>
      </c>
      <c r="AF74" t="n">
        <v>0</v>
      </c>
      <c r="AG74" t="n">
        <v>0</v>
      </c>
      <c r="AH74" t="n">
        <v>16.68</v>
      </c>
      <c r="AI74" t="n">
        <v>215.19</v>
      </c>
      <c r="AJ74" t="n">
        <v>38.73</v>
      </c>
      <c r="AK74" t="n">
        <v>0</v>
      </c>
      <c r="AL74" t="n">
        <v>863.1</v>
      </c>
      <c r="AM74" t="n">
        <v>0</v>
      </c>
      <c r="AN74" t="n">
        <v>0</v>
      </c>
      <c r="AO74" t="n">
        <v>0.86</v>
      </c>
      <c r="AP74" t="n">
        <v>43.16</v>
      </c>
      <c r="AQ74" t="n">
        <v>0</v>
      </c>
      <c r="AR74" t="n">
        <v>82.75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297.94</v>
      </c>
      <c r="BC74" t="n">
        <v>0</v>
      </c>
      <c r="BD74" t="n">
        <v>608.3200000000001</v>
      </c>
      <c r="BE74" t="inlineStr">
        <is>
          <t>settled</t>
        </is>
      </c>
      <c r="BF74" t="inlineStr">
        <is>
          <t>2025-12-10 05:30:00</t>
        </is>
      </c>
      <c r="BG74" t="inlineStr">
        <is>
          <t>CITIN25668340126</t>
        </is>
      </c>
      <c r="BH74" t="n">
        <v>0</v>
      </c>
      <c r="BI74" t="inlineStr">
        <is>
          <t>2dc9c5741e9d451326a9919e3378ccb7216a9a94b4516359980817e07fde120e</t>
        </is>
      </c>
    </row>
    <row r="75">
      <c r="A75" t="inlineStr">
        <is>
          <t>70</t>
        </is>
      </c>
      <c r="B75" t="inlineStr">
        <is>
          <t>7551330918</t>
        </is>
      </c>
      <c r="C75" t="inlineStr">
        <is>
          <t>2025-12-05 21:38:44</t>
        </is>
      </c>
      <c r="D75" t="inlineStr">
        <is>
          <t>49</t>
        </is>
      </c>
      <c r="E75" t="inlineStr">
        <is>
          <t>Baba Yaga Art Of Chinese - By Posh Foods</t>
        </is>
      </c>
      <c r="F75" t="inlineStr">
        <is>
          <t>20037890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9</t>
        </is>
      </c>
      <c r="O75" t="n">
        <v>265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13.25</v>
      </c>
      <c r="W75" t="n">
        <v>278.25</v>
      </c>
      <c r="X75" t="n">
        <v>265</v>
      </c>
      <c r="Y75" t="n">
        <v>0</v>
      </c>
      <c r="Z75" t="n">
        <v>0</v>
      </c>
      <c r="AA75" t="n">
        <v>265</v>
      </c>
      <c r="AB75" t="n">
        <v>23</v>
      </c>
      <c r="AC75" t="n">
        <v>60.95</v>
      </c>
      <c r="AD75" t="n">
        <v>1.91</v>
      </c>
      <c r="AE75" t="n">
        <v>0</v>
      </c>
      <c r="AF75" t="n">
        <v>0</v>
      </c>
      <c r="AG75" t="n">
        <v>0</v>
      </c>
      <c r="AH75" t="n">
        <v>5.12</v>
      </c>
      <c r="AI75" t="n">
        <v>66.06999999999999</v>
      </c>
      <c r="AJ75" t="n">
        <v>11.89</v>
      </c>
      <c r="AK75" t="n">
        <v>0</v>
      </c>
      <c r="AL75" t="n">
        <v>265</v>
      </c>
      <c r="AM75" t="n">
        <v>0</v>
      </c>
      <c r="AN75" t="n">
        <v>0</v>
      </c>
      <c r="AO75" t="n">
        <v>0.26</v>
      </c>
      <c r="AP75" t="n">
        <v>13.25</v>
      </c>
      <c r="AQ75" t="n">
        <v>0</v>
      </c>
      <c r="AR75" t="n">
        <v>25.4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91.47</v>
      </c>
      <c r="BC75" t="n">
        <v>0</v>
      </c>
      <c r="BD75" t="n">
        <v>186.78</v>
      </c>
      <c r="BE75" t="inlineStr">
        <is>
          <t>settled</t>
        </is>
      </c>
      <c r="BF75" t="inlineStr">
        <is>
          <t>2025-12-10 05:30:00</t>
        </is>
      </c>
      <c r="BG75" t="inlineStr">
        <is>
          <t>CITIN25668340126</t>
        </is>
      </c>
      <c r="BH75" t="n">
        <v>0</v>
      </c>
      <c r="BI75" t="inlineStr">
        <is>
          <t>43ca945a20fd13fa30ace520be92e63772bb42efc2d05d058c82d2efab7ac360</t>
        </is>
      </c>
    </row>
    <row r="76">
      <c r="A76" t="inlineStr">
        <is>
          <t>71</t>
        </is>
      </c>
      <c r="B76" t="inlineStr">
        <is>
          <t>7549942628</t>
        </is>
      </c>
      <c r="C76" t="inlineStr">
        <is>
          <t>2025-12-05 22:24:41</t>
        </is>
      </c>
      <c r="D76" t="inlineStr">
        <is>
          <t>49</t>
        </is>
      </c>
      <c r="E76" t="inlineStr">
        <is>
          <t>Baba Yaga Art Of Chinese - By Posh Foods</t>
        </is>
      </c>
      <c r="F76" t="inlineStr">
        <is>
          <t>20037890</t>
        </is>
      </c>
      <c r="G76" t="inlineStr">
        <is>
          <t>Flat ₹175 off (2025-12-03 - 2031-01-01)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9</t>
        </is>
      </c>
      <c r="O76" t="n">
        <v>805</v>
      </c>
      <c r="P76" t="n">
        <v>0</v>
      </c>
      <c r="Q76" t="n">
        <v>0</v>
      </c>
      <c r="R76" t="n">
        <v>175</v>
      </c>
      <c r="S76" t="n">
        <v>63</v>
      </c>
      <c r="T76" t="n">
        <v>0</v>
      </c>
      <c r="U76" t="n">
        <v>0</v>
      </c>
      <c r="V76" t="n">
        <v>28.35</v>
      </c>
      <c r="W76" t="n">
        <v>595.35</v>
      </c>
      <c r="X76" t="n">
        <v>567</v>
      </c>
      <c r="Y76" t="n">
        <v>0</v>
      </c>
      <c r="Z76" t="n">
        <v>0</v>
      </c>
      <c r="AA76" t="n">
        <v>567</v>
      </c>
      <c r="AB76" t="n">
        <v>23</v>
      </c>
      <c r="AC76" t="n">
        <v>130.41</v>
      </c>
      <c r="AD76" t="n">
        <v>1.29</v>
      </c>
      <c r="AE76" t="n">
        <v>0</v>
      </c>
      <c r="AF76" t="n">
        <v>0</v>
      </c>
      <c r="AG76" t="n">
        <v>0</v>
      </c>
      <c r="AH76" t="n">
        <v>10.95</v>
      </c>
      <c r="AI76" t="n">
        <v>141.36</v>
      </c>
      <c r="AJ76" t="n">
        <v>25.44</v>
      </c>
      <c r="AK76" t="n">
        <v>0</v>
      </c>
      <c r="AL76" t="n">
        <v>567</v>
      </c>
      <c r="AM76" t="n">
        <v>0</v>
      </c>
      <c r="AN76" t="n">
        <v>0</v>
      </c>
      <c r="AO76" t="n">
        <v>0.57</v>
      </c>
      <c r="AP76" t="n">
        <v>28.35</v>
      </c>
      <c r="AQ76" t="n">
        <v>0</v>
      </c>
      <c r="AR76" t="n">
        <v>54.36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195.72</v>
      </c>
      <c r="BC76" t="n">
        <v>0</v>
      </c>
      <c r="BD76" t="n">
        <v>399.63</v>
      </c>
      <c r="BE76" t="inlineStr">
        <is>
          <t>settled</t>
        </is>
      </c>
      <c r="BF76" t="inlineStr">
        <is>
          <t>2025-12-10 05:30:00</t>
        </is>
      </c>
      <c r="BG76" t="inlineStr">
        <is>
          <t>CITIN25668340126</t>
        </is>
      </c>
      <c r="BH76" t="n">
        <v>0</v>
      </c>
      <c r="BI76" t="inlineStr">
        <is>
          <t>1043105564c116a8426041a01c949dcba9770ce62fdae3c0f7ea1f425f3569f5</t>
        </is>
      </c>
    </row>
    <row r="77">
      <c r="A77" t="inlineStr">
        <is>
          <t>72</t>
        </is>
      </c>
      <c r="B77" t="inlineStr">
        <is>
          <t>7546958425</t>
        </is>
      </c>
      <c r="C77" t="inlineStr">
        <is>
          <t>2025-12-05 22:30:32</t>
        </is>
      </c>
      <c r="D77" t="inlineStr">
        <is>
          <t>49</t>
        </is>
      </c>
      <c r="E77" t="inlineStr">
        <is>
          <t>Baba Yaga Art Of Chinese - By Posh Foods</t>
        </is>
      </c>
      <c r="F77" t="inlineStr">
        <is>
          <t>20037890</t>
        </is>
      </c>
      <c r="G77" t="inlineStr">
        <is>
          <t>Flat ₹175 off (2025-12-03 - 2031-01-01)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9</t>
        </is>
      </c>
      <c r="O77" t="n">
        <v>883</v>
      </c>
      <c r="P77" t="n">
        <v>0</v>
      </c>
      <c r="Q77" t="n">
        <v>0</v>
      </c>
      <c r="R77" t="n">
        <v>175</v>
      </c>
      <c r="S77" t="n">
        <v>70.8</v>
      </c>
      <c r="T77" t="n">
        <v>0</v>
      </c>
      <c r="U77" t="n">
        <v>0</v>
      </c>
      <c r="V77" t="n">
        <v>31.86</v>
      </c>
      <c r="W77" t="n">
        <v>669.0599999999999</v>
      </c>
      <c r="X77" t="n">
        <v>637.2</v>
      </c>
      <c r="Y77" t="n">
        <v>0</v>
      </c>
      <c r="Z77" t="n">
        <v>0</v>
      </c>
      <c r="AA77" t="n">
        <v>637.2</v>
      </c>
      <c r="AB77" t="n">
        <v>23</v>
      </c>
      <c r="AC77" t="n">
        <v>146.56</v>
      </c>
      <c r="AD77" t="n">
        <v>4.71</v>
      </c>
      <c r="AE77" t="n">
        <v>20</v>
      </c>
      <c r="AF77" t="n">
        <v>0</v>
      </c>
      <c r="AG77" t="n">
        <v>0</v>
      </c>
      <c r="AH77" t="n">
        <v>12.31</v>
      </c>
      <c r="AI77" t="n">
        <v>178.87</v>
      </c>
      <c r="AJ77" t="n">
        <v>32.2</v>
      </c>
      <c r="AK77" t="n">
        <v>0</v>
      </c>
      <c r="AL77" t="n">
        <v>637.2</v>
      </c>
      <c r="AM77" t="n">
        <v>0</v>
      </c>
      <c r="AN77" t="n">
        <v>0</v>
      </c>
      <c r="AO77" t="n">
        <v>0.64</v>
      </c>
      <c r="AP77" t="n">
        <v>31.86</v>
      </c>
      <c r="AQ77" t="n">
        <v>0</v>
      </c>
      <c r="AR77" t="n">
        <v>64.7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75.19</v>
      </c>
      <c r="AY77" t="n">
        <v>0</v>
      </c>
      <c r="AZ77" t="n">
        <v>0</v>
      </c>
      <c r="BA77" t="n">
        <v>75.19</v>
      </c>
      <c r="BB77" t="n">
        <v>318.76</v>
      </c>
      <c r="BC77" t="n">
        <v>0</v>
      </c>
      <c r="BD77" t="n">
        <v>350.3</v>
      </c>
      <c r="BE77" t="inlineStr">
        <is>
          <t>settled</t>
        </is>
      </c>
      <c r="BF77" t="inlineStr">
        <is>
          <t>2025-12-10 05:30:00</t>
        </is>
      </c>
      <c r="BG77" t="inlineStr">
        <is>
          <t>CITIN25668340126</t>
        </is>
      </c>
      <c r="BH77" t="n">
        <v>0</v>
      </c>
      <c r="BI77" t="inlineStr">
        <is>
          <t>d7e11602863c8f200bdae6411527227a913f99a7ff3c6e3f9c94644e68d26593</t>
        </is>
      </c>
    </row>
    <row r="78">
      <c r="A78" t="inlineStr">
        <is>
          <t>73</t>
        </is>
      </c>
      <c r="B78" t="inlineStr">
        <is>
          <t>7551261958</t>
        </is>
      </c>
      <c r="C78" t="inlineStr">
        <is>
          <t>2025-12-05 22:35:53</t>
        </is>
      </c>
      <c r="D78" t="inlineStr">
        <is>
          <t>49</t>
        </is>
      </c>
      <c r="E78" t="inlineStr">
        <is>
          <t>Baba Yaga Art Of Chinese - By Posh Foods</t>
        </is>
      </c>
      <c r="F78" t="inlineStr">
        <is>
          <t>20037890</t>
        </is>
      </c>
      <c r="G78" t="inlineStr">
        <is>
          <t>Flat ₹100 off (2025-12-05 - 2031-01-01)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9</t>
        </is>
      </c>
      <c r="O78" t="n">
        <v>319</v>
      </c>
      <c r="P78" t="n">
        <v>0</v>
      </c>
      <c r="Q78" t="n">
        <v>0</v>
      </c>
      <c r="R78" t="n">
        <v>100</v>
      </c>
      <c r="S78" t="n">
        <v>21.9</v>
      </c>
      <c r="T78" t="n">
        <v>0</v>
      </c>
      <c r="U78" t="n">
        <v>0</v>
      </c>
      <c r="V78" t="n">
        <v>9.859999999999999</v>
      </c>
      <c r="W78" t="n">
        <v>206.96</v>
      </c>
      <c r="X78" t="n">
        <v>197.1</v>
      </c>
      <c r="Y78" t="n">
        <v>0</v>
      </c>
      <c r="Z78" t="n">
        <v>0</v>
      </c>
      <c r="AA78" t="n">
        <v>197.1</v>
      </c>
      <c r="AB78" t="n">
        <v>23</v>
      </c>
      <c r="AC78" t="n">
        <v>45.33</v>
      </c>
      <c r="AD78" t="n">
        <v>5.45</v>
      </c>
      <c r="AE78" t="n">
        <v>20</v>
      </c>
      <c r="AF78" t="n">
        <v>0</v>
      </c>
      <c r="AG78" t="n">
        <v>6.2</v>
      </c>
      <c r="AH78" t="n">
        <v>3.81</v>
      </c>
      <c r="AI78" t="n">
        <v>62.94</v>
      </c>
      <c r="AJ78" t="n">
        <v>11.33</v>
      </c>
      <c r="AK78" t="n">
        <v>0</v>
      </c>
      <c r="AL78" t="n">
        <v>197.1</v>
      </c>
      <c r="AM78" t="n">
        <v>0</v>
      </c>
      <c r="AN78" t="n">
        <v>0</v>
      </c>
      <c r="AO78" t="n">
        <v>0.2</v>
      </c>
      <c r="AP78" t="n">
        <v>9.859999999999999</v>
      </c>
      <c r="AQ78" t="n">
        <v>0</v>
      </c>
      <c r="AR78" t="n">
        <v>21.39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84.33</v>
      </c>
      <c r="BC78" t="n">
        <v>0</v>
      </c>
      <c r="BD78" t="n">
        <v>122.63</v>
      </c>
      <c r="BE78" t="inlineStr">
        <is>
          <t>settled</t>
        </is>
      </c>
      <c r="BF78" t="inlineStr">
        <is>
          <t>2025-12-10 05:30:00</t>
        </is>
      </c>
      <c r="BG78" t="inlineStr">
        <is>
          <t>CITIN25668340126</t>
        </is>
      </c>
      <c r="BH78" t="n">
        <v>0</v>
      </c>
      <c r="BI78" t="inlineStr">
        <is>
          <t>568524fa9313a09a8db78a947719c7590844beb8246e6ac92a2b5308d19f1d8c</t>
        </is>
      </c>
    </row>
    <row r="79">
      <c r="A79" t="inlineStr">
        <is>
          <t>74</t>
        </is>
      </c>
      <c r="B79" t="inlineStr">
        <is>
          <t>7526393494</t>
        </is>
      </c>
      <c r="C79" t="inlineStr">
        <is>
          <t>2025-12-05 22:37:19</t>
        </is>
      </c>
      <c r="D79" t="inlineStr">
        <is>
          <t>49</t>
        </is>
      </c>
      <c r="E79" t="inlineStr">
        <is>
          <t>Baba Yaga Art Of Chinese - By Posh Foods</t>
        </is>
      </c>
      <c r="F79" t="inlineStr">
        <is>
          <t>20037890</t>
        </is>
      </c>
      <c r="G79" t="inlineStr">
        <is>
          <t>Flat ₹150 off (2025-12-03 - 2031-01-01)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9</t>
        </is>
      </c>
      <c r="O79" t="n">
        <v>630</v>
      </c>
      <c r="P79" t="n">
        <v>0</v>
      </c>
      <c r="Q79" t="n">
        <v>0</v>
      </c>
      <c r="R79" t="n">
        <v>150</v>
      </c>
      <c r="S79" t="n">
        <v>48</v>
      </c>
      <c r="T79" t="n">
        <v>0</v>
      </c>
      <c r="U79" t="n">
        <v>0</v>
      </c>
      <c r="V79" t="n">
        <v>21.6</v>
      </c>
      <c r="W79" t="n">
        <v>453.6</v>
      </c>
      <c r="X79" t="n">
        <v>432</v>
      </c>
      <c r="Y79" t="n">
        <v>0</v>
      </c>
      <c r="Z79" t="n">
        <v>0</v>
      </c>
      <c r="AA79" t="n">
        <v>432</v>
      </c>
      <c r="AB79" t="n">
        <v>23</v>
      </c>
      <c r="AC79" t="n">
        <v>99.36</v>
      </c>
      <c r="AD79" t="n">
        <v>5.38</v>
      </c>
      <c r="AE79" t="n">
        <v>20</v>
      </c>
      <c r="AF79" t="n">
        <v>0</v>
      </c>
      <c r="AG79" t="n">
        <v>0</v>
      </c>
      <c r="AH79" t="n">
        <v>8.35</v>
      </c>
      <c r="AI79" t="n">
        <v>127.71</v>
      </c>
      <c r="AJ79" t="n">
        <v>22.98</v>
      </c>
      <c r="AK79" t="n">
        <v>0</v>
      </c>
      <c r="AL79" t="n">
        <v>432</v>
      </c>
      <c r="AM79" t="n">
        <v>0</v>
      </c>
      <c r="AN79" t="n">
        <v>0</v>
      </c>
      <c r="AO79" t="n">
        <v>0.43</v>
      </c>
      <c r="AP79" t="n">
        <v>21.6</v>
      </c>
      <c r="AQ79" t="n">
        <v>0</v>
      </c>
      <c r="AR79" t="n">
        <v>45.01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172.72</v>
      </c>
      <c r="BC79" t="n">
        <v>0</v>
      </c>
      <c r="BD79" t="n">
        <v>280.88</v>
      </c>
      <c r="BE79" t="inlineStr">
        <is>
          <t>settled</t>
        </is>
      </c>
      <c r="BF79" t="inlineStr">
        <is>
          <t>2025-12-10 05:30:00</t>
        </is>
      </c>
      <c r="BG79" t="inlineStr">
        <is>
          <t>CITIN25668340126</t>
        </is>
      </c>
      <c r="BH79" t="n">
        <v>0</v>
      </c>
      <c r="BI79" t="inlineStr">
        <is>
          <t>890c92153ac5b93a6cecaa2b5456a8b2494c039500bc6bcd6de945c72270e53c</t>
        </is>
      </c>
    </row>
    <row r="80">
      <c r="A80" t="inlineStr">
        <is>
          <t>75</t>
        </is>
      </c>
      <c r="B80" t="inlineStr">
        <is>
          <t>7549950939</t>
        </is>
      </c>
      <c r="C80" t="inlineStr">
        <is>
          <t>2025-12-05 22:38:44</t>
        </is>
      </c>
      <c r="D80" t="inlineStr">
        <is>
          <t>49</t>
        </is>
      </c>
      <c r="E80" t="inlineStr">
        <is>
          <t>Baba Yaga Art Of Chinese - By Posh Foods</t>
        </is>
      </c>
      <c r="F80" t="inlineStr">
        <is>
          <t>20037890</t>
        </is>
      </c>
      <c r="G80" t="inlineStr">
        <is>
          <t>Flat ₹125 off (2025-12-03 - 2031-01-01)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9</t>
        </is>
      </c>
      <c r="O80" t="n">
        <v>365</v>
      </c>
      <c r="P80" t="n">
        <v>0</v>
      </c>
      <c r="Q80" t="n">
        <v>0</v>
      </c>
      <c r="R80" t="n">
        <v>87</v>
      </c>
      <c r="S80" t="n">
        <v>24</v>
      </c>
      <c r="T80" t="n">
        <v>0</v>
      </c>
      <c r="U80" t="n">
        <v>0</v>
      </c>
      <c r="V80" t="n">
        <v>12.7</v>
      </c>
      <c r="W80" t="n">
        <v>266.7</v>
      </c>
      <c r="X80" t="n">
        <v>254</v>
      </c>
      <c r="Y80" t="n">
        <v>0</v>
      </c>
      <c r="Z80" t="n">
        <v>0</v>
      </c>
      <c r="AA80" t="n">
        <v>254</v>
      </c>
      <c r="AB80" t="n">
        <v>23</v>
      </c>
      <c r="AC80" t="n">
        <v>58.42</v>
      </c>
      <c r="AD80" t="n">
        <v>0.9</v>
      </c>
      <c r="AE80" t="n">
        <v>0</v>
      </c>
      <c r="AF80" t="n">
        <v>0</v>
      </c>
      <c r="AG80" t="n">
        <v>0</v>
      </c>
      <c r="AH80" t="n">
        <v>4.91</v>
      </c>
      <c r="AI80" t="n">
        <v>63.33</v>
      </c>
      <c r="AJ80" t="n">
        <v>11.4</v>
      </c>
      <c r="AK80" t="n">
        <v>0</v>
      </c>
      <c r="AL80" t="n">
        <v>254</v>
      </c>
      <c r="AM80" t="n">
        <v>0</v>
      </c>
      <c r="AN80" t="n">
        <v>0</v>
      </c>
      <c r="AO80" t="n">
        <v>0.25</v>
      </c>
      <c r="AP80" t="n">
        <v>12.7</v>
      </c>
      <c r="AQ80" t="n">
        <v>0</v>
      </c>
      <c r="AR80" t="n">
        <v>24.35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87.68000000000001</v>
      </c>
      <c r="BC80" t="n">
        <v>0</v>
      </c>
      <c r="BD80" t="n">
        <v>179.02</v>
      </c>
      <c r="BE80" t="inlineStr">
        <is>
          <t>settled</t>
        </is>
      </c>
      <c r="BF80" t="inlineStr">
        <is>
          <t>2025-12-10 05:30:00</t>
        </is>
      </c>
      <c r="BG80" t="inlineStr">
        <is>
          <t>CITIN25668340126</t>
        </is>
      </c>
      <c r="BH80" t="n">
        <v>0</v>
      </c>
      <c r="BI80" t="inlineStr">
        <is>
          <t>cd811309423352d48412e1b32726574f1618f776f5a411144819d2120acf20c8</t>
        </is>
      </c>
    </row>
    <row r="81">
      <c r="A81" t="inlineStr">
        <is>
          <t>76</t>
        </is>
      </c>
      <c r="B81" t="inlineStr">
        <is>
          <t>7545527204</t>
        </is>
      </c>
      <c r="C81" t="inlineStr">
        <is>
          <t>2025-12-06 14:51:25</t>
        </is>
      </c>
      <c r="D81" t="inlineStr">
        <is>
          <t>49</t>
        </is>
      </c>
      <c r="E81" t="inlineStr">
        <is>
          <t>Baba Yaga Art Of Chinese - By Posh Foods</t>
        </is>
      </c>
      <c r="F81" t="inlineStr">
        <is>
          <t>20037890</t>
        </is>
      </c>
      <c r="G81" t="inlineStr">
        <is>
          <t>Flat ₹100 off (2025-12-03 - 2031-01-01)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9</t>
        </is>
      </c>
      <c r="O81" t="n">
        <v>210</v>
      </c>
      <c r="P81" t="n">
        <v>0</v>
      </c>
      <c r="Q81" t="n">
        <v>0</v>
      </c>
      <c r="R81" t="n">
        <v>70</v>
      </c>
      <c r="S81" t="n">
        <v>0</v>
      </c>
      <c r="T81" t="n">
        <v>0</v>
      </c>
      <c r="U81" t="n">
        <v>0</v>
      </c>
      <c r="V81" t="n">
        <v>7</v>
      </c>
      <c r="W81" t="n">
        <v>147</v>
      </c>
      <c r="X81" t="n">
        <v>140</v>
      </c>
      <c r="Y81" t="n">
        <v>0</v>
      </c>
      <c r="Z81" t="n">
        <v>0</v>
      </c>
      <c r="AA81" t="n">
        <v>140</v>
      </c>
      <c r="AB81" t="n">
        <v>23</v>
      </c>
      <c r="AC81" t="n">
        <v>32.2</v>
      </c>
      <c r="AD81" t="n">
        <v>1.69</v>
      </c>
      <c r="AE81" t="n">
        <v>0</v>
      </c>
      <c r="AF81" t="n">
        <v>0</v>
      </c>
      <c r="AG81" t="n">
        <v>0</v>
      </c>
      <c r="AH81" t="n">
        <v>2.7</v>
      </c>
      <c r="AI81" t="n">
        <v>34.9</v>
      </c>
      <c r="AJ81" t="n">
        <v>6.29</v>
      </c>
      <c r="AK81" t="n">
        <v>0</v>
      </c>
      <c r="AL81" t="n">
        <v>140</v>
      </c>
      <c r="AM81" t="n">
        <v>0</v>
      </c>
      <c r="AN81" t="n">
        <v>0</v>
      </c>
      <c r="AO81" t="n">
        <v>0.14</v>
      </c>
      <c r="AP81" t="n">
        <v>7</v>
      </c>
      <c r="AQ81" t="n">
        <v>0</v>
      </c>
      <c r="AR81" t="n">
        <v>13.43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48.33</v>
      </c>
      <c r="BC81" t="n">
        <v>0</v>
      </c>
      <c r="BD81" t="n">
        <v>98.67</v>
      </c>
      <c r="BE81" t="inlineStr">
        <is>
          <t>settled</t>
        </is>
      </c>
      <c r="BF81" t="inlineStr">
        <is>
          <t>2025-12-10 05:30:00</t>
        </is>
      </c>
      <c r="BG81" t="inlineStr">
        <is>
          <t>CITIN25668340126</t>
        </is>
      </c>
      <c r="BH81" t="n">
        <v>0</v>
      </c>
      <c r="BI81" t="inlineStr">
        <is>
          <t>5b2798e0ae9fb4bb255f27a9841269a6e064a659c8c2dd1804f0fefaa35a5b2e</t>
        </is>
      </c>
    </row>
    <row r="82">
      <c r="A82" t="inlineStr">
        <is>
          <t>77</t>
        </is>
      </c>
      <c r="B82" t="inlineStr">
        <is>
          <t>7553433407</t>
        </is>
      </c>
      <c r="C82" t="inlineStr">
        <is>
          <t>2025-12-06 15:57:18</t>
        </is>
      </c>
      <c r="D82" t="inlineStr">
        <is>
          <t>49</t>
        </is>
      </c>
      <c r="E82" t="inlineStr">
        <is>
          <t>Baba Yaga Art Of Chinese - By Posh Foods</t>
        </is>
      </c>
      <c r="F82" t="inlineStr">
        <is>
          <t>20037890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9</t>
        </is>
      </c>
      <c r="O82" t="n">
        <v>560</v>
      </c>
      <c r="P82" t="n">
        <v>0</v>
      </c>
      <c r="Q82" t="n">
        <v>0</v>
      </c>
      <c r="R82" t="n">
        <v>0</v>
      </c>
      <c r="S82" t="n">
        <v>56</v>
      </c>
      <c r="T82" t="n">
        <v>0</v>
      </c>
      <c r="U82" t="n">
        <v>0</v>
      </c>
      <c r="V82" t="n">
        <v>25.2</v>
      </c>
      <c r="W82" t="n">
        <v>529.2</v>
      </c>
      <c r="X82" t="n">
        <v>504</v>
      </c>
      <c r="Y82" t="n">
        <v>0</v>
      </c>
      <c r="Z82" t="n">
        <v>0</v>
      </c>
      <c r="AA82" t="n">
        <v>504</v>
      </c>
      <c r="AB82" t="n">
        <v>23</v>
      </c>
      <c r="AC82" t="n">
        <v>115.92</v>
      </c>
      <c r="AD82" t="n">
        <v>9.42</v>
      </c>
      <c r="AE82" t="n">
        <v>40</v>
      </c>
      <c r="AF82" t="n">
        <v>0</v>
      </c>
      <c r="AG82" t="n">
        <v>4.72</v>
      </c>
      <c r="AH82" t="n">
        <v>9.74</v>
      </c>
      <c r="AI82" t="n">
        <v>160.94</v>
      </c>
      <c r="AJ82" t="n">
        <v>28.97</v>
      </c>
      <c r="AK82" t="n">
        <v>0</v>
      </c>
      <c r="AL82" t="n">
        <v>504</v>
      </c>
      <c r="AM82" t="n">
        <v>0</v>
      </c>
      <c r="AN82" t="n">
        <v>0</v>
      </c>
      <c r="AO82" t="n">
        <v>0.5</v>
      </c>
      <c r="AP82" t="n">
        <v>25.2</v>
      </c>
      <c r="AQ82" t="n">
        <v>0</v>
      </c>
      <c r="AR82" t="n">
        <v>54.67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215.61</v>
      </c>
      <c r="BC82" t="n">
        <v>0</v>
      </c>
      <c r="BD82" t="n">
        <v>313.59</v>
      </c>
      <c r="BE82" t="inlineStr">
        <is>
          <t>settled</t>
        </is>
      </c>
      <c r="BF82" t="inlineStr">
        <is>
          <t>2025-12-10 05:30:00</t>
        </is>
      </c>
      <c r="BG82" t="inlineStr">
        <is>
          <t>CITIN25668340126</t>
        </is>
      </c>
      <c r="BH82" t="n">
        <v>0</v>
      </c>
      <c r="BI82" t="inlineStr">
        <is>
          <t>c7d87e73c6146470bb56bbce3505a4253d91e6f949a7541391e4020d44ff9eb5</t>
        </is>
      </c>
    </row>
    <row r="83">
      <c r="A83" t="inlineStr">
        <is>
          <t>78</t>
        </is>
      </c>
      <c r="B83" t="inlineStr">
        <is>
          <t>7555382293</t>
        </is>
      </c>
      <c r="C83" t="inlineStr">
        <is>
          <t>2025-12-06 19:10:30</t>
        </is>
      </c>
      <c r="D83" t="inlineStr">
        <is>
          <t>49</t>
        </is>
      </c>
      <c r="E83" t="inlineStr">
        <is>
          <t>Baba Yaga Art Of Chinese - By Posh Foods</t>
        </is>
      </c>
      <c r="F83" t="inlineStr">
        <is>
          <t>20037890</t>
        </is>
      </c>
      <c r="G83" t="inlineStr">
        <is>
          <t>NA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9</t>
        </is>
      </c>
      <c r="O83" t="n">
        <v>239</v>
      </c>
      <c r="P83" t="n">
        <v>0</v>
      </c>
      <c r="Q83" t="n">
        <v>0</v>
      </c>
      <c r="R83" t="n">
        <v>0</v>
      </c>
      <c r="S83" t="n">
        <v>120</v>
      </c>
      <c r="T83" t="n">
        <v>0</v>
      </c>
      <c r="U83" t="n">
        <v>0</v>
      </c>
      <c r="V83" t="n">
        <v>5.95</v>
      </c>
      <c r="W83" t="n">
        <v>124.95</v>
      </c>
      <c r="X83" t="n">
        <v>119</v>
      </c>
      <c r="Y83" t="n">
        <v>0</v>
      </c>
      <c r="Z83" t="n">
        <v>0</v>
      </c>
      <c r="AA83" t="n">
        <v>119</v>
      </c>
      <c r="AB83" t="n">
        <v>23</v>
      </c>
      <c r="AC83" t="n">
        <v>27.37</v>
      </c>
      <c r="AD83" t="n">
        <v>4.19</v>
      </c>
      <c r="AE83" t="n">
        <v>0</v>
      </c>
      <c r="AF83" t="n">
        <v>0</v>
      </c>
      <c r="AG83" t="n">
        <v>0</v>
      </c>
      <c r="AH83" t="n">
        <v>2.3</v>
      </c>
      <c r="AI83" t="n">
        <v>29.67</v>
      </c>
      <c r="AJ83" t="n">
        <v>5.34</v>
      </c>
      <c r="AK83" t="n">
        <v>0</v>
      </c>
      <c r="AL83" t="n">
        <v>119</v>
      </c>
      <c r="AM83" t="n">
        <v>0</v>
      </c>
      <c r="AN83" t="n">
        <v>0</v>
      </c>
      <c r="AO83" t="n">
        <v>0.12</v>
      </c>
      <c r="AP83" t="n">
        <v>5.95</v>
      </c>
      <c r="AQ83" t="n">
        <v>0</v>
      </c>
      <c r="AR83" t="n">
        <v>11.41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41.08</v>
      </c>
      <c r="BC83" t="n">
        <v>0</v>
      </c>
      <c r="BD83" t="n">
        <v>83.87</v>
      </c>
      <c r="BE83" t="inlineStr">
        <is>
          <t>settled</t>
        </is>
      </c>
      <c r="BF83" t="inlineStr">
        <is>
          <t>2025-12-10 05:30:00</t>
        </is>
      </c>
      <c r="BG83" t="inlineStr">
        <is>
          <t>CITIN25668340126</t>
        </is>
      </c>
      <c r="BH83" t="n">
        <v>0</v>
      </c>
      <c r="BI83" t="inlineStr">
        <is>
          <t>af241b605a8f238077fc4f7835bfe09de8652ab540a226d379b8127c94d5ad87</t>
        </is>
      </c>
    </row>
    <row r="84">
      <c r="A84" t="inlineStr">
        <is>
          <t>79</t>
        </is>
      </c>
      <c r="B84" t="inlineStr">
        <is>
          <t>7552961624</t>
        </is>
      </c>
      <c r="C84" t="inlineStr">
        <is>
          <t>2025-12-06 19:27:48</t>
        </is>
      </c>
      <c r="D84" t="inlineStr">
        <is>
          <t>49</t>
        </is>
      </c>
      <c r="E84" t="inlineStr">
        <is>
          <t>Baba Yaga Art Of Chinese - By Posh Foods</t>
        </is>
      </c>
      <c r="F84" t="inlineStr">
        <is>
          <t>20037890</t>
        </is>
      </c>
      <c r="G84" t="inlineStr">
        <is>
          <t>Flat ₹100 off (2025-12-03 - 2031-01-01)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9</t>
        </is>
      </c>
      <c r="O84" t="n">
        <v>265</v>
      </c>
      <c r="P84" t="n">
        <v>0</v>
      </c>
      <c r="Q84" t="n">
        <v>0</v>
      </c>
      <c r="R84" t="n">
        <v>70</v>
      </c>
      <c r="S84" t="n">
        <v>0</v>
      </c>
      <c r="T84" t="n">
        <v>0</v>
      </c>
      <c r="U84" t="n">
        <v>0</v>
      </c>
      <c r="V84" t="n">
        <v>9.75</v>
      </c>
      <c r="W84" t="n">
        <v>204.75</v>
      </c>
      <c r="X84" t="n">
        <v>195</v>
      </c>
      <c r="Y84" t="n">
        <v>0</v>
      </c>
      <c r="Z84" t="n">
        <v>0</v>
      </c>
      <c r="AA84" t="n">
        <v>195</v>
      </c>
      <c r="AB84" t="n">
        <v>23</v>
      </c>
      <c r="AC84" t="n">
        <v>44.85</v>
      </c>
      <c r="AD84" t="n">
        <v>0.71</v>
      </c>
      <c r="AE84" t="n">
        <v>0</v>
      </c>
      <c r="AF84" t="n">
        <v>0</v>
      </c>
      <c r="AG84" t="n">
        <v>0</v>
      </c>
      <c r="AH84" t="n">
        <v>3.77</v>
      </c>
      <c r="AI84" t="n">
        <v>48.62</v>
      </c>
      <c r="AJ84" t="n">
        <v>8.75</v>
      </c>
      <c r="AK84" t="n">
        <v>0</v>
      </c>
      <c r="AL84" t="n">
        <v>195</v>
      </c>
      <c r="AM84" t="n">
        <v>0</v>
      </c>
      <c r="AN84" t="n">
        <v>0</v>
      </c>
      <c r="AO84" t="n">
        <v>0.2</v>
      </c>
      <c r="AP84" t="n">
        <v>9.75</v>
      </c>
      <c r="AQ84" t="n">
        <v>0</v>
      </c>
      <c r="AR84" t="n">
        <v>18.7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67.31999999999999</v>
      </c>
      <c r="BC84" t="n">
        <v>0</v>
      </c>
      <c r="BD84" t="n">
        <v>137.43</v>
      </c>
      <c r="BE84" t="inlineStr">
        <is>
          <t>settled</t>
        </is>
      </c>
      <c r="BF84" t="inlineStr">
        <is>
          <t>2025-12-10 05:30:00</t>
        </is>
      </c>
      <c r="BG84" t="inlineStr">
        <is>
          <t>CITIN25668340126</t>
        </is>
      </c>
      <c r="BH84" t="n">
        <v>0</v>
      </c>
      <c r="BI84" t="inlineStr">
        <is>
          <t>20a62233c775dbedc21b8143cbb0e34e15c1fa90cfcc7be0d2abbd36860e059c</t>
        </is>
      </c>
    </row>
    <row r="85">
      <c r="A85" t="inlineStr">
        <is>
          <t>80</t>
        </is>
      </c>
      <c r="B85" t="inlineStr">
        <is>
          <t>7549054520</t>
        </is>
      </c>
      <c r="C85" t="inlineStr">
        <is>
          <t>2025-12-06 20:36:26</t>
        </is>
      </c>
      <c r="D85" t="inlineStr">
        <is>
          <t>49</t>
        </is>
      </c>
      <c r="E85" t="inlineStr">
        <is>
          <t>Baba Yaga Art Of Chinese - By Posh Foods</t>
        </is>
      </c>
      <c r="F85" t="inlineStr">
        <is>
          <t>20037890</t>
        </is>
      </c>
      <c r="G85" t="inlineStr">
        <is>
          <t>Flat 20% off (2025-09-25 - 2031-01-01)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9</t>
        </is>
      </c>
      <c r="O85" t="n">
        <v>1300</v>
      </c>
      <c r="P85" t="n">
        <v>0</v>
      </c>
      <c r="Q85" t="n">
        <v>0</v>
      </c>
      <c r="R85" t="n">
        <v>260</v>
      </c>
      <c r="S85" t="n">
        <v>104</v>
      </c>
      <c r="T85" t="n">
        <v>0</v>
      </c>
      <c r="U85" t="n">
        <v>0</v>
      </c>
      <c r="V85" t="n">
        <v>46.8</v>
      </c>
      <c r="W85" t="n">
        <v>982.8</v>
      </c>
      <c r="X85" t="n">
        <v>936</v>
      </c>
      <c r="Y85" t="n">
        <v>0</v>
      </c>
      <c r="Z85" t="n">
        <v>0</v>
      </c>
      <c r="AA85" t="n">
        <v>936</v>
      </c>
      <c r="AB85" t="n">
        <v>23</v>
      </c>
      <c r="AC85" t="n">
        <v>215.28</v>
      </c>
      <c r="AD85" t="n">
        <v>1.71</v>
      </c>
      <c r="AE85" t="n">
        <v>0</v>
      </c>
      <c r="AF85" t="n">
        <v>0</v>
      </c>
      <c r="AG85" t="n">
        <v>0</v>
      </c>
      <c r="AH85" t="n">
        <v>18.08</v>
      </c>
      <c r="AI85" t="n">
        <v>233.36</v>
      </c>
      <c r="AJ85" t="n">
        <v>42</v>
      </c>
      <c r="AK85" t="n">
        <v>0</v>
      </c>
      <c r="AL85" t="n">
        <v>936</v>
      </c>
      <c r="AM85" t="n">
        <v>0</v>
      </c>
      <c r="AN85" t="n">
        <v>0</v>
      </c>
      <c r="AO85" t="n">
        <v>0.9399999999999999</v>
      </c>
      <c r="AP85" t="n">
        <v>46.8</v>
      </c>
      <c r="AQ85" t="n">
        <v>0</v>
      </c>
      <c r="AR85" t="n">
        <v>89.73999999999999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323.1</v>
      </c>
      <c r="BC85" t="n">
        <v>0</v>
      </c>
      <c r="BD85" t="n">
        <v>659.7</v>
      </c>
      <c r="BE85" t="inlineStr">
        <is>
          <t>settled</t>
        </is>
      </c>
      <c r="BF85" t="inlineStr">
        <is>
          <t>2025-12-10 05:30:00</t>
        </is>
      </c>
      <c r="BG85" t="inlineStr">
        <is>
          <t>CITIN25668340126</t>
        </is>
      </c>
      <c r="BH85" t="n">
        <v>0</v>
      </c>
      <c r="BI85" t="inlineStr">
        <is>
          <t>fb454953ccda534f17a77bc41cd7a0065e9b1ab63004b392c4f198638b9163bd</t>
        </is>
      </c>
    </row>
    <row r="86">
      <c r="A86" t="inlineStr">
        <is>
          <t>81</t>
        </is>
      </c>
      <c r="B86" t="inlineStr">
        <is>
          <t>7547803416</t>
        </is>
      </c>
      <c r="C86" t="inlineStr">
        <is>
          <t>2025-12-06 20:48:34</t>
        </is>
      </c>
      <c r="D86" t="inlineStr">
        <is>
          <t>49</t>
        </is>
      </c>
      <c r="E86" t="inlineStr">
        <is>
          <t>Baba Yaga Art Of Chinese - By Posh Foods</t>
        </is>
      </c>
      <c r="F86" t="inlineStr">
        <is>
          <t>20037890</t>
        </is>
      </c>
      <c r="G86" t="inlineStr">
        <is>
          <t>Flat 20% off (2025-09-25 - 2031-01-01)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9</t>
        </is>
      </c>
      <c r="O86" t="n">
        <v>1049</v>
      </c>
      <c r="P86" t="n">
        <v>0</v>
      </c>
      <c r="Q86" t="n">
        <v>0</v>
      </c>
      <c r="R86" t="n">
        <v>209.8</v>
      </c>
      <c r="S86" t="n">
        <v>83.92</v>
      </c>
      <c r="T86" t="n">
        <v>0</v>
      </c>
      <c r="U86" t="n">
        <v>0</v>
      </c>
      <c r="V86" t="n">
        <v>37.77</v>
      </c>
      <c r="W86" t="n">
        <v>793.05</v>
      </c>
      <c r="X86" t="n">
        <v>755.28</v>
      </c>
      <c r="Y86" t="n">
        <v>0</v>
      </c>
      <c r="Z86" t="n">
        <v>0</v>
      </c>
      <c r="AA86" t="n">
        <v>755.28</v>
      </c>
      <c r="AB86" t="n">
        <v>23</v>
      </c>
      <c r="AC86" t="n">
        <v>173.71</v>
      </c>
      <c r="AD86" t="n">
        <v>2.49</v>
      </c>
      <c r="AE86" t="n">
        <v>0</v>
      </c>
      <c r="AF86" t="n">
        <v>0</v>
      </c>
      <c r="AG86" t="n">
        <v>0</v>
      </c>
      <c r="AH86" t="n">
        <v>14.59</v>
      </c>
      <c r="AI86" t="n">
        <v>188.3</v>
      </c>
      <c r="AJ86" t="n">
        <v>33.9</v>
      </c>
      <c r="AK86" t="n">
        <v>0</v>
      </c>
      <c r="AL86" t="n">
        <v>755.28</v>
      </c>
      <c r="AM86" t="n">
        <v>0</v>
      </c>
      <c r="AN86" t="n">
        <v>0</v>
      </c>
      <c r="AO86" t="n">
        <v>0.76</v>
      </c>
      <c r="AP86" t="n">
        <v>37.76</v>
      </c>
      <c r="AQ86" t="n">
        <v>0.01</v>
      </c>
      <c r="AR86" t="n">
        <v>72.42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260.72</v>
      </c>
      <c r="BC86" t="n">
        <v>0</v>
      </c>
      <c r="BD86" t="n">
        <v>532.33</v>
      </c>
      <c r="BE86" t="inlineStr">
        <is>
          <t>settled</t>
        </is>
      </c>
      <c r="BF86" t="inlineStr">
        <is>
          <t>2025-12-10 05:30:00</t>
        </is>
      </c>
      <c r="BG86" t="inlineStr">
        <is>
          <t>CITIN25668340126</t>
        </is>
      </c>
      <c r="BH86" t="n">
        <v>0</v>
      </c>
      <c r="BI86" t="inlineStr">
        <is>
          <t>08b20f48d3026a2d1f597d40e1e358ebba0cbdbbab3382aba9f7cced3cd13f9d</t>
        </is>
      </c>
    </row>
    <row r="87">
      <c r="A87" t="inlineStr">
        <is>
          <t>82</t>
        </is>
      </c>
      <c r="B87" t="inlineStr">
        <is>
          <t>7556427786</t>
        </is>
      </c>
      <c r="C87" t="inlineStr">
        <is>
          <t>2025-12-06 20:53:36</t>
        </is>
      </c>
      <c r="D87" t="inlineStr">
        <is>
          <t>49</t>
        </is>
      </c>
      <c r="E87" t="inlineStr">
        <is>
          <t>Baba Yaga Art Of Chinese - By Posh Foods</t>
        </is>
      </c>
      <c r="F87" t="inlineStr">
        <is>
          <t>20037890</t>
        </is>
      </c>
      <c r="G87" t="inlineStr">
        <is>
          <t>Flat ₹100 off (2025-12-05 - 2031-01-01)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9</t>
        </is>
      </c>
      <c r="O87" t="n">
        <v>335</v>
      </c>
      <c r="P87" t="n">
        <v>0</v>
      </c>
      <c r="Q87" t="n">
        <v>0</v>
      </c>
      <c r="R87" t="n">
        <v>100</v>
      </c>
      <c r="S87" t="n">
        <v>23.5</v>
      </c>
      <c r="T87" t="n">
        <v>0</v>
      </c>
      <c r="U87" t="n">
        <v>0</v>
      </c>
      <c r="V87" t="n">
        <v>10.58</v>
      </c>
      <c r="W87" t="n">
        <v>222.08</v>
      </c>
      <c r="X87" t="n">
        <v>211.5</v>
      </c>
      <c r="Y87" t="n">
        <v>0</v>
      </c>
      <c r="Z87" t="n">
        <v>0</v>
      </c>
      <c r="AA87" t="n">
        <v>211.5</v>
      </c>
      <c r="AB87" t="n">
        <v>23</v>
      </c>
      <c r="AC87" t="n">
        <v>48.64</v>
      </c>
      <c r="AD87" t="n">
        <v>4.48</v>
      </c>
      <c r="AE87" t="n">
        <v>20</v>
      </c>
      <c r="AF87" t="n">
        <v>0</v>
      </c>
      <c r="AG87" t="n">
        <v>5.19</v>
      </c>
      <c r="AH87" t="n">
        <v>4.09</v>
      </c>
      <c r="AI87" t="n">
        <v>67.54000000000001</v>
      </c>
      <c r="AJ87" t="n">
        <v>12.17</v>
      </c>
      <c r="AK87" t="n">
        <v>0</v>
      </c>
      <c r="AL87" t="n">
        <v>211.5</v>
      </c>
      <c r="AM87" t="n">
        <v>0</v>
      </c>
      <c r="AN87" t="n">
        <v>0</v>
      </c>
      <c r="AO87" t="n">
        <v>0.21</v>
      </c>
      <c r="AP87" t="n">
        <v>10.58</v>
      </c>
      <c r="AQ87" t="n">
        <v>0</v>
      </c>
      <c r="AR87" t="n">
        <v>22.96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90.5</v>
      </c>
      <c r="BC87" t="n">
        <v>0</v>
      </c>
      <c r="BD87" t="n">
        <v>131.58</v>
      </c>
      <c r="BE87" t="inlineStr">
        <is>
          <t>settled</t>
        </is>
      </c>
      <c r="BF87" t="inlineStr">
        <is>
          <t>2025-12-10 05:30:00</t>
        </is>
      </c>
      <c r="BG87" t="inlineStr">
        <is>
          <t>CITIN25668340126</t>
        </is>
      </c>
      <c r="BH87" t="n">
        <v>0</v>
      </c>
      <c r="BI87" t="inlineStr">
        <is>
          <t>ef05f9d489e2fca04b2d4acd0985a8661bdd858e8273f477fed4c1e6ce8a9364</t>
        </is>
      </c>
    </row>
    <row r="88">
      <c r="A88" t="inlineStr">
        <is>
          <t>83</t>
        </is>
      </c>
      <c r="B88" t="inlineStr">
        <is>
          <t>7545016280</t>
        </is>
      </c>
      <c r="C88" t="inlineStr">
        <is>
          <t>2025-12-06 21:01:45</t>
        </is>
      </c>
      <c r="D88" t="inlineStr">
        <is>
          <t>49</t>
        </is>
      </c>
      <c r="E88" t="inlineStr">
        <is>
          <t>Baba Yaga Art Of Chinese - By Posh Foods</t>
        </is>
      </c>
      <c r="F88" t="inlineStr">
        <is>
          <t>20037890</t>
        </is>
      </c>
      <c r="G88" t="inlineStr">
        <is>
          <t>Flat ₹175 off (2025-12-03 - 2031-01-01)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9</t>
        </is>
      </c>
      <c r="O88" t="n">
        <v>934</v>
      </c>
      <c r="P88" t="n">
        <v>0</v>
      </c>
      <c r="Q88" t="n">
        <v>0</v>
      </c>
      <c r="R88" t="n">
        <v>122</v>
      </c>
      <c r="S88" t="n">
        <v>75.90000000000001</v>
      </c>
      <c r="T88" t="n">
        <v>0</v>
      </c>
      <c r="U88" t="n">
        <v>0</v>
      </c>
      <c r="V88" t="n">
        <v>36.81</v>
      </c>
      <c r="W88" t="n">
        <v>772.91</v>
      </c>
      <c r="X88" t="n">
        <v>736.1</v>
      </c>
      <c r="Y88" t="n">
        <v>0</v>
      </c>
      <c r="Z88" t="n">
        <v>0</v>
      </c>
      <c r="AA88" t="n">
        <v>736.1</v>
      </c>
      <c r="AB88" t="n">
        <v>23</v>
      </c>
      <c r="AC88" t="n">
        <v>169.3</v>
      </c>
      <c r="AD88" t="n">
        <v>2.43</v>
      </c>
      <c r="AE88" t="n">
        <v>0</v>
      </c>
      <c r="AF88" t="n">
        <v>0</v>
      </c>
      <c r="AG88" t="n">
        <v>0</v>
      </c>
      <c r="AH88" t="n">
        <v>14.22</v>
      </c>
      <c r="AI88" t="n">
        <v>183.52</v>
      </c>
      <c r="AJ88" t="n">
        <v>33.03</v>
      </c>
      <c r="AK88" t="n">
        <v>0</v>
      </c>
      <c r="AL88" t="n">
        <v>736.1</v>
      </c>
      <c r="AM88" t="n">
        <v>0</v>
      </c>
      <c r="AN88" t="n">
        <v>0</v>
      </c>
      <c r="AO88" t="n">
        <v>0.74</v>
      </c>
      <c r="AP88" t="n">
        <v>36.8</v>
      </c>
      <c r="AQ88" t="n">
        <v>0.01</v>
      </c>
      <c r="AR88" t="n">
        <v>70.56999999999999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254.09</v>
      </c>
      <c r="BC88" t="n">
        <v>0</v>
      </c>
      <c r="BD88" t="n">
        <v>518.8200000000001</v>
      </c>
      <c r="BE88" t="inlineStr">
        <is>
          <t>settled</t>
        </is>
      </c>
      <c r="BF88" t="inlineStr">
        <is>
          <t>2025-12-10 05:30:00</t>
        </is>
      </c>
      <c r="BG88" t="inlineStr">
        <is>
          <t>CITIN25668340126</t>
        </is>
      </c>
      <c r="BH88" t="n">
        <v>0</v>
      </c>
      <c r="BI88" t="inlineStr">
        <is>
          <t>c667e0aa45932bdf7e8a8a0848aa3729c1cab885681fddb8d8a4c41dbe1363aa</t>
        </is>
      </c>
    </row>
    <row r="89">
      <c r="A89" t="inlineStr">
        <is>
          <t>84</t>
        </is>
      </c>
      <c r="B89" t="inlineStr">
        <is>
          <t>7550335833</t>
        </is>
      </c>
      <c r="C89" t="inlineStr">
        <is>
          <t>2025-12-06 21:05:22</t>
        </is>
      </c>
      <c r="D89" t="inlineStr">
        <is>
          <t>49</t>
        </is>
      </c>
      <c r="E89" t="inlineStr">
        <is>
          <t>Baba Yaga Art Of Chinese - By Posh Foods</t>
        </is>
      </c>
      <c r="F89" t="inlineStr">
        <is>
          <t>20037890</t>
        </is>
      </c>
      <c r="G89" t="inlineStr">
        <is>
          <t>Flat ₹175 off (2025-12-03 - 2031-01-01)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9</t>
        </is>
      </c>
      <c r="O89" t="n">
        <v>754</v>
      </c>
      <c r="P89" t="n">
        <v>0</v>
      </c>
      <c r="Q89" t="n">
        <v>0</v>
      </c>
      <c r="R89" t="n">
        <v>122</v>
      </c>
      <c r="S89" t="n">
        <v>57.9</v>
      </c>
      <c r="T89" t="n">
        <v>0</v>
      </c>
      <c r="U89" t="n">
        <v>0</v>
      </c>
      <c r="V89" t="n">
        <v>28.71</v>
      </c>
      <c r="W89" t="n">
        <v>602.8099999999999</v>
      </c>
      <c r="X89" t="n">
        <v>574.1</v>
      </c>
      <c r="Y89" t="n">
        <v>0</v>
      </c>
      <c r="Z89" t="n">
        <v>0</v>
      </c>
      <c r="AA89" t="n">
        <v>574.1</v>
      </c>
      <c r="AB89" t="n">
        <v>23</v>
      </c>
      <c r="AC89" t="n">
        <v>132.04</v>
      </c>
      <c r="AD89" t="n">
        <v>2.57</v>
      </c>
      <c r="AE89" t="n">
        <v>0</v>
      </c>
      <c r="AF89" t="n">
        <v>0</v>
      </c>
      <c r="AG89" t="n">
        <v>0</v>
      </c>
      <c r="AH89" t="n">
        <v>11.09</v>
      </c>
      <c r="AI89" t="n">
        <v>143.13</v>
      </c>
      <c r="AJ89" t="n">
        <v>25.77</v>
      </c>
      <c r="AK89" t="n">
        <v>0</v>
      </c>
      <c r="AL89" t="n">
        <v>574.1</v>
      </c>
      <c r="AM89" t="n">
        <v>0</v>
      </c>
      <c r="AN89" t="n">
        <v>0</v>
      </c>
      <c r="AO89" t="n">
        <v>0.57</v>
      </c>
      <c r="AP89" t="n">
        <v>28.7</v>
      </c>
      <c r="AQ89" t="n">
        <v>0.01</v>
      </c>
      <c r="AR89" t="n">
        <v>55.04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198.17</v>
      </c>
      <c r="BC89" t="n">
        <v>0</v>
      </c>
      <c r="BD89" t="n">
        <v>404.64</v>
      </c>
      <c r="BE89" t="inlineStr">
        <is>
          <t>settled</t>
        </is>
      </c>
      <c r="BF89" t="inlineStr">
        <is>
          <t>2025-12-10 05:30:00</t>
        </is>
      </c>
      <c r="BG89" t="inlineStr">
        <is>
          <t>CITIN25668340126</t>
        </is>
      </c>
      <c r="BH89" t="n">
        <v>0</v>
      </c>
      <c r="BI89" t="inlineStr">
        <is>
          <t>0e400a70fa951c14cb85090e85a4421fd811bed14604c93f53351f4ac48b76d7</t>
        </is>
      </c>
    </row>
    <row r="90">
      <c r="A90" t="inlineStr">
        <is>
          <t>85</t>
        </is>
      </c>
      <c r="B90" t="inlineStr">
        <is>
          <t>7556081753</t>
        </is>
      </c>
      <c r="C90" t="inlineStr">
        <is>
          <t>2025-12-06 21:09:09</t>
        </is>
      </c>
      <c r="D90" t="inlineStr">
        <is>
          <t>49</t>
        </is>
      </c>
      <c r="E90" t="inlineStr">
        <is>
          <t>Baba Yaga Art Of Chinese - By Posh Foods</t>
        </is>
      </c>
      <c r="F90" t="inlineStr">
        <is>
          <t>20037890</t>
        </is>
      </c>
      <c r="G90" t="inlineStr">
        <is>
          <t>Flat ₹100 off (2025-12-03 - 2031-01-01)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9</t>
        </is>
      </c>
      <c r="O90" t="n">
        <v>265</v>
      </c>
      <c r="P90" t="n">
        <v>0</v>
      </c>
      <c r="Q90" t="n">
        <v>0</v>
      </c>
      <c r="R90" t="n">
        <v>70</v>
      </c>
      <c r="S90" t="n">
        <v>0</v>
      </c>
      <c r="T90" t="n">
        <v>0</v>
      </c>
      <c r="U90" t="n">
        <v>0</v>
      </c>
      <c r="V90" t="n">
        <v>9.75</v>
      </c>
      <c r="W90" t="n">
        <v>204.75</v>
      </c>
      <c r="X90" t="n">
        <v>195</v>
      </c>
      <c r="Y90" t="n">
        <v>0</v>
      </c>
      <c r="Z90" t="n">
        <v>0</v>
      </c>
      <c r="AA90" t="n">
        <v>195</v>
      </c>
      <c r="AB90" t="n">
        <v>23</v>
      </c>
      <c r="AC90" t="n">
        <v>44.85</v>
      </c>
      <c r="AD90" t="n">
        <v>1.03</v>
      </c>
      <c r="AE90" t="n">
        <v>0</v>
      </c>
      <c r="AF90" t="n">
        <v>0</v>
      </c>
      <c r="AG90" t="n">
        <v>0</v>
      </c>
      <c r="AH90" t="n">
        <v>3.77</v>
      </c>
      <c r="AI90" t="n">
        <v>48.62</v>
      </c>
      <c r="AJ90" t="n">
        <v>8.75</v>
      </c>
      <c r="AK90" t="n">
        <v>0</v>
      </c>
      <c r="AL90" t="n">
        <v>195</v>
      </c>
      <c r="AM90" t="n">
        <v>0</v>
      </c>
      <c r="AN90" t="n">
        <v>0</v>
      </c>
      <c r="AO90" t="n">
        <v>0.2</v>
      </c>
      <c r="AP90" t="n">
        <v>9.75</v>
      </c>
      <c r="AQ90" t="n">
        <v>0</v>
      </c>
      <c r="AR90" t="n">
        <v>18.7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23.01</v>
      </c>
      <c r="AY90" t="n">
        <v>0</v>
      </c>
      <c r="AZ90" t="n">
        <v>0</v>
      </c>
      <c r="BA90" t="n">
        <v>23.01</v>
      </c>
      <c r="BB90" t="n">
        <v>90.33</v>
      </c>
      <c r="BC90" t="n">
        <v>0</v>
      </c>
      <c r="BD90" t="n">
        <v>114.42</v>
      </c>
      <c r="BE90" t="inlineStr">
        <is>
          <t>settled</t>
        </is>
      </c>
      <c r="BF90" t="inlineStr">
        <is>
          <t>2025-12-10 05:30:00</t>
        </is>
      </c>
      <c r="BG90" t="inlineStr">
        <is>
          <t>CITIN25668340126</t>
        </is>
      </c>
      <c r="BH90" t="n">
        <v>0</v>
      </c>
      <c r="BI90" t="inlineStr">
        <is>
          <t>ba10ee31e0a03e541eeb0f45869fa4197eeaf533f813e25793c3516bb86d2713</t>
        </is>
      </c>
    </row>
    <row r="91">
      <c r="A91" t="inlineStr">
        <is>
          <t>86</t>
        </is>
      </c>
      <c r="B91" t="inlineStr">
        <is>
          <t>7556603872</t>
        </is>
      </c>
      <c r="C91" t="inlineStr">
        <is>
          <t>2025-12-06 21:26:15</t>
        </is>
      </c>
      <c r="D91" t="inlineStr">
        <is>
          <t>49</t>
        </is>
      </c>
      <c r="E91" t="inlineStr">
        <is>
          <t>Baba Yaga Art Of Chinese - By Posh Foods</t>
        </is>
      </c>
      <c r="F91" t="inlineStr">
        <is>
          <t>20037890</t>
        </is>
      </c>
      <c r="G91" t="inlineStr">
        <is>
          <t>Flat ₹125 off (2025-12-03 - 2031-01-01)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9</t>
        </is>
      </c>
      <c r="O91" t="n">
        <v>589</v>
      </c>
      <c r="P91" t="n">
        <v>0</v>
      </c>
      <c r="Q91" t="n">
        <v>0</v>
      </c>
      <c r="R91" t="n">
        <v>125</v>
      </c>
      <c r="S91" t="n">
        <v>46.4</v>
      </c>
      <c r="T91" t="n">
        <v>0</v>
      </c>
      <c r="U91" t="n">
        <v>0</v>
      </c>
      <c r="V91" t="n">
        <v>20.88</v>
      </c>
      <c r="W91" t="n">
        <v>438.48</v>
      </c>
      <c r="X91" t="n">
        <v>417.6</v>
      </c>
      <c r="Y91" t="n">
        <v>0</v>
      </c>
      <c r="Z91" t="n">
        <v>0</v>
      </c>
      <c r="AA91" t="n">
        <v>417.6</v>
      </c>
      <c r="AB91" t="n">
        <v>23</v>
      </c>
      <c r="AC91" t="n">
        <v>96.05</v>
      </c>
      <c r="AD91" t="n">
        <v>6.32</v>
      </c>
      <c r="AE91" t="n">
        <v>40</v>
      </c>
      <c r="AF91" t="n">
        <v>0</v>
      </c>
      <c r="AG91" t="n">
        <v>10.77</v>
      </c>
      <c r="AH91" t="n">
        <v>8.07</v>
      </c>
      <c r="AI91" t="n">
        <v>133.35</v>
      </c>
      <c r="AJ91" t="n">
        <v>24</v>
      </c>
      <c r="AK91" t="n">
        <v>0</v>
      </c>
      <c r="AL91" t="n">
        <v>417.6</v>
      </c>
      <c r="AM91" t="n">
        <v>0</v>
      </c>
      <c r="AN91" t="n">
        <v>0</v>
      </c>
      <c r="AO91" t="n">
        <v>0.42</v>
      </c>
      <c r="AP91" t="n">
        <v>20.88</v>
      </c>
      <c r="AQ91" t="n">
        <v>0</v>
      </c>
      <c r="AR91" t="n">
        <v>45.3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178.65</v>
      </c>
      <c r="BC91" t="n">
        <v>0</v>
      </c>
      <c r="BD91" t="n">
        <v>259.83</v>
      </c>
      <c r="BE91" t="inlineStr">
        <is>
          <t>settled</t>
        </is>
      </c>
      <c r="BF91" t="inlineStr">
        <is>
          <t>2025-12-10 05:30:00</t>
        </is>
      </c>
      <c r="BG91" t="inlineStr">
        <is>
          <t>CITIN25668340126</t>
        </is>
      </c>
      <c r="BH91" t="n">
        <v>0</v>
      </c>
      <c r="BI91" t="inlineStr">
        <is>
          <t>8505aec6d497d7856b04eb8d9b62a0b02186ed54256c22237cafb203aec6eb4b</t>
        </is>
      </c>
    </row>
    <row r="92">
      <c r="A92" t="inlineStr">
        <is>
          <t>87</t>
        </is>
      </c>
      <c r="B92" t="inlineStr">
        <is>
          <t>7536194234</t>
        </is>
      </c>
      <c r="C92" t="inlineStr">
        <is>
          <t>2025-12-06 21:42:47</t>
        </is>
      </c>
      <c r="D92" t="inlineStr">
        <is>
          <t>49</t>
        </is>
      </c>
      <c r="E92" t="inlineStr">
        <is>
          <t>Baba Yaga Art Of Chinese - By Posh Foods</t>
        </is>
      </c>
      <c r="F92" t="inlineStr">
        <is>
          <t>20037890</t>
        </is>
      </c>
      <c r="G92" t="inlineStr">
        <is>
          <t>Flat ₹100 off (2025-12-03 - 2031-01-01)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9</t>
        </is>
      </c>
      <c r="O92" t="n">
        <v>265</v>
      </c>
      <c r="P92" t="n">
        <v>0</v>
      </c>
      <c r="Q92" t="n">
        <v>0</v>
      </c>
      <c r="R92" t="n">
        <v>70</v>
      </c>
      <c r="S92" t="n">
        <v>0</v>
      </c>
      <c r="T92" t="n">
        <v>0</v>
      </c>
      <c r="U92" t="n">
        <v>0</v>
      </c>
      <c r="V92" t="n">
        <v>9.75</v>
      </c>
      <c r="W92" t="n">
        <v>204.75</v>
      </c>
      <c r="X92" t="n">
        <v>195</v>
      </c>
      <c r="Y92" t="n">
        <v>0</v>
      </c>
      <c r="Z92" t="n">
        <v>0</v>
      </c>
      <c r="AA92" t="n">
        <v>195</v>
      </c>
      <c r="AB92" t="n">
        <v>23</v>
      </c>
      <c r="AC92" t="n">
        <v>44.85</v>
      </c>
      <c r="AD92" t="n">
        <v>1.39</v>
      </c>
      <c r="AE92" t="n">
        <v>0</v>
      </c>
      <c r="AF92" t="n">
        <v>0</v>
      </c>
      <c r="AG92" t="n">
        <v>0</v>
      </c>
      <c r="AH92" t="n">
        <v>3.77</v>
      </c>
      <c r="AI92" t="n">
        <v>48.62</v>
      </c>
      <c r="AJ92" t="n">
        <v>8.75</v>
      </c>
      <c r="AK92" t="n">
        <v>0</v>
      </c>
      <c r="AL92" t="n">
        <v>195</v>
      </c>
      <c r="AM92" t="n">
        <v>0</v>
      </c>
      <c r="AN92" t="n">
        <v>0</v>
      </c>
      <c r="AO92" t="n">
        <v>0.2</v>
      </c>
      <c r="AP92" t="n">
        <v>9.75</v>
      </c>
      <c r="AQ92" t="n">
        <v>0</v>
      </c>
      <c r="AR92" t="n">
        <v>18.7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67.31999999999999</v>
      </c>
      <c r="BC92" t="n">
        <v>0</v>
      </c>
      <c r="BD92" t="n">
        <v>137.43</v>
      </c>
      <c r="BE92" t="inlineStr">
        <is>
          <t>settled</t>
        </is>
      </c>
      <c r="BF92" t="inlineStr">
        <is>
          <t>2025-12-10 05:30:00</t>
        </is>
      </c>
      <c r="BG92" t="inlineStr">
        <is>
          <t>CITIN25668340126</t>
        </is>
      </c>
      <c r="BH92" t="n">
        <v>0</v>
      </c>
      <c r="BI92" t="inlineStr">
        <is>
          <t>d0c3125f82bcecc63f4768d1ab0d4dcb42fea97adcc0c7b67e058adb4aeb452b</t>
        </is>
      </c>
    </row>
    <row r="93">
      <c r="A93" t="inlineStr">
        <is>
          <t>88</t>
        </is>
      </c>
      <c r="B93" t="inlineStr">
        <is>
          <t>7550417440</t>
        </is>
      </c>
      <c r="C93" t="inlineStr">
        <is>
          <t>2025-12-06 22:03:13</t>
        </is>
      </c>
      <c r="D93" t="inlineStr">
        <is>
          <t>49</t>
        </is>
      </c>
      <c r="E93" t="inlineStr">
        <is>
          <t>Baba Yaga Art Of Chinese - By Posh Foods</t>
        </is>
      </c>
      <c r="F93" t="inlineStr">
        <is>
          <t>20037890</t>
        </is>
      </c>
      <c r="G93" t="inlineStr">
        <is>
          <t>Flat ₹150 off (2025-12-03 - 2031-01-01)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9</t>
        </is>
      </c>
      <c r="O93" t="n">
        <v>720</v>
      </c>
      <c r="P93" t="n">
        <v>0</v>
      </c>
      <c r="Q93" t="n">
        <v>0</v>
      </c>
      <c r="R93" t="n">
        <v>150</v>
      </c>
      <c r="S93" t="n">
        <v>57</v>
      </c>
      <c r="T93" t="n">
        <v>0</v>
      </c>
      <c r="U93" t="n">
        <v>0</v>
      </c>
      <c r="V93" t="n">
        <v>25.65</v>
      </c>
      <c r="W93" t="n">
        <v>538.65</v>
      </c>
      <c r="X93" t="n">
        <v>513</v>
      </c>
      <c r="Y93" t="n">
        <v>0</v>
      </c>
      <c r="Z93" t="n">
        <v>0</v>
      </c>
      <c r="AA93" t="n">
        <v>513</v>
      </c>
      <c r="AB93" t="n">
        <v>23</v>
      </c>
      <c r="AC93" t="n">
        <v>117.99</v>
      </c>
      <c r="AD93" t="n">
        <v>2.65</v>
      </c>
      <c r="AE93" t="n">
        <v>0</v>
      </c>
      <c r="AF93" t="n">
        <v>0</v>
      </c>
      <c r="AG93" t="n">
        <v>0</v>
      </c>
      <c r="AH93" t="n">
        <v>9.91</v>
      </c>
      <c r="AI93" t="n">
        <v>127.9</v>
      </c>
      <c r="AJ93" t="n">
        <v>23.02</v>
      </c>
      <c r="AK93" t="n">
        <v>0</v>
      </c>
      <c r="AL93" t="n">
        <v>513</v>
      </c>
      <c r="AM93" t="n">
        <v>0</v>
      </c>
      <c r="AN93" t="n">
        <v>0</v>
      </c>
      <c r="AO93" t="n">
        <v>0.51</v>
      </c>
      <c r="AP93" t="n">
        <v>25.65</v>
      </c>
      <c r="AQ93" t="n">
        <v>0</v>
      </c>
      <c r="AR93" t="n">
        <v>49.18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177.08</v>
      </c>
      <c r="BC93" t="n">
        <v>0</v>
      </c>
      <c r="BD93" t="n">
        <v>361.57</v>
      </c>
      <c r="BE93" t="inlineStr">
        <is>
          <t>settled</t>
        </is>
      </c>
      <c r="BF93" t="inlineStr">
        <is>
          <t>2025-12-10 05:30:00</t>
        </is>
      </c>
      <c r="BG93" t="inlineStr">
        <is>
          <t>CITIN25668340126</t>
        </is>
      </c>
      <c r="BH93" t="n">
        <v>0</v>
      </c>
      <c r="BI93" t="inlineStr">
        <is>
          <t>67f8f54a119c0b8b9cfd23e56571e8bc0c4936aca91fbe888f916e19e3ab2647</t>
        </is>
      </c>
    </row>
    <row r="94">
      <c r="A94" t="inlineStr">
        <is>
          <t>89</t>
        </is>
      </c>
      <c r="B94" t="inlineStr">
        <is>
          <t>7547838975</t>
        </is>
      </c>
      <c r="C94" t="inlineStr">
        <is>
          <t>2025-12-07 00:03:07</t>
        </is>
      </c>
      <c r="D94" t="inlineStr">
        <is>
          <t>49</t>
        </is>
      </c>
      <c r="E94" t="inlineStr">
        <is>
          <t>Baba Yaga Art Of Chinese - By Posh Foods</t>
        </is>
      </c>
      <c r="F94" t="inlineStr">
        <is>
          <t>20037890</t>
        </is>
      </c>
      <c r="G94" t="inlineStr">
        <is>
          <t>Flat ₹100 off (2025-12-05 - 2031-01-01)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9</t>
        </is>
      </c>
      <c r="O94" t="n">
        <v>375</v>
      </c>
      <c r="P94" t="n">
        <v>0</v>
      </c>
      <c r="Q94" t="n">
        <v>0</v>
      </c>
      <c r="R94" t="n">
        <v>100</v>
      </c>
      <c r="S94" t="n">
        <v>27.5</v>
      </c>
      <c r="T94" t="n">
        <v>0</v>
      </c>
      <c r="U94" t="n">
        <v>0</v>
      </c>
      <c r="V94" t="n">
        <v>12.38</v>
      </c>
      <c r="W94" t="n">
        <v>259.88</v>
      </c>
      <c r="X94" t="n">
        <v>247.5</v>
      </c>
      <c r="Y94" t="n">
        <v>0</v>
      </c>
      <c r="Z94" t="n">
        <v>0</v>
      </c>
      <c r="AA94" t="n">
        <v>247.5</v>
      </c>
      <c r="AB94" t="n">
        <v>23</v>
      </c>
      <c r="AC94" t="n">
        <v>56.92</v>
      </c>
      <c r="AD94" t="n">
        <v>3.06</v>
      </c>
      <c r="AE94" t="n">
        <v>0</v>
      </c>
      <c r="AF94" t="n">
        <v>0</v>
      </c>
      <c r="AG94" t="n">
        <v>0</v>
      </c>
      <c r="AH94" t="n">
        <v>4.78</v>
      </c>
      <c r="AI94" t="n">
        <v>61.7</v>
      </c>
      <c r="AJ94" t="n">
        <v>11.11</v>
      </c>
      <c r="AK94" t="n">
        <v>0</v>
      </c>
      <c r="AL94" t="n">
        <v>247.5</v>
      </c>
      <c r="AM94" t="n">
        <v>0</v>
      </c>
      <c r="AN94" t="n">
        <v>0</v>
      </c>
      <c r="AO94" t="n">
        <v>0.25</v>
      </c>
      <c r="AP94" t="n">
        <v>12.38</v>
      </c>
      <c r="AQ94" t="n">
        <v>0</v>
      </c>
      <c r="AR94" t="n">
        <v>23.74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29.21</v>
      </c>
      <c r="AY94" t="n">
        <v>0</v>
      </c>
      <c r="AZ94" t="n">
        <v>0</v>
      </c>
      <c r="BA94" t="n">
        <v>29.21</v>
      </c>
      <c r="BB94" t="n">
        <v>114.65</v>
      </c>
      <c r="BC94" t="n">
        <v>0</v>
      </c>
      <c r="BD94" t="n">
        <v>145.23</v>
      </c>
      <c r="BE94" t="inlineStr">
        <is>
          <t>settled</t>
        </is>
      </c>
      <c r="BF94" t="inlineStr">
        <is>
          <t>2025-12-10 05:30:00</t>
        </is>
      </c>
      <c r="BG94" t="inlineStr">
        <is>
          <t>CITIN25668340126</t>
        </is>
      </c>
      <c r="BH94" t="n">
        <v>0</v>
      </c>
      <c r="BI94" t="inlineStr">
        <is>
          <t>5025093c5e94b7580ff6efccd2361d9fa7b71a656d3602ac0fecb47d821ca501</t>
        </is>
      </c>
    </row>
    <row r="95">
      <c r="A95" t="inlineStr">
        <is>
          <t>90</t>
        </is>
      </c>
      <c r="B95" t="inlineStr">
        <is>
          <t>7548839614</t>
        </is>
      </c>
      <c r="C95" t="inlineStr">
        <is>
          <t>2025-12-07 00:48:01</t>
        </is>
      </c>
      <c r="D95" t="inlineStr">
        <is>
          <t>49</t>
        </is>
      </c>
      <c r="E95" t="inlineStr">
        <is>
          <t>Baba Yaga Art Of Chinese - By Posh Foods</t>
        </is>
      </c>
      <c r="F95" t="inlineStr">
        <is>
          <t>20037890</t>
        </is>
      </c>
      <c r="G95" t="inlineStr">
        <is>
          <t>Flat ₹100 off (2025-12-05 - 2031-01-01)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9</t>
        </is>
      </c>
      <c r="O95" t="n">
        <v>315</v>
      </c>
      <c r="P95" t="n">
        <v>0</v>
      </c>
      <c r="Q95" t="n">
        <v>0</v>
      </c>
      <c r="R95" t="n">
        <v>100</v>
      </c>
      <c r="S95" t="n">
        <v>21.5</v>
      </c>
      <c r="T95" t="n">
        <v>0</v>
      </c>
      <c r="U95" t="n">
        <v>0</v>
      </c>
      <c r="V95" t="n">
        <v>9.68</v>
      </c>
      <c r="W95" t="n">
        <v>203.18</v>
      </c>
      <c r="X95" t="n">
        <v>193.5</v>
      </c>
      <c r="Y95" t="n">
        <v>0</v>
      </c>
      <c r="Z95" t="n">
        <v>0</v>
      </c>
      <c r="AA95" t="n">
        <v>193.5</v>
      </c>
      <c r="AB95" t="n">
        <v>23</v>
      </c>
      <c r="AC95" t="n">
        <v>44.5</v>
      </c>
      <c r="AD95" t="n">
        <v>1.57</v>
      </c>
      <c r="AE95" t="n">
        <v>0</v>
      </c>
      <c r="AF95" t="n">
        <v>0</v>
      </c>
      <c r="AG95" t="n">
        <v>0</v>
      </c>
      <c r="AH95" t="n">
        <v>3.74</v>
      </c>
      <c r="AI95" t="n">
        <v>48.24</v>
      </c>
      <c r="AJ95" t="n">
        <v>8.68</v>
      </c>
      <c r="AK95" t="n">
        <v>0</v>
      </c>
      <c r="AL95" t="n">
        <v>193.5</v>
      </c>
      <c r="AM95" t="n">
        <v>0</v>
      </c>
      <c r="AN95" t="n">
        <v>0</v>
      </c>
      <c r="AO95" t="n">
        <v>0.19</v>
      </c>
      <c r="AP95" t="n">
        <v>9.68</v>
      </c>
      <c r="AQ95" t="n">
        <v>0</v>
      </c>
      <c r="AR95" t="n">
        <v>18.55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66.79000000000001</v>
      </c>
      <c r="BC95" t="n">
        <v>0</v>
      </c>
      <c r="BD95" t="n">
        <v>136.39</v>
      </c>
      <c r="BE95" t="inlineStr">
        <is>
          <t>settled</t>
        </is>
      </c>
      <c r="BF95" t="inlineStr">
        <is>
          <t>2025-12-10 05:30:00</t>
        </is>
      </c>
      <c r="BG95" t="inlineStr">
        <is>
          <t>CITIN25668340126</t>
        </is>
      </c>
      <c r="BH95" t="n">
        <v>0</v>
      </c>
      <c r="BI95" t="inlineStr">
        <is>
          <t>f46b3a032a70ffae9e700b3c5efe3fa1391605388841e5a72e01e59e23db6ebb</t>
        </is>
      </c>
    </row>
    <row r="96">
      <c r="A96" t="inlineStr">
        <is>
          <t>91</t>
        </is>
      </c>
      <c r="B96" t="inlineStr">
        <is>
          <t>7550934283</t>
        </is>
      </c>
      <c r="C96" t="inlineStr">
        <is>
          <t>2025-12-07 00:50:53</t>
        </is>
      </c>
      <c r="D96" t="inlineStr">
        <is>
          <t>49</t>
        </is>
      </c>
      <c r="E96" t="inlineStr">
        <is>
          <t>Baba Yaga Art Of Chinese - By Posh Foods</t>
        </is>
      </c>
      <c r="F96" t="inlineStr">
        <is>
          <t>20037890</t>
        </is>
      </c>
      <c r="G96" t="inlineStr">
        <is>
          <t>Flat ₹175 off (2025-12-03 - 2031-01-01)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9</t>
        </is>
      </c>
      <c r="O96" t="n">
        <v>684</v>
      </c>
      <c r="P96" t="n">
        <v>0</v>
      </c>
      <c r="Q96" t="n">
        <v>0</v>
      </c>
      <c r="R96" t="n">
        <v>122</v>
      </c>
      <c r="S96" t="n">
        <v>0</v>
      </c>
      <c r="T96" t="n">
        <v>0</v>
      </c>
      <c r="U96" t="n">
        <v>0</v>
      </c>
      <c r="V96" t="n">
        <v>28.1</v>
      </c>
      <c r="W96" t="n">
        <v>590.1</v>
      </c>
      <c r="X96" t="n">
        <v>562</v>
      </c>
      <c r="Y96" t="n">
        <v>0</v>
      </c>
      <c r="Z96" t="n">
        <v>0</v>
      </c>
      <c r="AA96" t="n">
        <v>562</v>
      </c>
      <c r="AB96" t="n">
        <v>23</v>
      </c>
      <c r="AC96" t="n">
        <v>129.26</v>
      </c>
      <c r="AD96" t="n">
        <v>6.6</v>
      </c>
      <c r="AE96" t="n">
        <v>40</v>
      </c>
      <c r="AF96" t="n">
        <v>0</v>
      </c>
      <c r="AG96" t="n">
        <v>0.66</v>
      </c>
      <c r="AH96" t="n">
        <v>10.86</v>
      </c>
      <c r="AI96" t="n">
        <v>179.46</v>
      </c>
      <c r="AJ96" t="n">
        <v>32.3</v>
      </c>
      <c r="AK96" t="n">
        <v>0</v>
      </c>
      <c r="AL96" t="n">
        <v>562</v>
      </c>
      <c r="AM96" t="n">
        <v>0</v>
      </c>
      <c r="AN96" t="n">
        <v>0</v>
      </c>
      <c r="AO96" t="n">
        <v>0.5600000000000001</v>
      </c>
      <c r="AP96" t="n">
        <v>28.1</v>
      </c>
      <c r="AQ96" t="n">
        <v>0</v>
      </c>
      <c r="AR96" t="n">
        <v>60.96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240.42</v>
      </c>
      <c r="BC96" t="n">
        <v>0</v>
      </c>
      <c r="BD96" t="n">
        <v>349.68</v>
      </c>
      <c r="BE96" t="inlineStr">
        <is>
          <t>settled</t>
        </is>
      </c>
      <c r="BF96" t="inlineStr">
        <is>
          <t>2025-12-10 05:30:00</t>
        </is>
      </c>
      <c r="BG96" t="inlineStr">
        <is>
          <t>CITIN25668340126</t>
        </is>
      </c>
      <c r="BH96" t="n">
        <v>0</v>
      </c>
      <c r="BI96" t="inlineStr">
        <is>
          <t>ec2fe33ec05d2bb5ed88c7b16ccb1d2da2a1832f9ead9e2ecc856909fad479da</t>
        </is>
      </c>
    </row>
    <row r="97">
      <c r="A97" t="inlineStr">
        <is>
          <t>92</t>
        </is>
      </c>
      <c r="B97" t="inlineStr">
        <is>
          <t>7557616216</t>
        </is>
      </c>
      <c r="C97" t="inlineStr">
        <is>
          <t>2025-12-07 13:00:16</t>
        </is>
      </c>
      <c r="D97" t="inlineStr">
        <is>
          <t>49</t>
        </is>
      </c>
      <c r="E97" t="inlineStr">
        <is>
          <t>Baba Yaga Art Of Chinese - By Posh Foods</t>
        </is>
      </c>
      <c r="F97" t="inlineStr">
        <is>
          <t>20037890</t>
        </is>
      </c>
      <c r="G97" t="inlineStr">
        <is>
          <t>Flat ₹100 off (2025-12-05 - 2031-01-01)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9</t>
        </is>
      </c>
      <c r="O97" t="n">
        <v>315</v>
      </c>
      <c r="P97" t="n">
        <v>0</v>
      </c>
      <c r="Q97" t="n">
        <v>0</v>
      </c>
      <c r="R97" t="n">
        <v>100</v>
      </c>
      <c r="S97" t="n">
        <v>21.5</v>
      </c>
      <c r="T97" t="n">
        <v>0</v>
      </c>
      <c r="U97" t="n">
        <v>0</v>
      </c>
      <c r="V97" t="n">
        <v>9.68</v>
      </c>
      <c r="W97" t="n">
        <v>203.18</v>
      </c>
      <c r="X97" t="n">
        <v>193.5</v>
      </c>
      <c r="Y97" t="n">
        <v>0</v>
      </c>
      <c r="Z97" t="n">
        <v>0</v>
      </c>
      <c r="AA97" t="n">
        <v>193.5</v>
      </c>
      <c r="AB97" t="n">
        <v>23</v>
      </c>
      <c r="AC97" t="n">
        <v>44.5</v>
      </c>
      <c r="AD97" t="n">
        <v>7.29</v>
      </c>
      <c r="AE97" t="n">
        <v>40</v>
      </c>
      <c r="AF97" t="n">
        <v>0</v>
      </c>
      <c r="AG97" t="n">
        <v>26.45</v>
      </c>
      <c r="AH97" t="n">
        <v>3.74</v>
      </c>
      <c r="AI97" t="n">
        <v>61.79</v>
      </c>
      <c r="AJ97" t="n">
        <v>11.12</v>
      </c>
      <c r="AK97" t="n">
        <v>0</v>
      </c>
      <c r="AL97" t="n">
        <v>193.5</v>
      </c>
      <c r="AM97" t="n">
        <v>0</v>
      </c>
      <c r="AN97" t="n">
        <v>0</v>
      </c>
      <c r="AO97" t="n">
        <v>0.19</v>
      </c>
      <c r="AP97" t="n">
        <v>9.68</v>
      </c>
      <c r="AQ97" t="n">
        <v>0</v>
      </c>
      <c r="AR97" t="n">
        <v>20.99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82.78</v>
      </c>
      <c r="BC97" t="n">
        <v>0</v>
      </c>
      <c r="BD97" t="n">
        <v>120.4</v>
      </c>
      <c r="BE97" t="inlineStr">
        <is>
          <t>settled</t>
        </is>
      </c>
      <c r="BF97" t="inlineStr">
        <is>
          <t>2025-12-10 05:30:00</t>
        </is>
      </c>
      <c r="BG97" t="inlineStr">
        <is>
          <t>CITIN25668340126</t>
        </is>
      </c>
      <c r="BH97" t="n">
        <v>0</v>
      </c>
      <c r="BI97" t="inlineStr">
        <is>
          <t>47b8e53232e0e8a23ae89403f84e373acb7eb6612a68b8d6b62de3275b9bfbd6</t>
        </is>
      </c>
    </row>
    <row r="98">
      <c r="A98" t="inlineStr">
        <is>
          <t>93</t>
        </is>
      </c>
      <c r="B98" t="inlineStr">
        <is>
          <t>7557418960</t>
        </is>
      </c>
      <c r="C98" t="inlineStr">
        <is>
          <t>2025-12-07 13:49:37</t>
        </is>
      </c>
      <c r="D98" t="inlineStr">
        <is>
          <t>49</t>
        </is>
      </c>
      <c r="E98" t="inlineStr">
        <is>
          <t>Baba Yaga Art Of Chinese - By Posh Foods</t>
        </is>
      </c>
      <c r="F98" t="inlineStr">
        <is>
          <t>20037890</t>
        </is>
      </c>
      <c r="G98" t="inlineStr">
        <is>
          <t>Flat ₹100 off (2025-12-05 - 2031-01-01)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9</t>
        </is>
      </c>
      <c r="O98" t="n">
        <v>315</v>
      </c>
      <c r="P98" t="n">
        <v>0</v>
      </c>
      <c r="Q98" t="n">
        <v>0</v>
      </c>
      <c r="R98" t="n">
        <v>100</v>
      </c>
      <c r="S98" t="n">
        <v>21.5</v>
      </c>
      <c r="T98" t="n">
        <v>0</v>
      </c>
      <c r="U98" t="n">
        <v>0</v>
      </c>
      <c r="V98" t="n">
        <v>9.68</v>
      </c>
      <c r="W98" t="n">
        <v>203.18</v>
      </c>
      <c r="X98" t="n">
        <v>193.5</v>
      </c>
      <c r="Y98" t="n">
        <v>0</v>
      </c>
      <c r="Z98" t="n">
        <v>0</v>
      </c>
      <c r="AA98" t="n">
        <v>193.5</v>
      </c>
      <c r="AB98" t="n">
        <v>23</v>
      </c>
      <c r="AC98" t="n">
        <v>44.5</v>
      </c>
      <c r="AD98" t="n">
        <v>3.62</v>
      </c>
      <c r="AE98" t="n">
        <v>0</v>
      </c>
      <c r="AF98" t="n">
        <v>0</v>
      </c>
      <c r="AG98" t="n">
        <v>0</v>
      </c>
      <c r="AH98" t="n">
        <v>3.74</v>
      </c>
      <c r="AI98" t="n">
        <v>48.24</v>
      </c>
      <c r="AJ98" t="n">
        <v>8.68</v>
      </c>
      <c r="AK98" t="n">
        <v>0</v>
      </c>
      <c r="AL98" t="n">
        <v>193.5</v>
      </c>
      <c r="AM98" t="n">
        <v>0</v>
      </c>
      <c r="AN98" t="n">
        <v>0</v>
      </c>
      <c r="AO98" t="n">
        <v>0.19</v>
      </c>
      <c r="AP98" t="n">
        <v>9.68</v>
      </c>
      <c r="AQ98" t="n">
        <v>0</v>
      </c>
      <c r="AR98" t="n">
        <v>18.55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66.79000000000001</v>
      </c>
      <c r="BC98" t="n">
        <v>0</v>
      </c>
      <c r="BD98" t="n">
        <v>136.39</v>
      </c>
      <c r="BE98" t="inlineStr">
        <is>
          <t>settled</t>
        </is>
      </c>
      <c r="BF98" t="inlineStr">
        <is>
          <t>2025-12-10 05:30:00</t>
        </is>
      </c>
      <c r="BG98" t="inlineStr">
        <is>
          <t>CITIN25668340126</t>
        </is>
      </c>
      <c r="BH98" t="n">
        <v>0</v>
      </c>
      <c r="BI98" t="inlineStr">
        <is>
          <t>3614dea822d9294ded4a4403a4ea9cef4a36ea1fd1ff200da7f3092043258928</t>
        </is>
      </c>
    </row>
    <row r="99">
      <c r="A99" t="inlineStr">
        <is>
          <t>94</t>
        </is>
      </c>
      <c r="B99" t="inlineStr">
        <is>
          <t>7555053369</t>
        </is>
      </c>
      <c r="C99" t="inlineStr">
        <is>
          <t>2025-12-07 14:52:58</t>
        </is>
      </c>
      <c r="D99" t="inlineStr">
        <is>
          <t>49</t>
        </is>
      </c>
      <c r="E99" t="inlineStr">
        <is>
          <t>Baba Yaga Art Of Chinese - By Posh Foods</t>
        </is>
      </c>
      <c r="F99" t="inlineStr">
        <is>
          <t>20037890</t>
        </is>
      </c>
      <c r="G99" t="inlineStr">
        <is>
          <t>Flat ₹100 off (2025-12-05 - 2031-01-01)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9</t>
        </is>
      </c>
      <c r="O99" t="n">
        <v>319</v>
      </c>
      <c r="P99" t="n">
        <v>0</v>
      </c>
      <c r="Q99" t="n">
        <v>0</v>
      </c>
      <c r="R99" t="n">
        <v>100</v>
      </c>
      <c r="S99" t="n">
        <v>21.9</v>
      </c>
      <c r="T99" t="n">
        <v>0</v>
      </c>
      <c r="U99" t="n">
        <v>0</v>
      </c>
      <c r="V99" t="n">
        <v>9.859999999999999</v>
      </c>
      <c r="W99" t="n">
        <v>206.96</v>
      </c>
      <c r="X99" t="n">
        <v>197.1</v>
      </c>
      <c r="Y99" t="n">
        <v>0</v>
      </c>
      <c r="Z99" t="n">
        <v>0</v>
      </c>
      <c r="AA99" t="n">
        <v>197.1</v>
      </c>
      <c r="AB99" t="n">
        <v>23</v>
      </c>
      <c r="AC99" t="n">
        <v>45.33</v>
      </c>
      <c r="AD99" t="n">
        <v>5.13</v>
      </c>
      <c r="AE99" t="n">
        <v>20</v>
      </c>
      <c r="AF99" t="n">
        <v>0</v>
      </c>
      <c r="AG99" t="n">
        <v>6.2</v>
      </c>
      <c r="AH99" t="n">
        <v>3.81</v>
      </c>
      <c r="AI99" t="n">
        <v>62.94</v>
      </c>
      <c r="AJ99" t="n">
        <v>11.33</v>
      </c>
      <c r="AK99" t="n">
        <v>0</v>
      </c>
      <c r="AL99" t="n">
        <v>197.1</v>
      </c>
      <c r="AM99" t="n">
        <v>0</v>
      </c>
      <c r="AN99" t="n">
        <v>0</v>
      </c>
      <c r="AO99" t="n">
        <v>0.2</v>
      </c>
      <c r="AP99" t="n">
        <v>9.859999999999999</v>
      </c>
      <c r="AQ99" t="n">
        <v>0</v>
      </c>
      <c r="AR99" t="n">
        <v>21.39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23.26</v>
      </c>
      <c r="AY99" t="n">
        <v>0</v>
      </c>
      <c r="AZ99" t="n">
        <v>0</v>
      </c>
      <c r="BA99" t="n">
        <v>23.26</v>
      </c>
      <c r="BB99" t="n">
        <v>107.59</v>
      </c>
      <c r="BC99" t="n">
        <v>0</v>
      </c>
      <c r="BD99" t="n">
        <v>99.37</v>
      </c>
      <c r="BE99" t="inlineStr">
        <is>
          <t>settled</t>
        </is>
      </c>
      <c r="BF99" t="inlineStr">
        <is>
          <t>2025-12-10 05:30:00</t>
        </is>
      </c>
      <c r="BG99" t="inlineStr">
        <is>
          <t>CITIN25668340126</t>
        </is>
      </c>
      <c r="BH99" t="n">
        <v>0</v>
      </c>
      <c r="BI99" t="inlineStr">
        <is>
          <t>9b77f71489e56c1a911eeffc2b05c8eaf75caac4cb22b2a43fe34d0955068c1a</t>
        </is>
      </c>
    </row>
    <row r="100">
      <c r="A100" t="inlineStr">
        <is>
          <t>95</t>
        </is>
      </c>
      <c r="B100" t="inlineStr">
        <is>
          <t>7553443100</t>
        </is>
      </c>
      <c r="C100" t="inlineStr">
        <is>
          <t>2025-12-07 14:53:34</t>
        </is>
      </c>
      <c r="D100" t="inlineStr">
        <is>
          <t>49</t>
        </is>
      </c>
      <c r="E100" t="inlineStr">
        <is>
          <t>Baba Yaga Art Of Chinese - By Posh Foods</t>
        </is>
      </c>
      <c r="F100" t="inlineStr">
        <is>
          <t>20037890</t>
        </is>
      </c>
      <c r="G100" t="inlineStr">
        <is>
          <t>Flat ₹125 off (2025-12-03 - 2031-01-01)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9</t>
        </is>
      </c>
      <c r="O100" t="n">
        <v>375</v>
      </c>
      <c r="P100" t="n">
        <v>0</v>
      </c>
      <c r="Q100" t="n">
        <v>0</v>
      </c>
      <c r="R100" t="n">
        <v>87</v>
      </c>
      <c r="S100" t="n">
        <v>25</v>
      </c>
      <c r="T100" t="n">
        <v>0</v>
      </c>
      <c r="U100" t="n">
        <v>0</v>
      </c>
      <c r="V100" t="n">
        <v>13.15</v>
      </c>
      <c r="W100" t="n">
        <v>276.15</v>
      </c>
      <c r="X100" t="n">
        <v>263</v>
      </c>
      <c r="Y100" t="n">
        <v>0</v>
      </c>
      <c r="Z100" t="n">
        <v>0</v>
      </c>
      <c r="AA100" t="n">
        <v>263</v>
      </c>
      <c r="AB100" t="n">
        <v>23</v>
      </c>
      <c r="AC100" t="n">
        <v>60.49</v>
      </c>
      <c r="AD100" t="n">
        <v>2.38</v>
      </c>
      <c r="AE100" t="n">
        <v>0</v>
      </c>
      <c r="AF100" t="n">
        <v>0</v>
      </c>
      <c r="AG100" t="n">
        <v>0</v>
      </c>
      <c r="AH100" t="n">
        <v>5.08</v>
      </c>
      <c r="AI100" t="n">
        <v>65.56999999999999</v>
      </c>
      <c r="AJ100" t="n">
        <v>11.8</v>
      </c>
      <c r="AK100" t="n">
        <v>0</v>
      </c>
      <c r="AL100" t="n">
        <v>263</v>
      </c>
      <c r="AM100" t="n">
        <v>0</v>
      </c>
      <c r="AN100" t="n">
        <v>0</v>
      </c>
      <c r="AO100" t="n">
        <v>0.26</v>
      </c>
      <c r="AP100" t="n">
        <v>13.15</v>
      </c>
      <c r="AQ100" t="n">
        <v>0</v>
      </c>
      <c r="AR100" t="n">
        <v>25.21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31.03</v>
      </c>
      <c r="AY100" t="n">
        <v>0</v>
      </c>
      <c r="AZ100" t="n">
        <v>0</v>
      </c>
      <c r="BA100" t="n">
        <v>31.03</v>
      </c>
      <c r="BB100" t="n">
        <v>121.81</v>
      </c>
      <c r="BC100" t="n">
        <v>0</v>
      </c>
      <c r="BD100" t="n">
        <v>154.34</v>
      </c>
      <c r="BE100" t="inlineStr">
        <is>
          <t>settled</t>
        </is>
      </c>
      <c r="BF100" t="inlineStr">
        <is>
          <t>2025-12-10 05:30:00</t>
        </is>
      </c>
      <c r="BG100" t="inlineStr">
        <is>
          <t>CITIN25668340126</t>
        </is>
      </c>
      <c r="BH100" t="n">
        <v>0</v>
      </c>
      <c r="BI100" t="inlineStr">
        <is>
          <t>0090e0d6c37442f16d65e8b738687e2fd0a53a1fc30826242c1bba30630e3cd7</t>
        </is>
      </c>
    </row>
    <row r="101">
      <c r="A101" t="inlineStr">
        <is>
          <t>96</t>
        </is>
      </c>
      <c r="B101" t="inlineStr">
        <is>
          <t>7555081951</t>
        </is>
      </c>
      <c r="C101" t="inlineStr">
        <is>
          <t>2025-12-07 18:11:01</t>
        </is>
      </c>
      <c r="D101" t="inlineStr">
        <is>
          <t>49</t>
        </is>
      </c>
      <c r="E101" t="inlineStr">
        <is>
          <t>Baba Yaga Art Of Chinese - By Posh Foods</t>
        </is>
      </c>
      <c r="F101" t="inlineStr">
        <is>
          <t>20037890</t>
        </is>
      </c>
      <c r="G101" t="inlineStr">
        <is>
          <t>Flat ₹100 off (2025-12-03 - 2031-01-01)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9</t>
        </is>
      </c>
      <c r="O101" t="n">
        <v>210</v>
      </c>
      <c r="P101" t="n">
        <v>0</v>
      </c>
      <c r="Q101" t="n">
        <v>0</v>
      </c>
      <c r="R101" t="n">
        <v>70</v>
      </c>
      <c r="S101" t="n">
        <v>0</v>
      </c>
      <c r="T101" t="n">
        <v>0</v>
      </c>
      <c r="U101" t="n">
        <v>0</v>
      </c>
      <c r="V101" t="n">
        <v>7</v>
      </c>
      <c r="W101" t="n">
        <v>147</v>
      </c>
      <c r="X101" t="n">
        <v>140</v>
      </c>
      <c r="Y101" t="n">
        <v>0</v>
      </c>
      <c r="Z101" t="n">
        <v>0</v>
      </c>
      <c r="AA101" t="n">
        <v>140</v>
      </c>
      <c r="AB101" t="n">
        <v>23</v>
      </c>
      <c r="AC101" t="n">
        <v>32.2</v>
      </c>
      <c r="AD101" t="n">
        <v>2.54</v>
      </c>
      <c r="AE101" t="n">
        <v>0</v>
      </c>
      <c r="AF101" t="n">
        <v>0</v>
      </c>
      <c r="AG101" t="n">
        <v>0</v>
      </c>
      <c r="AH101" t="n">
        <v>2.7</v>
      </c>
      <c r="AI101" t="n">
        <v>34.9</v>
      </c>
      <c r="AJ101" t="n">
        <v>6.29</v>
      </c>
      <c r="AK101" t="n">
        <v>0</v>
      </c>
      <c r="AL101" t="n">
        <v>140</v>
      </c>
      <c r="AM101" t="n">
        <v>0</v>
      </c>
      <c r="AN101" t="n">
        <v>0</v>
      </c>
      <c r="AO101" t="n">
        <v>0.14</v>
      </c>
      <c r="AP101" t="n">
        <v>7</v>
      </c>
      <c r="AQ101" t="n">
        <v>0</v>
      </c>
      <c r="AR101" t="n">
        <v>13.43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48.33</v>
      </c>
      <c r="BC101" t="n">
        <v>0</v>
      </c>
      <c r="BD101" t="n">
        <v>98.67</v>
      </c>
      <c r="BE101" t="inlineStr">
        <is>
          <t>settled</t>
        </is>
      </c>
      <c r="BF101" t="inlineStr">
        <is>
          <t>2025-12-10 05:30:00</t>
        </is>
      </c>
      <c r="BG101" t="inlineStr">
        <is>
          <t>CITIN25668340126</t>
        </is>
      </c>
      <c r="BH101" t="n">
        <v>0</v>
      </c>
      <c r="BI101" t="inlineStr">
        <is>
          <t>449d55bae7dde71c80878d12cd49ffe200c90d555afb046e0c8321feebd64953</t>
        </is>
      </c>
    </row>
    <row r="102">
      <c r="A102" t="inlineStr">
        <is>
          <t>97</t>
        </is>
      </c>
      <c r="B102" t="inlineStr">
        <is>
          <t>7559100728</t>
        </is>
      </c>
      <c r="C102" t="inlineStr">
        <is>
          <t>2025-12-07 18:58:17</t>
        </is>
      </c>
      <c r="D102" t="inlineStr">
        <is>
          <t>49</t>
        </is>
      </c>
      <c r="E102" t="inlineStr">
        <is>
          <t>Baba Yaga Art Of Chinese - By Posh Foods</t>
        </is>
      </c>
      <c r="F102" t="inlineStr">
        <is>
          <t>20037890</t>
        </is>
      </c>
      <c r="G102" t="inlineStr">
        <is>
          <t>Flat ₹100 off (2025-12-05 - 2031-01-01)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9</t>
        </is>
      </c>
      <c r="O102" t="n">
        <v>335</v>
      </c>
      <c r="P102" t="n">
        <v>0</v>
      </c>
      <c r="Q102" t="n">
        <v>0</v>
      </c>
      <c r="R102" t="n">
        <v>100</v>
      </c>
      <c r="S102" t="n">
        <v>23.5</v>
      </c>
      <c r="T102" t="n">
        <v>0</v>
      </c>
      <c r="U102" t="n">
        <v>0</v>
      </c>
      <c r="V102" t="n">
        <v>10.58</v>
      </c>
      <c r="W102" t="n">
        <v>222.08</v>
      </c>
      <c r="X102" t="n">
        <v>211.5</v>
      </c>
      <c r="Y102" t="n">
        <v>0</v>
      </c>
      <c r="Z102" t="n">
        <v>0</v>
      </c>
      <c r="AA102" t="n">
        <v>211.5</v>
      </c>
      <c r="AB102" t="n">
        <v>23</v>
      </c>
      <c r="AC102" t="n">
        <v>48.64</v>
      </c>
      <c r="AD102" t="n">
        <v>4.18</v>
      </c>
      <c r="AE102" t="n">
        <v>20</v>
      </c>
      <c r="AF102" t="n">
        <v>0</v>
      </c>
      <c r="AG102" t="n">
        <v>5.19</v>
      </c>
      <c r="AH102" t="n">
        <v>4.09</v>
      </c>
      <c r="AI102" t="n">
        <v>67.54000000000001</v>
      </c>
      <c r="AJ102" t="n">
        <v>12.17</v>
      </c>
      <c r="AK102" t="n">
        <v>0</v>
      </c>
      <c r="AL102" t="n">
        <v>211.5</v>
      </c>
      <c r="AM102" t="n">
        <v>0</v>
      </c>
      <c r="AN102" t="n">
        <v>0</v>
      </c>
      <c r="AO102" t="n">
        <v>0.21</v>
      </c>
      <c r="AP102" t="n">
        <v>10.58</v>
      </c>
      <c r="AQ102" t="n">
        <v>0</v>
      </c>
      <c r="AR102" t="n">
        <v>22.96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90.5</v>
      </c>
      <c r="BC102" t="n">
        <v>0</v>
      </c>
      <c r="BD102" t="n">
        <v>131.58</v>
      </c>
      <c r="BE102" t="inlineStr">
        <is>
          <t>settled</t>
        </is>
      </c>
      <c r="BF102" t="inlineStr">
        <is>
          <t>2025-12-10 05:30:00</t>
        </is>
      </c>
      <c r="BG102" t="inlineStr">
        <is>
          <t>CITIN25668340126</t>
        </is>
      </c>
      <c r="BH102" t="n">
        <v>0</v>
      </c>
      <c r="BI102" t="inlineStr">
        <is>
          <t>5c063eab70753fe33faf1697f75dbe0be0caf3406922b53a51c8c13a073fdb15</t>
        </is>
      </c>
    </row>
    <row r="103">
      <c r="A103" t="inlineStr">
        <is>
          <t>98</t>
        </is>
      </c>
      <c r="B103" t="inlineStr">
        <is>
          <t>7557441450</t>
        </is>
      </c>
      <c r="C103" t="inlineStr">
        <is>
          <t>2025-12-07 19:08:53</t>
        </is>
      </c>
      <c r="D103" t="inlineStr">
        <is>
          <t>49</t>
        </is>
      </c>
      <c r="E103" t="inlineStr">
        <is>
          <t>Baba Yaga Art Of Chinese - By Posh Foods</t>
        </is>
      </c>
      <c r="F103" t="inlineStr">
        <is>
          <t>20037890</t>
        </is>
      </c>
      <c r="G103" t="inlineStr">
        <is>
          <t>Flat ₹175 off (2025-12-03 - 2031-01-01)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9</t>
        </is>
      </c>
      <c r="O103" t="n">
        <v>770</v>
      </c>
      <c r="P103" t="n">
        <v>0</v>
      </c>
      <c r="Q103" t="n">
        <v>0</v>
      </c>
      <c r="R103" t="n">
        <v>122</v>
      </c>
      <c r="S103" t="n">
        <v>59.5</v>
      </c>
      <c r="T103" t="n">
        <v>0</v>
      </c>
      <c r="U103" t="n">
        <v>0</v>
      </c>
      <c r="V103" t="n">
        <v>29.43</v>
      </c>
      <c r="W103" t="n">
        <v>617.9299999999999</v>
      </c>
      <c r="X103" t="n">
        <v>588.5</v>
      </c>
      <c r="Y103" t="n">
        <v>0</v>
      </c>
      <c r="Z103" t="n">
        <v>0</v>
      </c>
      <c r="AA103" t="n">
        <v>588.5</v>
      </c>
      <c r="AB103" t="n">
        <v>23</v>
      </c>
      <c r="AC103" t="n">
        <v>135.36</v>
      </c>
      <c r="AD103" t="n">
        <v>5.11</v>
      </c>
      <c r="AE103" t="n">
        <v>20</v>
      </c>
      <c r="AF103" t="n">
        <v>0</v>
      </c>
      <c r="AG103" t="n">
        <v>0</v>
      </c>
      <c r="AH103" t="n">
        <v>11.37</v>
      </c>
      <c r="AI103" t="n">
        <v>166.73</v>
      </c>
      <c r="AJ103" t="n">
        <v>30.01</v>
      </c>
      <c r="AK103" t="n">
        <v>0</v>
      </c>
      <c r="AL103" t="n">
        <v>588.5</v>
      </c>
      <c r="AM103" t="n">
        <v>0</v>
      </c>
      <c r="AN103" t="n">
        <v>0</v>
      </c>
      <c r="AO103" t="n">
        <v>0.59</v>
      </c>
      <c r="AP103" t="n">
        <v>29.43</v>
      </c>
      <c r="AQ103" t="n">
        <v>0</v>
      </c>
      <c r="AR103" t="n">
        <v>60.03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226.76</v>
      </c>
      <c r="BC103" t="n">
        <v>0</v>
      </c>
      <c r="BD103" t="n">
        <v>391.17</v>
      </c>
      <c r="BE103" t="inlineStr">
        <is>
          <t>settled</t>
        </is>
      </c>
      <c r="BF103" t="inlineStr">
        <is>
          <t>2025-12-10 05:30:00</t>
        </is>
      </c>
      <c r="BG103" t="inlineStr">
        <is>
          <t>CITIN25668340126</t>
        </is>
      </c>
      <c r="BH103" t="n">
        <v>0</v>
      </c>
      <c r="BI103" t="inlineStr">
        <is>
          <t>a8f44cb25761b2321395a6f37112e6bce9b4c07cb60e5c780aafba0d39fe4524</t>
        </is>
      </c>
    </row>
    <row r="104">
      <c r="A104" t="inlineStr">
        <is>
          <t>99</t>
        </is>
      </c>
      <c r="B104" t="inlineStr">
        <is>
          <t>7549429835</t>
        </is>
      </c>
      <c r="C104" t="inlineStr">
        <is>
          <t>2025-12-07 19:24:45</t>
        </is>
      </c>
      <c r="D104" t="inlineStr">
        <is>
          <t>49</t>
        </is>
      </c>
      <c r="E104" t="inlineStr">
        <is>
          <t>Baba Yaga Art Of Chinese - By Posh Foods</t>
        </is>
      </c>
      <c r="F104" t="inlineStr">
        <is>
          <t>20037890</t>
        </is>
      </c>
      <c r="G104" t="inlineStr">
        <is>
          <t>Flat ₹175 off (2025-12-03 - 2031-01-01)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9</t>
        </is>
      </c>
      <c r="O104" t="n">
        <v>770</v>
      </c>
      <c r="P104" t="n">
        <v>0</v>
      </c>
      <c r="Q104" t="n">
        <v>0</v>
      </c>
      <c r="R104" t="n">
        <v>122</v>
      </c>
      <c r="S104" t="n">
        <v>59.5</v>
      </c>
      <c r="T104" t="n">
        <v>0</v>
      </c>
      <c r="U104" t="n">
        <v>0</v>
      </c>
      <c r="V104" t="n">
        <v>29.43</v>
      </c>
      <c r="W104" t="n">
        <v>617.9299999999999</v>
      </c>
      <c r="X104" t="n">
        <v>588.5</v>
      </c>
      <c r="Y104" t="n">
        <v>0</v>
      </c>
      <c r="Z104" t="n">
        <v>0</v>
      </c>
      <c r="AA104" t="n">
        <v>588.5</v>
      </c>
      <c r="AB104" t="n">
        <v>23</v>
      </c>
      <c r="AC104" t="n">
        <v>135.36</v>
      </c>
      <c r="AD104" t="n">
        <v>3.69</v>
      </c>
      <c r="AE104" t="n">
        <v>0</v>
      </c>
      <c r="AF104" t="n">
        <v>0</v>
      </c>
      <c r="AG104" t="n">
        <v>0</v>
      </c>
      <c r="AH104" t="n">
        <v>11.37</v>
      </c>
      <c r="AI104" t="n">
        <v>146.73</v>
      </c>
      <c r="AJ104" t="n">
        <v>26.41</v>
      </c>
      <c r="AK104" t="n">
        <v>0</v>
      </c>
      <c r="AL104" t="n">
        <v>588.5</v>
      </c>
      <c r="AM104" t="n">
        <v>0</v>
      </c>
      <c r="AN104" t="n">
        <v>0</v>
      </c>
      <c r="AO104" t="n">
        <v>0.59</v>
      </c>
      <c r="AP104" t="n">
        <v>29.42</v>
      </c>
      <c r="AQ104" t="n">
        <v>0.01</v>
      </c>
      <c r="AR104" t="n">
        <v>56.42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203.15</v>
      </c>
      <c r="BC104" t="n">
        <v>0</v>
      </c>
      <c r="BD104" t="n">
        <v>414.78</v>
      </c>
      <c r="BE104" t="inlineStr">
        <is>
          <t>settled</t>
        </is>
      </c>
      <c r="BF104" t="inlineStr">
        <is>
          <t>2025-12-10 05:30:00</t>
        </is>
      </c>
      <c r="BG104" t="inlineStr">
        <is>
          <t>CITIN25668340126</t>
        </is>
      </c>
      <c r="BH104" t="n">
        <v>0</v>
      </c>
      <c r="BI104" t="inlineStr">
        <is>
          <t>53c5388f12c7c46b39565511228ec995fd4c203b8f6be9581ee3c1dd3f5d90ec</t>
        </is>
      </c>
    </row>
    <row r="105">
      <c r="A105" t="inlineStr">
        <is>
          <t>100</t>
        </is>
      </c>
      <c r="B105" t="inlineStr">
        <is>
          <t>7558324393</t>
        </is>
      </c>
      <c r="C105" t="inlineStr">
        <is>
          <t>2025-12-07 19:29:05</t>
        </is>
      </c>
      <c r="D105" t="inlineStr">
        <is>
          <t>49</t>
        </is>
      </c>
      <c r="E105" t="inlineStr">
        <is>
          <t>Baba Yaga Art Of Chinese - By Posh Foods</t>
        </is>
      </c>
      <c r="F105" t="inlineStr">
        <is>
          <t>20037890</t>
        </is>
      </c>
      <c r="G105" t="inlineStr">
        <is>
          <t>Flat ₹150 off (2025-12-03 - 2031-01-01)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9</t>
        </is>
      </c>
      <c r="O105" t="n">
        <v>630</v>
      </c>
      <c r="P105" t="n">
        <v>0</v>
      </c>
      <c r="Q105" t="n">
        <v>0</v>
      </c>
      <c r="R105" t="n">
        <v>105</v>
      </c>
      <c r="S105" t="n">
        <v>48</v>
      </c>
      <c r="T105" t="n">
        <v>0</v>
      </c>
      <c r="U105" t="n">
        <v>0</v>
      </c>
      <c r="V105" t="n">
        <v>23.85</v>
      </c>
      <c r="W105" t="n">
        <v>500.85</v>
      </c>
      <c r="X105" t="n">
        <v>477</v>
      </c>
      <c r="Y105" t="n">
        <v>0</v>
      </c>
      <c r="Z105" t="n">
        <v>0</v>
      </c>
      <c r="AA105" t="n">
        <v>477</v>
      </c>
      <c r="AB105" t="n">
        <v>23</v>
      </c>
      <c r="AC105" t="n">
        <v>109.71</v>
      </c>
      <c r="AD105" t="n">
        <v>3.2</v>
      </c>
      <c r="AE105" t="n">
        <v>0</v>
      </c>
      <c r="AF105" t="n">
        <v>0</v>
      </c>
      <c r="AG105" t="n">
        <v>0</v>
      </c>
      <c r="AH105" t="n">
        <v>9.220000000000001</v>
      </c>
      <c r="AI105" t="n">
        <v>118.93</v>
      </c>
      <c r="AJ105" t="n">
        <v>21.41</v>
      </c>
      <c r="AK105" t="n">
        <v>0</v>
      </c>
      <c r="AL105" t="n">
        <v>477</v>
      </c>
      <c r="AM105" t="n">
        <v>0</v>
      </c>
      <c r="AN105" t="n">
        <v>0</v>
      </c>
      <c r="AO105" t="n">
        <v>0.48</v>
      </c>
      <c r="AP105" t="n">
        <v>23.85</v>
      </c>
      <c r="AQ105" t="n">
        <v>0</v>
      </c>
      <c r="AR105" t="n">
        <v>45.74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164.67</v>
      </c>
      <c r="BC105" t="n">
        <v>0</v>
      </c>
      <c r="BD105" t="n">
        <v>336.18</v>
      </c>
      <c r="BE105" t="inlineStr">
        <is>
          <t>settled</t>
        </is>
      </c>
      <c r="BF105" t="inlineStr">
        <is>
          <t>2025-12-10 05:30:00</t>
        </is>
      </c>
      <c r="BG105" t="inlineStr">
        <is>
          <t>CITIN25668340126</t>
        </is>
      </c>
      <c r="BH105" t="n">
        <v>0</v>
      </c>
      <c r="BI105" t="inlineStr">
        <is>
          <t>d620331fc1d741722993c88e538c5d01820767733e9a4f34a8dc6e707abde7ce</t>
        </is>
      </c>
    </row>
    <row r="106">
      <c r="A106" t="inlineStr">
        <is>
          <t>101</t>
        </is>
      </c>
      <c r="B106" t="inlineStr">
        <is>
          <t>7544962081</t>
        </is>
      </c>
      <c r="C106" t="inlineStr">
        <is>
          <t>2025-12-07 19:49:47</t>
        </is>
      </c>
      <c r="D106" t="inlineStr">
        <is>
          <t>49</t>
        </is>
      </c>
      <c r="E106" t="inlineStr">
        <is>
          <t>Baba Yaga Art Of Chinese - By Posh Foods</t>
        </is>
      </c>
      <c r="F106" t="inlineStr">
        <is>
          <t>20037890</t>
        </is>
      </c>
      <c r="G106" t="inlineStr">
        <is>
          <t>Flat ₹150 off (2025-12-03 - 2031-01-01)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9</t>
        </is>
      </c>
      <c r="O106" t="n">
        <v>489</v>
      </c>
      <c r="P106" t="n">
        <v>0</v>
      </c>
      <c r="Q106" t="n">
        <v>0</v>
      </c>
      <c r="R106" t="n">
        <v>105</v>
      </c>
      <c r="S106" t="n">
        <v>33.9</v>
      </c>
      <c r="T106" t="n">
        <v>0</v>
      </c>
      <c r="U106" t="n">
        <v>0</v>
      </c>
      <c r="V106" t="n">
        <v>17.51</v>
      </c>
      <c r="W106" t="n">
        <v>367.61</v>
      </c>
      <c r="X106" t="n">
        <v>350.1</v>
      </c>
      <c r="Y106" t="n">
        <v>0</v>
      </c>
      <c r="Z106" t="n">
        <v>0</v>
      </c>
      <c r="AA106" t="n">
        <v>350.1</v>
      </c>
      <c r="AB106" t="n">
        <v>23</v>
      </c>
      <c r="AC106" t="n">
        <v>80.52</v>
      </c>
      <c r="AD106" t="n">
        <v>3.51</v>
      </c>
      <c r="AE106" t="n">
        <v>0</v>
      </c>
      <c r="AF106" t="n">
        <v>0</v>
      </c>
      <c r="AG106" t="n">
        <v>0</v>
      </c>
      <c r="AH106" t="n">
        <v>6.76</v>
      </c>
      <c r="AI106" t="n">
        <v>87.28</v>
      </c>
      <c r="AJ106" t="n">
        <v>15.71</v>
      </c>
      <c r="AK106" t="n">
        <v>0</v>
      </c>
      <c r="AL106" t="n">
        <v>350.1</v>
      </c>
      <c r="AM106" t="n">
        <v>0</v>
      </c>
      <c r="AN106" t="n">
        <v>0</v>
      </c>
      <c r="AO106" t="n">
        <v>0.35</v>
      </c>
      <c r="AP106" t="n">
        <v>17.51</v>
      </c>
      <c r="AQ106" t="n">
        <v>0</v>
      </c>
      <c r="AR106" t="n">
        <v>33.57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120.85</v>
      </c>
      <c r="BC106" t="n">
        <v>0</v>
      </c>
      <c r="BD106" t="n">
        <v>246.76</v>
      </c>
      <c r="BE106" t="inlineStr">
        <is>
          <t>settled</t>
        </is>
      </c>
      <c r="BF106" t="inlineStr">
        <is>
          <t>2025-12-10 05:30:00</t>
        </is>
      </c>
      <c r="BG106" t="inlineStr">
        <is>
          <t>CITIN25668340126</t>
        </is>
      </c>
      <c r="BH106" t="n">
        <v>0</v>
      </c>
      <c r="BI106" t="inlineStr">
        <is>
          <t>1a2d1d09991e61c3ce4b27e90caeece6bb0c04247d8fb2f504a1488aec0846a1</t>
        </is>
      </c>
    </row>
    <row r="107">
      <c r="A107" t="inlineStr">
        <is>
          <t>102</t>
        </is>
      </c>
      <c r="B107" t="inlineStr">
        <is>
          <t>7559261375</t>
        </is>
      </c>
      <c r="C107" t="inlineStr">
        <is>
          <t>2025-12-07 20:17:00</t>
        </is>
      </c>
      <c r="D107" t="inlineStr">
        <is>
          <t>49</t>
        </is>
      </c>
      <c r="E107" t="inlineStr">
        <is>
          <t>Baba Yaga Art Of Chinese - By Posh Foods</t>
        </is>
      </c>
      <c r="F107" t="inlineStr">
        <is>
          <t>20037890</t>
        </is>
      </c>
      <c r="G107" t="inlineStr">
        <is>
          <t>Flat ₹100 off (2025-12-05 - 2031-01-01)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9</t>
        </is>
      </c>
      <c r="O107" t="n">
        <v>319</v>
      </c>
      <c r="P107" t="n">
        <v>0</v>
      </c>
      <c r="Q107" t="n">
        <v>0</v>
      </c>
      <c r="R107" t="n">
        <v>100</v>
      </c>
      <c r="S107" t="n">
        <v>0</v>
      </c>
      <c r="T107" t="n">
        <v>0</v>
      </c>
      <c r="U107" t="n">
        <v>0</v>
      </c>
      <c r="V107" t="n">
        <v>10.95</v>
      </c>
      <c r="W107" t="n">
        <v>229.95</v>
      </c>
      <c r="X107" t="n">
        <v>219</v>
      </c>
      <c r="Y107" t="n">
        <v>0</v>
      </c>
      <c r="Z107" t="n">
        <v>0</v>
      </c>
      <c r="AA107" t="n">
        <v>219</v>
      </c>
      <c r="AB107" t="n">
        <v>23</v>
      </c>
      <c r="AC107" t="n">
        <v>50.37</v>
      </c>
      <c r="AD107" t="n">
        <v>2</v>
      </c>
      <c r="AE107" t="n">
        <v>0</v>
      </c>
      <c r="AF107" t="n">
        <v>0</v>
      </c>
      <c r="AG107" t="n">
        <v>0</v>
      </c>
      <c r="AH107" t="n">
        <v>4.23</v>
      </c>
      <c r="AI107" t="n">
        <v>54.6</v>
      </c>
      <c r="AJ107" t="n">
        <v>9.83</v>
      </c>
      <c r="AK107" t="n">
        <v>0</v>
      </c>
      <c r="AL107" t="n">
        <v>219</v>
      </c>
      <c r="AM107" t="n">
        <v>0</v>
      </c>
      <c r="AN107" t="n">
        <v>0</v>
      </c>
      <c r="AO107" t="n">
        <v>0.22</v>
      </c>
      <c r="AP107" t="n">
        <v>10.95</v>
      </c>
      <c r="AQ107" t="n">
        <v>0</v>
      </c>
      <c r="AR107" t="n">
        <v>21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75.59999999999999</v>
      </c>
      <c r="BC107" t="n">
        <v>0</v>
      </c>
      <c r="BD107" t="n">
        <v>154.35</v>
      </c>
      <c r="BE107" t="inlineStr">
        <is>
          <t>settled</t>
        </is>
      </c>
      <c r="BF107" t="inlineStr">
        <is>
          <t>2025-12-10 05:30:00</t>
        </is>
      </c>
      <c r="BG107" t="inlineStr">
        <is>
          <t>CITIN25668340126</t>
        </is>
      </c>
      <c r="BH107" t="n">
        <v>0</v>
      </c>
      <c r="BI107" t="inlineStr">
        <is>
          <t>029ce6a1b3740c7b931790f78a627bbd4d82924dc27099b8d269d33ae30a27cc</t>
        </is>
      </c>
    </row>
    <row r="108">
      <c r="A108" t="inlineStr">
        <is>
          <t>103</t>
        </is>
      </c>
      <c r="B108" t="inlineStr">
        <is>
          <t>7545399659</t>
        </is>
      </c>
      <c r="C108" t="inlineStr">
        <is>
          <t>2025-12-07 20:30:50</t>
        </is>
      </c>
      <c r="D108" t="inlineStr">
        <is>
          <t>49</t>
        </is>
      </c>
      <c r="E108" t="inlineStr">
        <is>
          <t>Baba Yaga Art Of Chinese - By Posh Foods</t>
        </is>
      </c>
      <c r="F108" t="inlineStr">
        <is>
          <t>20037890</t>
        </is>
      </c>
      <c r="G108" t="inlineStr">
        <is>
          <t>Flat ₹150 off (2025-12-03 - 2031-01-01)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9</t>
        </is>
      </c>
      <c r="O108" t="n">
        <v>580</v>
      </c>
      <c r="P108" t="n">
        <v>0</v>
      </c>
      <c r="Q108" t="n">
        <v>0</v>
      </c>
      <c r="R108" t="n">
        <v>105</v>
      </c>
      <c r="S108" t="n">
        <v>0</v>
      </c>
      <c r="T108" t="n">
        <v>0</v>
      </c>
      <c r="U108" t="n">
        <v>0</v>
      </c>
      <c r="V108" t="n">
        <v>23.75</v>
      </c>
      <c r="W108" t="n">
        <v>498.75</v>
      </c>
      <c r="X108" t="n">
        <v>475</v>
      </c>
      <c r="Y108" t="n">
        <v>0</v>
      </c>
      <c r="Z108" t="n">
        <v>0</v>
      </c>
      <c r="AA108" t="n">
        <v>475</v>
      </c>
      <c r="AB108" t="n">
        <v>23</v>
      </c>
      <c r="AC108" t="n">
        <v>109.25</v>
      </c>
      <c r="AD108" t="n">
        <v>1.36</v>
      </c>
      <c r="AE108" t="n">
        <v>0</v>
      </c>
      <c r="AF108" t="n">
        <v>0</v>
      </c>
      <c r="AG108" t="n">
        <v>0</v>
      </c>
      <c r="AH108" t="n">
        <v>9.18</v>
      </c>
      <c r="AI108" t="n">
        <v>118.43</v>
      </c>
      <c r="AJ108" t="n">
        <v>21.31</v>
      </c>
      <c r="AK108" t="n">
        <v>0</v>
      </c>
      <c r="AL108" t="n">
        <v>475</v>
      </c>
      <c r="AM108" t="n">
        <v>0</v>
      </c>
      <c r="AN108" t="n">
        <v>0</v>
      </c>
      <c r="AO108" t="n">
        <v>0.48</v>
      </c>
      <c r="AP108" t="n">
        <v>23.75</v>
      </c>
      <c r="AQ108" t="n">
        <v>0</v>
      </c>
      <c r="AR108" t="n">
        <v>45.54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56.05</v>
      </c>
      <c r="AY108" t="n">
        <v>0</v>
      </c>
      <c r="AZ108" t="n">
        <v>0</v>
      </c>
      <c r="BA108" t="n">
        <v>56.05</v>
      </c>
      <c r="BB108" t="n">
        <v>220.02</v>
      </c>
      <c r="BC108" t="n">
        <v>0</v>
      </c>
      <c r="BD108" t="n">
        <v>278.73</v>
      </c>
      <c r="BE108" t="inlineStr">
        <is>
          <t>settled</t>
        </is>
      </c>
      <c r="BF108" t="inlineStr">
        <is>
          <t>2025-12-10 05:30:00</t>
        </is>
      </c>
      <c r="BG108" t="inlineStr">
        <is>
          <t>CITIN25668340126</t>
        </is>
      </c>
      <c r="BH108" t="n">
        <v>0</v>
      </c>
      <c r="BI108" t="inlineStr">
        <is>
          <t>36f832c9cc3f789ae1ace949362dc6994e8886c4c10690420d5a2ad402c719af</t>
        </is>
      </c>
    </row>
    <row r="109">
      <c r="A109" t="inlineStr">
        <is>
          <t>104</t>
        </is>
      </c>
      <c r="B109" t="inlineStr">
        <is>
          <t>7559748888</t>
        </is>
      </c>
      <c r="C109" t="inlineStr">
        <is>
          <t>2025-12-07 20:35:05</t>
        </is>
      </c>
      <c r="D109" t="inlineStr">
        <is>
          <t>49</t>
        </is>
      </c>
      <c r="E109" t="inlineStr">
        <is>
          <t>Baba Yaga Art Of Chinese - By Posh Foods</t>
        </is>
      </c>
      <c r="F109" t="inlineStr">
        <is>
          <t>20037890</t>
        </is>
      </c>
      <c r="G109" t="inlineStr">
        <is>
          <t>Flat ₹125 off (2025-12-03 - 2031-01-01)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9</t>
        </is>
      </c>
      <c r="O109" t="n">
        <v>489</v>
      </c>
      <c r="P109" t="n">
        <v>0</v>
      </c>
      <c r="Q109" t="n">
        <v>0</v>
      </c>
      <c r="R109" t="n">
        <v>125</v>
      </c>
      <c r="S109" t="n">
        <v>36.4</v>
      </c>
      <c r="T109" t="n">
        <v>0</v>
      </c>
      <c r="U109" t="n">
        <v>0</v>
      </c>
      <c r="V109" t="n">
        <v>16.38</v>
      </c>
      <c r="W109" t="n">
        <v>343.98</v>
      </c>
      <c r="X109" t="n">
        <v>327.6</v>
      </c>
      <c r="Y109" t="n">
        <v>0</v>
      </c>
      <c r="Z109" t="n">
        <v>0</v>
      </c>
      <c r="AA109" t="n">
        <v>327.6</v>
      </c>
      <c r="AB109" t="n">
        <v>23</v>
      </c>
      <c r="AC109" t="n">
        <v>75.34999999999999</v>
      </c>
      <c r="AD109" t="n">
        <v>2.54</v>
      </c>
      <c r="AE109" t="n">
        <v>0</v>
      </c>
      <c r="AF109" t="n">
        <v>0</v>
      </c>
      <c r="AG109" t="n">
        <v>0</v>
      </c>
      <c r="AH109" t="n">
        <v>6.33</v>
      </c>
      <c r="AI109" t="n">
        <v>81.68000000000001</v>
      </c>
      <c r="AJ109" t="n">
        <v>14.7</v>
      </c>
      <c r="AK109" t="n">
        <v>0</v>
      </c>
      <c r="AL109" t="n">
        <v>327.6</v>
      </c>
      <c r="AM109" t="n">
        <v>0</v>
      </c>
      <c r="AN109" t="n">
        <v>0</v>
      </c>
      <c r="AO109" t="n">
        <v>0.33</v>
      </c>
      <c r="AP109" t="n">
        <v>16.38</v>
      </c>
      <c r="AQ109" t="n">
        <v>0</v>
      </c>
      <c r="AR109" t="n">
        <v>31.41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113.09</v>
      </c>
      <c r="BC109" t="n">
        <v>0</v>
      </c>
      <c r="BD109" t="n">
        <v>230.89</v>
      </c>
      <c r="BE109" t="inlineStr">
        <is>
          <t>settled</t>
        </is>
      </c>
      <c r="BF109" t="inlineStr">
        <is>
          <t>2025-12-10 05:30:00</t>
        </is>
      </c>
      <c r="BG109" t="inlineStr">
        <is>
          <t>CITIN25668340126</t>
        </is>
      </c>
      <c r="BH109" t="n">
        <v>0</v>
      </c>
      <c r="BI109" t="inlineStr">
        <is>
          <t>0190f4dbacc01ed0c2dc5a2f3a5c8e5f5e9f669404b6639112920eff4841a82f</t>
        </is>
      </c>
    </row>
    <row r="110">
      <c r="A110" t="inlineStr">
        <is>
          <t>105</t>
        </is>
      </c>
      <c r="B110" t="inlineStr">
        <is>
          <t>7549445908</t>
        </is>
      </c>
      <c r="C110" t="inlineStr">
        <is>
          <t>2025-12-07 21:01:21</t>
        </is>
      </c>
      <c r="D110" t="inlineStr">
        <is>
          <t>49</t>
        </is>
      </c>
      <c r="E110" t="inlineStr">
        <is>
          <t>Baba Yaga Art Of Chinese - By Posh Foods</t>
        </is>
      </c>
      <c r="F110" t="inlineStr">
        <is>
          <t>20037890</t>
        </is>
      </c>
      <c r="G110" t="inlineStr">
        <is>
          <t>Flat ₹150 off (2025-12-03 - 2031-01-01)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9</t>
        </is>
      </c>
      <c r="O110" t="n">
        <v>575</v>
      </c>
      <c r="P110" t="n">
        <v>0</v>
      </c>
      <c r="Q110" t="n">
        <v>0</v>
      </c>
      <c r="R110" t="n">
        <v>105</v>
      </c>
      <c r="S110" t="n">
        <v>42.5</v>
      </c>
      <c r="T110" t="n">
        <v>0</v>
      </c>
      <c r="U110" t="n">
        <v>0</v>
      </c>
      <c r="V110" t="n">
        <v>21.38</v>
      </c>
      <c r="W110" t="n">
        <v>448.88</v>
      </c>
      <c r="X110" t="n">
        <v>427.5</v>
      </c>
      <c r="Y110" t="n">
        <v>0</v>
      </c>
      <c r="Z110" t="n">
        <v>0</v>
      </c>
      <c r="AA110" t="n">
        <v>427.5</v>
      </c>
      <c r="AB110" t="n">
        <v>23</v>
      </c>
      <c r="AC110" t="n">
        <v>98.31999999999999</v>
      </c>
      <c r="AD110" t="n">
        <v>5.21</v>
      </c>
      <c r="AE110" t="n">
        <v>20</v>
      </c>
      <c r="AF110" t="n">
        <v>0</v>
      </c>
      <c r="AG110" t="n">
        <v>0</v>
      </c>
      <c r="AH110" t="n">
        <v>8.26</v>
      </c>
      <c r="AI110" t="n">
        <v>126.58</v>
      </c>
      <c r="AJ110" t="n">
        <v>22.79</v>
      </c>
      <c r="AK110" t="n">
        <v>0</v>
      </c>
      <c r="AL110" t="n">
        <v>427.5</v>
      </c>
      <c r="AM110" t="n">
        <v>0</v>
      </c>
      <c r="AN110" t="n">
        <v>0</v>
      </c>
      <c r="AO110" t="n">
        <v>0.43</v>
      </c>
      <c r="AP110" t="n">
        <v>21.37</v>
      </c>
      <c r="AQ110" t="n">
        <v>0.01</v>
      </c>
      <c r="AR110" t="n">
        <v>44.59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171.17</v>
      </c>
      <c r="BC110" t="n">
        <v>0</v>
      </c>
      <c r="BD110" t="n">
        <v>277.71</v>
      </c>
      <c r="BE110" t="inlineStr">
        <is>
          <t>settled</t>
        </is>
      </c>
      <c r="BF110" t="inlineStr">
        <is>
          <t>2025-12-10 05:30:00</t>
        </is>
      </c>
      <c r="BG110" t="inlineStr">
        <is>
          <t>CITIN25668340126</t>
        </is>
      </c>
      <c r="BH110" t="n">
        <v>0</v>
      </c>
      <c r="BI110" t="inlineStr">
        <is>
          <t>2ee6151244979072d13a8f2f1b77a03c75814a4515db15444879a4a6f2db9fb0</t>
        </is>
      </c>
    </row>
    <row r="111">
      <c r="A111" t="inlineStr">
        <is>
          <t>106</t>
        </is>
      </c>
      <c r="B111" t="inlineStr">
        <is>
          <t>7548234983</t>
        </is>
      </c>
      <c r="C111" t="inlineStr">
        <is>
          <t>2025-12-07 21:22:17</t>
        </is>
      </c>
      <c r="D111" t="inlineStr">
        <is>
          <t>49</t>
        </is>
      </c>
      <c r="E111" t="inlineStr">
        <is>
          <t>Baba Yaga Art Of Chinese - By Posh Foods</t>
        </is>
      </c>
      <c r="F111" t="inlineStr">
        <is>
          <t>20037890</t>
        </is>
      </c>
      <c r="G111" t="inlineStr">
        <is>
          <t>Flat ₹100 off (2025-12-03 - 2031-01-01)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9</t>
        </is>
      </c>
      <c r="O111" t="n">
        <v>245</v>
      </c>
      <c r="P111" t="n">
        <v>0</v>
      </c>
      <c r="Q111" t="n">
        <v>0</v>
      </c>
      <c r="R111" t="n">
        <v>70</v>
      </c>
      <c r="S111" t="n">
        <v>0</v>
      </c>
      <c r="T111" t="n">
        <v>0</v>
      </c>
      <c r="U111" t="n">
        <v>0</v>
      </c>
      <c r="V111" t="n">
        <v>8.75</v>
      </c>
      <c r="W111" t="n">
        <v>183.75</v>
      </c>
      <c r="X111" t="n">
        <v>175</v>
      </c>
      <c r="Y111" t="n">
        <v>0</v>
      </c>
      <c r="Z111" t="n">
        <v>0</v>
      </c>
      <c r="AA111" t="n">
        <v>175</v>
      </c>
      <c r="AB111" t="n">
        <v>23</v>
      </c>
      <c r="AC111" t="n">
        <v>40.25</v>
      </c>
      <c r="AD111" t="n">
        <v>4.54</v>
      </c>
      <c r="AE111" t="n">
        <v>20</v>
      </c>
      <c r="AF111" t="n">
        <v>0</v>
      </c>
      <c r="AG111" t="n">
        <v>7.75</v>
      </c>
      <c r="AH111" t="n">
        <v>3.38</v>
      </c>
      <c r="AI111" t="n">
        <v>55.88</v>
      </c>
      <c r="AJ111" t="n">
        <v>10.05</v>
      </c>
      <c r="AK111" t="n">
        <v>0</v>
      </c>
      <c r="AL111" t="n">
        <v>175</v>
      </c>
      <c r="AM111" t="n">
        <v>0</v>
      </c>
      <c r="AN111" t="n">
        <v>0</v>
      </c>
      <c r="AO111" t="n">
        <v>0.18</v>
      </c>
      <c r="AP111" t="n">
        <v>8.75</v>
      </c>
      <c r="AQ111" t="n">
        <v>0</v>
      </c>
      <c r="AR111" t="n">
        <v>18.98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74.86</v>
      </c>
      <c r="BC111" t="n">
        <v>0</v>
      </c>
      <c r="BD111" t="n">
        <v>108.89</v>
      </c>
      <c r="BE111" t="inlineStr">
        <is>
          <t>settled</t>
        </is>
      </c>
      <c r="BF111" t="inlineStr">
        <is>
          <t>2025-12-10 05:30:00</t>
        </is>
      </c>
      <c r="BG111" t="inlineStr">
        <is>
          <t>CITIN25668340126</t>
        </is>
      </c>
      <c r="BH111" t="n">
        <v>0</v>
      </c>
      <c r="BI111" t="inlineStr">
        <is>
          <t>d42c61b26fe0feef508897d16a61971180b1ddd711ad758539e14bff4ce399c1</t>
        </is>
      </c>
    </row>
    <row r="112">
      <c r="A112" t="inlineStr">
        <is>
          <t>107</t>
        </is>
      </c>
      <c r="B112" t="inlineStr">
        <is>
          <t>7560547132</t>
        </is>
      </c>
      <c r="C112" t="inlineStr">
        <is>
          <t>2025-12-07 21:26:24</t>
        </is>
      </c>
      <c r="D112" t="inlineStr">
        <is>
          <t>49</t>
        </is>
      </c>
      <c r="E112" t="inlineStr">
        <is>
          <t>Baba Yaga Art Of Chinese - By Posh Foods</t>
        </is>
      </c>
      <c r="F112" t="inlineStr">
        <is>
          <t>20037890</t>
        </is>
      </c>
      <c r="G112" t="inlineStr">
        <is>
          <t>Flat ₹100 off (2025-12-03 - 2031-01-01)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9</t>
        </is>
      </c>
      <c r="O112" t="n">
        <v>280</v>
      </c>
      <c r="P112" t="n">
        <v>0</v>
      </c>
      <c r="Q112" t="n">
        <v>0</v>
      </c>
      <c r="R112" t="n">
        <v>70</v>
      </c>
      <c r="S112" t="n">
        <v>0</v>
      </c>
      <c r="T112" t="n">
        <v>0</v>
      </c>
      <c r="U112" t="n">
        <v>0</v>
      </c>
      <c r="V112" t="n">
        <v>10.5</v>
      </c>
      <c r="W112" t="n">
        <v>220.5</v>
      </c>
      <c r="X112" t="n">
        <v>210</v>
      </c>
      <c r="Y112" t="n">
        <v>0</v>
      </c>
      <c r="Z112" t="n">
        <v>0</v>
      </c>
      <c r="AA112" t="n">
        <v>210</v>
      </c>
      <c r="AB112" t="n">
        <v>23</v>
      </c>
      <c r="AC112" t="n">
        <v>48.3</v>
      </c>
      <c r="AD112" t="n">
        <v>3.43</v>
      </c>
      <c r="AE112" t="n">
        <v>0</v>
      </c>
      <c r="AF112" t="n">
        <v>0</v>
      </c>
      <c r="AG112" t="n">
        <v>0</v>
      </c>
      <c r="AH112" t="n">
        <v>4.06</v>
      </c>
      <c r="AI112" t="n">
        <v>52.36</v>
      </c>
      <c r="AJ112" t="n">
        <v>9.42</v>
      </c>
      <c r="AK112" t="n">
        <v>0</v>
      </c>
      <c r="AL112" t="n">
        <v>210</v>
      </c>
      <c r="AM112" t="n">
        <v>0</v>
      </c>
      <c r="AN112" t="n">
        <v>0</v>
      </c>
      <c r="AO112" t="n">
        <v>0.21</v>
      </c>
      <c r="AP112" t="n">
        <v>10.5</v>
      </c>
      <c r="AQ112" t="n">
        <v>0</v>
      </c>
      <c r="AR112" t="n">
        <v>20.13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72.48999999999999</v>
      </c>
      <c r="BC112" t="n">
        <v>0</v>
      </c>
      <c r="BD112" t="n">
        <v>148.01</v>
      </c>
      <c r="BE112" t="inlineStr">
        <is>
          <t>settled</t>
        </is>
      </c>
      <c r="BF112" t="inlineStr">
        <is>
          <t>2025-12-10 05:30:00</t>
        </is>
      </c>
      <c r="BG112" t="inlineStr">
        <is>
          <t>CITIN25668340126</t>
        </is>
      </c>
      <c r="BH112" t="n">
        <v>0</v>
      </c>
      <c r="BI112" t="inlineStr">
        <is>
          <t>ee2c6e5f3cc3737ab32319dc2747a3594eaca589452b3d7fb38c001e05d8d1b6</t>
        </is>
      </c>
    </row>
    <row r="113">
      <c r="A113" t="inlineStr">
        <is>
          <t>108</t>
        </is>
      </c>
      <c r="B113" t="inlineStr">
        <is>
          <t>7552246094</t>
        </is>
      </c>
      <c r="C113" t="inlineStr">
        <is>
          <t>2025-12-07 21:30:20</t>
        </is>
      </c>
      <c r="D113" t="inlineStr">
        <is>
          <t>49</t>
        </is>
      </c>
      <c r="E113" t="inlineStr">
        <is>
          <t>Baba Yaga Art Of Chinese - By Posh Foods</t>
        </is>
      </c>
      <c r="F113" t="inlineStr">
        <is>
          <t>20037890</t>
        </is>
      </c>
      <c r="G113" t="inlineStr">
        <is>
          <t>Flat ₹100 off (2025-12-05 - 2031-01-01)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9</t>
        </is>
      </c>
      <c r="O113" t="n">
        <v>315</v>
      </c>
      <c r="P113" t="n">
        <v>0</v>
      </c>
      <c r="Q113" t="n">
        <v>0</v>
      </c>
      <c r="R113" t="n">
        <v>100</v>
      </c>
      <c r="S113" t="n">
        <v>21.5</v>
      </c>
      <c r="T113" t="n">
        <v>0</v>
      </c>
      <c r="U113" t="n">
        <v>0</v>
      </c>
      <c r="V113" t="n">
        <v>9.68</v>
      </c>
      <c r="W113" t="n">
        <v>203.18</v>
      </c>
      <c r="X113" t="n">
        <v>193.5</v>
      </c>
      <c r="Y113" t="n">
        <v>0</v>
      </c>
      <c r="Z113" t="n">
        <v>0</v>
      </c>
      <c r="AA113" t="n">
        <v>193.5</v>
      </c>
      <c r="AB113" t="n">
        <v>23</v>
      </c>
      <c r="AC113" t="n">
        <v>44.5</v>
      </c>
      <c r="AD113" t="n">
        <v>4.43</v>
      </c>
      <c r="AE113" t="n">
        <v>20</v>
      </c>
      <c r="AF113" t="n">
        <v>0</v>
      </c>
      <c r="AG113" t="n">
        <v>6.45</v>
      </c>
      <c r="AH113" t="n">
        <v>3.74</v>
      </c>
      <c r="AI113" t="n">
        <v>61.79</v>
      </c>
      <c r="AJ113" t="n">
        <v>11.12</v>
      </c>
      <c r="AK113" t="n">
        <v>0</v>
      </c>
      <c r="AL113" t="n">
        <v>193.5</v>
      </c>
      <c r="AM113" t="n">
        <v>0</v>
      </c>
      <c r="AN113" t="n">
        <v>0</v>
      </c>
      <c r="AO113" t="n">
        <v>0.19</v>
      </c>
      <c r="AP113" t="n">
        <v>9.68</v>
      </c>
      <c r="AQ113" t="n">
        <v>0</v>
      </c>
      <c r="AR113" t="n">
        <v>20.99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82.78</v>
      </c>
      <c r="BC113" t="n">
        <v>0</v>
      </c>
      <c r="BD113" t="n">
        <v>120.4</v>
      </c>
      <c r="BE113" t="inlineStr">
        <is>
          <t>settled</t>
        </is>
      </c>
      <c r="BF113" t="inlineStr">
        <is>
          <t>2025-12-10 05:30:00</t>
        </is>
      </c>
      <c r="BG113" t="inlineStr">
        <is>
          <t>CITIN25668340126</t>
        </is>
      </c>
      <c r="BH113" t="n">
        <v>0</v>
      </c>
      <c r="BI113" t="inlineStr">
        <is>
          <t>c802e7c4a97754c54eef9f6aa04d7ed97607cdfb540fccda2d2caa7905febabd</t>
        </is>
      </c>
    </row>
    <row r="114">
      <c r="A114" t="inlineStr">
        <is>
          <t>109</t>
        </is>
      </c>
      <c r="B114" t="inlineStr">
        <is>
          <t>7559027093</t>
        </is>
      </c>
      <c r="C114" t="inlineStr">
        <is>
          <t>2025-12-07 21:40:50</t>
        </is>
      </c>
      <c r="D114" t="inlineStr">
        <is>
          <t>49</t>
        </is>
      </c>
      <c r="E114" t="inlineStr">
        <is>
          <t>Baba Yaga Art Of Chinese - By Posh Foods</t>
        </is>
      </c>
      <c r="F114" t="inlineStr">
        <is>
          <t>20037890</t>
        </is>
      </c>
      <c r="G114" t="inlineStr">
        <is>
          <t>Flat ₹175 off (2025-12-03 - 2031-01-01)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9</t>
        </is>
      </c>
      <c r="O114" t="n">
        <v>730</v>
      </c>
      <c r="P114" t="n">
        <v>0</v>
      </c>
      <c r="Q114" t="n">
        <v>0</v>
      </c>
      <c r="R114" t="n">
        <v>122</v>
      </c>
      <c r="S114" t="n">
        <v>55.5</v>
      </c>
      <c r="T114" t="n">
        <v>0</v>
      </c>
      <c r="U114" t="n">
        <v>0</v>
      </c>
      <c r="V114" t="n">
        <v>27.63</v>
      </c>
      <c r="W114" t="n">
        <v>580.13</v>
      </c>
      <c r="X114" t="n">
        <v>552.5</v>
      </c>
      <c r="Y114" t="n">
        <v>0</v>
      </c>
      <c r="Z114" t="n">
        <v>0</v>
      </c>
      <c r="AA114" t="n">
        <v>552.5</v>
      </c>
      <c r="AB114" t="n">
        <v>23</v>
      </c>
      <c r="AC114" t="n">
        <v>127.08</v>
      </c>
      <c r="AD114" t="n">
        <v>5.76</v>
      </c>
      <c r="AE114" t="n">
        <v>20</v>
      </c>
      <c r="AF114" t="n">
        <v>0</v>
      </c>
      <c r="AG114" t="n">
        <v>0</v>
      </c>
      <c r="AH114" t="n">
        <v>10.67</v>
      </c>
      <c r="AI114" t="n">
        <v>157.75</v>
      </c>
      <c r="AJ114" t="n">
        <v>28.39</v>
      </c>
      <c r="AK114" t="n">
        <v>0</v>
      </c>
      <c r="AL114" t="n">
        <v>552.5</v>
      </c>
      <c r="AM114" t="n">
        <v>0</v>
      </c>
      <c r="AN114" t="n">
        <v>0</v>
      </c>
      <c r="AO114" t="n">
        <v>0.55</v>
      </c>
      <c r="AP114" t="n">
        <v>27.62</v>
      </c>
      <c r="AQ114" t="n">
        <v>0.01</v>
      </c>
      <c r="AR114" t="n">
        <v>56.56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214.31</v>
      </c>
      <c r="BC114" t="n">
        <v>0</v>
      </c>
      <c r="BD114" t="n">
        <v>365.82</v>
      </c>
      <c r="BE114" t="inlineStr">
        <is>
          <t>settled</t>
        </is>
      </c>
      <c r="BF114" t="inlineStr">
        <is>
          <t>2025-12-10 05:30:00</t>
        </is>
      </c>
      <c r="BG114" t="inlineStr">
        <is>
          <t>CITIN25668340126</t>
        </is>
      </c>
      <c r="BH114" t="n">
        <v>0</v>
      </c>
      <c r="BI114" t="inlineStr">
        <is>
          <t>2152fe16e6dea587b03da4308f01d7f98543ed894ef80494d168041d9ef834ec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20037890</t>
        </is>
      </c>
      <c r="D13" t="inlineStr">
        <is>
          <t>31889184</t>
        </is>
      </c>
      <c r="E13" t="inlineStr">
        <is>
          <t>07 December 25 - 07 December 25</t>
        </is>
      </c>
      <c r="F13" t="inlineStr">
        <is>
          <t>settled</t>
        </is>
      </c>
      <c r="G13" t="n">
        <v>4387.54</v>
      </c>
      <c r="H13" t="n">
        <v>4387.54</v>
      </c>
      <c r="I13" t="n">
        <v>0</v>
      </c>
    </row>
    <row r="14">
      <c r="B14" t="inlineStr">
        <is>
          <t>ADS</t>
        </is>
      </c>
      <c r="C14" t="inlineStr">
        <is>
          <t>20037890</t>
        </is>
      </c>
      <c r="D14" t="inlineStr">
        <is>
          <t>31800113</t>
        </is>
      </c>
      <c r="E14" t="inlineStr">
        <is>
          <t>01 December 25 - 07 December 25</t>
        </is>
      </c>
      <c r="F14" t="inlineStr">
        <is>
          <t>settled</t>
        </is>
      </c>
      <c r="G14" t="n">
        <v>4571.91</v>
      </c>
      <c r="H14" t="n">
        <v>4571.91</v>
      </c>
      <c r="I14" t="n">
        <v>0</v>
      </c>
    </row>
    <row r="15">
      <c r="B15" t="inlineStr">
        <is>
          <t>ADS</t>
        </is>
      </c>
      <c r="C15" t="inlineStr">
        <is>
          <t>20037890</t>
        </is>
      </c>
      <c r="D15" t="inlineStr">
        <is>
          <t>32022906</t>
        </is>
      </c>
      <c r="E15" t="inlineStr">
        <is>
          <t>04 December 25 - 07 December 25</t>
        </is>
      </c>
      <c r="F15" t="inlineStr">
        <is>
          <t>settled</t>
        </is>
      </c>
      <c r="G15" t="n">
        <v>2102.76</v>
      </c>
      <c r="H15" t="n">
        <v>2102.76</v>
      </c>
      <c r="I15" t="n">
        <v>0</v>
      </c>
    </row>
    <row r="16">
      <c r="B16" t="inlineStr">
        <is>
          <t>Total Ads &amp; miscellaneous services</t>
        </is>
      </c>
      <c r="G16" t="n">
        <v>11062.21</v>
      </c>
      <c r="H16" t="n">
        <v>11062.21</v>
      </c>
      <c r="I16" t="n">
        <v>0</v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B18" t="inlineStr">
        <is>
          <t>B) Investments in Hyperpure</t>
        </is>
      </c>
    </row>
    <row r="19">
      <c r="B19" t="inlineStr">
        <is>
          <t>Type</t>
        </is>
      </c>
      <c r="C19" t="inlineStr">
        <is>
          <t>Res id for which deduction created</t>
        </is>
      </c>
      <c r="D19" t="inlineStr">
        <is>
          <t>OrderId</t>
        </is>
      </c>
      <c r="E19" t="inlineStr">
        <is>
          <t>Deduction time period</t>
        </is>
      </c>
      <c r="F19" t="inlineStr">
        <is>
          <t>Settlement Status</t>
        </is>
      </c>
      <c r="G19" t="inlineStr">
        <is>
          <t>Total amount</t>
        </is>
      </c>
      <c r="H19" t="inlineStr">
        <is>
          <t>Adjusted amount</t>
        </is>
      </c>
      <c r="I19" t="inlineStr">
        <is>
          <t>Outstanding amount</t>
        </is>
      </c>
    </row>
    <row r="20">
      <c r="B20" t="inlineStr">
        <is>
          <t>Total Hyperpure</t>
        </is>
      </c>
      <c r="G20" t="n">
        <v>0</v>
      </c>
      <c r="H20" t="n">
        <v>0</v>
      </c>
      <c r="I20" t="n">
        <v>0</v>
      </c>
    </row>
    <row r="21"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B22" t="inlineStr">
        <is>
          <t>C) Other deductions</t>
        </is>
      </c>
    </row>
    <row r="23">
      <c r="B23" t="inlineStr">
        <is>
          <t>D) Adjustments from previous weeks</t>
        </is>
      </c>
    </row>
    <row r="24">
      <c r="B24" t="inlineStr">
        <is>
          <t>Total Deductions (A) + (B) + (C)</t>
        </is>
      </c>
      <c r="C24" t="inlineStr"/>
      <c r="D24" t="inlineStr"/>
      <c r="E24" t="inlineStr"/>
      <c r="F24" t="inlineStr"/>
      <c r="G24" t="n">
        <v>11062.21</v>
      </c>
      <c r="H24" t="n">
        <v>11062.21</v>
      </c>
      <c r="I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102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51702</v>
      </c>
      <c r="P2" t="n">
        <v>0</v>
      </c>
      <c r="Q2" t="n">
        <v>0</v>
      </c>
      <c r="R2" t="n">
        <v>9875.800000000001</v>
      </c>
      <c r="S2" t="n">
        <v>3276.880000000001</v>
      </c>
      <c r="T2" t="n">
        <v>0</v>
      </c>
      <c r="U2" t="n">
        <v>0</v>
      </c>
      <c r="V2" t="n">
        <v>1927.680000000001</v>
      </c>
      <c r="W2" t="n">
        <v>40477.00000000001</v>
      </c>
      <c r="X2" t="n">
        <v>38549.31999999999</v>
      </c>
      <c r="Y2" t="n">
        <v>0</v>
      </c>
      <c r="Z2" t="n">
        <v>0</v>
      </c>
      <c r="AA2" t="n">
        <v>38549.31999999999</v>
      </c>
      <c r="AB2" t="n">
        <v>2231</v>
      </c>
      <c r="AC2" t="n">
        <v>8866.269999999997</v>
      </c>
      <c r="AD2" t="n">
        <v>341.1500000000001</v>
      </c>
      <c r="AE2" t="n">
        <v>800</v>
      </c>
      <c r="AF2" t="n">
        <v>0</v>
      </c>
      <c r="AG2" t="n">
        <v>205.46</v>
      </c>
      <c r="AH2" t="n">
        <v>744.88</v>
      </c>
      <c r="AI2" t="n">
        <v>10205.69</v>
      </c>
      <c r="AJ2" t="n">
        <v>1837.09</v>
      </c>
      <c r="AK2" t="n">
        <v>0</v>
      </c>
      <c r="AL2" t="n">
        <v>38549.31999999999</v>
      </c>
      <c r="AM2" t="n">
        <v>0</v>
      </c>
      <c r="AN2" t="n">
        <v>0</v>
      </c>
      <c r="AO2" t="n">
        <v>38.52</v>
      </c>
      <c r="AP2" t="n">
        <v>1927.620000000001</v>
      </c>
      <c r="AQ2" t="n">
        <v>0.06</v>
      </c>
      <c r="AR2" t="n">
        <v>3803.229999999999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884.1800000000001</v>
      </c>
      <c r="AY2" t="n">
        <v>0</v>
      </c>
      <c r="AZ2" t="n">
        <v>0</v>
      </c>
      <c r="BA2" t="n">
        <v>884.1800000000001</v>
      </c>
      <c r="BB2" t="n">
        <v>14893.10000000001</v>
      </c>
      <c r="BC2" t="n">
        <v>0</v>
      </c>
      <c r="BD2" t="n">
        <v>25583.89999999999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61008.35999999999</v>
      </c>
      <c r="P3" t="n">
        <v>0</v>
      </c>
      <c r="Q3" t="n">
        <v>0</v>
      </c>
      <c r="R3" t="n">
        <v>11653.444</v>
      </c>
      <c r="S3" t="n">
        <v>3866.718400000001</v>
      </c>
      <c r="T3" t="n">
        <v>0</v>
      </c>
      <c r="U3" t="n">
        <v>0</v>
      </c>
      <c r="V3" t="n">
        <v>2274.662400000001</v>
      </c>
      <c r="W3" t="n">
        <v>47762.86000000001</v>
      </c>
      <c r="X3" t="n">
        <v>45488.19759999998</v>
      </c>
      <c r="Y3" t="n">
        <v>0</v>
      </c>
      <c r="Z3" t="n">
        <v>0</v>
      </c>
      <c r="AA3" t="n">
        <v>45488.19759999998</v>
      </c>
      <c r="AB3" t="n">
        <v>2632.58</v>
      </c>
      <c r="AC3" t="n">
        <v>10462.1986</v>
      </c>
      <c r="AD3" t="n">
        <v>402.5570000000001</v>
      </c>
      <c r="AE3" t="n">
        <v>944</v>
      </c>
      <c r="AF3" t="n">
        <v>0</v>
      </c>
      <c r="AG3" t="n">
        <v>242.4428</v>
      </c>
      <c r="AH3" t="n">
        <v>878.9584</v>
      </c>
      <c r="AI3" t="n">
        <v>12042.7142</v>
      </c>
      <c r="AJ3" t="n">
        <v>2167.7662</v>
      </c>
      <c r="AK3" t="n">
        <v>0</v>
      </c>
      <c r="AL3" t="n">
        <v>45488.19759999998</v>
      </c>
      <c r="AM3" t="n">
        <v>0</v>
      </c>
      <c r="AN3" t="n">
        <v>0</v>
      </c>
      <c r="AO3" t="n">
        <v>45.4536</v>
      </c>
      <c r="AP3" t="n">
        <v>2274.591600000001</v>
      </c>
      <c r="AQ3" t="n">
        <v>0.0708</v>
      </c>
      <c r="AR3" t="n">
        <v>4487.811399999999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1043.3324</v>
      </c>
      <c r="AY3" t="n">
        <v>0</v>
      </c>
      <c r="AZ3" t="n">
        <v>0</v>
      </c>
      <c r="BA3" t="n">
        <v>1043.3324</v>
      </c>
      <c r="BB3" t="n">
        <v>17573.85800000001</v>
      </c>
      <c r="BC3" t="n">
        <v>0</v>
      </c>
      <c r="BD3" t="n">
        <v>30189.00199999999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51702</v>
      </c>
      <c r="P4" t="n">
        <v>0</v>
      </c>
      <c r="Q4" t="n">
        <v>0</v>
      </c>
      <c r="R4" t="n">
        <v>9875.800000000001</v>
      </c>
      <c r="S4" t="n">
        <v>3276.880000000001</v>
      </c>
      <c r="T4" t="n">
        <v>0</v>
      </c>
      <c r="U4" t="n">
        <v>0</v>
      </c>
      <c r="V4" t="n">
        <v>1927.680000000001</v>
      </c>
      <c r="W4" t="n">
        <v>40477.00000000001</v>
      </c>
      <c r="X4" t="n">
        <v>38549.31999999999</v>
      </c>
      <c r="Y4" t="n">
        <v>0</v>
      </c>
      <c r="Z4" t="n">
        <v>0</v>
      </c>
      <c r="AA4" t="n">
        <v>38549.31999999999</v>
      </c>
      <c r="AB4" t="n">
        <v>2231</v>
      </c>
      <c r="AC4" t="n">
        <v>8866.269999999997</v>
      </c>
      <c r="AD4" t="n">
        <v>341.1500000000001</v>
      </c>
      <c r="AE4" t="n">
        <v>800</v>
      </c>
      <c r="AF4" t="n">
        <v>0</v>
      </c>
      <c r="AG4" t="n">
        <v>205.46</v>
      </c>
      <c r="AH4" t="n">
        <v>744.88</v>
      </c>
      <c r="AI4" t="n">
        <v>10205.69</v>
      </c>
      <c r="AJ4" t="n">
        <v>1837.09</v>
      </c>
      <c r="AK4" t="n">
        <v>0</v>
      </c>
      <c r="AL4" t="n">
        <v>38549.31999999999</v>
      </c>
      <c r="AM4" t="n">
        <v>0</v>
      </c>
      <c r="AN4" t="n">
        <v>0</v>
      </c>
      <c r="AO4" t="n">
        <v>38.52</v>
      </c>
      <c r="AP4" t="n">
        <v>1927.620000000001</v>
      </c>
      <c r="AQ4" t="n">
        <v>0.06</v>
      </c>
      <c r="AR4" t="n">
        <v>3803.229999999999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884.1800000000001</v>
      </c>
      <c r="AY4" t="n">
        <v>0</v>
      </c>
      <c r="AZ4" t="n">
        <v>0</v>
      </c>
      <c r="BA4" t="n">
        <v>884.1800000000001</v>
      </c>
      <c r="BB4" t="n">
        <v>14893.10000000001</v>
      </c>
      <c r="BC4" t="n">
        <v>0</v>
      </c>
      <c r="BD4" t="n">
        <v>25583.89999999999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7557079740</t>
        </is>
      </c>
      <c r="C6" t="inlineStr">
        <is>
          <t>2025-12-08 00:19:16</t>
        </is>
      </c>
      <c r="D6" t="inlineStr">
        <is>
          <t>50</t>
        </is>
      </c>
      <c r="E6" t="inlineStr">
        <is>
          <t>Baba Yaga Art Of Chinese - By Posh Foods</t>
        </is>
      </c>
      <c r="F6" t="inlineStr">
        <is>
          <t>20037890</t>
        </is>
      </c>
      <c r="G6" t="inlineStr">
        <is>
          <t>Flat ₹100 off (2025-12-05 - 2031-01-01)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9</t>
        </is>
      </c>
      <c r="O6" t="n">
        <v>319</v>
      </c>
      <c r="P6" t="n">
        <v>0</v>
      </c>
      <c r="Q6" t="n">
        <v>0</v>
      </c>
      <c r="R6" t="n">
        <v>100</v>
      </c>
      <c r="S6" t="n">
        <v>21.9</v>
      </c>
      <c r="T6" t="n">
        <v>0</v>
      </c>
      <c r="U6" t="n">
        <v>0</v>
      </c>
      <c r="V6" t="n">
        <v>9.859999999999999</v>
      </c>
      <c r="W6" t="n">
        <v>206.96</v>
      </c>
      <c r="X6" t="n">
        <v>197.1</v>
      </c>
      <c r="Y6" t="n">
        <v>0</v>
      </c>
      <c r="Z6" t="n">
        <v>0</v>
      </c>
      <c r="AA6" t="n">
        <v>197.1</v>
      </c>
      <c r="AB6" t="n">
        <v>23</v>
      </c>
      <c r="AC6" t="n">
        <v>45.33</v>
      </c>
      <c r="AD6" t="n">
        <v>4.76</v>
      </c>
      <c r="AE6" t="n">
        <v>20</v>
      </c>
      <c r="AF6" t="n">
        <v>0</v>
      </c>
      <c r="AG6" t="n">
        <v>6.2</v>
      </c>
      <c r="AH6" t="n">
        <v>3.81</v>
      </c>
      <c r="AI6" t="n">
        <v>62.94</v>
      </c>
      <c r="AJ6" t="n">
        <v>11.33</v>
      </c>
      <c r="AK6" t="n">
        <v>0</v>
      </c>
      <c r="AL6" t="n">
        <v>197.1</v>
      </c>
      <c r="AM6" t="n">
        <v>0</v>
      </c>
      <c r="AN6" t="n">
        <v>0</v>
      </c>
      <c r="AO6" t="n">
        <v>0.2</v>
      </c>
      <c r="AP6" t="n">
        <v>9.859999999999999</v>
      </c>
      <c r="AQ6" t="n">
        <v>0</v>
      </c>
      <c r="AR6" t="n">
        <v>21.39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84.33</v>
      </c>
      <c r="BC6" t="n">
        <v>0</v>
      </c>
      <c r="BD6" t="n">
        <v>122.63</v>
      </c>
      <c r="BE6" t="inlineStr">
        <is>
          <t>settled</t>
        </is>
      </c>
      <c r="BF6" t="inlineStr">
        <is>
          <t>2025-12-17 05:30:00</t>
        </is>
      </c>
      <c r="BG6" t="inlineStr">
        <is>
          <t>CITIN25671154595</t>
        </is>
      </c>
      <c r="BH6" t="n">
        <v>0</v>
      </c>
      <c r="BI6" t="inlineStr">
        <is>
          <t>3d58619acf9a9ca6840dc0ed075545f97d4cf678c7bb6ed373f19b28e7766885</t>
        </is>
      </c>
    </row>
    <row r="7">
      <c r="A7" t="inlineStr">
        <is>
          <t>2</t>
        </is>
      </c>
      <c r="B7" t="inlineStr">
        <is>
          <t>7558849405</t>
        </is>
      </c>
      <c r="C7" t="inlineStr">
        <is>
          <t>2025-12-08 00:22:49</t>
        </is>
      </c>
      <c r="D7" t="inlineStr">
        <is>
          <t>50</t>
        </is>
      </c>
      <c r="E7" t="inlineStr">
        <is>
          <t>Baba Yaga Art Of Chinese - By Posh Foods</t>
        </is>
      </c>
      <c r="F7" t="inlineStr">
        <is>
          <t>20037890</t>
        </is>
      </c>
      <c r="G7" t="inlineStr">
        <is>
          <t>Flat ₹125 off (2025-12-03 - 2031-01-01)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9</t>
        </is>
      </c>
      <c r="O7" t="n">
        <v>365</v>
      </c>
      <c r="P7" t="n">
        <v>0</v>
      </c>
      <c r="Q7" t="n">
        <v>0</v>
      </c>
      <c r="R7" t="n">
        <v>87</v>
      </c>
      <c r="S7" t="n">
        <v>24</v>
      </c>
      <c r="T7" t="n">
        <v>0</v>
      </c>
      <c r="U7" t="n">
        <v>0</v>
      </c>
      <c r="V7" t="n">
        <v>12.7</v>
      </c>
      <c r="W7" t="n">
        <v>266.7</v>
      </c>
      <c r="X7" t="n">
        <v>254</v>
      </c>
      <c r="Y7" t="n">
        <v>0</v>
      </c>
      <c r="Z7" t="n">
        <v>0</v>
      </c>
      <c r="AA7" t="n">
        <v>254</v>
      </c>
      <c r="AB7" t="n">
        <v>23</v>
      </c>
      <c r="AC7" t="n">
        <v>58.42</v>
      </c>
      <c r="AD7" t="n">
        <v>2.64</v>
      </c>
      <c r="AE7" t="n">
        <v>0</v>
      </c>
      <c r="AF7" t="n">
        <v>0</v>
      </c>
      <c r="AG7" t="n">
        <v>0</v>
      </c>
      <c r="AH7" t="n">
        <v>4.91</v>
      </c>
      <c r="AI7" t="n">
        <v>63.33</v>
      </c>
      <c r="AJ7" t="n">
        <v>11.4</v>
      </c>
      <c r="AK7" t="n">
        <v>0</v>
      </c>
      <c r="AL7" t="n">
        <v>254</v>
      </c>
      <c r="AM7" t="n">
        <v>0</v>
      </c>
      <c r="AN7" t="n">
        <v>0</v>
      </c>
      <c r="AO7" t="n">
        <v>0.25</v>
      </c>
      <c r="AP7" t="n">
        <v>12.7</v>
      </c>
      <c r="AQ7" t="n">
        <v>0</v>
      </c>
      <c r="AR7" t="n">
        <v>24.35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87.68000000000001</v>
      </c>
      <c r="BC7" t="n">
        <v>0</v>
      </c>
      <c r="BD7" t="n">
        <v>179.02</v>
      </c>
      <c r="BE7" t="inlineStr">
        <is>
          <t>settled</t>
        </is>
      </c>
      <c r="BF7" t="inlineStr">
        <is>
          <t>2025-12-17 05:30:00</t>
        </is>
      </c>
      <c r="BG7" t="inlineStr">
        <is>
          <t>CITIN25671154595</t>
        </is>
      </c>
      <c r="BH7" t="n">
        <v>0</v>
      </c>
      <c r="BI7" t="inlineStr">
        <is>
          <t>f569abd5939c1be148bbeceb4af79b1e4a15b4810e03e578f52f3cc5b0ab8790</t>
        </is>
      </c>
    </row>
    <row r="8">
      <c r="A8" t="inlineStr">
        <is>
          <t>3</t>
        </is>
      </c>
      <c r="B8" t="inlineStr">
        <is>
          <t>7561706861</t>
        </is>
      </c>
      <c r="C8" t="inlineStr">
        <is>
          <t>2025-12-08 18:06:43</t>
        </is>
      </c>
      <c r="D8" t="inlineStr">
        <is>
          <t>50</t>
        </is>
      </c>
      <c r="E8" t="inlineStr">
        <is>
          <t>Baba Yaga Art Of Chinese - By Posh Foods</t>
        </is>
      </c>
      <c r="F8" t="inlineStr">
        <is>
          <t>20037890</t>
        </is>
      </c>
      <c r="G8" t="inlineStr">
        <is>
          <t>Flat ₹175 off (2025-12-03 - 2025-12-08)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9</t>
        </is>
      </c>
      <c r="O8" t="n">
        <v>895</v>
      </c>
      <c r="P8" t="n">
        <v>0</v>
      </c>
      <c r="Q8" t="n">
        <v>0</v>
      </c>
      <c r="R8" t="n">
        <v>122</v>
      </c>
      <c r="S8" t="n">
        <v>72</v>
      </c>
      <c r="T8" t="n">
        <v>0</v>
      </c>
      <c r="U8" t="n">
        <v>0</v>
      </c>
      <c r="V8" t="n">
        <v>35.05</v>
      </c>
      <c r="W8" t="n">
        <v>736.05</v>
      </c>
      <c r="X8" t="n">
        <v>701</v>
      </c>
      <c r="Y8" t="n">
        <v>0</v>
      </c>
      <c r="Z8" t="n">
        <v>0</v>
      </c>
      <c r="AA8" t="n">
        <v>701</v>
      </c>
      <c r="AB8" t="n">
        <v>23</v>
      </c>
      <c r="AC8" t="n">
        <v>161.23</v>
      </c>
      <c r="AD8" t="n">
        <v>4.33</v>
      </c>
      <c r="AE8" t="n">
        <v>20</v>
      </c>
      <c r="AF8" t="n">
        <v>0</v>
      </c>
      <c r="AG8" t="n">
        <v>0</v>
      </c>
      <c r="AH8" t="n">
        <v>13.54</v>
      </c>
      <c r="AI8" t="n">
        <v>194.77</v>
      </c>
      <c r="AJ8" t="n">
        <v>35.06</v>
      </c>
      <c r="AK8" t="n">
        <v>0</v>
      </c>
      <c r="AL8" t="n">
        <v>701</v>
      </c>
      <c r="AM8" t="n">
        <v>0</v>
      </c>
      <c r="AN8" t="n">
        <v>0</v>
      </c>
      <c r="AO8" t="n">
        <v>0.7</v>
      </c>
      <c r="AP8" t="n">
        <v>35.05</v>
      </c>
      <c r="AQ8" t="n">
        <v>0</v>
      </c>
      <c r="AR8" t="n">
        <v>70.81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265.58</v>
      </c>
      <c r="BC8" t="n">
        <v>0</v>
      </c>
      <c r="BD8" t="n">
        <v>470.47</v>
      </c>
      <c r="BE8" t="inlineStr">
        <is>
          <t>settled</t>
        </is>
      </c>
      <c r="BF8" t="inlineStr">
        <is>
          <t>2025-12-17 05:30:00</t>
        </is>
      </c>
      <c r="BG8" t="inlineStr">
        <is>
          <t>CITIN25671154595</t>
        </is>
      </c>
      <c r="BH8" t="n">
        <v>0</v>
      </c>
      <c r="BI8" t="inlineStr">
        <is>
          <t>5d1849d56ca36a48ffcd5712427a37a8f59678e77688b84124c0599cbe1d115a</t>
        </is>
      </c>
    </row>
    <row r="9">
      <c r="A9" t="inlineStr">
        <is>
          <t>4</t>
        </is>
      </c>
      <c r="B9" t="inlineStr">
        <is>
          <t>7556512267</t>
        </is>
      </c>
      <c r="C9" t="inlineStr">
        <is>
          <t>2025-12-08 18:08:54</t>
        </is>
      </c>
      <c r="D9" t="inlineStr">
        <is>
          <t>50</t>
        </is>
      </c>
      <c r="E9" t="inlineStr">
        <is>
          <t>Baba Yaga Art Of Chinese - By Posh Foods</t>
        </is>
      </c>
      <c r="F9" t="inlineStr">
        <is>
          <t>20037890</t>
        </is>
      </c>
      <c r="G9" t="inlineStr">
        <is>
          <t>NA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9</t>
        </is>
      </c>
      <c r="O9" t="n">
        <v>440</v>
      </c>
      <c r="P9" t="n">
        <v>0</v>
      </c>
      <c r="Q9" t="n">
        <v>0</v>
      </c>
      <c r="R9" t="n">
        <v>0</v>
      </c>
      <c r="S9" t="n">
        <v>44</v>
      </c>
      <c r="T9" t="n">
        <v>0</v>
      </c>
      <c r="U9" t="n">
        <v>0</v>
      </c>
      <c r="V9" t="n">
        <v>19.8</v>
      </c>
      <c r="W9" t="n">
        <v>415.8</v>
      </c>
      <c r="X9" t="n">
        <v>396</v>
      </c>
      <c r="Y9" t="n">
        <v>0</v>
      </c>
      <c r="Z9" t="n">
        <v>0</v>
      </c>
      <c r="AA9" t="n">
        <v>396</v>
      </c>
      <c r="AB9" t="n">
        <v>23</v>
      </c>
      <c r="AC9" t="n">
        <v>91.08</v>
      </c>
      <c r="AD9" t="n">
        <v>2.17</v>
      </c>
      <c r="AE9" t="n">
        <v>0</v>
      </c>
      <c r="AF9" t="n">
        <v>0</v>
      </c>
      <c r="AG9" t="n">
        <v>0</v>
      </c>
      <c r="AH9" t="n">
        <v>7.65</v>
      </c>
      <c r="AI9" t="n">
        <v>98.73</v>
      </c>
      <c r="AJ9" t="n">
        <v>17.77</v>
      </c>
      <c r="AK9" t="n">
        <v>0</v>
      </c>
      <c r="AL9" t="n">
        <v>396</v>
      </c>
      <c r="AM9" t="n">
        <v>0</v>
      </c>
      <c r="AN9" t="n">
        <v>0</v>
      </c>
      <c r="AO9" t="n">
        <v>0.4</v>
      </c>
      <c r="AP9" t="n">
        <v>19.8</v>
      </c>
      <c r="AQ9" t="n">
        <v>0</v>
      </c>
      <c r="AR9" t="n">
        <v>37.97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136.7</v>
      </c>
      <c r="BC9" t="n">
        <v>0</v>
      </c>
      <c r="BD9" t="n">
        <v>279.1</v>
      </c>
      <c r="BE9" t="inlineStr">
        <is>
          <t>settled</t>
        </is>
      </c>
      <c r="BF9" t="inlineStr">
        <is>
          <t>2025-12-17 05:30:00</t>
        </is>
      </c>
      <c r="BG9" t="inlineStr">
        <is>
          <t>CITIN25671154595</t>
        </is>
      </c>
      <c r="BH9" t="n">
        <v>0</v>
      </c>
      <c r="BI9" t="inlineStr">
        <is>
          <t>e70bff6f9736b0be593f146e31b6d6c7a3c8d26302de5e7fe726ed74ee8e88dd</t>
        </is>
      </c>
    </row>
    <row r="10">
      <c r="A10" t="inlineStr">
        <is>
          <t>5</t>
        </is>
      </c>
      <c r="B10" t="inlineStr">
        <is>
          <t>7559649397</t>
        </is>
      </c>
      <c r="C10" t="inlineStr">
        <is>
          <t>2025-12-08 19:12:07</t>
        </is>
      </c>
      <c r="D10" t="inlineStr">
        <is>
          <t>50</t>
        </is>
      </c>
      <c r="E10" t="inlineStr">
        <is>
          <t>Baba Yaga Art Of Chinese - By Posh Foods</t>
        </is>
      </c>
      <c r="F10" t="inlineStr">
        <is>
          <t>20037890</t>
        </is>
      </c>
      <c r="G10" t="inlineStr">
        <is>
          <t>Flat ₹100 off (2025-12-05 - 2031-01-01)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9</t>
        </is>
      </c>
      <c r="O10" t="n">
        <v>315</v>
      </c>
      <c r="P10" t="n">
        <v>0</v>
      </c>
      <c r="Q10" t="n">
        <v>0</v>
      </c>
      <c r="R10" t="n">
        <v>100</v>
      </c>
      <c r="S10" t="n">
        <v>21.5</v>
      </c>
      <c r="T10" t="n">
        <v>0</v>
      </c>
      <c r="U10" t="n">
        <v>0</v>
      </c>
      <c r="V10" t="n">
        <v>9.68</v>
      </c>
      <c r="W10" t="n">
        <v>203.18</v>
      </c>
      <c r="X10" t="n">
        <v>193.5</v>
      </c>
      <c r="Y10" t="n">
        <v>0</v>
      </c>
      <c r="Z10" t="n">
        <v>0</v>
      </c>
      <c r="AA10" t="n">
        <v>193.5</v>
      </c>
      <c r="AB10" t="n">
        <v>23</v>
      </c>
      <c r="AC10" t="n">
        <v>44.5</v>
      </c>
      <c r="AD10" t="n">
        <v>1.58</v>
      </c>
      <c r="AE10" t="n">
        <v>0</v>
      </c>
      <c r="AF10" t="n">
        <v>0</v>
      </c>
      <c r="AG10" t="n">
        <v>0</v>
      </c>
      <c r="AH10" t="n">
        <v>3.74</v>
      </c>
      <c r="AI10" t="n">
        <v>48.24</v>
      </c>
      <c r="AJ10" t="n">
        <v>8.68</v>
      </c>
      <c r="AK10" t="n">
        <v>0</v>
      </c>
      <c r="AL10" t="n">
        <v>193.5</v>
      </c>
      <c r="AM10" t="n">
        <v>0</v>
      </c>
      <c r="AN10" t="n">
        <v>0</v>
      </c>
      <c r="AO10" t="n">
        <v>0.19</v>
      </c>
      <c r="AP10" t="n">
        <v>9.68</v>
      </c>
      <c r="AQ10" t="n">
        <v>0</v>
      </c>
      <c r="AR10" t="n">
        <v>18.55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66.79000000000001</v>
      </c>
      <c r="BC10" t="n">
        <v>0</v>
      </c>
      <c r="BD10" t="n">
        <v>136.39</v>
      </c>
      <c r="BE10" t="inlineStr">
        <is>
          <t>settled</t>
        </is>
      </c>
      <c r="BF10" t="inlineStr">
        <is>
          <t>2025-12-17 05:30:00</t>
        </is>
      </c>
      <c r="BG10" t="inlineStr">
        <is>
          <t>CITIN25671154595</t>
        </is>
      </c>
      <c r="BH10" t="n">
        <v>0</v>
      </c>
      <c r="BI10" t="inlineStr">
        <is>
          <t>e2ab1ca9d0235872aa1fa083c097cca521e31a61b36e75dfa77e60f4b3202a56</t>
        </is>
      </c>
    </row>
    <row r="11">
      <c r="A11" t="inlineStr">
        <is>
          <t>6</t>
        </is>
      </c>
      <c r="B11" t="inlineStr">
        <is>
          <t>7562080438</t>
        </is>
      </c>
      <c r="C11" t="inlineStr">
        <is>
          <t>2025-12-08 19:31:29</t>
        </is>
      </c>
      <c r="D11" t="inlineStr">
        <is>
          <t>50</t>
        </is>
      </c>
      <c r="E11" t="inlineStr">
        <is>
          <t>Baba Yaga Art Of Chinese - By Posh Foods</t>
        </is>
      </c>
      <c r="F11" t="inlineStr">
        <is>
          <t>20037890</t>
        </is>
      </c>
      <c r="G11" t="inlineStr">
        <is>
          <t>Flat ₹100 off (2025-12-08 - 2031-01-01)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9</t>
        </is>
      </c>
      <c r="O11" t="n">
        <v>210</v>
      </c>
      <c r="P11" t="n">
        <v>0</v>
      </c>
      <c r="Q11" t="n">
        <v>0</v>
      </c>
      <c r="R11" t="n">
        <v>70</v>
      </c>
      <c r="S11" t="n">
        <v>0</v>
      </c>
      <c r="T11" t="n">
        <v>0</v>
      </c>
      <c r="U11" t="n">
        <v>0</v>
      </c>
      <c r="V11" t="n">
        <v>7</v>
      </c>
      <c r="W11" t="n">
        <v>147</v>
      </c>
      <c r="X11" t="n">
        <v>140</v>
      </c>
      <c r="Y11" t="n">
        <v>0</v>
      </c>
      <c r="Z11" t="n">
        <v>0</v>
      </c>
      <c r="AA11" t="n">
        <v>140</v>
      </c>
      <c r="AB11" t="n">
        <v>23</v>
      </c>
      <c r="AC11" t="n">
        <v>32.2</v>
      </c>
      <c r="AD11" t="n">
        <v>4.08</v>
      </c>
      <c r="AE11" t="n">
        <v>0</v>
      </c>
      <c r="AF11" t="n">
        <v>0</v>
      </c>
      <c r="AG11" t="n">
        <v>0</v>
      </c>
      <c r="AH11" t="n">
        <v>2.7</v>
      </c>
      <c r="AI11" t="n">
        <v>34.9</v>
      </c>
      <c r="AJ11" t="n">
        <v>6.29</v>
      </c>
      <c r="AK11" t="n">
        <v>0</v>
      </c>
      <c r="AL11" t="n">
        <v>140</v>
      </c>
      <c r="AM11" t="n">
        <v>0</v>
      </c>
      <c r="AN11" t="n">
        <v>0</v>
      </c>
      <c r="AO11" t="n">
        <v>0.14</v>
      </c>
      <c r="AP11" t="n">
        <v>7</v>
      </c>
      <c r="AQ11" t="n">
        <v>0</v>
      </c>
      <c r="AR11" t="n">
        <v>13.43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48.33</v>
      </c>
      <c r="BC11" t="n">
        <v>0</v>
      </c>
      <c r="BD11" t="n">
        <v>98.67</v>
      </c>
      <c r="BE11" t="inlineStr">
        <is>
          <t>settled</t>
        </is>
      </c>
      <c r="BF11" t="inlineStr">
        <is>
          <t>2025-12-17 05:30:00</t>
        </is>
      </c>
      <c r="BG11" t="inlineStr">
        <is>
          <t>CITIN25671154595</t>
        </is>
      </c>
      <c r="BH11" t="n">
        <v>0</v>
      </c>
      <c r="BI11" t="inlineStr">
        <is>
          <t>b5b49b5c90f230df38ad0a5a07aaa9615af3834b7a5ee7068dea8e631ae81c96</t>
        </is>
      </c>
    </row>
    <row r="12">
      <c r="A12" t="inlineStr">
        <is>
          <t>7</t>
        </is>
      </c>
      <c r="B12" t="inlineStr">
        <is>
          <t>7550974190</t>
        </is>
      </c>
      <c r="C12" t="inlineStr">
        <is>
          <t>2025-12-08 20:12:22</t>
        </is>
      </c>
      <c r="D12" t="inlineStr">
        <is>
          <t>50</t>
        </is>
      </c>
      <c r="E12" t="inlineStr">
        <is>
          <t>Baba Yaga Art Of Chinese - By Posh Foods</t>
        </is>
      </c>
      <c r="F12" t="inlineStr">
        <is>
          <t>20037890</t>
        </is>
      </c>
      <c r="G12" t="inlineStr">
        <is>
          <t>Flat 20% off (2025-09-25 - 2031-01-01)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9</t>
        </is>
      </c>
      <c r="O12" t="n">
        <v>1299</v>
      </c>
      <c r="P12" t="n">
        <v>0</v>
      </c>
      <c r="Q12" t="n">
        <v>0</v>
      </c>
      <c r="R12" t="n">
        <v>259.8</v>
      </c>
      <c r="S12" t="n">
        <v>103.92</v>
      </c>
      <c r="T12" t="n">
        <v>0</v>
      </c>
      <c r="U12" t="n">
        <v>0</v>
      </c>
      <c r="V12" t="n">
        <v>46.77</v>
      </c>
      <c r="W12" t="n">
        <v>982.05</v>
      </c>
      <c r="X12" t="n">
        <v>935.28</v>
      </c>
      <c r="Y12" t="n">
        <v>0</v>
      </c>
      <c r="Z12" t="n">
        <v>0</v>
      </c>
      <c r="AA12" t="n">
        <v>935.28</v>
      </c>
      <c r="AB12" t="n">
        <v>23</v>
      </c>
      <c r="AC12" t="n">
        <v>215.11</v>
      </c>
      <c r="AD12" t="n">
        <v>4.58</v>
      </c>
      <c r="AE12" t="n">
        <v>20</v>
      </c>
      <c r="AF12" t="n">
        <v>0</v>
      </c>
      <c r="AG12" t="n">
        <v>0</v>
      </c>
      <c r="AH12" t="n">
        <v>18.07</v>
      </c>
      <c r="AI12" t="n">
        <v>253.18</v>
      </c>
      <c r="AJ12" t="n">
        <v>45.57</v>
      </c>
      <c r="AK12" t="n">
        <v>0</v>
      </c>
      <c r="AL12" t="n">
        <v>935.28</v>
      </c>
      <c r="AM12" t="n">
        <v>0</v>
      </c>
      <c r="AN12" t="n">
        <v>0</v>
      </c>
      <c r="AO12" t="n">
        <v>0.9399999999999999</v>
      </c>
      <c r="AP12" t="n">
        <v>46.76</v>
      </c>
      <c r="AQ12" t="n">
        <v>0.01</v>
      </c>
      <c r="AR12" t="n">
        <v>93.27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346.45</v>
      </c>
      <c r="BC12" t="n">
        <v>0</v>
      </c>
      <c r="BD12" t="n">
        <v>635.6</v>
      </c>
      <c r="BE12" t="inlineStr">
        <is>
          <t>settled</t>
        </is>
      </c>
      <c r="BF12" t="inlineStr">
        <is>
          <t>2025-12-17 05:30:00</t>
        </is>
      </c>
      <c r="BG12" t="inlineStr">
        <is>
          <t>CITIN25671154595</t>
        </is>
      </c>
      <c r="BH12" t="n">
        <v>0</v>
      </c>
      <c r="BI12" t="inlineStr">
        <is>
          <t>d42c61b26fe0feef508897d16a61971180b1ddd711ad758539e14bff4ce399c1</t>
        </is>
      </c>
    </row>
    <row r="13">
      <c r="A13" t="inlineStr">
        <is>
          <t>8</t>
        </is>
      </c>
      <c r="B13" t="inlineStr">
        <is>
          <t>7553359563</t>
        </is>
      </c>
      <c r="C13" t="inlineStr">
        <is>
          <t>2025-12-08 20:12:51</t>
        </is>
      </c>
      <c r="D13" t="inlineStr">
        <is>
          <t>50</t>
        </is>
      </c>
      <c r="E13" t="inlineStr">
        <is>
          <t>Baba Yaga Art Of Chinese - By Posh Foods</t>
        </is>
      </c>
      <c r="F13" t="inlineStr">
        <is>
          <t>20037890</t>
        </is>
      </c>
      <c r="G13" t="inlineStr">
        <is>
          <t>Flat ₹100 off (2025-12-08 - 2031-01-01)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9</t>
        </is>
      </c>
      <c r="O13" t="n">
        <v>265</v>
      </c>
      <c r="P13" t="n">
        <v>0</v>
      </c>
      <c r="Q13" t="n">
        <v>0</v>
      </c>
      <c r="R13" t="n">
        <v>70</v>
      </c>
      <c r="S13" t="n">
        <v>0</v>
      </c>
      <c r="T13" t="n">
        <v>0</v>
      </c>
      <c r="U13" t="n">
        <v>0</v>
      </c>
      <c r="V13" t="n">
        <v>9.75</v>
      </c>
      <c r="W13" t="n">
        <v>204.75</v>
      </c>
      <c r="X13" t="n">
        <v>195</v>
      </c>
      <c r="Y13" t="n">
        <v>0</v>
      </c>
      <c r="Z13" t="n">
        <v>0</v>
      </c>
      <c r="AA13" t="n">
        <v>195</v>
      </c>
      <c r="AB13" t="n">
        <v>23</v>
      </c>
      <c r="AC13" t="n">
        <v>44.85</v>
      </c>
      <c r="AD13" t="n">
        <v>1.03</v>
      </c>
      <c r="AE13" t="n">
        <v>0</v>
      </c>
      <c r="AF13" t="n">
        <v>0</v>
      </c>
      <c r="AG13" t="n">
        <v>0</v>
      </c>
      <c r="AH13" t="n">
        <v>3.77</v>
      </c>
      <c r="AI13" t="n">
        <v>48.62</v>
      </c>
      <c r="AJ13" t="n">
        <v>8.75</v>
      </c>
      <c r="AK13" t="n">
        <v>0</v>
      </c>
      <c r="AL13" t="n">
        <v>195</v>
      </c>
      <c r="AM13" t="n">
        <v>0</v>
      </c>
      <c r="AN13" t="n">
        <v>0</v>
      </c>
      <c r="AO13" t="n">
        <v>0.2</v>
      </c>
      <c r="AP13" t="n">
        <v>9.75</v>
      </c>
      <c r="AQ13" t="n">
        <v>0</v>
      </c>
      <c r="AR13" t="n">
        <v>18.7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67.31999999999999</v>
      </c>
      <c r="BC13" t="n">
        <v>0</v>
      </c>
      <c r="BD13" t="n">
        <v>137.43</v>
      </c>
      <c r="BE13" t="inlineStr">
        <is>
          <t>settled</t>
        </is>
      </c>
      <c r="BF13" t="inlineStr">
        <is>
          <t>2025-12-17 05:30:00</t>
        </is>
      </c>
      <c r="BG13" t="inlineStr">
        <is>
          <t>CITIN25671154595</t>
        </is>
      </c>
      <c r="BH13" t="n">
        <v>0</v>
      </c>
      <c r="BI13" t="inlineStr">
        <is>
          <t>2d4dfc4e3602b895236c5340fe9a76eace0629ba946abda446103d99e4c0649b</t>
        </is>
      </c>
    </row>
    <row r="14">
      <c r="A14" t="inlineStr">
        <is>
          <t>9</t>
        </is>
      </c>
      <c r="B14" t="inlineStr">
        <is>
          <t>7559364107</t>
        </is>
      </c>
      <c r="C14" t="inlineStr">
        <is>
          <t>2025-12-08 20:49:16</t>
        </is>
      </c>
      <c r="D14" t="inlineStr">
        <is>
          <t>50</t>
        </is>
      </c>
      <c r="E14" t="inlineStr">
        <is>
          <t>Baba Yaga Art Of Chinese - By Posh Foods</t>
        </is>
      </c>
      <c r="F14" t="inlineStr">
        <is>
          <t>20037890</t>
        </is>
      </c>
      <c r="G14" t="inlineStr">
        <is>
          <t>Flat ₹100 off (2025-12-05 - 2031-01-01)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9</t>
        </is>
      </c>
      <c r="O14" t="n">
        <v>335</v>
      </c>
      <c r="P14" t="n">
        <v>0</v>
      </c>
      <c r="Q14" t="n">
        <v>0</v>
      </c>
      <c r="R14" t="n">
        <v>100</v>
      </c>
      <c r="S14" t="n">
        <v>23.5</v>
      </c>
      <c r="T14" t="n">
        <v>0</v>
      </c>
      <c r="U14" t="n">
        <v>0</v>
      </c>
      <c r="V14" t="n">
        <v>10.58</v>
      </c>
      <c r="W14" t="n">
        <v>222.08</v>
      </c>
      <c r="X14" t="n">
        <v>211.5</v>
      </c>
      <c r="Y14" t="n">
        <v>0</v>
      </c>
      <c r="Z14" t="n">
        <v>0</v>
      </c>
      <c r="AA14" t="n">
        <v>211.5</v>
      </c>
      <c r="AB14" t="n">
        <v>23</v>
      </c>
      <c r="AC14" t="n">
        <v>48.64</v>
      </c>
      <c r="AD14" t="n">
        <v>3.22</v>
      </c>
      <c r="AE14" t="n">
        <v>0</v>
      </c>
      <c r="AF14" t="n">
        <v>0</v>
      </c>
      <c r="AG14" t="n">
        <v>0</v>
      </c>
      <c r="AH14" t="n">
        <v>4.09</v>
      </c>
      <c r="AI14" t="n">
        <v>52.73</v>
      </c>
      <c r="AJ14" t="n">
        <v>9.5</v>
      </c>
      <c r="AK14" t="n">
        <v>0</v>
      </c>
      <c r="AL14" t="n">
        <v>211.5</v>
      </c>
      <c r="AM14" t="n">
        <v>0</v>
      </c>
      <c r="AN14" t="n">
        <v>0</v>
      </c>
      <c r="AO14" t="n">
        <v>0.21</v>
      </c>
      <c r="AP14" t="n">
        <v>10.58</v>
      </c>
      <c r="AQ14" t="n">
        <v>0</v>
      </c>
      <c r="AR14" t="n">
        <v>20.29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73.02</v>
      </c>
      <c r="BC14" t="n">
        <v>0</v>
      </c>
      <c r="BD14" t="n">
        <v>149.06</v>
      </c>
      <c r="BE14" t="inlineStr">
        <is>
          <t>settled</t>
        </is>
      </c>
      <c r="BF14" t="inlineStr">
        <is>
          <t>2025-12-17 05:30:00</t>
        </is>
      </c>
      <c r="BG14" t="inlineStr">
        <is>
          <t>CITIN25671154595</t>
        </is>
      </c>
      <c r="BH14" t="n">
        <v>0</v>
      </c>
      <c r="BI14" t="inlineStr">
        <is>
          <t>2790a3186ee91c8896a19bea038d1bfd736d9811f67445b87a10884b4130531b</t>
        </is>
      </c>
    </row>
    <row r="15">
      <c r="A15" t="inlineStr">
        <is>
          <t>10</t>
        </is>
      </c>
      <c r="B15" t="inlineStr">
        <is>
          <t>7562079574</t>
        </is>
      </c>
      <c r="C15" t="inlineStr">
        <is>
          <t>2025-12-08 21:24:20</t>
        </is>
      </c>
      <c r="D15" t="inlineStr">
        <is>
          <t>50</t>
        </is>
      </c>
      <c r="E15" t="inlineStr">
        <is>
          <t>Baba Yaga Art Of Chinese - By Posh Foods</t>
        </is>
      </c>
      <c r="F15" t="inlineStr">
        <is>
          <t>20037890</t>
        </is>
      </c>
      <c r="G15" t="inlineStr">
        <is>
          <t>Flat ₹100 off (2025-12-08 - 2031-01-01)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9</t>
        </is>
      </c>
      <c r="O15" t="n">
        <v>280</v>
      </c>
      <c r="P15" t="n">
        <v>0</v>
      </c>
      <c r="Q15" t="n">
        <v>0</v>
      </c>
      <c r="R15" t="n">
        <v>70</v>
      </c>
      <c r="S15" t="n">
        <v>0</v>
      </c>
      <c r="T15" t="n">
        <v>0</v>
      </c>
      <c r="U15" t="n">
        <v>0</v>
      </c>
      <c r="V15" t="n">
        <v>10.5</v>
      </c>
      <c r="W15" t="n">
        <v>220.5</v>
      </c>
      <c r="X15" t="n">
        <v>210</v>
      </c>
      <c r="Y15" t="n">
        <v>0</v>
      </c>
      <c r="Z15" t="n">
        <v>0</v>
      </c>
      <c r="AA15" t="n">
        <v>210</v>
      </c>
      <c r="AB15" t="n">
        <v>23</v>
      </c>
      <c r="AC15" t="n">
        <v>48.3</v>
      </c>
      <c r="AD15" t="n">
        <v>2.66</v>
      </c>
      <c r="AE15" t="n">
        <v>0</v>
      </c>
      <c r="AF15" t="n">
        <v>0</v>
      </c>
      <c r="AG15" t="n">
        <v>0</v>
      </c>
      <c r="AH15" t="n">
        <v>4.06</v>
      </c>
      <c r="AI15" t="n">
        <v>52.36</v>
      </c>
      <c r="AJ15" t="n">
        <v>9.42</v>
      </c>
      <c r="AK15" t="n">
        <v>0</v>
      </c>
      <c r="AL15" t="n">
        <v>210</v>
      </c>
      <c r="AM15" t="n">
        <v>0</v>
      </c>
      <c r="AN15" t="n">
        <v>0</v>
      </c>
      <c r="AO15" t="n">
        <v>0.21</v>
      </c>
      <c r="AP15" t="n">
        <v>10.5</v>
      </c>
      <c r="AQ15" t="n">
        <v>0</v>
      </c>
      <c r="AR15" t="n">
        <v>20.13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24.78</v>
      </c>
      <c r="AY15" t="n">
        <v>0</v>
      </c>
      <c r="AZ15" t="n">
        <v>0</v>
      </c>
      <c r="BA15" t="n">
        <v>24.78</v>
      </c>
      <c r="BB15" t="n">
        <v>97.27</v>
      </c>
      <c r="BC15" t="n">
        <v>0</v>
      </c>
      <c r="BD15" t="n">
        <v>123.23</v>
      </c>
      <c r="BE15" t="inlineStr">
        <is>
          <t>settled</t>
        </is>
      </c>
      <c r="BF15" t="inlineStr">
        <is>
          <t>2025-12-17 05:30:00</t>
        </is>
      </c>
      <c r="BG15" t="inlineStr">
        <is>
          <t>CITIN25671154595</t>
        </is>
      </c>
      <c r="BH15" t="n">
        <v>0</v>
      </c>
      <c r="BI15" t="inlineStr">
        <is>
          <t>70a0e1eb94dd7aab5a2a96adabe71e6ac1739d14b066f8e96367e2d93d3cbbd4</t>
        </is>
      </c>
    </row>
    <row r="16">
      <c r="A16" t="inlineStr">
        <is>
          <t>11</t>
        </is>
      </c>
      <c r="B16" t="inlineStr">
        <is>
          <t>7555175949</t>
        </is>
      </c>
      <c r="C16" t="inlineStr">
        <is>
          <t>2025-12-08 21:35:47</t>
        </is>
      </c>
      <c r="D16" t="inlineStr">
        <is>
          <t>50</t>
        </is>
      </c>
      <c r="E16" t="inlineStr">
        <is>
          <t>Baba Yaga Art Of Chinese - By Posh Foods</t>
        </is>
      </c>
      <c r="F16" t="inlineStr">
        <is>
          <t>20037890</t>
        </is>
      </c>
      <c r="G16" t="inlineStr">
        <is>
          <t>Flat ₹80 off (2025-12-08 - 2031-01-01)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9</t>
        </is>
      </c>
      <c r="O16" t="n">
        <v>265</v>
      </c>
      <c r="P16" t="n">
        <v>0</v>
      </c>
      <c r="Q16" t="n">
        <v>0</v>
      </c>
      <c r="R16" t="n">
        <v>56</v>
      </c>
      <c r="S16" t="n">
        <v>0</v>
      </c>
      <c r="T16" t="n">
        <v>0</v>
      </c>
      <c r="U16" t="n">
        <v>0</v>
      </c>
      <c r="V16" t="n">
        <v>10.45</v>
      </c>
      <c r="W16" t="n">
        <v>219.45</v>
      </c>
      <c r="X16" t="n">
        <v>209</v>
      </c>
      <c r="Y16" t="n">
        <v>0</v>
      </c>
      <c r="Z16" t="n">
        <v>0</v>
      </c>
      <c r="AA16" t="n">
        <v>209</v>
      </c>
      <c r="AB16" t="n">
        <v>23</v>
      </c>
      <c r="AC16" t="n">
        <v>48.07</v>
      </c>
      <c r="AD16" t="n">
        <v>4.4</v>
      </c>
      <c r="AE16" t="n">
        <v>20</v>
      </c>
      <c r="AF16" t="n">
        <v>0</v>
      </c>
      <c r="AG16" t="n">
        <v>5.37</v>
      </c>
      <c r="AH16" t="n">
        <v>4.04</v>
      </c>
      <c r="AI16" t="n">
        <v>66.73999999999999</v>
      </c>
      <c r="AJ16" t="n">
        <v>12.01</v>
      </c>
      <c r="AK16" t="n">
        <v>0</v>
      </c>
      <c r="AL16" t="n">
        <v>209</v>
      </c>
      <c r="AM16" t="n">
        <v>0</v>
      </c>
      <c r="AN16" t="n">
        <v>0</v>
      </c>
      <c r="AO16" t="n">
        <v>0.21</v>
      </c>
      <c r="AP16" t="n">
        <v>10.45</v>
      </c>
      <c r="AQ16" t="n">
        <v>0</v>
      </c>
      <c r="AR16" t="n">
        <v>22.67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24.66</v>
      </c>
      <c r="AY16" t="n">
        <v>0</v>
      </c>
      <c r="AZ16" t="n">
        <v>0</v>
      </c>
      <c r="BA16" t="n">
        <v>24.66</v>
      </c>
      <c r="BB16" t="n">
        <v>114.07</v>
      </c>
      <c r="BC16" t="n">
        <v>0</v>
      </c>
      <c r="BD16" t="n">
        <v>105.38</v>
      </c>
      <c r="BE16" t="inlineStr">
        <is>
          <t>settled</t>
        </is>
      </c>
      <c r="BF16" t="inlineStr">
        <is>
          <t>2025-12-17 05:30:00</t>
        </is>
      </c>
      <c r="BG16" t="inlineStr">
        <is>
          <t>CITIN25671154595</t>
        </is>
      </c>
      <c r="BH16" t="n">
        <v>0</v>
      </c>
      <c r="BI16" t="inlineStr">
        <is>
          <t>d54dbd355815a1cf8f9a7191ec73b3a9540f6a00516a4d31d95410c0ff423838</t>
        </is>
      </c>
    </row>
    <row r="17">
      <c r="A17" t="inlineStr">
        <is>
          <t>12</t>
        </is>
      </c>
      <c r="B17" t="inlineStr">
        <is>
          <t>7560261722</t>
        </is>
      </c>
      <c r="C17" t="inlineStr">
        <is>
          <t>2025-12-08 21:53:50</t>
        </is>
      </c>
      <c r="D17" t="inlineStr">
        <is>
          <t>50</t>
        </is>
      </c>
      <c r="E17" t="inlineStr">
        <is>
          <t>Baba Yaga Art Of Chinese - By Posh Foods</t>
        </is>
      </c>
      <c r="F17" t="inlineStr">
        <is>
          <t>20037890</t>
        </is>
      </c>
      <c r="G17" t="inlineStr">
        <is>
          <t>Flat ₹150 off (2025-12-08 - 2031-01-01)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9</t>
        </is>
      </c>
      <c r="O17" t="n">
        <v>698</v>
      </c>
      <c r="P17" t="n">
        <v>0</v>
      </c>
      <c r="Q17" t="n">
        <v>0</v>
      </c>
      <c r="R17" t="n">
        <v>150</v>
      </c>
      <c r="S17" t="n">
        <v>54.8</v>
      </c>
      <c r="T17" t="n">
        <v>0</v>
      </c>
      <c r="U17" t="n">
        <v>0</v>
      </c>
      <c r="V17" t="n">
        <v>24.66</v>
      </c>
      <c r="W17" t="n">
        <v>517.86</v>
      </c>
      <c r="X17" t="n">
        <v>493.2</v>
      </c>
      <c r="Y17" t="n">
        <v>0</v>
      </c>
      <c r="Z17" t="n">
        <v>0</v>
      </c>
      <c r="AA17" t="n">
        <v>493.2</v>
      </c>
      <c r="AB17" t="n">
        <v>23</v>
      </c>
      <c r="AC17" t="n">
        <v>113.44</v>
      </c>
      <c r="AD17" t="n">
        <v>5.11</v>
      </c>
      <c r="AE17" t="n">
        <v>20</v>
      </c>
      <c r="AF17" t="n">
        <v>0</v>
      </c>
      <c r="AG17" t="n">
        <v>0</v>
      </c>
      <c r="AH17" t="n">
        <v>9.529999999999999</v>
      </c>
      <c r="AI17" t="n">
        <v>142.97</v>
      </c>
      <c r="AJ17" t="n">
        <v>25.74</v>
      </c>
      <c r="AK17" t="n">
        <v>0</v>
      </c>
      <c r="AL17" t="n">
        <v>493.2</v>
      </c>
      <c r="AM17" t="n">
        <v>0</v>
      </c>
      <c r="AN17" t="n">
        <v>0</v>
      </c>
      <c r="AO17" t="n">
        <v>0.49</v>
      </c>
      <c r="AP17" t="n">
        <v>24.66</v>
      </c>
      <c r="AQ17" t="n">
        <v>0</v>
      </c>
      <c r="AR17" t="n">
        <v>50.89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193.86</v>
      </c>
      <c r="BC17" t="n">
        <v>0</v>
      </c>
      <c r="BD17" t="n">
        <v>324</v>
      </c>
      <c r="BE17" t="inlineStr">
        <is>
          <t>settled</t>
        </is>
      </c>
      <c r="BF17" t="inlineStr">
        <is>
          <t>2025-12-17 05:30:00</t>
        </is>
      </c>
      <c r="BG17" t="inlineStr">
        <is>
          <t>CITIN25671154595</t>
        </is>
      </c>
      <c r="BH17" t="n">
        <v>0</v>
      </c>
      <c r="BI17" t="inlineStr">
        <is>
          <t>9a66774ea84a3270fa9c3c0a1f4fca7f906e7a407b3e25a0b957eaa4ff1b87c2</t>
        </is>
      </c>
    </row>
    <row r="18">
      <c r="A18" t="inlineStr">
        <is>
          <t>13</t>
        </is>
      </c>
      <c r="B18" t="inlineStr">
        <is>
          <t>7560952193</t>
        </is>
      </c>
      <c r="C18" t="inlineStr">
        <is>
          <t>2025-12-09 00:02:56</t>
        </is>
      </c>
      <c r="D18" t="inlineStr">
        <is>
          <t>50</t>
        </is>
      </c>
      <c r="E18" t="inlineStr">
        <is>
          <t>Baba Yaga Art Of Chinese - By Posh Foods</t>
        </is>
      </c>
      <c r="F18" t="inlineStr">
        <is>
          <t>20037890</t>
        </is>
      </c>
      <c r="G18" t="inlineStr">
        <is>
          <t>Flat ₹100 off (2025-12-05 - 2031-01-01)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9</t>
        </is>
      </c>
      <c r="O18" t="n">
        <v>315</v>
      </c>
      <c r="P18" t="n">
        <v>0</v>
      </c>
      <c r="Q18" t="n">
        <v>0</v>
      </c>
      <c r="R18" t="n">
        <v>100</v>
      </c>
      <c r="S18" t="n">
        <v>21.5</v>
      </c>
      <c r="T18" t="n">
        <v>0</v>
      </c>
      <c r="U18" t="n">
        <v>0</v>
      </c>
      <c r="V18" t="n">
        <v>9.68</v>
      </c>
      <c r="W18" t="n">
        <v>203.18</v>
      </c>
      <c r="X18" t="n">
        <v>193.5</v>
      </c>
      <c r="Y18" t="n">
        <v>0</v>
      </c>
      <c r="Z18" t="n">
        <v>0</v>
      </c>
      <c r="AA18" t="n">
        <v>193.5</v>
      </c>
      <c r="AB18" t="n">
        <v>23</v>
      </c>
      <c r="AC18" t="n">
        <v>44.5</v>
      </c>
      <c r="AD18" t="n">
        <v>5.15</v>
      </c>
      <c r="AE18" t="n">
        <v>20</v>
      </c>
      <c r="AF18" t="n">
        <v>0</v>
      </c>
      <c r="AG18" t="n">
        <v>6.45</v>
      </c>
      <c r="AH18" t="n">
        <v>3.74</v>
      </c>
      <c r="AI18" t="n">
        <v>61.79</v>
      </c>
      <c r="AJ18" t="n">
        <v>11.12</v>
      </c>
      <c r="AK18" t="n">
        <v>0</v>
      </c>
      <c r="AL18" t="n">
        <v>193.5</v>
      </c>
      <c r="AM18" t="n">
        <v>0</v>
      </c>
      <c r="AN18" t="n">
        <v>0</v>
      </c>
      <c r="AO18" t="n">
        <v>0.19</v>
      </c>
      <c r="AP18" t="n">
        <v>9.68</v>
      </c>
      <c r="AQ18" t="n">
        <v>0</v>
      </c>
      <c r="AR18" t="n">
        <v>20.99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22.83</v>
      </c>
      <c r="AY18" t="n">
        <v>0</v>
      </c>
      <c r="AZ18" t="n">
        <v>0</v>
      </c>
      <c r="BA18" t="n">
        <v>22.83</v>
      </c>
      <c r="BB18" t="n">
        <v>105.61</v>
      </c>
      <c r="BC18" t="n">
        <v>0</v>
      </c>
      <c r="BD18" t="n">
        <v>97.56999999999999</v>
      </c>
      <c r="BE18" t="inlineStr">
        <is>
          <t>settled</t>
        </is>
      </c>
      <c r="BF18" t="inlineStr">
        <is>
          <t>2025-12-17 05:30:00</t>
        </is>
      </c>
      <c r="BG18" t="inlineStr">
        <is>
          <t>CITIN25671154595</t>
        </is>
      </c>
      <c r="BH18" t="n">
        <v>0</v>
      </c>
      <c r="BI18" t="inlineStr">
        <is>
          <t>6423f1f1773aa32a17d0420ac850a971bfd96f0d549a685d0bf1d2d737d2583d</t>
        </is>
      </c>
    </row>
    <row r="19">
      <c r="A19" t="inlineStr">
        <is>
          <t>14</t>
        </is>
      </c>
      <c r="B19" t="inlineStr">
        <is>
          <t>7560390975</t>
        </is>
      </c>
      <c r="C19" t="inlineStr">
        <is>
          <t>2025-12-09 00:21:22</t>
        </is>
      </c>
      <c r="D19" t="inlineStr">
        <is>
          <t>50</t>
        </is>
      </c>
      <c r="E19" t="inlineStr">
        <is>
          <t>Baba Yaga Art Of Chinese - By Posh Foods</t>
        </is>
      </c>
      <c r="F19" t="inlineStr">
        <is>
          <t>20037890</t>
        </is>
      </c>
      <c r="G19" t="inlineStr">
        <is>
          <t>Flat ₹150 off (2025-12-08 - 2031-01-01)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9</t>
        </is>
      </c>
      <c r="O19" t="n">
        <v>459</v>
      </c>
      <c r="P19" t="n">
        <v>0</v>
      </c>
      <c r="Q19" t="n">
        <v>0</v>
      </c>
      <c r="R19" t="n">
        <v>105</v>
      </c>
      <c r="S19" t="n">
        <v>30.9</v>
      </c>
      <c r="T19" t="n">
        <v>0</v>
      </c>
      <c r="U19" t="n">
        <v>0</v>
      </c>
      <c r="V19" t="n">
        <v>16.16</v>
      </c>
      <c r="W19" t="n">
        <v>339.26</v>
      </c>
      <c r="X19" t="n">
        <v>323.1</v>
      </c>
      <c r="Y19" t="n">
        <v>0</v>
      </c>
      <c r="Z19" t="n">
        <v>0</v>
      </c>
      <c r="AA19" t="n">
        <v>323.1</v>
      </c>
      <c r="AB19" t="n">
        <v>23</v>
      </c>
      <c r="AC19" t="n">
        <v>74.31</v>
      </c>
      <c r="AD19" t="n">
        <v>1.67</v>
      </c>
      <c r="AE19" t="n">
        <v>0</v>
      </c>
      <c r="AF19" t="n">
        <v>0</v>
      </c>
      <c r="AG19" t="n">
        <v>0</v>
      </c>
      <c r="AH19" t="n">
        <v>6.24</v>
      </c>
      <c r="AI19" t="n">
        <v>80.55</v>
      </c>
      <c r="AJ19" t="n">
        <v>14.5</v>
      </c>
      <c r="AK19" t="n">
        <v>0</v>
      </c>
      <c r="AL19" t="n">
        <v>323.1</v>
      </c>
      <c r="AM19" t="n">
        <v>0</v>
      </c>
      <c r="AN19" t="n">
        <v>0</v>
      </c>
      <c r="AO19" t="n">
        <v>0.32</v>
      </c>
      <c r="AP19" t="n">
        <v>16.16</v>
      </c>
      <c r="AQ19" t="n">
        <v>0</v>
      </c>
      <c r="AR19" t="n">
        <v>30.98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111.53</v>
      </c>
      <c r="BC19" t="n">
        <v>0</v>
      </c>
      <c r="BD19" t="n">
        <v>227.73</v>
      </c>
      <c r="BE19" t="inlineStr">
        <is>
          <t>settled</t>
        </is>
      </c>
      <c r="BF19" t="inlineStr">
        <is>
          <t>2025-12-17 05:30:00</t>
        </is>
      </c>
      <c r="BG19" t="inlineStr">
        <is>
          <t>CITIN25671154595</t>
        </is>
      </c>
      <c r="BH19" t="n">
        <v>0</v>
      </c>
      <c r="BI19" t="inlineStr">
        <is>
          <t>ab74b56878966b783c03620559665b7b786c85980afca87ff7856d438ccea9a5</t>
        </is>
      </c>
    </row>
    <row r="20">
      <c r="A20" t="inlineStr">
        <is>
          <t>15</t>
        </is>
      </c>
      <c r="B20" t="inlineStr">
        <is>
          <t>7560398398</t>
        </is>
      </c>
      <c r="C20" t="inlineStr">
        <is>
          <t>2025-12-09 00:50:56</t>
        </is>
      </c>
      <c r="D20" t="inlineStr">
        <is>
          <t>50</t>
        </is>
      </c>
      <c r="E20" t="inlineStr">
        <is>
          <t>Baba Yaga Art Of Chinese - By Posh Foods</t>
        </is>
      </c>
      <c r="F20" t="inlineStr">
        <is>
          <t>20037890</t>
        </is>
      </c>
      <c r="G20" t="inlineStr">
        <is>
          <t>Flat ₹100 off (2025-12-05 - 2031-01-01)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9</t>
        </is>
      </c>
      <c r="O20" t="n">
        <v>319</v>
      </c>
      <c r="P20" t="n">
        <v>0</v>
      </c>
      <c r="Q20" t="n">
        <v>0</v>
      </c>
      <c r="R20" t="n">
        <v>100</v>
      </c>
      <c r="S20" t="n">
        <v>21.9</v>
      </c>
      <c r="T20" t="n">
        <v>0</v>
      </c>
      <c r="U20" t="n">
        <v>0</v>
      </c>
      <c r="V20" t="n">
        <v>9.859999999999999</v>
      </c>
      <c r="W20" t="n">
        <v>206.96</v>
      </c>
      <c r="X20" t="n">
        <v>197.1</v>
      </c>
      <c r="Y20" t="n">
        <v>0</v>
      </c>
      <c r="Z20" t="n">
        <v>0</v>
      </c>
      <c r="AA20" t="n">
        <v>197.1</v>
      </c>
      <c r="AB20" t="n">
        <v>23</v>
      </c>
      <c r="AC20" t="n">
        <v>45.33</v>
      </c>
      <c r="AD20" t="n">
        <v>4.86</v>
      </c>
      <c r="AE20" t="n">
        <v>20</v>
      </c>
      <c r="AF20" t="n">
        <v>0</v>
      </c>
      <c r="AG20" t="n">
        <v>6.2</v>
      </c>
      <c r="AH20" t="n">
        <v>3.81</v>
      </c>
      <c r="AI20" t="n">
        <v>62.94</v>
      </c>
      <c r="AJ20" t="n">
        <v>11.33</v>
      </c>
      <c r="AK20" t="n">
        <v>0</v>
      </c>
      <c r="AL20" t="n">
        <v>197.1</v>
      </c>
      <c r="AM20" t="n">
        <v>0</v>
      </c>
      <c r="AN20" t="n">
        <v>0</v>
      </c>
      <c r="AO20" t="n">
        <v>0.2</v>
      </c>
      <c r="AP20" t="n">
        <v>9.859999999999999</v>
      </c>
      <c r="AQ20" t="n">
        <v>0</v>
      </c>
      <c r="AR20" t="n">
        <v>21.39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23.26</v>
      </c>
      <c r="AY20" t="n">
        <v>0</v>
      </c>
      <c r="AZ20" t="n">
        <v>0</v>
      </c>
      <c r="BA20" t="n">
        <v>23.26</v>
      </c>
      <c r="BB20" t="n">
        <v>107.59</v>
      </c>
      <c r="BC20" t="n">
        <v>0</v>
      </c>
      <c r="BD20" t="n">
        <v>99.37</v>
      </c>
      <c r="BE20" t="inlineStr">
        <is>
          <t>settled</t>
        </is>
      </c>
      <c r="BF20" t="inlineStr">
        <is>
          <t>2025-12-17 05:30:00</t>
        </is>
      </c>
      <c r="BG20" t="inlineStr">
        <is>
          <t>CITIN25671154595</t>
        </is>
      </c>
      <c r="BH20" t="n">
        <v>0</v>
      </c>
      <c r="BI20" t="inlineStr">
        <is>
          <t>9085da9c65bf9a79256921a499556225ede1ca0024d70b3d939f6534117f2f1c</t>
        </is>
      </c>
    </row>
    <row r="21">
      <c r="A21" t="inlineStr">
        <is>
          <t>16</t>
        </is>
      </c>
      <c r="B21" t="inlineStr">
        <is>
          <t>7562532198</t>
        </is>
      </c>
      <c r="C21" t="inlineStr">
        <is>
          <t>2025-12-09 14:38:13</t>
        </is>
      </c>
      <c r="D21" t="inlineStr">
        <is>
          <t>50</t>
        </is>
      </c>
      <c r="E21" t="inlineStr">
        <is>
          <t>Baba Yaga Art Of Chinese - By Posh Foods</t>
        </is>
      </c>
      <c r="F21" t="inlineStr">
        <is>
          <t>20037890</t>
        </is>
      </c>
      <c r="G21" t="inlineStr">
        <is>
          <t>Flat ₹100 off (2025-12-08 - 2031-01-01)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9</t>
        </is>
      </c>
      <c r="O21" t="n">
        <v>265</v>
      </c>
      <c r="P21" t="n">
        <v>0</v>
      </c>
      <c r="Q21" t="n">
        <v>0</v>
      </c>
      <c r="R21" t="n">
        <v>70</v>
      </c>
      <c r="S21" t="n">
        <v>0</v>
      </c>
      <c r="T21" t="n">
        <v>0</v>
      </c>
      <c r="U21" t="n">
        <v>0</v>
      </c>
      <c r="V21" t="n">
        <v>9.75</v>
      </c>
      <c r="W21" t="n">
        <v>204.75</v>
      </c>
      <c r="X21" t="n">
        <v>195</v>
      </c>
      <c r="Y21" t="n">
        <v>0</v>
      </c>
      <c r="Z21" t="n">
        <v>0</v>
      </c>
      <c r="AA21" t="n">
        <v>195</v>
      </c>
      <c r="AB21" t="n">
        <v>23</v>
      </c>
      <c r="AC21" t="n">
        <v>44.85</v>
      </c>
      <c r="AD21" t="n">
        <v>6.49</v>
      </c>
      <c r="AE21" t="n">
        <v>40</v>
      </c>
      <c r="AF21" t="n">
        <v>0</v>
      </c>
      <c r="AG21" t="n">
        <v>26.35</v>
      </c>
      <c r="AH21" t="n">
        <v>3.77</v>
      </c>
      <c r="AI21" t="n">
        <v>62.27</v>
      </c>
      <c r="AJ21" t="n">
        <v>11.21</v>
      </c>
      <c r="AK21" t="n">
        <v>0</v>
      </c>
      <c r="AL21" t="n">
        <v>195</v>
      </c>
      <c r="AM21" t="n">
        <v>0</v>
      </c>
      <c r="AN21" t="n">
        <v>0</v>
      </c>
      <c r="AO21" t="n">
        <v>0.2</v>
      </c>
      <c r="AP21" t="n">
        <v>9.75</v>
      </c>
      <c r="AQ21" t="n">
        <v>0</v>
      </c>
      <c r="AR21" t="n">
        <v>21.16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83.43000000000001</v>
      </c>
      <c r="BC21" t="n">
        <v>0</v>
      </c>
      <c r="BD21" t="n">
        <v>121.32</v>
      </c>
      <c r="BE21" t="inlineStr">
        <is>
          <t>settled</t>
        </is>
      </c>
      <c r="BF21" t="inlineStr">
        <is>
          <t>2025-12-17 05:30:00</t>
        </is>
      </c>
      <c r="BG21" t="inlineStr">
        <is>
          <t>CITIN25671154595</t>
        </is>
      </c>
      <c r="BH21" t="n">
        <v>0</v>
      </c>
      <c r="BI21" t="inlineStr">
        <is>
          <t>4477f09854d051ae65f0c587152e367220564501bf9098d4fced2cb57e287de1</t>
        </is>
      </c>
    </row>
    <row r="22">
      <c r="A22" t="inlineStr">
        <is>
          <t>17</t>
        </is>
      </c>
      <c r="B22" t="inlineStr">
        <is>
          <t>7562612244</t>
        </is>
      </c>
      <c r="C22" t="inlineStr">
        <is>
          <t>2025-12-09 15:55:22</t>
        </is>
      </c>
      <c r="D22" t="inlineStr">
        <is>
          <t>50</t>
        </is>
      </c>
      <c r="E22" t="inlineStr">
        <is>
          <t>Baba Yaga Art Of Chinese - By Posh Foods</t>
        </is>
      </c>
      <c r="F22" t="inlineStr">
        <is>
          <t>20037890</t>
        </is>
      </c>
      <c r="G22" t="inlineStr">
        <is>
          <t>Flat ₹80 off (2025-12-08 - 2031-01-01)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9</t>
        </is>
      </c>
      <c r="O22" t="n">
        <v>455</v>
      </c>
      <c r="P22" t="n">
        <v>0</v>
      </c>
      <c r="Q22" t="n">
        <v>0</v>
      </c>
      <c r="R22" t="n">
        <v>56</v>
      </c>
      <c r="S22" t="n">
        <v>37.5</v>
      </c>
      <c r="T22" t="n">
        <v>0</v>
      </c>
      <c r="U22" t="n">
        <v>0</v>
      </c>
      <c r="V22" t="n">
        <v>18.08</v>
      </c>
      <c r="W22" t="n">
        <v>379.58</v>
      </c>
      <c r="X22" t="n">
        <v>361.5</v>
      </c>
      <c r="Y22" t="n">
        <v>0</v>
      </c>
      <c r="Z22" t="n">
        <v>0</v>
      </c>
      <c r="AA22" t="n">
        <v>361.5</v>
      </c>
      <c r="AB22" t="n">
        <v>23</v>
      </c>
      <c r="AC22" t="n">
        <v>83.14</v>
      </c>
      <c r="AD22" t="n">
        <v>4.83</v>
      </c>
      <c r="AE22" t="n">
        <v>20</v>
      </c>
      <c r="AF22" t="n">
        <v>0</v>
      </c>
      <c r="AG22" t="n">
        <v>0</v>
      </c>
      <c r="AH22" t="n">
        <v>6.98</v>
      </c>
      <c r="AI22" t="n">
        <v>110.12</v>
      </c>
      <c r="AJ22" t="n">
        <v>19.83</v>
      </c>
      <c r="AK22" t="n">
        <v>0</v>
      </c>
      <c r="AL22" t="n">
        <v>361.5</v>
      </c>
      <c r="AM22" t="n">
        <v>0</v>
      </c>
      <c r="AN22" t="n">
        <v>0</v>
      </c>
      <c r="AO22" t="n">
        <v>0.36</v>
      </c>
      <c r="AP22" t="n">
        <v>18.07</v>
      </c>
      <c r="AQ22" t="n">
        <v>0.01</v>
      </c>
      <c r="AR22" t="n">
        <v>38.26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148.38</v>
      </c>
      <c r="BC22" t="n">
        <v>0</v>
      </c>
      <c r="BD22" t="n">
        <v>231.2</v>
      </c>
      <c r="BE22" t="inlineStr">
        <is>
          <t>settled</t>
        </is>
      </c>
      <c r="BF22" t="inlineStr">
        <is>
          <t>2025-12-17 05:30:00</t>
        </is>
      </c>
      <c r="BG22" t="inlineStr">
        <is>
          <t>CITIN25671154595</t>
        </is>
      </c>
      <c r="BH22" t="n">
        <v>0</v>
      </c>
      <c r="BI22" t="inlineStr">
        <is>
          <t>81cda59a1ca828dbb672de5692aef22c0d7caca8b41b69de7c8e79f2abfdbf15</t>
        </is>
      </c>
    </row>
    <row r="23">
      <c r="A23" t="inlineStr">
        <is>
          <t>18</t>
        </is>
      </c>
      <c r="B23" t="inlineStr">
        <is>
          <t>7557204343</t>
        </is>
      </c>
      <c r="C23" t="inlineStr">
        <is>
          <t>2025-12-09 17:42:49</t>
        </is>
      </c>
      <c r="D23" t="inlineStr">
        <is>
          <t>50</t>
        </is>
      </c>
      <c r="E23" t="inlineStr">
        <is>
          <t>Baba Yaga Art Of Chinese - By Posh Foods</t>
        </is>
      </c>
      <c r="F23" t="inlineStr">
        <is>
          <t>20037890</t>
        </is>
      </c>
      <c r="G23" t="inlineStr">
        <is>
          <t>Flat ₹125 off (2025-12-08 - 2031-01-01)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9</t>
        </is>
      </c>
      <c r="O23" t="n">
        <v>350</v>
      </c>
      <c r="P23" t="n">
        <v>0</v>
      </c>
      <c r="Q23" t="n">
        <v>0</v>
      </c>
      <c r="R23" t="n">
        <v>87</v>
      </c>
      <c r="S23" t="n">
        <v>22.5</v>
      </c>
      <c r="T23" t="n">
        <v>0</v>
      </c>
      <c r="U23" t="n">
        <v>0</v>
      </c>
      <c r="V23" t="n">
        <v>12.03</v>
      </c>
      <c r="W23" t="n">
        <v>252.53</v>
      </c>
      <c r="X23" t="n">
        <v>240.5</v>
      </c>
      <c r="Y23" t="n">
        <v>0</v>
      </c>
      <c r="Z23" t="n">
        <v>0</v>
      </c>
      <c r="AA23" t="n">
        <v>240.5</v>
      </c>
      <c r="AB23" t="n">
        <v>23</v>
      </c>
      <c r="AC23" t="n">
        <v>55.32</v>
      </c>
      <c r="AD23" t="n">
        <v>6.8</v>
      </c>
      <c r="AE23" t="n">
        <v>40</v>
      </c>
      <c r="AF23" t="n">
        <v>0</v>
      </c>
      <c r="AG23" t="n">
        <v>23.17</v>
      </c>
      <c r="AH23" t="n">
        <v>4.65</v>
      </c>
      <c r="AI23" t="n">
        <v>76.8</v>
      </c>
      <c r="AJ23" t="n">
        <v>13.83</v>
      </c>
      <c r="AK23" t="n">
        <v>0</v>
      </c>
      <c r="AL23" t="n">
        <v>240.5</v>
      </c>
      <c r="AM23" t="n">
        <v>0</v>
      </c>
      <c r="AN23" t="n">
        <v>0</v>
      </c>
      <c r="AO23" t="n">
        <v>0.24</v>
      </c>
      <c r="AP23" t="n">
        <v>12.03</v>
      </c>
      <c r="AQ23" t="n">
        <v>0</v>
      </c>
      <c r="AR23" t="n">
        <v>26.1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102.9</v>
      </c>
      <c r="BC23" t="n">
        <v>0</v>
      </c>
      <c r="BD23" t="n">
        <v>149.63</v>
      </c>
      <c r="BE23" t="inlineStr">
        <is>
          <t>settled</t>
        </is>
      </c>
      <c r="BF23" t="inlineStr">
        <is>
          <t>2025-12-17 05:30:00</t>
        </is>
      </c>
      <c r="BG23" t="inlineStr">
        <is>
          <t>CITIN25671154595</t>
        </is>
      </c>
      <c r="BH23" t="n">
        <v>0</v>
      </c>
      <c r="BI23" t="inlineStr">
        <is>
          <t>652d979bb016ddc3ec69ea3b5e62336d39a1cb6261602fae973d46b829b684d0</t>
        </is>
      </c>
    </row>
    <row r="24">
      <c r="A24" t="inlineStr">
        <is>
          <t>19</t>
        </is>
      </c>
      <c r="B24" t="inlineStr">
        <is>
          <t>7562652579</t>
        </is>
      </c>
      <c r="C24" t="inlineStr">
        <is>
          <t>2025-12-09 18:06:42</t>
        </is>
      </c>
      <c r="D24" t="inlineStr">
        <is>
          <t>50</t>
        </is>
      </c>
      <c r="E24" t="inlineStr">
        <is>
          <t>Baba Yaga Art Of Chinese - By Posh Foods</t>
        </is>
      </c>
      <c r="F24" t="inlineStr">
        <is>
          <t>20037890</t>
        </is>
      </c>
      <c r="G24" t="inlineStr">
        <is>
          <t>Flat ₹125 off (2025-12-08 - 2031-01-01)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9</t>
        </is>
      </c>
      <c r="O24" t="n">
        <v>365</v>
      </c>
      <c r="P24" t="n">
        <v>0</v>
      </c>
      <c r="Q24" t="n">
        <v>0</v>
      </c>
      <c r="R24" t="n">
        <v>87</v>
      </c>
      <c r="S24" t="n">
        <v>24</v>
      </c>
      <c r="T24" t="n">
        <v>0</v>
      </c>
      <c r="U24" t="n">
        <v>0</v>
      </c>
      <c r="V24" t="n">
        <v>12.7</v>
      </c>
      <c r="W24" t="n">
        <v>266.7</v>
      </c>
      <c r="X24" t="n">
        <v>254</v>
      </c>
      <c r="Y24" t="n">
        <v>0</v>
      </c>
      <c r="Z24" t="n">
        <v>0</v>
      </c>
      <c r="AA24" t="n">
        <v>254</v>
      </c>
      <c r="AB24" t="n">
        <v>23</v>
      </c>
      <c r="AC24" t="n">
        <v>58.42</v>
      </c>
      <c r="AD24" t="n">
        <v>3.86</v>
      </c>
      <c r="AE24" t="n">
        <v>0</v>
      </c>
      <c r="AF24" t="n">
        <v>0</v>
      </c>
      <c r="AG24" t="n">
        <v>0</v>
      </c>
      <c r="AH24" t="n">
        <v>4.91</v>
      </c>
      <c r="AI24" t="n">
        <v>63.33</v>
      </c>
      <c r="AJ24" t="n">
        <v>11.4</v>
      </c>
      <c r="AK24" t="n">
        <v>0</v>
      </c>
      <c r="AL24" t="n">
        <v>254</v>
      </c>
      <c r="AM24" t="n">
        <v>0</v>
      </c>
      <c r="AN24" t="n">
        <v>0</v>
      </c>
      <c r="AO24" t="n">
        <v>0.25</v>
      </c>
      <c r="AP24" t="n">
        <v>12.7</v>
      </c>
      <c r="AQ24" t="n">
        <v>0</v>
      </c>
      <c r="AR24" t="n">
        <v>24.35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87.68000000000001</v>
      </c>
      <c r="BC24" t="n">
        <v>0</v>
      </c>
      <c r="BD24" t="n">
        <v>179.02</v>
      </c>
      <c r="BE24" t="inlineStr">
        <is>
          <t>settled</t>
        </is>
      </c>
      <c r="BF24" t="inlineStr">
        <is>
          <t>2025-12-17 05:30:00</t>
        </is>
      </c>
      <c r="BG24" t="inlineStr">
        <is>
          <t>CITIN25671154595</t>
        </is>
      </c>
      <c r="BH24" t="n">
        <v>0</v>
      </c>
      <c r="BI24" t="inlineStr">
        <is>
          <t>e1f6ad69f41aa68d163b50e4bfc55e12bb4249fd4a7365b3c85aaa2808913620</t>
        </is>
      </c>
    </row>
    <row r="25">
      <c r="A25" t="inlineStr">
        <is>
          <t>20</t>
        </is>
      </c>
      <c r="B25" t="inlineStr">
        <is>
          <t>7563709817</t>
        </is>
      </c>
      <c r="C25" t="inlineStr">
        <is>
          <t>2025-12-09 18:37:54</t>
        </is>
      </c>
      <c r="D25" t="inlineStr">
        <is>
          <t>50</t>
        </is>
      </c>
      <c r="E25" t="inlineStr">
        <is>
          <t>Baba Yaga Art Of Chinese - By Posh Foods</t>
        </is>
      </c>
      <c r="F25" t="inlineStr">
        <is>
          <t>20037890</t>
        </is>
      </c>
      <c r="G25" t="inlineStr">
        <is>
          <t>Flat ₹100 off (2025-12-05 - 2031-01-01)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9</t>
        </is>
      </c>
      <c r="O25" t="n">
        <v>335</v>
      </c>
      <c r="P25" t="n">
        <v>0</v>
      </c>
      <c r="Q25" t="n">
        <v>0</v>
      </c>
      <c r="R25" t="n">
        <v>100</v>
      </c>
      <c r="S25" t="n">
        <v>23.5</v>
      </c>
      <c r="T25" t="n">
        <v>0</v>
      </c>
      <c r="U25" t="n">
        <v>0</v>
      </c>
      <c r="V25" t="n">
        <v>10.58</v>
      </c>
      <c r="W25" t="n">
        <v>222.08</v>
      </c>
      <c r="X25" t="n">
        <v>211.5</v>
      </c>
      <c r="Y25" t="n">
        <v>0</v>
      </c>
      <c r="Z25" t="n">
        <v>0</v>
      </c>
      <c r="AA25" t="n">
        <v>211.5</v>
      </c>
      <c r="AB25" t="n">
        <v>23</v>
      </c>
      <c r="AC25" t="n">
        <v>48.64</v>
      </c>
      <c r="AD25" t="n">
        <v>3.04</v>
      </c>
      <c r="AE25" t="n">
        <v>0</v>
      </c>
      <c r="AF25" t="n">
        <v>0</v>
      </c>
      <c r="AG25" t="n">
        <v>0</v>
      </c>
      <c r="AH25" t="n">
        <v>4.09</v>
      </c>
      <c r="AI25" t="n">
        <v>52.73</v>
      </c>
      <c r="AJ25" t="n">
        <v>9.5</v>
      </c>
      <c r="AK25" t="n">
        <v>0</v>
      </c>
      <c r="AL25" t="n">
        <v>211.5</v>
      </c>
      <c r="AM25" t="n">
        <v>0</v>
      </c>
      <c r="AN25" t="n">
        <v>0</v>
      </c>
      <c r="AO25" t="n">
        <v>0.21</v>
      </c>
      <c r="AP25" t="n">
        <v>10.58</v>
      </c>
      <c r="AQ25" t="n">
        <v>0</v>
      </c>
      <c r="AR25" t="n">
        <v>20.29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24.96</v>
      </c>
      <c r="AY25" t="n">
        <v>0</v>
      </c>
      <c r="AZ25" t="n">
        <v>0</v>
      </c>
      <c r="BA25" t="n">
        <v>24.96</v>
      </c>
      <c r="BB25" t="n">
        <v>97.98</v>
      </c>
      <c r="BC25" t="n">
        <v>0</v>
      </c>
      <c r="BD25" t="n">
        <v>124.1</v>
      </c>
      <c r="BE25" t="inlineStr">
        <is>
          <t>settled</t>
        </is>
      </c>
      <c r="BF25" t="inlineStr">
        <is>
          <t>2025-12-17 05:30:00</t>
        </is>
      </c>
      <c r="BG25" t="inlineStr">
        <is>
          <t>CITIN25671154595</t>
        </is>
      </c>
      <c r="BH25" t="n">
        <v>0</v>
      </c>
      <c r="BI25" t="inlineStr">
        <is>
          <t>b82a61476ad19b00248560e39431b1653d4b5a252c7c6ae9adec8b62e0b7c706</t>
        </is>
      </c>
    </row>
    <row r="26">
      <c r="A26" t="inlineStr">
        <is>
          <t>21</t>
        </is>
      </c>
      <c r="B26" t="inlineStr">
        <is>
          <t>7557990632</t>
        </is>
      </c>
      <c r="C26" t="inlineStr">
        <is>
          <t>2025-12-09 19:03:47</t>
        </is>
      </c>
      <c r="D26" t="inlineStr">
        <is>
          <t>50</t>
        </is>
      </c>
      <c r="E26" t="inlineStr">
        <is>
          <t>Baba Yaga Art Of Chinese - By Posh Foods</t>
        </is>
      </c>
      <c r="F26" t="inlineStr">
        <is>
          <t>20037890</t>
        </is>
      </c>
      <c r="G26" t="inlineStr">
        <is>
          <t>Flat ₹125 off (2025-12-08 - 2031-01-01)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9</t>
        </is>
      </c>
      <c r="O26" t="n">
        <v>350</v>
      </c>
      <c r="P26" t="n">
        <v>0</v>
      </c>
      <c r="Q26" t="n">
        <v>0</v>
      </c>
      <c r="R26" t="n">
        <v>87</v>
      </c>
      <c r="S26" t="n">
        <v>22.5</v>
      </c>
      <c r="T26" t="n">
        <v>0</v>
      </c>
      <c r="U26" t="n">
        <v>0</v>
      </c>
      <c r="V26" t="n">
        <v>12.03</v>
      </c>
      <c r="W26" t="n">
        <v>252.53</v>
      </c>
      <c r="X26" t="n">
        <v>240.5</v>
      </c>
      <c r="Y26" t="n">
        <v>0</v>
      </c>
      <c r="Z26" t="n">
        <v>0</v>
      </c>
      <c r="AA26" t="n">
        <v>240.5</v>
      </c>
      <c r="AB26" t="n">
        <v>23</v>
      </c>
      <c r="AC26" t="n">
        <v>55.32</v>
      </c>
      <c r="AD26" t="n">
        <v>1.39</v>
      </c>
      <c r="AE26" t="n">
        <v>0</v>
      </c>
      <c r="AF26" t="n">
        <v>0</v>
      </c>
      <c r="AG26" t="n">
        <v>0</v>
      </c>
      <c r="AH26" t="n">
        <v>4.65</v>
      </c>
      <c r="AI26" t="n">
        <v>59.97</v>
      </c>
      <c r="AJ26" t="n">
        <v>10.8</v>
      </c>
      <c r="AK26" t="n">
        <v>0</v>
      </c>
      <c r="AL26" t="n">
        <v>240.5</v>
      </c>
      <c r="AM26" t="n">
        <v>0</v>
      </c>
      <c r="AN26" t="n">
        <v>0</v>
      </c>
      <c r="AO26" t="n">
        <v>0.24</v>
      </c>
      <c r="AP26" t="n">
        <v>12.03</v>
      </c>
      <c r="AQ26" t="n">
        <v>0</v>
      </c>
      <c r="AR26" t="n">
        <v>23.07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83.04000000000001</v>
      </c>
      <c r="BC26" t="n">
        <v>0</v>
      </c>
      <c r="BD26" t="n">
        <v>169.49</v>
      </c>
      <c r="BE26" t="inlineStr">
        <is>
          <t>settled</t>
        </is>
      </c>
      <c r="BF26" t="inlineStr">
        <is>
          <t>2025-12-17 05:30:00</t>
        </is>
      </c>
      <c r="BG26" t="inlineStr">
        <is>
          <t>CITIN25671154595</t>
        </is>
      </c>
      <c r="BH26" t="n">
        <v>0</v>
      </c>
      <c r="BI26" t="inlineStr">
        <is>
          <t>30d0005ac92ded3809278a55e7d19881059456657b9d7156a9c2583f465b6b7d</t>
        </is>
      </c>
    </row>
    <row r="27">
      <c r="A27" t="inlineStr">
        <is>
          <t>22</t>
        </is>
      </c>
      <c r="B27" t="inlineStr">
        <is>
          <t>7566197503</t>
        </is>
      </c>
      <c r="C27" t="inlineStr">
        <is>
          <t>2025-12-09 19:50:08</t>
        </is>
      </c>
      <c r="D27" t="inlineStr">
        <is>
          <t>50</t>
        </is>
      </c>
      <c r="E27" t="inlineStr">
        <is>
          <t>Baba Yaga Art Of Chinese - By Posh Foods</t>
        </is>
      </c>
      <c r="F27" t="inlineStr">
        <is>
          <t>20037890</t>
        </is>
      </c>
      <c r="G27" t="inlineStr">
        <is>
          <t>Flat ₹100 off (2025-12-08 - 2031-01-01)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9</t>
        </is>
      </c>
      <c r="O27" t="n">
        <v>265</v>
      </c>
      <c r="P27" t="n">
        <v>0</v>
      </c>
      <c r="Q27" t="n">
        <v>0</v>
      </c>
      <c r="R27" t="n">
        <v>70</v>
      </c>
      <c r="S27" t="n">
        <v>0</v>
      </c>
      <c r="T27" t="n">
        <v>0</v>
      </c>
      <c r="U27" t="n">
        <v>0</v>
      </c>
      <c r="V27" t="n">
        <v>9.75</v>
      </c>
      <c r="W27" t="n">
        <v>204.75</v>
      </c>
      <c r="X27" t="n">
        <v>195</v>
      </c>
      <c r="Y27" t="n">
        <v>0</v>
      </c>
      <c r="Z27" t="n">
        <v>0</v>
      </c>
      <c r="AA27" t="n">
        <v>195</v>
      </c>
      <c r="AB27" t="n">
        <v>23</v>
      </c>
      <c r="AC27" t="n">
        <v>44.85</v>
      </c>
      <c r="AD27" t="n">
        <v>1.48</v>
      </c>
      <c r="AE27" t="n">
        <v>0</v>
      </c>
      <c r="AF27" t="n">
        <v>0</v>
      </c>
      <c r="AG27" t="n">
        <v>0</v>
      </c>
      <c r="AH27" t="n">
        <v>3.77</v>
      </c>
      <c r="AI27" t="n">
        <v>48.62</v>
      </c>
      <c r="AJ27" t="n">
        <v>8.75</v>
      </c>
      <c r="AK27" t="n">
        <v>0</v>
      </c>
      <c r="AL27" t="n">
        <v>195</v>
      </c>
      <c r="AM27" t="n">
        <v>0</v>
      </c>
      <c r="AN27" t="n">
        <v>0</v>
      </c>
      <c r="AO27" t="n">
        <v>0.2</v>
      </c>
      <c r="AP27" t="n">
        <v>9.75</v>
      </c>
      <c r="AQ27" t="n">
        <v>0</v>
      </c>
      <c r="AR27" t="n">
        <v>18.7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67.31999999999999</v>
      </c>
      <c r="BC27" t="n">
        <v>0</v>
      </c>
      <c r="BD27" t="n">
        <v>137.43</v>
      </c>
      <c r="BE27" t="inlineStr">
        <is>
          <t>settled</t>
        </is>
      </c>
      <c r="BF27" t="inlineStr">
        <is>
          <t>2025-12-17 05:30:00</t>
        </is>
      </c>
      <c r="BG27" t="inlineStr">
        <is>
          <t>CITIN25671154595</t>
        </is>
      </c>
      <c r="BH27" t="n">
        <v>0</v>
      </c>
      <c r="BI27" t="inlineStr">
        <is>
          <t>0289ca5836a3faea122c23fa7d0f7ddf496d30552d97aedde2947605f49649f2</t>
        </is>
      </c>
    </row>
    <row r="28">
      <c r="A28" t="inlineStr">
        <is>
          <t>23</t>
        </is>
      </c>
      <c r="B28" t="inlineStr">
        <is>
          <t>7562446899</t>
        </is>
      </c>
      <c r="C28" t="inlineStr">
        <is>
          <t>2025-12-09 19:55:47</t>
        </is>
      </c>
      <c r="D28" t="inlineStr">
        <is>
          <t>50</t>
        </is>
      </c>
      <c r="E28" t="inlineStr">
        <is>
          <t>Baba Yaga Art Of Chinese - By Posh Foods</t>
        </is>
      </c>
      <c r="F28" t="inlineStr">
        <is>
          <t>20037890</t>
        </is>
      </c>
      <c r="G28" t="inlineStr">
        <is>
          <t>Flat ₹100 off (2025-12-08 - 2031-01-01)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9</t>
        </is>
      </c>
      <c r="O28" t="n">
        <v>315</v>
      </c>
      <c r="P28" t="n">
        <v>0</v>
      </c>
      <c r="Q28" t="n">
        <v>0</v>
      </c>
      <c r="R28" t="n">
        <v>70</v>
      </c>
      <c r="S28" t="n">
        <v>21.5</v>
      </c>
      <c r="T28" t="n">
        <v>0</v>
      </c>
      <c r="U28" t="n">
        <v>0</v>
      </c>
      <c r="V28" t="n">
        <v>11.18</v>
      </c>
      <c r="W28" t="n">
        <v>234.68</v>
      </c>
      <c r="X28" t="n">
        <v>223.5</v>
      </c>
      <c r="Y28" t="n">
        <v>0</v>
      </c>
      <c r="Z28" t="n">
        <v>0</v>
      </c>
      <c r="AA28" t="n">
        <v>223.5</v>
      </c>
      <c r="AB28" t="n">
        <v>23</v>
      </c>
      <c r="AC28" t="n">
        <v>51.4</v>
      </c>
      <c r="AD28" t="n">
        <v>2.65</v>
      </c>
      <c r="AE28" t="n">
        <v>0</v>
      </c>
      <c r="AF28" t="n">
        <v>0</v>
      </c>
      <c r="AG28" t="n">
        <v>0</v>
      </c>
      <c r="AH28" t="n">
        <v>4.32</v>
      </c>
      <c r="AI28" t="n">
        <v>55.72</v>
      </c>
      <c r="AJ28" t="n">
        <v>10.03</v>
      </c>
      <c r="AK28" t="n">
        <v>0</v>
      </c>
      <c r="AL28" t="n">
        <v>223.5</v>
      </c>
      <c r="AM28" t="n">
        <v>0</v>
      </c>
      <c r="AN28" t="n">
        <v>0</v>
      </c>
      <c r="AO28" t="n">
        <v>0.22</v>
      </c>
      <c r="AP28" t="n">
        <v>11.18</v>
      </c>
      <c r="AQ28" t="n">
        <v>0</v>
      </c>
      <c r="AR28" t="n">
        <v>21.43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26.37</v>
      </c>
      <c r="AY28" t="n">
        <v>0</v>
      </c>
      <c r="AZ28" t="n">
        <v>0</v>
      </c>
      <c r="BA28" t="n">
        <v>26.37</v>
      </c>
      <c r="BB28" t="n">
        <v>103.52</v>
      </c>
      <c r="BC28" t="n">
        <v>0</v>
      </c>
      <c r="BD28" t="n">
        <v>131.16</v>
      </c>
      <c r="BE28" t="inlineStr">
        <is>
          <t>settled</t>
        </is>
      </c>
      <c r="BF28" t="inlineStr">
        <is>
          <t>2025-12-17 05:30:00</t>
        </is>
      </c>
      <c r="BG28" t="inlineStr">
        <is>
          <t>CITIN25671154595</t>
        </is>
      </c>
      <c r="BH28" t="n">
        <v>0</v>
      </c>
      <c r="BI28" t="inlineStr">
        <is>
          <t>a54c03540421877c3468e87ca5ca12fddd4b540c810e7fb65e514407652d9c7e</t>
        </is>
      </c>
    </row>
    <row r="29">
      <c r="A29" t="inlineStr">
        <is>
          <t>24</t>
        </is>
      </c>
      <c r="B29" t="inlineStr">
        <is>
          <t>7563589307</t>
        </is>
      </c>
      <c r="C29" t="inlineStr">
        <is>
          <t>2025-12-09 20:36:24</t>
        </is>
      </c>
      <c r="D29" t="inlineStr">
        <is>
          <t>50</t>
        </is>
      </c>
      <c r="E29" t="inlineStr">
        <is>
          <t>Baba Yaga Art Of Chinese - By Posh Foods</t>
        </is>
      </c>
      <c r="F29" t="inlineStr">
        <is>
          <t>20037890</t>
        </is>
      </c>
      <c r="G29" t="inlineStr">
        <is>
          <t>Flat ₹150 off (2025-12-08 - 2031-01-01)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9</t>
        </is>
      </c>
      <c r="O29" t="n">
        <v>580</v>
      </c>
      <c r="P29" t="n">
        <v>0</v>
      </c>
      <c r="Q29" t="n">
        <v>0</v>
      </c>
      <c r="R29" t="n">
        <v>105</v>
      </c>
      <c r="S29" t="n">
        <v>0</v>
      </c>
      <c r="T29" t="n">
        <v>0</v>
      </c>
      <c r="U29" t="n">
        <v>0</v>
      </c>
      <c r="V29" t="n">
        <v>23.75</v>
      </c>
      <c r="W29" t="n">
        <v>498.75</v>
      </c>
      <c r="X29" t="n">
        <v>475</v>
      </c>
      <c r="Y29" t="n">
        <v>0</v>
      </c>
      <c r="Z29" t="n">
        <v>0</v>
      </c>
      <c r="AA29" t="n">
        <v>475</v>
      </c>
      <c r="AB29" t="n">
        <v>23</v>
      </c>
      <c r="AC29" t="n">
        <v>109.25</v>
      </c>
      <c r="AD29" t="n">
        <v>2.39</v>
      </c>
      <c r="AE29" t="n">
        <v>0</v>
      </c>
      <c r="AF29" t="n">
        <v>0</v>
      </c>
      <c r="AG29" t="n">
        <v>0</v>
      </c>
      <c r="AH29" t="n">
        <v>9.18</v>
      </c>
      <c r="AI29" t="n">
        <v>118.43</v>
      </c>
      <c r="AJ29" t="n">
        <v>21.31</v>
      </c>
      <c r="AK29" t="n">
        <v>0</v>
      </c>
      <c r="AL29" t="n">
        <v>475</v>
      </c>
      <c r="AM29" t="n">
        <v>0</v>
      </c>
      <c r="AN29" t="n">
        <v>0</v>
      </c>
      <c r="AO29" t="n">
        <v>0.48</v>
      </c>
      <c r="AP29" t="n">
        <v>23.75</v>
      </c>
      <c r="AQ29" t="n">
        <v>0</v>
      </c>
      <c r="AR29" t="n">
        <v>45.54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56.05</v>
      </c>
      <c r="AY29" t="n">
        <v>0</v>
      </c>
      <c r="AZ29" t="n">
        <v>0</v>
      </c>
      <c r="BA29" t="n">
        <v>56.05</v>
      </c>
      <c r="BB29" t="n">
        <v>220.02</v>
      </c>
      <c r="BC29" t="n">
        <v>0</v>
      </c>
      <c r="BD29" t="n">
        <v>278.73</v>
      </c>
      <c r="BE29" t="inlineStr">
        <is>
          <t>settled</t>
        </is>
      </c>
      <c r="BF29" t="inlineStr">
        <is>
          <t>2025-12-17 05:30:00</t>
        </is>
      </c>
      <c r="BG29" t="inlineStr">
        <is>
          <t>CITIN25671154595</t>
        </is>
      </c>
      <c r="BH29" t="n">
        <v>0</v>
      </c>
      <c r="BI29" t="inlineStr">
        <is>
          <t>4a993d9e91b9f1a8137e951b3312c91d45ee763078c4b7a7b7a671d9d76a1a5a</t>
        </is>
      </c>
    </row>
    <row r="30">
      <c r="A30" t="inlineStr">
        <is>
          <t>25</t>
        </is>
      </c>
      <c r="B30" t="inlineStr">
        <is>
          <t>7560797124</t>
        </is>
      </c>
      <c r="C30" t="inlineStr">
        <is>
          <t>2025-12-09 22:47:59</t>
        </is>
      </c>
      <c r="D30" t="inlineStr">
        <is>
          <t>50</t>
        </is>
      </c>
      <c r="E30" t="inlineStr">
        <is>
          <t>Baba Yaga Art Of Chinese - By Posh Foods</t>
        </is>
      </c>
      <c r="F30" t="inlineStr">
        <is>
          <t>20037890</t>
        </is>
      </c>
      <c r="G30" t="inlineStr">
        <is>
          <t>Flat ₹100 off (2025-12-05 - 2031-01-01)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9</t>
        </is>
      </c>
      <c r="O30" t="n">
        <v>315</v>
      </c>
      <c r="P30" t="n">
        <v>0</v>
      </c>
      <c r="Q30" t="n">
        <v>0</v>
      </c>
      <c r="R30" t="n">
        <v>100</v>
      </c>
      <c r="S30" t="n">
        <v>21.5</v>
      </c>
      <c r="T30" t="n">
        <v>0</v>
      </c>
      <c r="U30" t="n">
        <v>0</v>
      </c>
      <c r="V30" t="n">
        <v>9.68</v>
      </c>
      <c r="W30" t="n">
        <v>203.18</v>
      </c>
      <c r="X30" t="n">
        <v>193.5</v>
      </c>
      <c r="Y30" t="n">
        <v>0</v>
      </c>
      <c r="Z30" t="n">
        <v>0</v>
      </c>
      <c r="AA30" t="n">
        <v>193.5</v>
      </c>
      <c r="AB30" t="n">
        <v>23</v>
      </c>
      <c r="AC30" t="n">
        <v>44.5</v>
      </c>
      <c r="AD30" t="n">
        <v>2.97</v>
      </c>
      <c r="AE30" t="n">
        <v>0</v>
      </c>
      <c r="AF30" t="n">
        <v>0</v>
      </c>
      <c r="AG30" t="n">
        <v>0</v>
      </c>
      <c r="AH30" t="n">
        <v>3.74</v>
      </c>
      <c r="AI30" t="n">
        <v>48.24</v>
      </c>
      <c r="AJ30" t="n">
        <v>8.68</v>
      </c>
      <c r="AK30" t="n">
        <v>0</v>
      </c>
      <c r="AL30" t="n">
        <v>193.5</v>
      </c>
      <c r="AM30" t="n">
        <v>0</v>
      </c>
      <c r="AN30" t="n">
        <v>0</v>
      </c>
      <c r="AO30" t="n">
        <v>0.19</v>
      </c>
      <c r="AP30" t="n">
        <v>9.68</v>
      </c>
      <c r="AQ30" t="n">
        <v>0</v>
      </c>
      <c r="AR30" t="n">
        <v>18.55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22.83</v>
      </c>
      <c r="AY30" t="n">
        <v>0</v>
      </c>
      <c r="AZ30" t="n">
        <v>0</v>
      </c>
      <c r="BA30" t="n">
        <v>22.83</v>
      </c>
      <c r="BB30" t="n">
        <v>89.62</v>
      </c>
      <c r="BC30" t="n">
        <v>0</v>
      </c>
      <c r="BD30" t="n">
        <v>113.56</v>
      </c>
      <c r="BE30" t="inlineStr">
        <is>
          <t>settled</t>
        </is>
      </c>
      <c r="BF30" t="inlineStr">
        <is>
          <t>2025-12-17 05:30:00</t>
        </is>
      </c>
      <c r="BG30" t="inlineStr">
        <is>
          <t>CITIN25671154595</t>
        </is>
      </c>
      <c r="BH30" t="n">
        <v>0</v>
      </c>
      <c r="BI30" t="inlineStr">
        <is>
          <t>978695bde0837622c561037c1d9700aca32ebb217d039ae24b5c9d6204933978</t>
        </is>
      </c>
    </row>
    <row r="31">
      <c r="A31" t="inlineStr">
        <is>
          <t>26</t>
        </is>
      </c>
      <c r="B31" t="inlineStr">
        <is>
          <t>7566527228</t>
        </is>
      </c>
      <c r="C31" t="inlineStr">
        <is>
          <t>2025-12-09 22:56:01</t>
        </is>
      </c>
      <c r="D31" t="inlineStr">
        <is>
          <t>50</t>
        </is>
      </c>
      <c r="E31" t="inlineStr">
        <is>
          <t>Baba Yaga Art Of Chinese - By Posh Foods</t>
        </is>
      </c>
      <c r="F31" t="inlineStr">
        <is>
          <t>20037890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9</t>
        </is>
      </c>
      <c r="O31" t="n">
        <v>545</v>
      </c>
      <c r="P31" t="n">
        <v>0</v>
      </c>
      <c r="Q31" t="n">
        <v>0</v>
      </c>
      <c r="R31" t="n">
        <v>0</v>
      </c>
      <c r="S31" t="n">
        <v>54.5</v>
      </c>
      <c r="T31" t="n">
        <v>0</v>
      </c>
      <c r="U31" t="n">
        <v>0</v>
      </c>
      <c r="V31" t="n">
        <v>24.53</v>
      </c>
      <c r="W31" t="n">
        <v>515.03</v>
      </c>
      <c r="X31" t="n">
        <v>490.5</v>
      </c>
      <c r="Y31" t="n">
        <v>0</v>
      </c>
      <c r="Z31" t="n">
        <v>0</v>
      </c>
      <c r="AA31" t="n">
        <v>490.5</v>
      </c>
      <c r="AB31" t="n">
        <v>23</v>
      </c>
      <c r="AC31" t="n">
        <v>112.82</v>
      </c>
      <c r="AD31" t="n">
        <v>6.07</v>
      </c>
      <c r="AE31" t="n">
        <v>40</v>
      </c>
      <c r="AF31" t="n">
        <v>0</v>
      </c>
      <c r="AG31" t="n">
        <v>5.67</v>
      </c>
      <c r="AH31" t="n">
        <v>9.48</v>
      </c>
      <c r="AI31" t="n">
        <v>156.63</v>
      </c>
      <c r="AJ31" t="n">
        <v>28.2</v>
      </c>
      <c r="AK31" t="n">
        <v>0</v>
      </c>
      <c r="AL31" t="n">
        <v>490.5</v>
      </c>
      <c r="AM31" t="n">
        <v>0</v>
      </c>
      <c r="AN31" t="n">
        <v>0</v>
      </c>
      <c r="AO31" t="n">
        <v>0.49</v>
      </c>
      <c r="AP31" t="n">
        <v>24.53</v>
      </c>
      <c r="AQ31" t="n">
        <v>0</v>
      </c>
      <c r="AR31" t="n">
        <v>53.22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209.85</v>
      </c>
      <c r="BC31" t="n">
        <v>0</v>
      </c>
      <c r="BD31" t="n">
        <v>305.18</v>
      </c>
      <c r="BE31" t="inlineStr">
        <is>
          <t>settled</t>
        </is>
      </c>
      <c r="BF31" t="inlineStr">
        <is>
          <t>2025-12-17 05:30:00</t>
        </is>
      </c>
      <c r="BG31" t="inlineStr">
        <is>
          <t>CITIN25671154595</t>
        </is>
      </c>
      <c r="BH31" t="n">
        <v>0</v>
      </c>
      <c r="BI31" t="inlineStr">
        <is>
          <t>0ebf16a7291551fb26b33abfb21488a452caca223a5f06e2747b1648ee6b3591</t>
        </is>
      </c>
    </row>
    <row r="32">
      <c r="A32" t="inlineStr">
        <is>
          <t>27</t>
        </is>
      </c>
      <c r="B32" t="inlineStr">
        <is>
          <t>7568070628</t>
        </is>
      </c>
      <c r="C32" t="inlineStr">
        <is>
          <t>2025-12-10 13:05:40</t>
        </is>
      </c>
      <c r="D32" t="inlineStr">
        <is>
          <t>50</t>
        </is>
      </c>
      <c r="E32" t="inlineStr">
        <is>
          <t>Baba Yaga Art Of Chinese - By Posh Foods</t>
        </is>
      </c>
      <c r="F32" t="inlineStr">
        <is>
          <t>20037890</t>
        </is>
      </c>
      <c r="G32" t="inlineStr">
        <is>
          <t>Flat ₹125 off (2025-12-08 - 2031-01-01)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9</t>
        </is>
      </c>
      <c r="O32" t="n">
        <v>365</v>
      </c>
      <c r="P32" t="n">
        <v>0</v>
      </c>
      <c r="Q32" t="n">
        <v>0</v>
      </c>
      <c r="R32" t="n">
        <v>87</v>
      </c>
      <c r="S32" t="n">
        <v>24</v>
      </c>
      <c r="T32" t="n">
        <v>0</v>
      </c>
      <c r="U32" t="n">
        <v>0</v>
      </c>
      <c r="V32" t="n">
        <v>12.7</v>
      </c>
      <c r="W32" t="n">
        <v>266.7</v>
      </c>
      <c r="X32" t="n">
        <v>254</v>
      </c>
      <c r="Y32" t="n">
        <v>0</v>
      </c>
      <c r="Z32" t="n">
        <v>0</v>
      </c>
      <c r="AA32" t="n">
        <v>254</v>
      </c>
      <c r="AB32" t="n">
        <v>23</v>
      </c>
      <c r="AC32" t="n">
        <v>58.42</v>
      </c>
      <c r="AD32" t="n">
        <v>5.48</v>
      </c>
      <c r="AE32" t="n">
        <v>20</v>
      </c>
      <c r="AF32" t="n">
        <v>0</v>
      </c>
      <c r="AG32" t="n">
        <v>2.22</v>
      </c>
      <c r="AH32" t="n">
        <v>4.91</v>
      </c>
      <c r="AI32" t="n">
        <v>81.11</v>
      </c>
      <c r="AJ32" t="n">
        <v>14.6</v>
      </c>
      <c r="AK32" t="n">
        <v>0</v>
      </c>
      <c r="AL32" t="n">
        <v>254</v>
      </c>
      <c r="AM32" t="n">
        <v>0</v>
      </c>
      <c r="AN32" t="n">
        <v>0</v>
      </c>
      <c r="AO32" t="n">
        <v>0.25</v>
      </c>
      <c r="AP32" t="n">
        <v>12.7</v>
      </c>
      <c r="AQ32" t="n">
        <v>0</v>
      </c>
      <c r="AR32" t="n">
        <v>27.55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108.66</v>
      </c>
      <c r="BC32" t="n">
        <v>0</v>
      </c>
      <c r="BD32" t="n">
        <v>158.04</v>
      </c>
      <c r="BE32" t="inlineStr">
        <is>
          <t>settled</t>
        </is>
      </c>
      <c r="BF32" t="inlineStr">
        <is>
          <t>2025-12-17 05:30:00</t>
        </is>
      </c>
      <c r="BG32" t="inlineStr">
        <is>
          <t>CITIN25671154595</t>
        </is>
      </c>
      <c r="BH32" t="n">
        <v>0</v>
      </c>
      <c r="BI32" t="inlineStr">
        <is>
          <t>7b28dbcfb9d91a72375c5999ea2e5127733b4611e04700d7ec5c881172ae63f5</t>
        </is>
      </c>
    </row>
    <row r="33">
      <c r="A33" t="inlineStr">
        <is>
          <t>28</t>
        </is>
      </c>
      <c r="B33" t="inlineStr">
        <is>
          <t>7566839121</t>
        </is>
      </c>
      <c r="C33" t="inlineStr">
        <is>
          <t>2025-12-10 15:10:10</t>
        </is>
      </c>
      <c r="D33" t="inlineStr">
        <is>
          <t>50</t>
        </is>
      </c>
      <c r="E33" t="inlineStr">
        <is>
          <t>Baba Yaga Art Of Chinese - By Posh Foods</t>
        </is>
      </c>
      <c r="F33" t="inlineStr">
        <is>
          <t>20037890</t>
        </is>
      </c>
      <c r="G33" t="inlineStr">
        <is>
          <t>Flat ₹150 off (2025-12-08 - 2031-01-01)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9</t>
        </is>
      </c>
      <c r="O33" t="n">
        <v>580</v>
      </c>
      <c r="P33" t="n">
        <v>0</v>
      </c>
      <c r="Q33" t="n">
        <v>0</v>
      </c>
      <c r="R33" t="n">
        <v>105</v>
      </c>
      <c r="S33" t="n">
        <v>43</v>
      </c>
      <c r="T33" t="n">
        <v>0</v>
      </c>
      <c r="U33" t="n">
        <v>0</v>
      </c>
      <c r="V33" t="n">
        <v>21.6</v>
      </c>
      <c r="W33" t="n">
        <v>453.6</v>
      </c>
      <c r="X33" t="n">
        <v>432</v>
      </c>
      <c r="Y33" t="n">
        <v>0</v>
      </c>
      <c r="Z33" t="n">
        <v>0</v>
      </c>
      <c r="AA33" t="n">
        <v>432</v>
      </c>
      <c r="AB33" t="n">
        <v>23</v>
      </c>
      <c r="AC33" t="n">
        <v>99.36</v>
      </c>
      <c r="AD33" t="n">
        <v>2.91</v>
      </c>
      <c r="AE33" t="n">
        <v>0</v>
      </c>
      <c r="AF33" t="n">
        <v>0</v>
      </c>
      <c r="AG33" t="n">
        <v>0</v>
      </c>
      <c r="AH33" t="n">
        <v>8.35</v>
      </c>
      <c r="AI33" t="n">
        <v>107.71</v>
      </c>
      <c r="AJ33" t="n">
        <v>19.38</v>
      </c>
      <c r="AK33" t="n">
        <v>0</v>
      </c>
      <c r="AL33" t="n">
        <v>432</v>
      </c>
      <c r="AM33" t="n">
        <v>0</v>
      </c>
      <c r="AN33" t="n">
        <v>0</v>
      </c>
      <c r="AO33" t="n">
        <v>0.43</v>
      </c>
      <c r="AP33" t="n">
        <v>21.6</v>
      </c>
      <c r="AQ33" t="n">
        <v>0</v>
      </c>
      <c r="AR33" t="n">
        <v>41.41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149.12</v>
      </c>
      <c r="BC33" t="n">
        <v>0</v>
      </c>
      <c r="BD33" t="n">
        <v>304.48</v>
      </c>
      <c r="BE33" t="inlineStr">
        <is>
          <t>settled</t>
        </is>
      </c>
      <c r="BF33" t="inlineStr">
        <is>
          <t>2025-12-17 05:30:00</t>
        </is>
      </c>
      <c r="BG33" t="inlineStr">
        <is>
          <t>CITIN25671154595</t>
        </is>
      </c>
      <c r="BH33" t="n">
        <v>0</v>
      </c>
      <c r="BI33" t="inlineStr">
        <is>
          <t>9dce0230c81a05509a43ba997ef9c5905f62de6a90d46834ee30d9c037d3369b</t>
        </is>
      </c>
    </row>
    <row r="34">
      <c r="A34" t="inlineStr">
        <is>
          <t>29</t>
        </is>
      </c>
      <c r="B34" t="inlineStr">
        <is>
          <t>7563382991</t>
        </is>
      </c>
      <c r="C34" t="inlineStr">
        <is>
          <t>2025-12-10 16:04:51</t>
        </is>
      </c>
      <c r="D34" t="inlineStr">
        <is>
          <t>50</t>
        </is>
      </c>
      <c r="E34" t="inlineStr">
        <is>
          <t>Baba Yaga Art Of Chinese - By Posh Foods</t>
        </is>
      </c>
      <c r="F34" t="inlineStr">
        <is>
          <t>20037890</t>
        </is>
      </c>
      <c r="G34" t="inlineStr">
        <is>
          <t>Flat ₹175 off (2025-12-08 - 2031-01-01)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9</t>
        </is>
      </c>
      <c r="O34" t="n">
        <v>754</v>
      </c>
      <c r="P34" t="n">
        <v>0</v>
      </c>
      <c r="Q34" t="n">
        <v>0</v>
      </c>
      <c r="R34" t="n">
        <v>175</v>
      </c>
      <c r="S34" t="n">
        <v>57.9</v>
      </c>
      <c r="T34" t="n">
        <v>0</v>
      </c>
      <c r="U34" t="n">
        <v>0</v>
      </c>
      <c r="V34" t="n">
        <v>26.06</v>
      </c>
      <c r="W34" t="n">
        <v>547.16</v>
      </c>
      <c r="X34" t="n">
        <v>521.1</v>
      </c>
      <c r="Y34" t="n">
        <v>0</v>
      </c>
      <c r="Z34" t="n">
        <v>0</v>
      </c>
      <c r="AA34" t="n">
        <v>521.1</v>
      </c>
      <c r="AB34" t="n">
        <v>23</v>
      </c>
      <c r="AC34" t="n">
        <v>119.85</v>
      </c>
      <c r="AD34" t="n">
        <v>0.62</v>
      </c>
      <c r="AE34" t="n">
        <v>0</v>
      </c>
      <c r="AF34" t="n">
        <v>0</v>
      </c>
      <c r="AG34" t="n">
        <v>0</v>
      </c>
      <c r="AH34" t="n">
        <v>10.07</v>
      </c>
      <c r="AI34" t="n">
        <v>129.92</v>
      </c>
      <c r="AJ34" t="n">
        <v>23.38</v>
      </c>
      <c r="AK34" t="n">
        <v>0</v>
      </c>
      <c r="AL34" t="n">
        <v>521.1</v>
      </c>
      <c r="AM34" t="n">
        <v>0</v>
      </c>
      <c r="AN34" t="n">
        <v>0</v>
      </c>
      <c r="AO34" t="n">
        <v>0.52</v>
      </c>
      <c r="AP34" t="n">
        <v>26.06</v>
      </c>
      <c r="AQ34" t="n">
        <v>0</v>
      </c>
      <c r="AR34" t="n">
        <v>49.96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179.88</v>
      </c>
      <c r="BC34" t="n">
        <v>0</v>
      </c>
      <c r="BD34" t="n">
        <v>367.28</v>
      </c>
      <c r="BE34" t="inlineStr">
        <is>
          <t>settled</t>
        </is>
      </c>
      <c r="BF34" t="inlineStr">
        <is>
          <t>2025-12-17 05:30:00</t>
        </is>
      </c>
      <c r="BG34" t="inlineStr">
        <is>
          <t>CITIN25671154595</t>
        </is>
      </c>
      <c r="BH34" t="n">
        <v>0</v>
      </c>
      <c r="BI34" t="inlineStr">
        <is>
          <t>88c84664410c6b62777a3195c5bd8b6b8ba66a34ad07dfe90d79165b54f30a81</t>
        </is>
      </c>
    </row>
    <row r="35">
      <c r="A35" t="inlineStr">
        <is>
          <t>30</t>
        </is>
      </c>
      <c r="B35" t="inlineStr">
        <is>
          <t>7564267773</t>
        </is>
      </c>
      <c r="C35" t="inlineStr">
        <is>
          <t>2025-12-10 17:09:22</t>
        </is>
      </c>
      <c r="D35" t="inlineStr">
        <is>
          <t>50</t>
        </is>
      </c>
      <c r="E35" t="inlineStr">
        <is>
          <t>Baba Yaga Art Of Chinese - By Posh Foods</t>
        </is>
      </c>
      <c r="F35" t="inlineStr">
        <is>
          <t>20037890</t>
        </is>
      </c>
      <c r="G35" t="inlineStr">
        <is>
          <t>Flat ₹175 off (2025-12-08 - 2031-01-01)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9</t>
        </is>
      </c>
      <c r="O35" t="n">
        <v>645</v>
      </c>
      <c r="P35" t="n">
        <v>0</v>
      </c>
      <c r="Q35" t="n">
        <v>0</v>
      </c>
      <c r="R35" t="n">
        <v>122</v>
      </c>
      <c r="S35" t="n">
        <v>47</v>
      </c>
      <c r="T35" t="n">
        <v>0</v>
      </c>
      <c r="U35" t="n">
        <v>0</v>
      </c>
      <c r="V35" t="n">
        <v>23.8</v>
      </c>
      <c r="W35" t="n">
        <v>499.8</v>
      </c>
      <c r="X35" t="n">
        <v>476</v>
      </c>
      <c r="Y35" t="n">
        <v>0</v>
      </c>
      <c r="Z35" t="n">
        <v>0</v>
      </c>
      <c r="AA35" t="n">
        <v>476</v>
      </c>
      <c r="AB35" t="n">
        <v>23</v>
      </c>
      <c r="AC35" t="n">
        <v>109.48</v>
      </c>
      <c r="AD35" t="n">
        <v>5.48</v>
      </c>
      <c r="AE35" t="n">
        <v>20</v>
      </c>
      <c r="AF35" t="n">
        <v>0</v>
      </c>
      <c r="AG35" t="n">
        <v>0</v>
      </c>
      <c r="AH35" t="n">
        <v>9.199999999999999</v>
      </c>
      <c r="AI35" t="n">
        <v>138.68</v>
      </c>
      <c r="AJ35" t="n">
        <v>24.97</v>
      </c>
      <c r="AK35" t="n">
        <v>0</v>
      </c>
      <c r="AL35" t="n">
        <v>476</v>
      </c>
      <c r="AM35" t="n">
        <v>0</v>
      </c>
      <c r="AN35" t="n">
        <v>0</v>
      </c>
      <c r="AO35" t="n">
        <v>0.48</v>
      </c>
      <c r="AP35" t="n">
        <v>23.8</v>
      </c>
      <c r="AQ35" t="n">
        <v>0</v>
      </c>
      <c r="AR35" t="n">
        <v>49.25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187.93</v>
      </c>
      <c r="BC35" t="n">
        <v>0</v>
      </c>
      <c r="BD35" t="n">
        <v>311.87</v>
      </c>
      <c r="BE35" t="inlineStr">
        <is>
          <t>settled</t>
        </is>
      </c>
      <c r="BF35" t="inlineStr">
        <is>
          <t>2025-12-17 05:30:00</t>
        </is>
      </c>
      <c r="BG35" t="inlineStr">
        <is>
          <t>CITIN25671154595</t>
        </is>
      </c>
      <c r="BH35" t="n">
        <v>0</v>
      </c>
      <c r="BI35" t="inlineStr">
        <is>
          <t>199129f6cfb627c7f3643980891eb73698cde23030fd8c2052912798bb6a6f2d</t>
        </is>
      </c>
    </row>
    <row r="36">
      <c r="A36" t="inlineStr">
        <is>
          <t>31</t>
        </is>
      </c>
      <c r="B36" t="inlineStr">
        <is>
          <t>7567639674</t>
        </is>
      </c>
      <c r="C36" t="inlineStr">
        <is>
          <t>2025-12-10 17:55:14</t>
        </is>
      </c>
      <c r="D36" t="inlineStr">
        <is>
          <t>50</t>
        </is>
      </c>
      <c r="E36" t="inlineStr">
        <is>
          <t>Baba Yaga Art Of Chinese - By Posh Foods</t>
        </is>
      </c>
      <c r="F36" t="inlineStr">
        <is>
          <t>20037890</t>
        </is>
      </c>
      <c r="G36" t="inlineStr">
        <is>
          <t>Flat 20% off (2025-09-25 - 2031-01-01)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9</t>
        </is>
      </c>
      <c r="O36" t="n">
        <v>1230</v>
      </c>
      <c r="P36" t="n">
        <v>0</v>
      </c>
      <c r="Q36" t="n">
        <v>0</v>
      </c>
      <c r="R36" t="n">
        <v>246</v>
      </c>
      <c r="S36" t="n">
        <v>98.40000000000001</v>
      </c>
      <c r="T36" t="n">
        <v>0</v>
      </c>
      <c r="U36" t="n">
        <v>0</v>
      </c>
      <c r="V36" t="n">
        <v>44.28</v>
      </c>
      <c r="W36" t="n">
        <v>929.88</v>
      </c>
      <c r="X36" t="n">
        <v>885.6</v>
      </c>
      <c r="Y36" t="n">
        <v>0</v>
      </c>
      <c r="Z36" t="n">
        <v>0</v>
      </c>
      <c r="AA36" t="n">
        <v>885.6</v>
      </c>
      <c r="AB36" t="n">
        <v>23</v>
      </c>
      <c r="AC36" t="n">
        <v>203.69</v>
      </c>
      <c r="AD36" t="n">
        <v>1.71</v>
      </c>
      <c r="AE36" t="n">
        <v>0</v>
      </c>
      <c r="AF36" t="n">
        <v>0</v>
      </c>
      <c r="AG36" t="n">
        <v>0</v>
      </c>
      <c r="AH36" t="n">
        <v>17.11</v>
      </c>
      <c r="AI36" t="n">
        <v>220.8</v>
      </c>
      <c r="AJ36" t="n">
        <v>39.74</v>
      </c>
      <c r="AK36" t="n">
        <v>0</v>
      </c>
      <c r="AL36" t="n">
        <v>885.6</v>
      </c>
      <c r="AM36" t="n">
        <v>0</v>
      </c>
      <c r="AN36" t="n">
        <v>0</v>
      </c>
      <c r="AO36" t="n">
        <v>0.89</v>
      </c>
      <c r="AP36" t="n">
        <v>44.28</v>
      </c>
      <c r="AQ36" t="n">
        <v>0</v>
      </c>
      <c r="AR36" t="n">
        <v>84.91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305.71</v>
      </c>
      <c r="BC36" t="n">
        <v>0</v>
      </c>
      <c r="BD36" t="n">
        <v>624.17</v>
      </c>
      <c r="BE36" t="inlineStr">
        <is>
          <t>settled</t>
        </is>
      </c>
      <c r="BF36" t="inlineStr">
        <is>
          <t>2025-12-17 05:30:00</t>
        </is>
      </c>
      <c r="BG36" t="inlineStr">
        <is>
          <t>CITIN25671154595</t>
        </is>
      </c>
      <c r="BH36" t="n">
        <v>0</v>
      </c>
      <c r="BI36" t="inlineStr">
        <is>
          <t>55ad2a39e18a6d89f2ebab084ae662880e70ddb90f89cac33248c9ff7c8d28bc</t>
        </is>
      </c>
    </row>
    <row r="37">
      <c r="A37" t="inlineStr">
        <is>
          <t>32</t>
        </is>
      </c>
      <c r="B37" t="inlineStr">
        <is>
          <t>7564345137</t>
        </is>
      </c>
      <c r="C37" t="inlineStr">
        <is>
          <t>2025-12-10 19:20:10</t>
        </is>
      </c>
      <c r="D37" t="inlineStr">
        <is>
          <t>50</t>
        </is>
      </c>
      <c r="E37" t="inlineStr">
        <is>
          <t>Baba Yaga Art Of Chinese - By Posh Foods</t>
        </is>
      </c>
      <c r="F37" t="inlineStr">
        <is>
          <t>20037890</t>
        </is>
      </c>
      <c r="G37" t="inlineStr">
        <is>
          <t>Flat ₹125 off (2025-12-08 - 2031-01-01)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9</t>
        </is>
      </c>
      <c r="O37" t="n">
        <v>365</v>
      </c>
      <c r="P37" t="n">
        <v>0</v>
      </c>
      <c r="Q37" t="n">
        <v>0</v>
      </c>
      <c r="R37" t="n">
        <v>87</v>
      </c>
      <c r="S37" t="n">
        <v>22.5</v>
      </c>
      <c r="T37" t="n">
        <v>0</v>
      </c>
      <c r="U37" t="n">
        <v>0</v>
      </c>
      <c r="V37" t="n">
        <v>12.78</v>
      </c>
      <c r="W37" t="n">
        <v>268.28</v>
      </c>
      <c r="X37" t="n">
        <v>255.5</v>
      </c>
      <c r="Y37" t="n">
        <v>0</v>
      </c>
      <c r="Z37" t="n">
        <v>0</v>
      </c>
      <c r="AA37" t="n">
        <v>255.5</v>
      </c>
      <c r="AB37" t="n">
        <v>23</v>
      </c>
      <c r="AC37" t="n">
        <v>58.76</v>
      </c>
      <c r="AD37" t="n">
        <v>3.42</v>
      </c>
      <c r="AE37" t="n">
        <v>0</v>
      </c>
      <c r="AF37" t="n">
        <v>0</v>
      </c>
      <c r="AG37" t="n">
        <v>0</v>
      </c>
      <c r="AH37" t="n">
        <v>4.94</v>
      </c>
      <c r="AI37" t="n">
        <v>63.7</v>
      </c>
      <c r="AJ37" t="n">
        <v>11.47</v>
      </c>
      <c r="AK37" t="n">
        <v>0</v>
      </c>
      <c r="AL37" t="n">
        <v>255.5</v>
      </c>
      <c r="AM37" t="n">
        <v>0</v>
      </c>
      <c r="AN37" t="n">
        <v>0</v>
      </c>
      <c r="AO37" t="n">
        <v>0.26</v>
      </c>
      <c r="AP37" t="n">
        <v>12.78</v>
      </c>
      <c r="AQ37" t="n">
        <v>0</v>
      </c>
      <c r="AR37" t="n">
        <v>24.51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88.20999999999999</v>
      </c>
      <c r="BC37" t="n">
        <v>0</v>
      </c>
      <c r="BD37" t="n">
        <v>180.07</v>
      </c>
      <c r="BE37" t="inlineStr">
        <is>
          <t>settled</t>
        </is>
      </c>
      <c r="BF37" t="inlineStr">
        <is>
          <t>2025-12-17 05:30:00</t>
        </is>
      </c>
      <c r="BG37" t="inlineStr">
        <is>
          <t>CITIN25671154595</t>
        </is>
      </c>
      <c r="BH37" t="n">
        <v>0</v>
      </c>
      <c r="BI37" t="inlineStr">
        <is>
          <t>79669c371fc2fb57ce539a5b964c344b85e388aea9c514b78cbfe83fc1754196</t>
        </is>
      </c>
    </row>
    <row r="38">
      <c r="A38" t="inlineStr">
        <is>
          <t>33</t>
        </is>
      </c>
      <c r="B38" t="inlineStr">
        <is>
          <t>7563878064</t>
        </is>
      </c>
      <c r="C38" t="inlineStr">
        <is>
          <t>2025-12-10 19:27:36</t>
        </is>
      </c>
      <c r="D38" t="inlineStr">
        <is>
          <t>50</t>
        </is>
      </c>
      <c r="E38" t="inlineStr">
        <is>
          <t>Baba Yaga Art Of Chinese - By Posh Foods</t>
        </is>
      </c>
      <c r="F38" t="inlineStr">
        <is>
          <t>20037890</t>
        </is>
      </c>
      <c r="G38" t="inlineStr">
        <is>
          <t>Flat ₹100 off (2025-12-08 - 2031-01-01)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9</t>
        </is>
      </c>
      <c r="O38" t="n">
        <v>265</v>
      </c>
      <c r="P38" t="n">
        <v>0</v>
      </c>
      <c r="Q38" t="n">
        <v>0</v>
      </c>
      <c r="R38" t="n">
        <v>70</v>
      </c>
      <c r="S38" t="n">
        <v>0</v>
      </c>
      <c r="T38" t="n">
        <v>0</v>
      </c>
      <c r="U38" t="n">
        <v>0</v>
      </c>
      <c r="V38" t="n">
        <v>9.75</v>
      </c>
      <c r="W38" t="n">
        <v>204.75</v>
      </c>
      <c r="X38" t="n">
        <v>195</v>
      </c>
      <c r="Y38" t="n">
        <v>0</v>
      </c>
      <c r="Z38" t="n">
        <v>0</v>
      </c>
      <c r="AA38" t="n">
        <v>195</v>
      </c>
      <c r="AB38" t="n">
        <v>23</v>
      </c>
      <c r="AC38" t="n">
        <v>44.85</v>
      </c>
      <c r="AD38" t="n">
        <v>3.71</v>
      </c>
      <c r="AE38" t="n">
        <v>0</v>
      </c>
      <c r="AF38" t="n">
        <v>0</v>
      </c>
      <c r="AG38" t="n">
        <v>0</v>
      </c>
      <c r="AH38" t="n">
        <v>3.77</v>
      </c>
      <c r="AI38" t="n">
        <v>48.62</v>
      </c>
      <c r="AJ38" t="n">
        <v>8.75</v>
      </c>
      <c r="AK38" t="n">
        <v>0</v>
      </c>
      <c r="AL38" t="n">
        <v>195</v>
      </c>
      <c r="AM38" t="n">
        <v>0</v>
      </c>
      <c r="AN38" t="n">
        <v>0</v>
      </c>
      <c r="AO38" t="n">
        <v>0.2</v>
      </c>
      <c r="AP38" t="n">
        <v>9.75</v>
      </c>
      <c r="AQ38" t="n">
        <v>0</v>
      </c>
      <c r="AR38" t="n">
        <v>18.7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23.01</v>
      </c>
      <c r="AY38" t="n">
        <v>0</v>
      </c>
      <c r="AZ38" t="n">
        <v>0</v>
      </c>
      <c r="BA38" t="n">
        <v>23.01</v>
      </c>
      <c r="BB38" t="n">
        <v>90.33</v>
      </c>
      <c r="BC38" t="n">
        <v>0</v>
      </c>
      <c r="BD38" t="n">
        <v>114.42</v>
      </c>
      <c r="BE38" t="inlineStr">
        <is>
          <t>settled</t>
        </is>
      </c>
      <c r="BF38" t="inlineStr">
        <is>
          <t>2025-12-17 05:30:00</t>
        </is>
      </c>
      <c r="BG38" t="inlineStr">
        <is>
          <t>CITIN25671154595</t>
        </is>
      </c>
      <c r="BH38" t="n">
        <v>0</v>
      </c>
      <c r="BI38" t="inlineStr">
        <is>
          <t>1291a726a40906fa29d749102626084a2576e0508cb088ee6c1958c5be24008a</t>
        </is>
      </c>
    </row>
    <row r="39">
      <c r="A39" t="inlineStr">
        <is>
          <t>34</t>
        </is>
      </c>
      <c r="B39" t="inlineStr">
        <is>
          <t>7565032787</t>
        </is>
      </c>
      <c r="C39" t="inlineStr">
        <is>
          <t>2025-12-10 20:24:01</t>
        </is>
      </c>
      <c r="D39" t="inlineStr">
        <is>
          <t>50</t>
        </is>
      </c>
      <c r="E39" t="inlineStr">
        <is>
          <t>Baba Yaga Art Of Chinese - By Posh Foods</t>
        </is>
      </c>
      <c r="F39" t="inlineStr">
        <is>
          <t>20037890</t>
        </is>
      </c>
      <c r="G39" t="inlineStr">
        <is>
          <t>Flat ₹100 off (2025-12-08 - 2031-01-01)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9</t>
        </is>
      </c>
      <c r="O39" t="n">
        <v>265</v>
      </c>
      <c r="P39" t="n">
        <v>0</v>
      </c>
      <c r="Q39" t="n">
        <v>0</v>
      </c>
      <c r="R39" t="n">
        <v>70</v>
      </c>
      <c r="S39" t="n">
        <v>0</v>
      </c>
      <c r="T39" t="n">
        <v>0</v>
      </c>
      <c r="U39" t="n">
        <v>0</v>
      </c>
      <c r="V39" t="n">
        <v>9.75</v>
      </c>
      <c r="W39" t="n">
        <v>204.75</v>
      </c>
      <c r="X39" t="n">
        <v>195</v>
      </c>
      <c r="Y39" t="n">
        <v>0</v>
      </c>
      <c r="Z39" t="n">
        <v>0</v>
      </c>
      <c r="AA39" t="n">
        <v>195</v>
      </c>
      <c r="AB39" t="n">
        <v>23</v>
      </c>
      <c r="AC39" t="n">
        <v>44.85</v>
      </c>
      <c r="AD39" t="n">
        <v>2.75</v>
      </c>
      <c r="AE39" t="n">
        <v>0</v>
      </c>
      <c r="AF39" t="n">
        <v>0</v>
      </c>
      <c r="AG39" t="n">
        <v>0</v>
      </c>
      <c r="AH39" t="n">
        <v>3.77</v>
      </c>
      <c r="AI39" t="n">
        <v>48.62</v>
      </c>
      <c r="AJ39" t="n">
        <v>8.75</v>
      </c>
      <c r="AK39" t="n">
        <v>0</v>
      </c>
      <c r="AL39" t="n">
        <v>195</v>
      </c>
      <c r="AM39" t="n">
        <v>0</v>
      </c>
      <c r="AN39" t="n">
        <v>0</v>
      </c>
      <c r="AO39" t="n">
        <v>0.2</v>
      </c>
      <c r="AP39" t="n">
        <v>9.75</v>
      </c>
      <c r="AQ39" t="n">
        <v>0</v>
      </c>
      <c r="AR39" t="n">
        <v>18.7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67.31999999999999</v>
      </c>
      <c r="BC39" t="n">
        <v>0</v>
      </c>
      <c r="BD39" t="n">
        <v>137.43</v>
      </c>
      <c r="BE39" t="inlineStr">
        <is>
          <t>settled</t>
        </is>
      </c>
      <c r="BF39" t="inlineStr">
        <is>
          <t>2025-12-17 05:30:00</t>
        </is>
      </c>
      <c r="BG39" t="inlineStr">
        <is>
          <t>CITIN25671154595</t>
        </is>
      </c>
      <c r="BH39" t="n">
        <v>0</v>
      </c>
      <c r="BI39" t="inlineStr">
        <is>
          <t>c2b2ec38cc479672ccf4500189325113fa472f559483896c671e2884bfef5c4e</t>
        </is>
      </c>
    </row>
    <row r="40">
      <c r="A40" t="inlineStr">
        <is>
          <t>35</t>
        </is>
      </c>
      <c r="B40" t="inlineStr">
        <is>
          <t>7569260487</t>
        </is>
      </c>
      <c r="C40" t="inlineStr">
        <is>
          <t>2025-12-10 20:24:29</t>
        </is>
      </c>
      <c r="D40" t="inlineStr">
        <is>
          <t>50</t>
        </is>
      </c>
      <c r="E40" t="inlineStr">
        <is>
          <t>Baba Yaga Art Of Chinese - By Posh Foods</t>
        </is>
      </c>
      <c r="F40" t="inlineStr">
        <is>
          <t>20037890</t>
        </is>
      </c>
      <c r="G40" t="inlineStr">
        <is>
          <t>Flat ₹175 off (2025-12-08 - 2031-01-01)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9</t>
        </is>
      </c>
      <c r="O40" t="n">
        <v>604</v>
      </c>
      <c r="P40" t="n">
        <v>0</v>
      </c>
      <c r="Q40" t="n">
        <v>0</v>
      </c>
      <c r="R40" t="n">
        <v>122</v>
      </c>
      <c r="S40" t="n">
        <v>42.9</v>
      </c>
      <c r="T40" t="n">
        <v>0</v>
      </c>
      <c r="U40" t="n">
        <v>0</v>
      </c>
      <c r="V40" t="n">
        <v>21.96</v>
      </c>
      <c r="W40" t="n">
        <v>461.06</v>
      </c>
      <c r="X40" t="n">
        <v>439.1</v>
      </c>
      <c r="Y40" t="n">
        <v>0</v>
      </c>
      <c r="Z40" t="n">
        <v>0</v>
      </c>
      <c r="AA40" t="n">
        <v>439.1</v>
      </c>
      <c r="AB40" t="n">
        <v>23</v>
      </c>
      <c r="AC40" t="n">
        <v>100.99</v>
      </c>
      <c r="AD40" t="n">
        <v>2.46</v>
      </c>
      <c r="AE40" t="n">
        <v>0</v>
      </c>
      <c r="AF40" t="n">
        <v>0</v>
      </c>
      <c r="AG40" t="n">
        <v>0</v>
      </c>
      <c r="AH40" t="n">
        <v>8.48</v>
      </c>
      <c r="AI40" t="n">
        <v>109.47</v>
      </c>
      <c r="AJ40" t="n">
        <v>19.71</v>
      </c>
      <c r="AK40" t="n">
        <v>0</v>
      </c>
      <c r="AL40" t="n">
        <v>439.1</v>
      </c>
      <c r="AM40" t="n">
        <v>0</v>
      </c>
      <c r="AN40" t="n">
        <v>0</v>
      </c>
      <c r="AO40" t="n">
        <v>0.44</v>
      </c>
      <c r="AP40" t="n">
        <v>21.96</v>
      </c>
      <c r="AQ40" t="n">
        <v>0</v>
      </c>
      <c r="AR40" t="n">
        <v>42.11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151.58</v>
      </c>
      <c r="BC40" t="n">
        <v>0</v>
      </c>
      <c r="BD40" t="n">
        <v>309.48</v>
      </c>
      <c r="BE40" t="inlineStr">
        <is>
          <t>settled</t>
        </is>
      </c>
      <c r="BF40" t="inlineStr">
        <is>
          <t>2025-12-17 05:30:00</t>
        </is>
      </c>
      <c r="BG40" t="inlineStr">
        <is>
          <t>CITIN25671154595</t>
        </is>
      </c>
      <c r="BH40" t="n">
        <v>0</v>
      </c>
      <c r="BI40" t="inlineStr">
        <is>
          <t>880e9b653607ee86753b8dffa19b415a38093e548e5d4f6447264b220ea3470b</t>
        </is>
      </c>
    </row>
    <row r="41">
      <c r="A41" t="inlineStr">
        <is>
          <t>36</t>
        </is>
      </c>
      <c r="B41" t="inlineStr">
        <is>
          <t>7562818864</t>
        </is>
      </c>
      <c r="C41" t="inlineStr">
        <is>
          <t>2025-12-10 21:22:44</t>
        </is>
      </c>
      <c r="D41" t="inlineStr">
        <is>
          <t>50</t>
        </is>
      </c>
      <c r="E41" t="inlineStr">
        <is>
          <t>Baba Yaga Art Of Chinese - By Posh Foods</t>
        </is>
      </c>
      <c r="F41" t="inlineStr">
        <is>
          <t>20037890</t>
        </is>
      </c>
      <c r="G41" t="inlineStr">
        <is>
          <t>NA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9</t>
        </is>
      </c>
      <c r="O41" t="n">
        <v>365</v>
      </c>
      <c r="P41" t="n">
        <v>0</v>
      </c>
      <c r="Q41" t="n">
        <v>0</v>
      </c>
      <c r="R41" t="n">
        <v>0</v>
      </c>
      <c r="S41" t="n">
        <v>36.5</v>
      </c>
      <c r="T41" t="n">
        <v>0</v>
      </c>
      <c r="U41" t="n">
        <v>0</v>
      </c>
      <c r="V41" t="n">
        <v>16.43</v>
      </c>
      <c r="W41" t="n">
        <v>344.93</v>
      </c>
      <c r="X41" t="n">
        <v>328.5</v>
      </c>
      <c r="Y41" t="n">
        <v>0</v>
      </c>
      <c r="Z41" t="n">
        <v>0</v>
      </c>
      <c r="AA41" t="n">
        <v>328.5</v>
      </c>
      <c r="AB41" t="n">
        <v>23</v>
      </c>
      <c r="AC41" t="n">
        <v>75.56</v>
      </c>
      <c r="AD41" t="n">
        <v>2.54</v>
      </c>
      <c r="AE41" t="n">
        <v>0</v>
      </c>
      <c r="AF41" t="n">
        <v>0</v>
      </c>
      <c r="AG41" t="n">
        <v>0</v>
      </c>
      <c r="AH41" t="n">
        <v>6.35</v>
      </c>
      <c r="AI41" t="n">
        <v>81.91</v>
      </c>
      <c r="AJ41" t="n">
        <v>14.74</v>
      </c>
      <c r="AK41" t="n">
        <v>0</v>
      </c>
      <c r="AL41" t="n">
        <v>328.5</v>
      </c>
      <c r="AM41" t="n">
        <v>0</v>
      </c>
      <c r="AN41" t="n">
        <v>0</v>
      </c>
      <c r="AO41" t="n">
        <v>0.33</v>
      </c>
      <c r="AP41" t="n">
        <v>16.43</v>
      </c>
      <c r="AQ41" t="n">
        <v>0</v>
      </c>
      <c r="AR41" t="n">
        <v>31.5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113.41</v>
      </c>
      <c r="BC41" t="n">
        <v>0</v>
      </c>
      <c r="BD41" t="n">
        <v>231.52</v>
      </c>
      <c r="BE41" t="inlineStr">
        <is>
          <t>settled</t>
        </is>
      </c>
      <c r="BF41" t="inlineStr">
        <is>
          <t>2025-12-17 05:30:00</t>
        </is>
      </c>
      <c r="BG41" t="inlineStr">
        <is>
          <t>CITIN25671154595</t>
        </is>
      </c>
      <c r="BH41" t="n">
        <v>0</v>
      </c>
      <c r="BI41" t="inlineStr">
        <is>
          <t>709776b84f48b30a6a56c58f0605034937990ba2d92482192417ce2ec904f819</t>
        </is>
      </c>
    </row>
    <row r="42">
      <c r="A42" t="inlineStr">
        <is>
          <t>37</t>
        </is>
      </c>
      <c r="B42" t="inlineStr">
        <is>
          <t>7566573064</t>
        </is>
      </c>
      <c r="C42" t="inlineStr">
        <is>
          <t>2025-12-10 21:32:09</t>
        </is>
      </c>
      <c r="D42" t="inlineStr">
        <is>
          <t>50</t>
        </is>
      </c>
      <c r="E42" t="inlineStr">
        <is>
          <t>Baba Yaga Art Of Chinese - By Posh Foods</t>
        </is>
      </c>
      <c r="F42" t="inlineStr">
        <is>
          <t>20037890</t>
        </is>
      </c>
      <c r="G42" t="inlineStr">
        <is>
          <t>Flat ₹125 off (2025-12-08 - 2031-01-01)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9</t>
        </is>
      </c>
      <c r="O42" t="n">
        <v>375</v>
      </c>
      <c r="P42" t="n">
        <v>0</v>
      </c>
      <c r="Q42" t="n">
        <v>0</v>
      </c>
      <c r="R42" t="n">
        <v>87</v>
      </c>
      <c r="S42" t="n">
        <v>25</v>
      </c>
      <c r="T42" t="n">
        <v>0</v>
      </c>
      <c r="U42" t="n">
        <v>0</v>
      </c>
      <c r="V42" t="n">
        <v>13.15</v>
      </c>
      <c r="W42" t="n">
        <v>276.15</v>
      </c>
      <c r="X42" t="n">
        <v>263</v>
      </c>
      <c r="Y42" t="n">
        <v>0</v>
      </c>
      <c r="Z42" t="n">
        <v>0</v>
      </c>
      <c r="AA42" t="n">
        <v>263</v>
      </c>
      <c r="AB42" t="n">
        <v>23</v>
      </c>
      <c r="AC42" t="n">
        <v>60.49</v>
      </c>
      <c r="AD42" t="n">
        <v>1.67</v>
      </c>
      <c r="AE42" t="n">
        <v>0</v>
      </c>
      <c r="AF42" t="n">
        <v>0</v>
      </c>
      <c r="AG42" t="n">
        <v>0</v>
      </c>
      <c r="AH42" t="n">
        <v>5.08</v>
      </c>
      <c r="AI42" t="n">
        <v>65.56999999999999</v>
      </c>
      <c r="AJ42" t="n">
        <v>11.8</v>
      </c>
      <c r="AK42" t="n">
        <v>0</v>
      </c>
      <c r="AL42" t="n">
        <v>263</v>
      </c>
      <c r="AM42" t="n">
        <v>0</v>
      </c>
      <c r="AN42" t="n">
        <v>0</v>
      </c>
      <c r="AO42" t="n">
        <v>0.26</v>
      </c>
      <c r="AP42" t="n">
        <v>13.15</v>
      </c>
      <c r="AQ42" t="n">
        <v>0</v>
      </c>
      <c r="AR42" t="n">
        <v>25.21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90.78</v>
      </c>
      <c r="BC42" t="n">
        <v>0</v>
      </c>
      <c r="BD42" t="n">
        <v>185.37</v>
      </c>
      <c r="BE42" t="inlineStr">
        <is>
          <t>settled</t>
        </is>
      </c>
      <c r="BF42" t="inlineStr">
        <is>
          <t>2025-12-17 05:30:00</t>
        </is>
      </c>
      <c r="BG42" t="inlineStr">
        <is>
          <t>CITIN25671154595</t>
        </is>
      </c>
      <c r="BH42" t="n">
        <v>0</v>
      </c>
      <c r="BI42" t="inlineStr">
        <is>
          <t>ab74b56878966b783c03620559665b7b786c85980afca87ff7856d438ccea9a5</t>
        </is>
      </c>
    </row>
    <row r="43">
      <c r="A43" t="inlineStr">
        <is>
          <t>38</t>
        </is>
      </c>
      <c r="B43" t="inlineStr">
        <is>
          <t>7566351026</t>
        </is>
      </c>
      <c r="C43" t="inlineStr">
        <is>
          <t>2025-12-10 21:43:41</t>
        </is>
      </c>
      <c r="D43" t="inlineStr">
        <is>
          <t>50</t>
        </is>
      </c>
      <c r="E43" t="inlineStr">
        <is>
          <t>Baba Yaga Art Of Chinese - By Posh Foods</t>
        </is>
      </c>
      <c r="F43" t="inlineStr">
        <is>
          <t>20037890</t>
        </is>
      </c>
      <c r="G43" t="inlineStr">
        <is>
          <t>Flat 20% off (2025-09-25 - 2031-01-01)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9</t>
        </is>
      </c>
      <c r="O43" t="n">
        <v>1829</v>
      </c>
      <c r="P43" t="n">
        <v>0</v>
      </c>
      <c r="Q43" t="n">
        <v>0</v>
      </c>
      <c r="R43" t="n">
        <v>365.8</v>
      </c>
      <c r="S43" t="n">
        <v>146.32</v>
      </c>
      <c r="T43" t="n">
        <v>0</v>
      </c>
      <c r="U43" t="n">
        <v>0</v>
      </c>
      <c r="V43" t="n">
        <v>65.84999999999999</v>
      </c>
      <c r="W43" t="n">
        <v>1382.73</v>
      </c>
      <c r="X43" t="n">
        <v>1316.88</v>
      </c>
      <c r="Y43" t="n">
        <v>0</v>
      </c>
      <c r="Z43" t="n">
        <v>0</v>
      </c>
      <c r="AA43" t="n">
        <v>1316.88</v>
      </c>
      <c r="AB43" t="n">
        <v>23</v>
      </c>
      <c r="AC43" t="n">
        <v>302.88</v>
      </c>
      <c r="AD43" t="n">
        <v>3.05</v>
      </c>
      <c r="AE43" t="n">
        <v>0</v>
      </c>
      <c r="AF43" t="n">
        <v>0</v>
      </c>
      <c r="AG43" t="n">
        <v>0</v>
      </c>
      <c r="AH43" t="n">
        <v>25.44</v>
      </c>
      <c r="AI43" t="n">
        <v>328.32</v>
      </c>
      <c r="AJ43" t="n">
        <v>59.1</v>
      </c>
      <c r="AK43" t="n">
        <v>0</v>
      </c>
      <c r="AL43" t="n">
        <v>1316.88</v>
      </c>
      <c r="AM43" t="n">
        <v>0</v>
      </c>
      <c r="AN43" t="n">
        <v>0</v>
      </c>
      <c r="AO43" t="n">
        <v>1.32</v>
      </c>
      <c r="AP43" t="n">
        <v>65.84</v>
      </c>
      <c r="AQ43" t="n">
        <v>0.01</v>
      </c>
      <c r="AR43" t="n">
        <v>126.26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454.58</v>
      </c>
      <c r="BC43" t="n">
        <v>0</v>
      </c>
      <c r="BD43" t="n">
        <v>928.15</v>
      </c>
      <c r="BE43" t="inlineStr">
        <is>
          <t>settled</t>
        </is>
      </c>
      <c r="BF43" t="inlineStr">
        <is>
          <t>2025-12-17 05:30:00</t>
        </is>
      </c>
      <c r="BG43" t="inlineStr">
        <is>
          <t>CITIN25671154595</t>
        </is>
      </c>
      <c r="BH43" t="n">
        <v>0</v>
      </c>
      <c r="BI43" t="inlineStr">
        <is>
          <t>7492e29680e25be36e7144263cacafd919bdf182fed076aa42073acd929534c6</t>
        </is>
      </c>
    </row>
    <row r="44">
      <c r="A44" t="inlineStr">
        <is>
          <t>39</t>
        </is>
      </c>
      <c r="B44" t="inlineStr">
        <is>
          <t>7569662000</t>
        </is>
      </c>
      <c r="C44" t="inlineStr">
        <is>
          <t>2025-12-10 23:30:28</t>
        </is>
      </c>
      <c r="D44" t="inlineStr">
        <is>
          <t>50</t>
        </is>
      </c>
      <c r="E44" t="inlineStr">
        <is>
          <t>Baba Yaga Art Of Chinese - By Posh Foods</t>
        </is>
      </c>
      <c r="F44" t="inlineStr">
        <is>
          <t>20037890</t>
        </is>
      </c>
      <c r="G44" t="inlineStr">
        <is>
          <t>Flat ₹100 off (2025-12-08 - 2031-01-01)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9</t>
        </is>
      </c>
      <c r="O44" t="n">
        <v>245</v>
      </c>
      <c r="P44" t="n">
        <v>0</v>
      </c>
      <c r="Q44" t="n">
        <v>0</v>
      </c>
      <c r="R44" t="n">
        <v>70</v>
      </c>
      <c r="S44" t="n">
        <v>0</v>
      </c>
      <c r="T44" t="n">
        <v>0</v>
      </c>
      <c r="U44" t="n">
        <v>0</v>
      </c>
      <c r="V44" t="n">
        <v>8.75</v>
      </c>
      <c r="W44" t="n">
        <v>183.75</v>
      </c>
      <c r="X44" t="n">
        <v>175</v>
      </c>
      <c r="Y44" t="n">
        <v>0</v>
      </c>
      <c r="Z44" t="n">
        <v>0</v>
      </c>
      <c r="AA44" t="n">
        <v>175</v>
      </c>
      <c r="AB44" t="n">
        <v>23</v>
      </c>
      <c r="AC44" t="n">
        <v>40.25</v>
      </c>
      <c r="AD44" t="n">
        <v>3.84</v>
      </c>
      <c r="AE44" t="n">
        <v>0</v>
      </c>
      <c r="AF44" t="n">
        <v>0</v>
      </c>
      <c r="AG44" t="n">
        <v>0</v>
      </c>
      <c r="AH44" t="n">
        <v>3.38</v>
      </c>
      <c r="AI44" t="n">
        <v>43.63</v>
      </c>
      <c r="AJ44" t="n">
        <v>7.85</v>
      </c>
      <c r="AK44" t="n">
        <v>0</v>
      </c>
      <c r="AL44" t="n">
        <v>175</v>
      </c>
      <c r="AM44" t="n">
        <v>0</v>
      </c>
      <c r="AN44" t="n">
        <v>0</v>
      </c>
      <c r="AO44" t="n">
        <v>0.18</v>
      </c>
      <c r="AP44" t="n">
        <v>8.75</v>
      </c>
      <c r="AQ44" t="n">
        <v>0</v>
      </c>
      <c r="AR44" t="n">
        <v>16.78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60.41</v>
      </c>
      <c r="BC44" t="n">
        <v>0</v>
      </c>
      <c r="BD44" t="n">
        <v>123.34</v>
      </c>
      <c r="BE44" t="inlineStr">
        <is>
          <t>settled</t>
        </is>
      </c>
      <c r="BF44" t="inlineStr">
        <is>
          <t>2025-12-17 05:30:00</t>
        </is>
      </c>
      <c r="BG44" t="inlineStr">
        <is>
          <t>CITIN25671154595</t>
        </is>
      </c>
      <c r="BH44" t="n">
        <v>0</v>
      </c>
      <c r="BI44" t="inlineStr">
        <is>
          <t>6add21d7c828d2d3c712c5a4e1c75a409015fdfa740fd68778eae2f589f929a3</t>
        </is>
      </c>
    </row>
    <row r="45">
      <c r="A45" t="inlineStr">
        <is>
          <t>40</t>
        </is>
      </c>
      <c r="B45" t="inlineStr">
        <is>
          <t>7563876208</t>
        </is>
      </c>
      <c r="C45" t="inlineStr">
        <is>
          <t>2025-12-10 23:48:47</t>
        </is>
      </c>
      <c r="D45" t="inlineStr">
        <is>
          <t>50</t>
        </is>
      </c>
      <c r="E45" t="inlineStr">
        <is>
          <t>Baba Yaga Art Of Chinese - By Posh Foods</t>
        </is>
      </c>
      <c r="F45" t="inlineStr">
        <is>
          <t>20037890</t>
        </is>
      </c>
      <c r="G45" t="inlineStr">
        <is>
          <t>NA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9</t>
        </is>
      </c>
      <c r="O45" t="n">
        <v>265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13.25</v>
      </c>
      <c r="W45" t="n">
        <v>278.25</v>
      </c>
      <c r="X45" t="n">
        <v>265</v>
      </c>
      <c r="Y45" t="n">
        <v>0</v>
      </c>
      <c r="Z45" t="n">
        <v>0</v>
      </c>
      <c r="AA45" t="n">
        <v>265</v>
      </c>
      <c r="AB45" t="n">
        <v>23</v>
      </c>
      <c r="AC45" t="n">
        <v>60.95</v>
      </c>
      <c r="AD45" t="n">
        <v>2.65</v>
      </c>
      <c r="AE45" t="n">
        <v>0</v>
      </c>
      <c r="AF45" t="n">
        <v>0</v>
      </c>
      <c r="AG45" t="n">
        <v>0</v>
      </c>
      <c r="AH45" t="n">
        <v>5.12</v>
      </c>
      <c r="AI45" t="n">
        <v>66.06999999999999</v>
      </c>
      <c r="AJ45" t="n">
        <v>11.89</v>
      </c>
      <c r="AK45" t="n">
        <v>0</v>
      </c>
      <c r="AL45" t="n">
        <v>265</v>
      </c>
      <c r="AM45" t="n">
        <v>0</v>
      </c>
      <c r="AN45" t="n">
        <v>0</v>
      </c>
      <c r="AO45" t="n">
        <v>0.26</v>
      </c>
      <c r="AP45" t="n">
        <v>13.25</v>
      </c>
      <c r="AQ45" t="n">
        <v>0</v>
      </c>
      <c r="AR45" t="n">
        <v>25.4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91.47</v>
      </c>
      <c r="BC45" t="n">
        <v>0</v>
      </c>
      <c r="BD45" t="n">
        <v>186.78</v>
      </c>
      <c r="BE45" t="inlineStr">
        <is>
          <t>settled</t>
        </is>
      </c>
      <c r="BF45" t="inlineStr">
        <is>
          <t>2025-12-17 05:30:00</t>
        </is>
      </c>
      <c r="BG45" t="inlineStr">
        <is>
          <t>CITIN25671154595</t>
        </is>
      </c>
      <c r="BH45" t="n">
        <v>0</v>
      </c>
      <c r="BI45" t="inlineStr">
        <is>
          <t>6d28d3bc00ebc4c3b9424f534641714fad001319310cc7aea768dafca3dec521</t>
        </is>
      </c>
    </row>
    <row r="46">
      <c r="A46" t="inlineStr">
        <is>
          <t>41</t>
        </is>
      </c>
      <c r="B46" t="inlineStr">
        <is>
          <t>7569471513</t>
        </is>
      </c>
      <c r="C46" t="inlineStr">
        <is>
          <t>2025-12-11 00:03:59</t>
        </is>
      </c>
      <c r="D46" t="inlineStr">
        <is>
          <t>50</t>
        </is>
      </c>
      <c r="E46" t="inlineStr">
        <is>
          <t>Baba Yaga Art Of Chinese - By Posh Foods</t>
        </is>
      </c>
      <c r="F46" t="inlineStr">
        <is>
          <t>20037890</t>
        </is>
      </c>
      <c r="G46" t="inlineStr">
        <is>
          <t>NA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9</t>
        </is>
      </c>
      <c r="O46" t="n">
        <v>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13.25</v>
      </c>
      <c r="W46" t="n">
        <v>278.25</v>
      </c>
      <c r="X46" t="n">
        <v>265</v>
      </c>
      <c r="Y46" t="n">
        <v>0</v>
      </c>
      <c r="Z46" t="n">
        <v>0</v>
      </c>
      <c r="AA46" t="n">
        <v>265</v>
      </c>
      <c r="AB46" t="n">
        <v>23</v>
      </c>
      <c r="AC46" t="n">
        <v>60.95</v>
      </c>
      <c r="AD46" t="n">
        <v>1.71</v>
      </c>
      <c r="AE46" t="n">
        <v>0</v>
      </c>
      <c r="AF46" t="n">
        <v>0</v>
      </c>
      <c r="AG46" t="n">
        <v>0</v>
      </c>
      <c r="AH46" t="n">
        <v>5.12</v>
      </c>
      <c r="AI46" t="n">
        <v>66.06999999999999</v>
      </c>
      <c r="AJ46" t="n">
        <v>11.89</v>
      </c>
      <c r="AK46" t="n">
        <v>0</v>
      </c>
      <c r="AL46" t="n">
        <v>265</v>
      </c>
      <c r="AM46" t="n">
        <v>0</v>
      </c>
      <c r="AN46" t="n">
        <v>0</v>
      </c>
      <c r="AO46" t="n">
        <v>0.26</v>
      </c>
      <c r="AP46" t="n">
        <v>13.25</v>
      </c>
      <c r="AQ46" t="n">
        <v>0</v>
      </c>
      <c r="AR46" t="n">
        <v>25.4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31.27</v>
      </c>
      <c r="AY46" t="n">
        <v>0</v>
      </c>
      <c r="AZ46" t="n">
        <v>0</v>
      </c>
      <c r="BA46" t="n">
        <v>31.27</v>
      </c>
      <c r="BB46" t="n">
        <v>122.74</v>
      </c>
      <c r="BC46" t="n">
        <v>0</v>
      </c>
      <c r="BD46" t="n">
        <v>155.51</v>
      </c>
      <c r="BE46" t="inlineStr">
        <is>
          <t>settled</t>
        </is>
      </c>
      <c r="BF46" t="inlineStr">
        <is>
          <t>2025-12-17 05:30:00</t>
        </is>
      </c>
      <c r="BG46" t="inlineStr">
        <is>
          <t>CITIN25671154595</t>
        </is>
      </c>
      <c r="BH46" t="n">
        <v>0</v>
      </c>
      <c r="BI46" t="inlineStr">
        <is>
          <t>10761d54b4ff4a144fdbf3a591388e119fd7dd25e41f1bcd836d1c939da9c1af</t>
        </is>
      </c>
    </row>
    <row r="47">
      <c r="A47" t="inlineStr">
        <is>
          <t>42</t>
        </is>
      </c>
      <c r="B47" t="inlineStr">
        <is>
          <t>7565537852</t>
        </is>
      </c>
      <c r="C47" t="inlineStr">
        <is>
          <t>2025-12-11 00:20:46</t>
        </is>
      </c>
      <c r="D47" t="inlineStr">
        <is>
          <t>50</t>
        </is>
      </c>
      <c r="E47" t="inlineStr">
        <is>
          <t>Baba Yaga Art Of Chinese - By Posh Foods</t>
        </is>
      </c>
      <c r="F47" t="inlineStr">
        <is>
          <t>20037890</t>
        </is>
      </c>
      <c r="G47" t="inlineStr">
        <is>
          <t>Flat ₹175 off (2025-12-08 - 2031-01-01)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9</t>
        </is>
      </c>
      <c r="O47" t="n">
        <v>819</v>
      </c>
      <c r="P47" t="n">
        <v>0</v>
      </c>
      <c r="Q47" t="n">
        <v>0</v>
      </c>
      <c r="R47" t="n">
        <v>122</v>
      </c>
      <c r="S47" t="n">
        <v>64.40000000000001</v>
      </c>
      <c r="T47" t="n">
        <v>0</v>
      </c>
      <c r="U47" t="n">
        <v>0</v>
      </c>
      <c r="V47" t="n">
        <v>31.63</v>
      </c>
      <c r="W47" t="n">
        <v>664.23</v>
      </c>
      <c r="X47" t="n">
        <v>632.6</v>
      </c>
      <c r="Y47" t="n">
        <v>0</v>
      </c>
      <c r="Z47" t="n">
        <v>0</v>
      </c>
      <c r="AA47" t="n">
        <v>632.6</v>
      </c>
      <c r="AB47" t="n">
        <v>23</v>
      </c>
      <c r="AC47" t="n">
        <v>145.5</v>
      </c>
      <c r="AD47" t="n">
        <v>3.13</v>
      </c>
      <c r="AE47" t="n">
        <v>0</v>
      </c>
      <c r="AF47" t="n">
        <v>0</v>
      </c>
      <c r="AG47" t="n">
        <v>0</v>
      </c>
      <c r="AH47" t="n">
        <v>12.22</v>
      </c>
      <c r="AI47" t="n">
        <v>157.72</v>
      </c>
      <c r="AJ47" t="n">
        <v>28.39</v>
      </c>
      <c r="AK47" t="n">
        <v>0</v>
      </c>
      <c r="AL47" t="n">
        <v>632.6</v>
      </c>
      <c r="AM47" t="n">
        <v>0</v>
      </c>
      <c r="AN47" t="n">
        <v>0</v>
      </c>
      <c r="AO47" t="n">
        <v>0.63</v>
      </c>
      <c r="AP47" t="n">
        <v>31.63</v>
      </c>
      <c r="AQ47" t="n">
        <v>0</v>
      </c>
      <c r="AR47" t="n">
        <v>60.65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218.37</v>
      </c>
      <c r="BC47" t="n">
        <v>0</v>
      </c>
      <c r="BD47" t="n">
        <v>445.86</v>
      </c>
      <c r="BE47" t="inlineStr">
        <is>
          <t>settled</t>
        </is>
      </c>
      <c r="BF47" t="inlineStr">
        <is>
          <t>2025-12-17 05:30:00</t>
        </is>
      </c>
      <c r="BG47" t="inlineStr">
        <is>
          <t>CITIN25671154595</t>
        </is>
      </c>
      <c r="BH47" t="n">
        <v>0</v>
      </c>
      <c r="BI47" t="inlineStr">
        <is>
          <t>7d2f1bbfc59472cfb82b06c9f34428fbeb6b8fcf3217e5aeae2a2f5d59206b44</t>
        </is>
      </c>
    </row>
    <row r="48">
      <c r="A48" t="inlineStr">
        <is>
          <t>43</t>
        </is>
      </c>
      <c r="B48" t="inlineStr">
        <is>
          <t>7570254330</t>
        </is>
      </c>
      <c r="C48" t="inlineStr">
        <is>
          <t>2025-12-11 00:22:26</t>
        </is>
      </c>
      <c r="D48" t="inlineStr">
        <is>
          <t>50</t>
        </is>
      </c>
      <c r="E48" t="inlineStr">
        <is>
          <t>Baba Yaga Art Of Chinese - By Posh Foods</t>
        </is>
      </c>
      <c r="F48" t="inlineStr">
        <is>
          <t>20037890</t>
        </is>
      </c>
      <c r="G48" t="inlineStr">
        <is>
          <t>Flat ₹125 off (2025-12-08 - 2031-01-01)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9</t>
        </is>
      </c>
      <c r="O48" t="n">
        <v>440</v>
      </c>
      <c r="P48" t="n">
        <v>0</v>
      </c>
      <c r="Q48" t="n">
        <v>0</v>
      </c>
      <c r="R48" t="n">
        <v>87</v>
      </c>
      <c r="S48" t="n">
        <v>31.5</v>
      </c>
      <c r="T48" t="n">
        <v>0</v>
      </c>
      <c r="U48" t="n">
        <v>0</v>
      </c>
      <c r="V48" t="n">
        <v>16.08</v>
      </c>
      <c r="W48" t="n">
        <v>337.58</v>
      </c>
      <c r="X48" t="n">
        <v>321.5</v>
      </c>
      <c r="Y48" t="n">
        <v>0</v>
      </c>
      <c r="Z48" t="n">
        <v>0</v>
      </c>
      <c r="AA48" t="n">
        <v>321.5</v>
      </c>
      <c r="AB48" t="n">
        <v>23</v>
      </c>
      <c r="AC48" t="n">
        <v>73.94</v>
      </c>
      <c r="AD48" t="n">
        <v>1.71</v>
      </c>
      <c r="AE48" t="n">
        <v>0</v>
      </c>
      <c r="AF48" t="n">
        <v>0</v>
      </c>
      <c r="AG48" t="n">
        <v>0</v>
      </c>
      <c r="AH48" t="n">
        <v>6.21</v>
      </c>
      <c r="AI48" t="n">
        <v>80.15000000000001</v>
      </c>
      <c r="AJ48" t="n">
        <v>14.43</v>
      </c>
      <c r="AK48" t="n">
        <v>0</v>
      </c>
      <c r="AL48" t="n">
        <v>321.5</v>
      </c>
      <c r="AM48" t="n">
        <v>0</v>
      </c>
      <c r="AN48" t="n">
        <v>0</v>
      </c>
      <c r="AO48" t="n">
        <v>0.32</v>
      </c>
      <c r="AP48" t="n">
        <v>16.08</v>
      </c>
      <c r="AQ48" t="n">
        <v>0</v>
      </c>
      <c r="AR48" t="n">
        <v>30.83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110.98</v>
      </c>
      <c r="BC48" t="n">
        <v>0</v>
      </c>
      <c r="BD48" t="n">
        <v>226.6</v>
      </c>
      <c r="BE48" t="inlineStr">
        <is>
          <t>settled</t>
        </is>
      </c>
      <c r="BF48" t="inlineStr">
        <is>
          <t>2025-12-17 05:30:00</t>
        </is>
      </c>
      <c r="BG48" t="inlineStr">
        <is>
          <t>CITIN25671154595</t>
        </is>
      </c>
      <c r="BH48" t="n">
        <v>0</v>
      </c>
      <c r="BI48" t="inlineStr">
        <is>
          <t>ef855d3cbea2e33ab7131a6dd53adf40598855bfe185b32897aed8b68f307d4d</t>
        </is>
      </c>
    </row>
    <row r="49">
      <c r="A49" t="inlineStr">
        <is>
          <t>44</t>
        </is>
      </c>
      <c r="B49" t="inlineStr">
        <is>
          <t>7569908914</t>
        </is>
      </c>
      <c r="C49" t="inlineStr">
        <is>
          <t>2025-12-11 00:25:04</t>
        </is>
      </c>
      <c r="D49" t="inlineStr">
        <is>
          <t>50</t>
        </is>
      </c>
      <c r="E49" t="inlineStr">
        <is>
          <t>Baba Yaga Art Of Chinese - By Posh Foods</t>
        </is>
      </c>
      <c r="F49" t="inlineStr">
        <is>
          <t>20037890</t>
        </is>
      </c>
      <c r="G49" t="inlineStr">
        <is>
          <t>Flat ₹175 off (2025-12-08 - 2031-01-01)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9</t>
        </is>
      </c>
      <c r="O49" t="n">
        <v>610</v>
      </c>
      <c r="P49" t="n">
        <v>0</v>
      </c>
      <c r="Q49" t="n">
        <v>0</v>
      </c>
      <c r="R49" t="n">
        <v>122</v>
      </c>
      <c r="S49" t="n">
        <v>43.5</v>
      </c>
      <c r="T49" t="n">
        <v>0</v>
      </c>
      <c r="U49" t="n">
        <v>0</v>
      </c>
      <c r="V49" t="n">
        <v>22.23</v>
      </c>
      <c r="W49" t="n">
        <v>466.73</v>
      </c>
      <c r="X49" t="n">
        <v>444.5</v>
      </c>
      <c r="Y49" t="n">
        <v>0</v>
      </c>
      <c r="Z49" t="n">
        <v>0</v>
      </c>
      <c r="AA49" t="n">
        <v>444.5</v>
      </c>
      <c r="AB49" t="n">
        <v>23</v>
      </c>
      <c r="AC49" t="n">
        <v>102.24</v>
      </c>
      <c r="AD49" t="n">
        <v>1.69</v>
      </c>
      <c r="AE49" t="n">
        <v>0</v>
      </c>
      <c r="AF49" t="n">
        <v>0</v>
      </c>
      <c r="AG49" t="n">
        <v>0</v>
      </c>
      <c r="AH49" t="n">
        <v>8.59</v>
      </c>
      <c r="AI49" t="n">
        <v>110.83</v>
      </c>
      <c r="AJ49" t="n">
        <v>19.95</v>
      </c>
      <c r="AK49" t="n">
        <v>0</v>
      </c>
      <c r="AL49" t="n">
        <v>444.5</v>
      </c>
      <c r="AM49" t="n">
        <v>0</v>
      </c>
      <c r="AN49" t="n">
        <v>0</v>
      </c>
      <c r="AO49" t="n">
        <v>0.44</v>
      </c>
      <c r="AP49" t="n">
        <v>22.22</v>
      </c>
      <c r="AQ49" t="n">
        <v>0.01</v>
      </c>
      <c r="AR49" t="n">
        <v>42.61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52.45</v>
      </c>
      <c r="AY49" t="n">
        <v>0</v>
      </c>
      <c r="AZ49" t="n">
        <v>0</v>
      </c>
      <c r="BA49" t="n">
        <v>52.45</v>
      </c>
      <c r="BB49" t="n">
        <v>205.89</v>
      </c>
      <c r="BC49" t="n">
        <v>0</v>
      </c>
      <c r="BD49" t="n">
        <v>260.84</v>
      </c>
      <c r="BE49" t="inlineStr">
        <is>
          <t>settled</t>
        </is>
      </c>
      <c r="BF49" t="inlineStr">
        <is>
          <t>2025-12-17 05:30:00</t>
        </is>
      </c>
      <c r="BG49" t="inlineStr">
        <is>
          <t>CITIN25671154595</t>
        </is>
      </c>
      <c r="BH49" t="n">
        <v>0</v>
      </c>
      <c r="BI49" t="inlineStr">
        <is>
          <t>2af634e1aca36cb300cda4811c3c967feda69ab69574b36aaa31b393c34d6eb6</t>
        </is>
      </c>
    </row>
    <row r="50">
      <c r="A50" t="inlineStr">
        <is>
          <t>45</t>
        </is>
      </c>
      <c r="B50" t="inlineStr">
        <is>
          <t>7540689537</t>
        </is>
      </c>
      <c r="C50" t="inlineStr">
        <is>
          <t>2025-12-11 00:47:52</t>
        </is>
      </c>
      <c r="D50" t="inlineStr">
        <is>
          <t>50</t>
        </is>
      </c>
      <c r="E50" t="inlineStr">
        <is>
          <t>Baba Yaga Art Of Chinese - By Posh Foods</t>
        </is>
      </c>
      <c r="F50" t="inlineStr">
        <is>
          <t>20037890</t>
        </is>
      </c>
      <c r="G50" t="inlineStr">
        <is>
          <t>Flat ₹125 off (2025-12-08 - 2031-01-01)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9</t>
        </is>
      </c>
      <c r="O50" t="n">
        <v>365</v>
      </c>
      <c r="P50" t="n">
        <v>0</v>
      </c>
      <c r="Q50" t="n">
        <v>0</v>
      </c>
      <c r="R50" t="n">
        <v>87</v>
      </c>
      <c r="S50" t="n">
        <v>0</v>
      </c>
      <c r="T50" t="n">
        <v>0</v>
      </c>
      <c r="U50" t="n">
        <v>0</v>
      </c>
      <c r="V50" t="n">
        <v>13.9</v>
      </c>
      <c r="W50" t="n">
        <v>291.9</v>
      </c>
      <c r="X50" t="n">
        <v>278</v>
      </c>
      <c r="Y50" t="n">
        <v>0</v>
      </c>
      <c r="Z50" t="n">
        <v>0</v>
      </c>
      <c r="AA50" t="n">
        <v>278</v>
      </c>
      <c r="AB50" t="n">
        <v>23</v>
      </c>
      <c r="AC50" t="n">
        <v>63.94</v>
      </c>
      <c r="AD50" t="n">
        <v>5.17</v>
      </c>
      <c r="AE50" t="n">
        <v>20</v>
      </c>
      <c r="AF50" t="n">
        <v>0</v>
      </c>
      <c r="AG50" t="n">
        <v>0.54</v>
      </c>
      <c r="AH50" t="n">
        <v>5.37</v>
      </c>
      <c r="AI50" t="n">
        <v>88.77</v>
      </c>
      <c r="AJ50" t="n">
        <v>15.98</v>
      </c>
      <c r="AK50" t="n">
        <v>0</v>
      </c>
      <c r="AL50" t="n">
        <v>278</v>
      </c>
      <c r="AM50" t="n">
        <v>0</v>
      </c>
      <c r="AN50" t="n">
        <v>0</v>
      </c>
      <c r="AO50" t="n">
        <v>0.28</v>
      </c>
      <c r="AP50" t="n">
        <v>13.9</v>
      </c>
      <c r="AQ50" t="n">
        <v>0</v>
      </c>
      <c r="AR50" t="n">
        <v>30.16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118.93</v>
      </c>
      <c r="BC50" t="n">
        <v>0</v>
      </c>
      <c r="BD50" t="n">
        <v>172.97</v>
      </c>
      <c r="BE50" t="inlineStr">
        <is>
          <t>settled</t>
        </is>
      </c>
      <c r="BF50" t="inlineStr">
        <is>
          <t>2025-12-17 05:30:00</t>
        </is>
      </c>
      <c r="BG50" t="inlineStr">
        <is>
          <t>CITIN25671154595</t>
        </is>
      </c>
      <c r="BH50" t="n">
        <v>0</v>
      </c>
      <c r="BI50" t="inlineStr">
        <is>
          <t>378215fe6731181295b5e9ea147c1e7ef0a4ac54eb8fa81e7efa2ade88875212</t>
        </is>
      </c>
    </row>
    <row r="51">
      <c r="A51" t="inlineStr">
        <is>
          <t>46</t>
        </is>
      </c>
      <c r="B51" t="inlineStr">
        <is>
          <t>7570254819</t>
        </is>
      </c>
      <c r="C51" t="inlineStr">
        <is>
          <t>2025-12-11 11:27:52</t>
        </is>
      </c>
      <c r="D51" t="inlineStr">
        <is>
          <t>50</t>
        </is>
      </c>
      <c r="E51" t="inlineStr">
        <is>
          <t>Baba Yaga Art Of Chinese - By Posh Foods</t>
        </is>
      </c>
      <c r="F51" t="inlineStr">
        <is>
          <t>20037890</t>
        </is>
      </c>
      <c r="G51" t="inlineStr">
        <is>
          <t>Flat ₹100 off (2025-12-08 - 2031-01-01)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9</t>
        </is>
      </c>
      <c r="O51" t="n">
        <v>315</v>
      </c>
      <c r="P51" t="n">
        <v>0</v>
      </c>
      <c r="Q51" t="n">
        <v>0</v>
      </c>
      <c r="R51" t="n">
        <v>70</v>
      </c>
      <c r="S51" t="n">
        <v>21.5</v>
      </c>
      <c r="T51" t="n">
        <v>0</v>
      </c>
      <c r="U51" t="n">
        <v>0</v>
      </c>
      <c r="V51" t="n">
        <v>11.18</v>
      </c>
      <c r="W51" t="n">
        <v>234.68</v>
      </c>
      <c r="X51" t="n">
        <v>223.5</v>
      </c>
      <c r="Y51" t="n">
        <v>0</v>
      </c>
      <c r="Z51" t="n">
        <v>0</v>
      </c>
      <c r="AA51" t="n">
        <v>223.5</v>
      </c>
      <c r="AB51" t="n">
        <v>23</v>
      </c>
      <c r="AC51" t="n">
        <v>51.4</v>
      </c>
      <c r="AD51" t="n">
        <v>3.77</v>
      </c>
      <c r="AE51" t="n">
        <v>0</v>
      </c>
      <c r="AF51" t="n">
        <v>0</v>
      </c>
      <c r="AG51" t="n">
        <v>0</v>
      </c>
      <c r="AH51" t="n">
        <v>4.32</v>
      </c>
      <c r="AI51" t="n">
        <v>55.72</v>
      </c>
      <c r="AJ51" t="n">
        <v>10.03</v>
      </c>
      <c r="AK51" t="n">
        <v>0</v>
      </c>
      <c r="AL51" t="n">
        <v>223.5</v>
      </c>
      <c r="AM51" t="n">
        <v>0</v>
      </c>
      <c r="AN51" t="n">
        <v>0</v>
      </c>
      <c r="AO51" t="n">
        <v>0.22</v>
      </c>
      <c r="AP51" t="n">
        <v>11.18</v>
      </c>
      <c r="AQ51" t="n">
        <v>0</v>
      </c>
      <c r="AR51" t="n">
        <v>21.43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77.15000000000001</v>
      </c>
      <c r="BC51" t="n">
        <v>0</v>
      </c>
      <c r="BD51" t="n">
        <v>157.53</v>
      </c>
      <c r="BE51" t="inlineStr">
        <is>
          <t>settled</t>
        </is>
      </c>
      <c r="BF51" t="inlineStr">
        <is>
          <t>2025-12-17 05:30:00</t>
        </is>
      </c>
      <c r="BG51" t="inlineStr">
        <is>
          <t>CITIN25671154595</t>
        </is>
      </c>
      <c r="BH51" t="n">
        <v>0</v>
      </c>
      <c r="BI51" t="inlineStr">
        <is>
          <t>94a02f2bb009544da6e1c30a3e27bdfa1f91ca0d9031cba51512ae65338b9294</t>
        </is>
      </c>
    </row>
    <row r="52">
      <c r="A52" t="inlineStr">
        <is>
          <t>47</t>
        </is>
      </c>
      <c r="B52" t="inlineStr">
        <is>
          <t>7570186792</t>
        </is>
      </c>
      <c r="C52" t="inlineStr">
        <is>
          <t>2025-12-11 15:18:16</t>
        </is>
      </c>
      <c r="D52" t="inlineStr">
        <is>
          <t>50</t>
        </is>
      </c>
      <c r="E52" t="inlineStr">
        <is>
          <t>Baba Yaga Art Of Chinese - By Posh Foods</t>
        </is>
      </c>
      <c r="F52" t="inlineStr">
        <is>
          <t>20037890</t>
        </is>
      </c>
      <c r="G52" t="inlineStr">
        <is>
          <t>Flat ₹125 off (2025-12-08 - 2031-01-01)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9</t>
        </is>
      </c>
      <c r="O52" t="n">
        <v>440</v>
      </c>
      <c r="P52" t="n">
        <v>0</v>
      </c>
      <c r="Q52" t="n">
        <v>0</v>
      </c>
      <c r="R52" t="n">
        <v>87</v>
      </c>
      <c r="S52" t="n">
        <v>31.5</v>
      </c>
      <c r="T52" t="n">
        <v>0</v>
      </c>
      <c r="U52" t="n">
        <v>0</v>
      </c>
      <c r="V52" t="n">
        <v>16.08</v>
      </c>
      <c r="W52" t="n">
        <v>337.58</v>
      </c>
      <c r="X52" t="n">
        <v>321.5</v>
      </c>
      <c r="Y52" t="n">
        <v>0</v>
      </c>
      <c r="Z52" t="n">
        <v>0</v>
      </c>
      <c r="AA52" t="n">
        <v>321.5</v>
      </c>
      <c r="AB52" t="n">
        <v>23</v>
      </c>
      <c r="AC52" t="n">
        <v>73.94</v>
      </c>
      <c r="AD52" t="n">
        <v>3.22</v>
      </c>
      <c r="AE52" t="n">
        <v>0</v>
      </c>
      <c r="AF52" t="n">
        <v>0</v>
      </c>
      <c r="AG52" t="n">
        <v>0</v>
      </c>
      <c r="AH52" t="n">
        <v>6.21</v>
      </c>
      <c r="AI52" t="n">
        <v>80.15000000000001</v>
      </c>
      <c r="AJ52" t="n">
        <v>14.43</v>
      </c>
      <c r="AK52" t="n">
        <v>0</v>
      </c>
      <c r="AL52" t="n">
        <v>321.5</v>
      </c>
      <c r="AM52" t="n">
        <v>0</v>
      </c>
      <c r="AN52" t="n">
        <v>0</v>
      </c>
      <c r="AO52" t="n">
        <v>0.32</v>
      </c>
      <c r="AP52" t="n">
        <v>16.08</v>
      </c>
      <c r="AQ52" t="n">
        <v>0</v>
      </c>
      <c r="AR52" t="n">
        <v>30.83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110.98</v>
      </c>
      <c r="BC52" t="n">
        <v>0</v>
      </c>
      <c r="BD52" t="n">
        <v>226.6</v>
      </c>
      <c r="BE52" t="inlineStr">
        <is>
          <t>settled</t>
        </is>
      </c>
      <c r="BF52" t="inlineStr">
        <is>
          <t>2025-12-17 05:30:00</t>
        </is>
      </c>
      <c r="BG52" t="inlineStr">
        <is>
          <t>CITIN25671154595</t>
        </is>
      </c>
      <c r="BH52" t="n">
        <v>0</v>
      </c>
      <c r="BI52" t="inlineStr">
        <is>
          <t>bf4388e9fcf0f5e4ddd0a71dffcca81956191d6783dcbd356fc970b78ecd4c49</t>
        </is>
      </c>
    </row>
    <row r="53">
      <c r="A53" t="inlineStr">
        <is>
          <t>48</t>
        </is>
      </c>
      <c r="B53" t="inlineStr">
        <is>
          <t>7565564134</t>
        </is>
      </c>
      <c r="C53" t="inlineStr">
        <is>
          <t>2025-12-11 16:40:23</t>
        </is>
      </c>
      <c r="D53" t="inlineStr">
        <is>
          <t>50</t>
        </is>
      </c>
      <c r="E53" t="inlineStr">
        <is>
          <t>Baba Yaga Art Of Chinese - By Posh Foods</t>
        </is>
      </c>
      <c r="F53" t="inlineStr">
        <is>
          <t>20037890</t>
        </is>
      </c>
      <c r="G53" t="inlineStr">
        <is>
          <t>Flat ₹100 off (2025-12-08 - 2031-01-01)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9</t>
        </is>
      </c>
      <c r="O53" t="n">
        <v>315</v>
      </c>
      <c r="P53" t="n">
        <v>0</v>
      </c>
      <c r="Q53" t="n">
        <v>0</v>
      </c>
      <c r="R53" t="n">
        <v>70</v>
      </c>
      <c r="S53" t="n">
        <v>21.5</v>
      </c>
      <c r="T53" t="n">
        <v>0</v>
      </c>
      <c r="U53" t="n">
        <v>0</v>
      </c>
      <c r="V53" t="n">
        <v>11.18</v>
      </c>
      <c r="W53" t="n">
        <v>234.68</v>
      </c>
      <c r="X53" t="n">
        <v>223.5</v>
      </c>
      <c r="Y53" t="n">
        <v>0</v>
      </c>
      <c r="Z53" t="n">
        <v>0</v>
      </c>
      <c r="AA53" t="n">
        <v>223.5</v>
      </c>
      <c r="AB53" t="n">
        <v>23</v>
      </c>
      <c r="AC53" t="n">
        <v>51.4</v>
      </c>
      <c r="AD53" t="n">
        <v>2.82</v>
      </c>
      <c r="AE53" t="n">
        <v>0</v>
      </c>
      <c r="AF53" t="n">
        <v>0</v>
      </c>
      <c r="AG53" t="n">
        <v>0</v>
      </c>
      <c r="AH53" t="n">
        <v>4.32</v>
      </c>
      <c r="AI53" t="n">
        <v>55.72</v>
      </c>
      <c r="AJ53" t="n">
        <v>10.03</v>
      </c>
      <c r="AK53" t="n">
        <v>0</v>
      </c>
      <c r="AL53" t="n">
        <v>223.5</v>
      </c>
      <c r="AM53" t="n">
        <v>0</v>
      </c>
      <c r="AN53" t="n">
        <v>0</v>
      </c>
      <c r="AO53" t="n">
        <v>0.22</v>
      </c>
      <c r="AP53" t="n">
        <v>11.18</v>
      </c>
      <c r="AQ53" t="n">
        <v>0</v>
      </c>
      <c r="AR53" t="n">
        <v>21.43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77.15000000000001</v>
      </c>
      <c r="BC53" t="n">
        <v>0</v>
      </c>
      <c r="BD53" t="n">
        <v>157.53</v>
      </c>
      <c r="BE53" t="inlineStr">
        <is>
          <t>settled</t>
        </is>
      </c>
      <c r="BF53" t="inlineStr">
        <is>
          <t>2025-12-17 05:30:00</t>
        </is>
      </c>
      <c r="BG53" t="inlineStr">
        <is>
          <t>CITIN25671154595</t>
        </is>
      </c>
      <c r="BH53" t="n">
        <v>0</v>
      </c>
      <c r="BI53" t="inlineStr">
        <is>
          <t>8353a806427aee9305052af0f7d9316247f4c24191cf604f2aa02fa489276042</t>
        </is>
      </c>
    </row>
    <row r="54">
      <c r="A54" t="inlineStr">
        <is>
          <t>49</t>
        </is>
      </c>
      <c r="B54" t="inlineStr">
        <is>
          <t>7563896824</t>
        </is>
      </c>
      <c r="C54" t="inlineStr">
        <is>
          <t>2025-12-11 17:27:26</t>
        </is>
      </c>
      <c r="D54" t="inlineStr">
        <is>
          <t>50</t>
        </is>
      </c>
      <c r="E54" t="inlineStr">
        <is>
          <t>Baba Yaga Art Of Chinese - By Posh Foods</t>
        </is>
      </c>
      <c r="F54" t="inlineStr">
        <is>
          <t>20037890</t>
        </is>
      </c>
      <c r="G54" t="inlineStr">
        <is>
          <t>NA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9</t>
        </is>
      </c>
      <c r="O54" t="n">
        <v>315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15.75</v>
      </c>
      <c r="W54" t="n">
        <v>330.75</v>
      </c>
      <c r="X54" t="n">
        <v>315</v>
      </c>
      <c r="Y54" t="n">
        <v>0</v>
      </c>
      <c r="Z54" t="n">
        <v>0</v>
      </c>
      <c r="AA54" t="n">
        <v>315</v>
      </c>
      <c r="AB54" t="n">
        <v>23</v>
      </c>
      <c r="AC54" t="n">
        <v>72.45</v>
      </c>
      <c r="AD54" t="n">
        <v>5.46</v>
      </c>
      <c r="AE54" t="n">
        <v>20</v>
      </c>
      <c r="AF54" t="n">
        <v>0</v>
      </c>
      <c r="AG54" t="n">
        <v>0</v>
      </c>
      <c r="AH54" t="n">
        <v>6.09</v>
      </c>
      <c r="AI54" t="n">
        <v>98.54000000000001</v>
      </c>
      <c r="AJ54" t="n">
        <v>17.74</v>
      </c>
      <c r="AK54" t="n">
        <v>0</v>
      </c>
      <c r="AL54" t="n">
        <v>315</v>
      </c>
      <c r="AM54" t="n">
        <v>0</v>
      </c>
      <c r="AN54" t="n">
        <v>0</v>
      </c>
      <c r="AO54" t="n">
        <v>0.32</v>
      </c>
      <c r="AP54" t="n">
        <v>15.75</v>
      </c>
      <c r="AQ54" t="n">
        <v>0</v>
      </c>
      <c r="AR54" t="n">
        <v>33.81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132.35</v>
      </c>
      <c r="BC54" t="n">
        <v>0</v>
      </c>
      <c r="BD54" t="n">
        <v>198.4</v>
      </c>
      <c r="BE54" t="inlineStr">
        <is>
          <t>settled</t>
        </is>
      </c>
      <c r="BF54" t="inlineStr">
        <is>
          <t>2025-12-17 05:30:00</t>
        </is>
      </c>
      <c r="BG54" t="inlineStr">
        <is>
          <t>CITIN25671154595</t>
        </is>
      </c>
      <c r="BH54" t="n">
        <v>0</v>
      </c>
      <c r="BI54" t="inlineStr">
        <is>
          <t>cda6e81263c28e9c159b9be0da95cdcd3079bc4ebc2fd57276e582ffe27841a4</t>
        </is>
      </c>
    </row>
    <row r="55">
      <c r="A55" t="inlineStr">
        <is>
          <t>50</t>
        </is>
      </c>
      <c r="B55" t="inlineStr">
        <is>
          <t>7567047785</t>
        </is>
      </c>
      <c r="C55" t="inlineStr">
        <is>
          <t>2025-12-11 22:14:45</t>
        </is>
      </c>
      <c r="D55" t="inlineStr">
        <is>
          <t>50</t>
        </is>
      </c>
      <c r="E55" t="inlineStr">
        <is>
          <t>Baba Yaga Art Of Chinese - By Posh Foods</t>
        </is>
      </c>
      <c r="F55" t="inlineStr">
        <is>
          <t>20037890</t>
        </is>
      </c>
      <c r="G55" t="inlineStr">
        <is>
          <t>Flat 20% off (2025-09-25 - 2031-01-01)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9</t>
        </is>
      </c>
      <c r="O55" t="n">
        <v>1034</v>
      </c>
      <c r="P55" t="n">
        <v>0</v>
      </c>
      <c r="Q55" t="n">
        <v>0</v>
      </c>
      <c r="R55" t="n">
        <v>206.8</v>
      </c>
      <c r="S55" t="n">
        <v>82.72</v>
      </c>
      <c r="T55" t="n">
        <v>0</v>
      </c>
      <c r="U55" t="n">
        <v>0</v>
      </c>
      <c r="V55" t="n">
        <v>37.22</v>
      </c>
      <c r="W55" t="n">
        <v>781.7</v>
      </c>
      <c r="X55" t="n">
        <v>744.48</v>
      </c>
      <c r="Y55" t="n">
        <v>0</v>
      </c>
      <c r="Z55" t="n">
        <v>0</v>
      </c>
      <c r="AA55" t="n">
        <v>744.48</v>
      </c>
      <c r="AB55" t="n">
        <v>23</v>
      </c>
      <c r="AC55" t="n">
        <v>171.23</v>
      </c>
      <c r="AD55" t="n">
        <v>4.33</v>
      </c>
      <c r="AE55" t="n">
        <v>20</v>
      </c>
      <c r="AF55" t="n">
        <v>0</v>
      </c>
      <c r="AG55" t="n">
        <v>0</v>
      </c>
      <c r="AH55" t="n">
        <v>14.38</v>
      </c>
      <c r="AI55" t="n">
        <v>205.61</v>
      </c>
      <c r="AJ55" t="n">
        <v>37.01</v>
      </c>
      <c r="AK55" t="n">
        <v>0</v>
      </c>
      <c r="AL55" t="n">
        <v>744.48</v>
      </c>
      <c r="AM55" t="n">
        <v>0</v>
      </c>
      <c r="AN55" t="n">
        <v>0</v>
      </c>
      <c r="AO55" t="n">
        <v>0.74</v>
      </c>
      <c r="AP55" t="n">
        <v>37.22</v>
      </c>
      <c r="AQ55" t="n">
        <v>0</v>
      </c>
      <c r="AR55" t="n">
        <v>74.97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280.58</v>
      </c>
      <c r="BC55" t="n">
        <v>0</v>
      </c>
      <c r="BD55" t="n">
        <v>501.12</v>
      </c>
      <c r="BE55" t="inlineStr">
        <is>
          <t>settled</t>
        </is>
      </c>
      <c r="BF55" t="inlineStr">
        <is>
          <t>2025-12-17 05:30:00</t>
        </is>
      </c>
      <c r="BG55" t="inlineStr">
        <is>
          <t>CITIN25671154595</t>
        </is>
      </c>
      <c r="BH55" t="n">
        <v>0</v>
      </c>
      <c r="BI55" t="inlineStr">
        <is>
          <t>7ce051cac6330a6122a60b14bbb7a7bf7d3f6b2a46aa4cbd4e0d2b20fd80904c</t>
        </is>
      </c>
    </row>
    <row r="56">
      <c r="A56" t="inlineStr">
        <is>
          <t>51</t>
        </is>
      </c>
      <c r="B56" t="inlineStr">
        <is>
          <t>7573327903</t>
        </is>
      </c>
      <c r="C56" t="inlineStr">
        <is>
          <t>2025-12-11 22:27:54</t>
        </is>
      </c>
      <c r="D56" t="inlineStr">
        <is>
          <t>50</t>
        </is>
      </c>
      <c r="E56" t="inlineStr">
        <is>
          <t>Baba Yaga Art Of Chinese - By Posh Foods</t>
        </is>
      </c>
      <c r="F56" t="inlineStr">
        <is>
          <t>20037890</t>
        </is>
      </c>
      <c r="G56" t="inlineStr">
        <is>
          <t>Flat ₹175 off (2025-12-08 - 2031-01-01)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9</t>
        </is>
      </c>
      <c r="O56" t="n">
        <v>600</v>
      </c>
      <c r="P56" t="n">
        <v>0</v>
      </c>
      <c r="Q56" t="n">
        <v>0</v>
      </c>
      <c r="R56" t="n">
        <v>122</v>
      </c>
      <c r="S56" t="n">
        <v>42.5</v>
      </c>
      <c r="T56" t="n">
        <v>0</v>
      </c>
      <c r="U56" t="n">
        <v>0</v>
      </c>
      <c r="V56" t="n">
        <v>21.78</v>
      </c>
      <c r="W56" t="n">
        <v>457.28</v>
      </c>
      <c r="X56" t="n">
        <v>435.5</v>
      </c>
      <c r="Y56" t="n">
        <v>0</v>
      </c>
      <c r="Z56" t="n">
        <v>0</v>
      </c>
      <c r="AA56" t="n">
        <v>435.5</v>
      </c>
      <c r="AB56" t="n">
        <v>23</v>
      </c>
      <c r="AC56" t="n">
        <v>100.16</v>
      </c>
      <c r="AD56" t="n">
        <v>4.33</v>
      </c>
      <c r="AE56" t="n">
        <v>20</v>
      </c>
      <c r="AF56" t="n">
        <v>0</v>
      </c>
      <c r="AG56" t="n">
        <v>0</v>
      </c>
      <c r="AH56" t="n">
        <v>8.41</v>
      </c>
      <c r="AI56" t="n">
        <v>128.57</v>
      </c>
      <c r="AJ56" t="n">
        <v>23.14</v>
      </c>
      <c r="AK56" t="n">
        <v>0</v>
      </c>
      <c r="AL56" t="n">
        <v>435.5</v>
      </c>
      <c r="AM56" t="n">
        <v>0</v>
      </c>
      <c r="AN56" t="n">
        <v>0</v>
      </c>
      <c r="AO56" t="n">
        <v>0.44</v>
      </c>
      <c r="AP56" t="n">
        <v>21.78</v>
      </c>
      <c r="AQ56" t="n">
        <v>0</v>
      </c>
      <c r="AR56" t="n">
        <v>45.36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51.39</v>
      </c>
      <c r="AY56" t="n">
        <v>0</v>
      </c>
      <c r="AZ56" t="n">
        <v>0</v>
      </c>
      <c r="BA56" t="n">
        <v>51.39</v>
      </c>
      <c r="BB56" t="n">
        <v>225.32</v>
      </c>
      <c r="BC56" t="n">
        <v>0</v>
      </c>
      <c r="BD56" t="n">
        <v>231.96</v>
      </c>
      <c r="BE56" t="inlineStr">
        <is>
          <t>settled</t>
        </is>
      </c>
      <c r="BF56" t="inlineStr">
        <is>
          <t>2025-12-17 05:30:00</t>
        </is>
      </c>
      <c r="BG56" t="inlineStr">
        <is>
          <t>CITIN25671154595</t>
        </is>
      </c>
      <c r="BH56" t="n">
        <v>0</v>
      </c>
      <c r="BI56" t="inlineStr">
        <is>
          <t>b0174920671c84ea9a8ad616f9c2280a1d0e9ab0b5bfac380d2c198b5760d2e5</t>
        </is>
      </c>
    </row>
    <row r="57">
      <c r="A57" t="inlineStr">
        <is>
          <t>52</t>
        </is>
      </c>
      <c r="B57" t="inlineStr">
        <is>
          <t>7571485514</t>
        </is>
      </c>
      <c r="C57" t="inlineStr">
        <is>
          <t>2025-12-11 22:51:35</t>
        </is>
      </c>
      <c r="D57" t="inlineStr">
        <is>
          <t>50</t>
        </is>
      </c>
      <c r="E57" t="inlineStr">
        <is>
          <t>Baba Yaga Art Of Chinese - By Posh Foods</t>
        </is>
      </c>
      <c r="F57" t="inlineStr">
        <is>
          <t>20037890</t>
        </is>
      </c>
      <c r="G57" t="inlineStr">
        <is>
          <t>Flat ₹80 off (2025-12-08 - 2031-01-01)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9</t>
        </is>
      </c>
      <c r="O57" t="n">
        <v>265</v>
      </c>
      <c r="P57" t="n">
        <v>0</v>
      </c>
      <c r="Q57" t="n">
        <v>0</v>
      </c>
      <c r="R57" t="n">
        <v>56</v>
      </c>
      <c r="S57" t="n">
        <v>0</v>
      </c>
      <c r="T57" t="n">
        <v>0</v>
      </c>
      <c r="U57" t="n">
        <v>0</v>
      </c>
      <c r="V57" t="n">
        <v>10.45</v>
      </c>
      <c r="W57" t="n">
        <v>219.45</v>
      </c>
      <c r="X57" t="n">
        <v>209</v>
      </c>
      <c r="Y57" t="n">
        <v>0</v>
      </c>
      <c r="Z57" t="n">
        <v>0</v>
      </c>
      <c r="AA57" t="n">
        <v>209</v>
      </c>
      <c r="AB57" t="n">
        <v>23</v>
      </c>
      <c r="AC57" t="n">
        <v>48.07</v>
      </c>
      <c r="AD57" t="n">
        <v>3.2</v>
      </c>
      <c r="AE57" t="n">
        <v>0</v>
      </c>
      <c r="AF57" t="n">
        <v>0</v>
      </c>
      <c r="AG57" t="n">
        <v>0</v>
      </c>
      <c r="AH57" t="n">
        <v>4.04</v>
      </c>
      <c r="AI57" t="n">
        <v>52.11</v>
      </c>
      <c r="AJ57" t="n">
        <v>9.380000000000001</v>
      </c>
      <c r="AK57" t="n">
        <v>0</v>
      </c>
      <c r="AL57" t="n">
        <v>209</v>
      </c>
      <c r="AM57" t="n">
        <v>0</v>
      </c>
      <c r="AN57" t="n">
        <v>0</v>
      </c>
      <c r="AO57" t="n">
        <v>0.21</v>
      </c>
      <c r="AP57" t="n">
        <v>10.45</v>
      </c>
      <c r="AQ57" t="n">
        <v>0</v>
      </c>
      <c r="AR57" t="n">
        <v>20.04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24.66</v>
      </c>
      <c r="AY57" t="n">
        <v>0</v>
      </c>
      <c r="AZ57" t="n">
        <v>0</v>
      </c>
      <c r="BA57" t="n">
        <v>24.66</v>
      </c>
      <c r="BB57" t="n">
        <v>96.81</v>
      </c>
      <c r="BC57" t="n">
        <v>0</v>
      </c>
      <c r="BD57" t="n">
        <v>122.64</v>
      </c>
      <c r="BE57" t="inlineStr">
        <is>
          <t>settled</t>
        </is>
      </c>
      <c r="BF57" t="inlineStr">
        <is>
          <t>2025-12-17 05:30:00</t>
        </is>
      </c>
      <c r="BG57" t="inlineStr">
        <is>
          <t>CITIN25671154595</t>
        </is>
      </c>
      <c r="BH57" t="n">
        <v>0</v>
      </c>
      <c r="BI57" t="inlineStr">
        <is>
          <t>d620331fc1d741722993c88e538c5d01820767733e9a4f34a8dc6e707abde7ce</t>
        </is>
      </c>
    </row>
    <row r="58">
      <c r="A58" t="inlineStr">
        <is>
          <t>53</t>
        </is>
      </c>
      <c r="B58" t="inlineStr">
        <is>
          <t>7573503660</t>
        </is>
      </c>
      <c r="C58" t="inlineStr">
        <is>
          <t>2025-12-11 22:59:55</t>
        </is>
      </c>
      <c r="D58" t="inlineStr">
        <is>
          <t>50</t>
        </is>
      </c>
      <c r="E58" t="inlineStr">
        <is>
          <t>Baba Yaga Art Of Chinese - By Posh Foods</t>
        </is>
      </c>
      <c r="F58" t="inlineStr">
        <is>
          <t>20037890</t>
        </is>
      </c>
      <c r="G58" t="inlineStr">
        <is>
          <t>Flat ₹125 off (2025-12-08 - 2031-01-01)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9</t>
        </is>
      </c>
      <c r="O58" t="n">
        <v>449</v>
      </c>
      <c r="P58" t="n">
        <v>0</v>
      </c>
      <c r="Q58" t="n">
        <v>0</v>
      </c>
      <c r="R58" t="n">
        <v>125</v>
      </c>
      <c r="S58" t="n">
        <v>32.4</v>
      </c>
      <c r="T58" t="n">
        <v>0</v>
      </c>
      <c r="U58" t="n">
        <v>0</v>
      </c>
      <c r="V58" t="n">
        <v>14.58</v>
      </c>
      <c r="W58" t="n">
        <v>306.18</v>
      </c>
      <c r="X58" t="n">
        <v>291.6</v>
      </c>
      <c r="Y58" t="n">
        <v>0</v>
      </c>
      <c r="Z58" t="n">
        <v>0</v>
      </c>
      <c r="AA58" t="n">
        <v>291.6</v>
      </c>
      <c r="AB58" t="n">
        <v>23</v>
      </c>
      <c r="AC58" t="n">
        <v>67.06999999999999</v>
      </c>
      <c r="AD58" t="n">
        <v>5.11</v>
      </c>
      <c r="AE58" t="n">
        <v>20</v>
      </c>
      <c r="AF58" t="n">
        <v>0</v>
      </c>
      <c r="AG58" t="n">
        <v>0</v>
      </c>
      <c r="AH58" t="n">
        <v>5.63</v>
      </c>
      <c r="AI58" t="n">
        <v>92.7</v>
      </c>
      <c r="AJ58" t="n">
        <v>16.68</v>
      </c>
      <c r="AK58" t="n">
        <v>0</v>
      </c>
      <c r="AL58" t="n">
        <v>291.6</v>
      </c>
      <c r="AM58" t="n">
        <v>0</v>
      </c>
      <c r="AN58" t="n">
        <v>0</v>
      </c>
      <c r="AO58" t="n">
        <v>0.29</v>
      </c>
      <c r="AP58" t="n">
        <v>14.58</v>
      </c>
      <c r="AQ58" t="n">
        <v>0</v>
      </c>
      <c r="AR58" t="n">
        <v>31.55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124.25</v>
      </c>
      <c r="BC58" t="n">
        <v>0</v>
      </c>
      <c r="BD58" t="n">
        <v>181.93</v>
      </c>
      <c r="BE58" t="inlineStr">
        <is>
          <t>settled</t>
        </is>
      </c>
      <c r="BF58" t="inlineStr">
        <is>
          <t>2025-12-17 05:30:00</t>
        </is>
      </c>
      <c r="BG58" t="inlineStr">
        <is>
          <t>CITIN25671154595</t>
        </is>
      </c>
      <c r="BH58" t="n">
        <v>0</v>
      </c>
      <c r="BI58" t="inlineStr">
        <is>
          <t>9a66774ea84a3270fa9c3c0a1f4fca7f906e7a407b3e25a0b957eaa4ff1b87c2</t>
        </is>
      </c>
    </row>
    <row r="59">
      <c r="A59" t="inlineStr">
        <is>
          <t>54</t>
        </is>
      </c>
      <c r="B59" t="inlineStr">
        <is>
          <t>7572233520</t>
        </is>
      </c>
      <c r="C59" t="inlineStr">
        <is>
          <t>2025-12-12 00:06:15</t>
        </is>
      </c>
      <c r="D59" t="inlineStr">
        <is>
          <t>50</t>
        </is>
      </c>
      <c r="E59" t="inlineStr">
        <is>
          <t>Baba Yaga Art Of Chinese - By Posh Foods</t>
        </is>
      </c>
      <c r="F59" t="inlineStr">
        <is>
          <t>20037890</t>
        </is>
      </c>
      <c r="G59" t="inlineStr">
        <is>
          <t>Flat ₹125 off (2025-12-08 - 2031-01-01)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9</t>
        </is>
      </c>
      <c r="O59" t="n">
        <v>375</v>
      </c>
      <c r="P59" t="n">
        <v>0</v>
      </c>
      <c r="Q59" t="n">
        <v>0</v>
      </c>
      <c r="R59" t="n">
        <v>87</v>
      </c>
      <c r="S59" t="n">
        <v>25</v>
      </c>
      <c r="T59" t="n">
        <v>0</v>
      </c>
      <c r="U59" t="n">
        <v>0</v>
      </c>
      <c r="V59" t="n">
        <v>13.15</v>
      </c>
      <c r="W59" t="n">
        <v>276.15</v>
      </c>
      <c r="X59" t="n">
        <v>263</v>
      </c>
      <c r="Y59" t="n">
        <v>0</v>
      </c>
      <c r="Z59" t="n">
        <v>0</v>
      </c>
      <c r="AA59" t="n">
        <v>263</v>
      </c>
      <c r="AB59" t="n">
        <v>23</v>
      </c>
      <c r="AC59" t="n">
        <v>60.49</v>
      </c>
      <c r="AD59" t="n">
        <v>1.78</v>
      </c>
      <c r="AE59" t="n">
        <v>0</v>
      </c>
      <c r="AF59" t="n">
        <v>0</v>
      </c>
      <c r="AG59" t="n">
        <v>0</v>
      </c>
      <c r="AH59" t="n">
        <v>5.08</v>
      </c>
      <c r="AI59" t="n">
        <v>65.56999999999999</v>
      </c>
      <c r="AJ59" t="n">
        <v>11.8</v>
      </c>
      <c r="AK59" t="n">
        <v>0</v>
      </c>
      <c r="AL59" t="n">
        <v>263</v>
      </c>
      <c r="AM59" t="n">
        <v>0</v>
      </c>
      <c r="AN59" t="n">
        <v>0</v>
      </c>
      <c r="AO59" t="n">
        <v>0.26</v>
      </c>
      <c r="AP59" t="n">
        <v>13.15</v>
      </c>
      <c r="AQ59" t="n">
        <v>0</v>
      </c>
      <c r="AR59" t="n">
        <v>25.21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90.78</v>
      </c>
      <c r="BC59" t="n">
        <v>0</v>
      </c>
      <c r="BD59" t="n">
        <v>185.37</v>
      </c>
      <c r="BE59" t="inlineStr">
        <is>
          <t>settled</t>
        </is>
      </c>
      <c r="BF59" t="inlineStr">
        <is>
          <t>2025-12-17 05:30:00</t>
        </is>
      </c>
      <c r="BG59" t="inlineStr">
        <is>
          <t>CITIN25671154595</t>
        </is>
      </c>
      <c r="BH59" t="n">
        <v>0</v>
      </c>
      <c r="BI59" t="inlineStr">
        <is>
          <t>113a6307635f91cb7af58ecab9f05b81e8afea855e40365251367f69b4a476cb</t>
        </is>
      </c>
    </row>
    <row r="60">
      <c r="A60" t="inlineStr">
        <is>
          <t>55</t>
        </is>
      </c>
      <c r="B60" t="inlineStr">
        <is>
          <t>7572438526</t>
        </is>
      </c>
      <c r="C60" t="inlineStr">
        <is>
          <t>2025-12-12 17:52:00</t>
        </is>
      </c>
      <c r="D60" t="inlineStr">
        <is>
          <t>50</t>
        </is>
      </c>
      <c r="E60" t="inlineStr">
        <is>
          <t>Baba Yaga Art Of Chinese - By Posh Foods</t>
        </is>
      </c>
      <c r="F60" t="inlineStr">
        <is>
          <t>20037890</t>
        </is>
      </c>
      <c r="G60" t="inlineStr">
        <is>
          <t>Flat ₹125 off (2025-12-08 - 2031-01-01)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9</t>
        </is>
      </c>
      <c r="O60" t="n">
        <v>350</v>
      </c>
      <c r="P60" t="n">
        <v>0</v>
      </c>
      <c r="Q60" t="n">
        <v>0</v>
      </c>
      <c r="R60" t="n">
        <v>87</v>
      </c>
      <c r="S60" t="n">
        <v>22.5</v>
      </c>
      <c r="T60" t="n">
        <v>0</v>
      </c>
      <c r="U60" t="n">
        <v>0</v>
      </c>
      <c r="V60" t="n">
        <v>12.03</v>
      </c>
      <c r="W60" t="n">
        <v>252.53</v>
      </c>
      <c r="X60" t="n">
        <v>240.5</v>
      </c>
      <c r="Y60" t="n">
        <v>0</v>
      </c>
      <c r="Z60" t="n">
        <v>0</v>
      </c>
      <c r="AA60" t="n">
        <v>240.5</v>
      </c>
      <c r="AB60" t="n">
        <v>23</v>
      </c>
      <c r="AC60" t="n">
        <v>55.32</v>
      </c>
      <c r="AD60" t="n">
        <v>6.79</v>
      </c>
      <c r="AE60" t="n">
        <v>40</v>
      </c>
      <c r="AF60" t="n">
        <v>0</v>
      </c>
      <c r="AG60" t="n">
        <v>23.17</v>
      </c>
      <c r="AH60" t="n">
        <v>4.65</v>
      </c>
      <c r="AI60" t="n">
        <v>76.8</v>
      </c>
      <c r="AJ60" t="n">
        <v>13.83</v>
      </c>
      <c r="AK60" t="n">
        <v>0</v>
      </c>
      <c r="AL60" t="n">
        <v>240.5</v>
      </c>
      <c r="AM60" t="n">
        <v>0</v>
      </c>
      <c r="AN60" t="n">
        <v>0</v>
      </c>
      <c r="AO60" t="n">
        <v>0.24</v>
      </c>
      <c r="AP60" t="n">
        <v>12.03</v>
      </c>
      <c r="AQ60" t="n">
        <v>0</v>
      </c>
      <c r="AR60" t="n">
        <v>26.1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102.9</v>
      </c>
      <c r="BC60" t="n">
        <v>0</v>
      </c>
      <c r="BD60" t="n">
        <v>149.63</v>
      </c>
      <c r="BE60" t="inlineStr">
        <is>
          <t>settled</t>
        </is>
      </c>
      <c r="BF60" t="inlineStr">
        <is>
          <t>2025-12-17 05:30:00</t>
        </is>
      </c>
      <c r="BG60" t="inlineStr">
        <is>
          <t>CITIN25671154595</t>
        </is>
      </c>
      <c r="BH60" t="n">
        <v>0</v>
      </c>
      <c r="BI60" t="inlineStr">
        <is>
          <t>652d979bb016ddc3ec69ea3b5e62336d39a1cb6261602fae973d46b829b684d0</t>
        </is>
      </c>
    </row>
    <row r="61">
      <c r="A61" t="inlineStr">
        <is>
          <t>56</t>
        </is>
      </c>
      <c r="B61" t="inlineStr">
        <is>
          <t>7566894469</t>
        </is>
      </c>
      <c r="C61" t="inlineStr">
        <is>
          <t>2025-12-12 18:13:47</t>
        </is>
      </c>
      <c r="D61" t="inlineStr">
        <is>
          <t>50</t>
        </is>
      </c>
      <c r="E61" t="inlineStr">
        <is>
          <t>Baba Yaga Art Of Chinese - By Posh Foods</t>
        </is>
      </c>
      <c r="F61" t="inlineStr">
        <is>
          <t>20037890</t>
        </is>
      </c>
      <c r="G61" t="inlineStr">
        <is>
          <t>Flat ₹125 off (2025-12-08 - 2031-01-01)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9</t>
        </is>
      </c>
      <c r="O61" t="n">
        <v>365</v>
      </c>
      <c r="P61" t="n">
        <v>0</v>
      </c>
      <c r="Q61" t="n">
        <v>0</v>
      </c>
      <c r="R61" t="n">
        <v>87</v>
      </c>
      <c r="S61" t="n">
        <v>24</v>
      </c>
      <c r="T61" t="n">
        <v>0</v>
      </c>
      <c r="U61" t="n">
        <v>0</v>
      </c>
      <c r="V61" t="n">
        <v>12.7</v>
      </c>
      <c r="W61" t="n">
        <v>266.7</v>
      </c>
      <c r="X61" t="n">
        <v>254</v>
      </c>
      <c r="Y61" t="n">
        <v>0</v>
      </c>
      <c r="Z61" t="n">
        <v>0</v>
      </c>
      <c r="AA61" t="n">
        <v>254</v>
      </c>
      <c r="AB61" t="n">
        <v>23</v>
      </c>
      <c r="AC61" t="n">
        <v>58.42</v>
      </c>
      <c r="AD61" t="n">
        <v>2.46</v>
      </c>
      <c r="AE61" t="n">
        <v>0</v>
      </c>
      <c r="AF61" t="n">
        <v>0</v>
      </c>
      <c r="AG61" t="n">
        <v>0</v>
      </c>
      <c r="AH61" t="n">
        <v>4.91</v>
      </c>
      <c r="AI61" t="n">
        <v>63.33</v>
      </c>
      <c r="AJ61" t="n">
        <v>11.4</v>
      </c>
      <c r="AK61" t="n">
        <v>0</v>
      </c>
      <c r="AL61" t="n">
        <v>254</v>
      </c>
      <c r="AM61" t="n">
        <v>0</v>
      </c>
      <c r="AN61" t="n">
        <v>0</v>
      </c>
      <c r="AO61" t="n">
        <v>0.25</v>
      </c>
      <c r="AP61" t="n">
        <v>12.7</v>
      </c>
      <c r="AQ61" t="n">
        <v>0</v>
      </c>
      <c r="AR61" t="n">
        <v>24.35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87.68000000000001</v>
      </c>
      <c r="BC61" t="n">
        <v>0</v>
      </c>
      <c r="BD61" t="n">
        <v>179.02</v>
      </c>
      <c r="BE61" t="inlineStr">
        <is>
          <t>settled</t>
        </is>
      </c>
      <c r="BF61" t="inlineStr">
        <is>
          <t>2025-12-17 05:30:00</t>
        </is>
      </c>
      <c r="BG61" t="inlineStr">
        <is>
          <t>CITIN25671154595</t>
        </is>
      </c>
      <c r="BH61" t="n">
        <v>0</v>
      </c>
      <c r="BI61" t="inlineStr">
        <is>
          <t>e5e9e12c1cab9786a5814adfa5a21904afc374a3f608b04560db17929e5d7064</t>
        </is>
      </c>
    </row>
    <row r="62">
      <c r="A62" t="inlineStr">
        <is>
          <t>57</t>
        </is>
      </c>
      <c r="B62" t="inlineStr">
        <is>
          <t>7573104438</t>
        </is>
      </c>
      <c r="C62" t="inlineStr">
        <is>
          <t>2025-12-12 19:34:14</t>
        </is>
      </c>
      <c r="D62" t="inlineStr">
        <is>
          <t>50</t>
        </is>
      </c>
      <c r="E62" t="inlineStr">
        <is>
          <t>Baba Yaga Art Of Chinese - By Posh Foods</t>
        </is>
      </c>
      <c r="F62" t="inlineStr">
        <is>
          <t>20037890</t>
        </is>
      </c>
      <c r="G62" t="inlineStr">
        <is>
          <t>Flat 20% off (2025-09-25 - 2031-01-01)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9</t>
        </is>
      </c>
      <c r="O62" t="n">
        <v>1665</v>
      </c>
      <c r="P62" t="n">
        <v>0</v>
      </c>
      <c r="Q62" t="n">
        <v>0</v>
      </c>
      <c r="R62" t="n">
        <v>333</v>
      </c>
      <c r="S62" t="n">
        <v>133.2</v>
      </c>
      <c r="T62" t="n">
        <v>0</v>
      </c>
      <c r="U62" t="n">
        <v>0</v>
      </c>
      <c r="V62" t="n">
        <v>59.94</v>
      </c>
      <c r="W62" t="n">
        <v>1258.74</v>
      </c>
      <c r="X62" t="n">
        <v>1198.8</v>
      </c>
      <c r="Y62" t="n">
        <v>0</v>
      </c>
      <c r="Z62" t="n">
        <v>0</v>
      </c>
      <c r="AA62" t="n">
        <v>1198.8</v>
      </c>
      <c r="AB62" t="n">
        <v>23</v>
      </c>
      <c r="AC62" t="n">
        <v>275.72</v>
      </c>
      <c r="AD62" t="n">
        <v>6.99</v>
      </c>
      <c r="AE62" t="n">
        <v>40</v>
      </c>
      <c r="AF62" t="n">
        <v>0</v>
      </c>
      <c r="AG62" t="n">
        <v>0</v>
      </c>
      <c r="AH62" t="n">
        <v>23.16</v>
      </c>
      <c r="AI62" t="n">
        <v>338.88</v>
      </c>
      <c r="AJ62" t="n">
        <v>61</v>
      </c>
      <c r="AK62" t="n">
        <v>0</v>
      </c>
      <c r="AL62" t="n">
        <v>1198.8</v>
      </c>
      <c r="AM62" t="n">
        <v>0</v>
      </c>
      <c r="AN62" t="n">
        <v>0</v>
      </c>
      <c r="AO62" t="n">
        <v>1.2</v>
      </c>
      <c r="AP62" t="n">
        <v>59.94</v>
      </c>
      <c r="AQ62" t="n">
        <v>0</v>
      </c>
      <c r="AR62" t="n">
        <v>122.14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461.02</v>
      </c>
      <c r="BC62" t="n">
        <v>0</v>
      </c>
      <c r="BD62" t="n">
        <v>797.72</v>
      </c>
      <c r="BE62" t="inlineStr">
        <is>
          <t>settled</t>
        </is>
      </c>
      <c r="BF62" t="inlineStr">
        <is>
          <t>2025-12-17 05:30:00</t>
        </is>
      </c>
      <c r="BG62" t="inlineStr">
        <is>
          <t>CITIN25671154595</t>
        </is>
      </c>
      <c r="BH62" t="n">
        <v>0</v>
      </c>
      <c r="BI62" t="inlineStr">
        <is>
          <t>c71841ba44992ca786165bb513920a3dfcb0d4e6e76eb53db18cf513bc2453f1</t>
        </is>
      </c>
    </row>
    <row r="63">
      <c r="A63" t="inlineStr">
        <is>
          <t>58</t>
        </is>
      </c>
      <c r="B63" t="inlineStr">
        <is>
          <t>7573646420</t>
        </is>
      </c>
      <c r="C63" t="inlineStr">
        <is>
          <t>2025-12-12 19:49:14</t>
        </is>
      </c>
      <c r="D63" t="inlineStr">
        <is>
          <t>50</t>
        </is>
      </c>
      <c r="E63" t="inlineStr">
        <is>
          <t>Baba Yaga Art Of Chinese - By Posh Foods</t>
        </is>
      </c>
      <c r="F63" t="inlineStr">
        <is>
          <t>20037890</t>
        </is>
      </c>
      <c r="G63" t="inlineStr">
        <is>
          <t>Flat ₹100 off (2025-12-08 - 2031-01-01)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9</t>
        </is>
      </c>
      <c r="O63" t="n">
        <v>265</v>
      </c>
      <c r="P63" t="n">
        <v>0</v>
      </c>
      <c r="Q63" t="n">
        <v>0</v>
      </c>
      <c r="R63" t="n">
        <v>70</v>
      </c>
      <c r="S63" t="n">
        <v>0</v>
      </c>
      <c r="T63" t="n">
        <v>0</v>
      </c>
      <c r="U63" t="n">
        <v>0</v>
      </c>
      <c r="V63" t="n">
        <v>9.75</v>
      </c>
      <c r="W63" t="n">
        <v>204.75</v>
      </c>
      <c r="X63" t="n">
        <v>195</v>
      </c>
      <c r="Y63" t="n">
        <v>0</v>
      </c>
      <c r="Z63" t="n">
        <v>0</v>
      </c>
      <c r="AA63" t="n">
        <v>195</v>
      </c>
      <c r="AB63" t="n">
        <v>23</v>
      </c>
      <c r="AC63" t="n">
        <v>44.85</v>
      </c>
      <c r="AD63" t="n">
        <v>2.24</v>
      </c>
      <c r="AE63" t="n">
        <v>0</v>
      </c>
      <c r="AF63" t="n">
        <v>0</v>
      </c>
      <c r="AG63" t="n">
        <v>0</v>
      </c>
      <c r="AH63" t="n">
        <v>3.77</v>
      </c>
      <c r="AI63" t="n">
        <v>48.62</v>
      </c>
      <c r="AJ63" t="n">
        <v>8.75</v>
      </c>
      <c r="AK63" t="n">
        <v>0</v>
      </c>
      <c r="AL63" t="n">
        <v>195</v>
      </c>
      <c r="AM63" t="n">
        <v>0</v>
      </c>
      <c r="AN63" t="n">
        <v>0</v>
      </c>
      <c r="AO63" t="n">
        <v>0.2</v>
      </c>
      <c r="AP63" t="n">
        <v>9.75</v>
      </c>
      <c r="AQ63" t="n">
        <v>0</v>
      </c>
      <c r="AR63" t="n">
        <v>18.7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67.31999999999999</v>
      </c>
      <c r="BC63" t="n">
        <v>0</v>
      </c>
      <c r="BD63" t="n">
        <v>137.43</v>
      </c>
      <c r="BE63" t="inlineStr">
        <is>
          <t>settled</t>
        </is>
      </c>
      <c r="BF63" t="inlineStr">
        <is>
          <t>2025-12-17 05:30:00</t>
        </is>
      </c>
      <c r="BG63" t="inlineStr">
        <is>
          <t>CITIN25671154595</t>
        </is>
      </c>
      <c r="BH63" t="n">
        <v>0</v>
      </c>
      <c r="BI63" t="inlineStr">
        <is>
          <t>e97c12fd98e5ee3b26bc52a476db79cda9e93c83370a96a6edf90517b696052f</t>
        </is>
      </c>
    </row>
    <row r="64">
      <c r="A64" t="inlineStr">
        <is>
          <t>59</t>
        </is>
      </c>
      <c r="B64" t="inlineStr">
        <is>
          <t>7568333922</t>
        </is>
      </c>
      <c r="C64" t="inlineStr">
        <is>
          <t>2025-12-12 20:23:19</t>
        </is>
      </c>
      <c r="D64" t="inlineStr">
        <is>
          <t>50</t>
        </is>
      </c>
      <c r="E64" t="inlineStr">
        <is>
          <t>Baba Yaga Art Of Chinese - By Posh Foods</t>
        </is>
      </c>
      <c r="F64" t="inlineStr">
        <is>
          <t>20037890</t>
        </is>
      </c>
      <c r="G64" t="inlineStr">
        <is>
          <t>Flat ₹80 off (2025-12-08 - 2031-01-01)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9</t>
        </is>
      </c>
      <c r="O64" t="n">
        <v>265</v>
      </c>
      <c r="P64" t="n">
        <v>0</v>
      </c>
      <c r="Q64" t="n">
        <v>0</v>
      </c>
      <c r="R64" t="n">
        <v>56</v>
      </c>
      <c r="S64" t="n">
        <v>0</v>
      </c>
      <c r="T64" t="n">
        <v>0</v>
      </c>
      <c r="U64" t="n">
        <v>0</v>
      </c>
      <c r="V64" t="n">
        <v>10.45</v>
      </c>
      <c r="W64" t="n">
        <v>219.45</v>
      </c>
      <c r="X64" t="n">
        <v>209</v>
      </c>
      <c r="Y64" t="n">
        <v>0</v>
      </c>
      <c r="Z64" t="n">
        <v>0</v>
      </c>
      <c r="AA64" t="n">
        <v>209</v>
      </c>
      <c r="AB64" t="n">
        <v>23</v>
      </c>
      <c r="AC64" t="n">
        <v>48.07</v>
      </c>
      <c r="AD64" t="n">
        <v>3.2</v>
      </c>
      <c r="AE64" t="n">
        <v>0</v>
      </c>
      <c r="AF64" t="n">
        <v>0</v>
      </c>
      <c r="AG64" t="n">
        <v>0</v>
      </c>
      <c r="AH64" t="n">
        <v>4.04</v>
      </c>
      <c r="AI64" t="n">
        <v>52.11</v>
      </c>
      <c r="AJ64" t="n">
        <v>9.380000000000001</v>
      </c>
      <c r="AK64" t="n">
        <v>0</v>
      </c>
      <c r="AL64" t="n">
        <v>209</v>
      </c>
      <c r="AM64" t="n">
        <v>0</v>
      </c>
      <c r="AN64" t="n">
        <v>0</v>
      </c>
      <c r="AO64" t="n">
        <v>0.21</v>
      </c>
      <c r="AP64" t="n">
        <v>10.45</v>
      </c>
      <c r="AQ64" t="n">
        <v>0</v>
      </c>
      <c r="AR64" t="n">
        <v>20.04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24.66</v>
      </c>
      <c r="AY64" t="n">
        <v>0</v>
      </c>
      <c r="AZ64" t="n">
        <v>0</v>
      </c>
      <c r="BA64" t="n">
        <v>24.66</v>
      </c>
      <c r="BB64" t="n">
        <v>96.81</v>
      </c>
      <c r="BC64" t="n">
        <v>0</v>
      </c>
      <c r="BD64" t="n">
        <v>122.64</v>
      </c>
      <c r="BE64" t="inlineStr">
        <is>
          <t>settled</t>
        </is>
      </c>
      <c r="BF64" t="inlineStr">
        <is>
          <t>2025-12-17 05:30:00</t>
        </is>
      </c>
      <c r="BG64" t="inlineStr">
        <is>
          <t>CITIN25671154595</t>
        </is>
      </c>
      <c r="BH64" t="n">
        <v>0</v>
      </c>
      <c r="BI64" t="inlineStr">
        <is>
          <t>d620331fc1d741722993c88e538c5d01820767733e9a4f34a8dc6e707abde7ce</t>
        </is>
      </c>
    </row>
    <row r="65">
      <c r="A65" t="inlineStr">
        <is>
          <t>60</t>
        </is>
      </c>
      <c r="B65" t="inlineStr">
        <is>
          <t>7573269553</t>
        </is>
      </c>
      <c r="C65" t="inlineStr">
        <is>
          <t>2025-12-12 20:26:15</t>
        </is>
      </c>
      <c r="D65" t="inlineStr">
        <is>
          <t>50</t>
        </is>
      </c>
      <c r="E65" t="inlineStr">
        <is>
          <t>Baba Yaga Art Of Chinese - By Posh Foods</t>
        </is>
      </c>
      <c r="F65" t="inlineStr">
        <is>
          <t>20037890</t>
        </is>
      </c>
      <c r="G65" t="inlineStr">
        <is>
          <t>Flat 20% off (2025-09-25 - 2031-01-01)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9</t>
        </is>
      </c>
      <c r="O65" t="n">
        <v>1075</v>
      </c>
      <c r="P65" t="n">
        <v>0</v>
      </c>
      <c r="Q65" t="n">
        <v>0</v>
      </c>
      <c r="R65" t="n">
        <v>215</v>
      </c>
      <c r="S65" t="n">
        <v>86</v>
      </c>
      <c r="T65" t="n">
        <v>0</v>
      </c>
      <c r="U65" t="n">
        <v>0</v>
      </c>
      <c r="V65" t="n">
        <v>38.7</v>
      </c>
      <c r="W65" t="n">
        <v>812.7</v>
      </c>
      <c r="X65" t="n">
        <v>774</v>
      </c>
      <c r="Y65" t="n">
        <v>0</v>
      </c>
      <c r="Z65" t="n">
        <v>0</v>
      </c>
      <c r="AA65" t="n">
        <v>774</v>
      </c>
      <c r="AB65" t="n">
        <v>23</v>
      </c>
      <c r="AC65" t="n">
        <v>178.02</v>
      </c>
      <c r="AD65" t="n">
        <v>3.5</v>
      </c>
      <c r="AE65" t="n">
        <v>0</v>
      </c>
      <c r="AF65" t="n">
        <v>0</v>
      </c>
      <c r="AG65" t="n">
        <v>0</v>
      </c>
      <c r="AH65" t="n">
        <v>14.95</v>
      </c>
      <c r="AI65" t="n">
        <v>192.97</v>
      </c>
      <c r="AJ65" t="n">
        <v>34.73</v>
      </c>
      <c r="AK65" t="n">
        <v>0</v>
      </c>
      <c r="AL65" t="n">
        <v>774</v>
      </c>
      <c r="AM65" t="n">
        <v>0</v>
      </c>
      <c r="AN65" t="n">
        <v>0</v>
      </c>
      <c r="AO65" t="n">
        <v>0.77</v>
      </c>
      <c r="AP65" t="n">
        <v>38.7</v>
      </c>
      <c r="AQ65" t="n">
        <v>0</v>
      </c>
      <c r="AR65" t="n">
        <v>74.2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267.17</v>
      </c>
      <c r="BC65" t="n">
        <v>0</v>
      </c>
      <c r="BD65" t="n">
        <v>545.53</v>
      </c>
      <c r="BE65" t="inlineStr">
        <is>
          <t>settled</t>
        </is>
      </c>
      <c r="BF65" t="inlineStr">
        <is>
          <t>2025-12-17 05:30:00</t>
        </is>
      </c>
      <c r="BG65" t="inlineStr">
        <is>
          <t>CITIN25671154595</t>
        </is>
      </c>
      <c r="BH65" t="n">
        <v>0</v>
      </c>
      <c r="BI65" t="inlineStr">
        <is>
          <t>8074a40c08f948cc70d81417c61197cc82a88c264d48d92d8db749cf314c1cd0</t>
        </is>
      </c>
    </row>
    <row r="66">
      <c r="A66" t="inlineStr">
        <is>
          <t>61</t>
        </is>
      </c>
      <c r="B66" t="inlineStr">
        <is>
          <t>7575625802</t>
        </is>
      </c>
      <c r="C66" t="inlineStr">
        <is>
          <t>2025-12-12 20:29:37</t>
        </is>
      </c>
      <c r="D66" t="inlineStr">
        <is>
          <t>50</t>
        </is>
      </c>
      <c r="E66" t="inlineStr">
        <is>
          <t>Baba Yaga Art Of Chinese - By Posh Foods</t>
        </is>
      </c>
      <c r="F66" t="inlineStr">
        <is>
          <t>20037890</t>
        </is>
      </c>
      <c r="G66" t="inlineStr">
        <is>
          <t>Flat ₹150 off (2025-12-08 - 2031-01-01)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9</t>
        </is>
      </c>
      <c r="O66" t="n">
        <v>504</v>
      </c>
      <c r="P66" t="n">
        <v>0</v>
      </c>
      <c r="Q66" t="n">
        <v>0</v>
      </c>
      <c r="R66" t="n">
        <v>105</v>
      </c>
      <c r="S66" t="n">
        <v>35.4</v>
      </c>
      <c r="T66" t="n">
        <v>0</v>
      </c>
      <c r="U66" t="n">
        <v>0</v>
      </c>
      <c r="V66" t="n">
        <v>18.18</v>
      </c>
      <c r="W66" t="n">
        <v>381.78</v>
      </c>
      <c r="X66" t="n">
        <v>363.6</v>
      </c>
      <c r="Y66" t="n">
        <v>0</v>
      </c>
      <c r="Z66" t="n">
        <v>0</v>
      </c>
      <c r="AA66" t="n">
        <v>363.6</v>
      </c>
      <c r="AB66" t="n">
        <v>23</v>
      </c>
      <c r="AC66" t="n">
        <v>83.63</v>
      </c>
      <c r="AD66" t="n">
        <v>6.46</v>
      </c>
      <c r="AE66" t="n">
        <v>40</v>
      </c>
      <c r="AF66" t="n">
        <v>0</v>
      </c>
      <c r="AG66" t="n">
        <v>14.55</v>
      </c>
      <c r="AH66" t="n">
        <v>7.02</v>
      </c>
      <c r="AI66" t="n">
        <v>116.1</v>
      </c>
      <c r="AJ66" t="n">
        <v>20.89</v>
      </c>
      <c r="AK66" t="n">
        <v>0</v>
      </c>
      <c r="AL66" t="n">
        <v>363.6</v>
      </c>
      <c r="AM66" t="n">
        <v>0</v>
      </c>
      <c r="AN66" t="n">
        <v>0</v>
      </c>
      <c r="AO66" t="n">
        <v>0.36</v>
      </c>
      <c r="AP66" t="n">
        <v>18.18</v>
      </c>
      <c r="AQ66" t="n">
        <v>0</v>
      </c>
      <c r="AR66" t="n">
        <v>39.43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42.9</v>
      </c>
      <c r="AY66" t="n">
        <v>0</v>
      </c>
      <c r="AZ66" t="n">
        <v>0</v>
      </c>
      <c r="BA66" t="n">
        <v>42.9</v>
      </c>
      <c r="BB66" t="n">
        <v>198.43</v>
      </c>
      <c r="BC66" t="n">
        <v>0</v>
      </c>
      <c r="BD66" t="n">
        <v>183.35</v>
      </c>
      <c r="BE66" t="inlineStr">
        <is>
          <t>settled</t>
        </is>
      </c>
      <c r="BF66" t="inlineStr">
        <is>
          <t>2025-12-17 05:30:00</t>
        </is>
      </c>
      <c r="BG66" t="inlineStr">
        <is>
          <t>CITIN25671154595</t>
        </is>
      </c>
      <c r="BH66" t="n">
        <v>0</v>
      </c>
      <c r="BI66" t="inlineStr">
        <is>
          <t>7a37adb01db883ab3d41c6d01ad7767f3988f433b716d78c947279d207807153</t>
        </is>
      </c>
    </row>
    <row r="67">
      <c r="A67" t="inlineStr">
        <is>
          <t>62</t>
        </is>
      </c>
      <c r="B67" t="inlineStr">
        <is>
          <t>7573384380</t>
        </is>
      </c>
      <c r="C67" t="inlineStr">
        <is>
          <t>2025-12-12 20:55:17</t>
        </is>
      </c>
      <c r="D67" t="inlineStr">
        <is>
          <t>50</t>
        </is>
      </c>
      <c r="E67" t="inlineStr">
        <is>
          <t>Baba Yaga Art Of Chinese - By Posh Foods</t>
        </is>
      </c>
      <c r="F67" t="inlineStr">
        <is>
          <t>20037890</t>
        </is>
      </c>
      <c r="G67" t="inlineStr">
        <is>
          <t>NA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9</t>
        </is>
      </c>
      <c r="O67" t="n">
        <v>1050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52.5</v>
      </c>
      <c r="W67" t="n">
        <v>1102.5</v>
      </c>
      <c r="X67" t="n">
        <v>1050</v>
      </c>
      <c r="Y67" t="n">
        <v>0</v>
      </c>
      <c r="Z67" t="n">
        <v>0</v>
      </c>
      <c r="AA67" t="n">
        <v>1050</v>
      </c>
      <c r="AB67" t="n">
        <v>23</v>
      </c>
      <c r="AC67" t="n">
        <v>241.5</v>
      </c>
      <c r="AD67" t="n">
        <v>1.91</v>
      </c>
      <c r="AE67" t="n">
        <v>0</v>
      </c>
      <c r="AF67" t="n">
        <v>0</v>
      </c>
      <c r="AG67" t="n">
        <v>0</v>
      </c>
      <c r="AH67" t="n">
        <v>20.29</v>
      </c>
      <c r="AI67" t="n">
        <v>261.79</v>
      </c>
      <c r="AJ67" t="n">
        <v>47.12</v>
      </c>
      <c r="AK67" t="n">
        <v>0</v>
      </c>
      <c r="AL67" t="n">
        <v>1050</v>
      </c>
      <c r="AM67" t="n">
        <v>0</v>
      </c>
      <c r="AN67" t="n">
        <v>0</v>
      </c>
      <c r="AO67" t="n">
        <v>1.05</v>
      </c>
      <c r="AP67" t="n">
        <v>52.5</v>
      </c>
      <c r="AQ67" t="n">
        <v>0</v>
      </c>
      <c r="AR67" t="n">
        <v>100.67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362.46</v>
      </c>
      <c r="BC67" t="n">
        <v>0</v>
      </c>
      <c r="BD67" t="n">
        <v>740.04</v>
      </c>
      <c r="BE67" t="inlineStr">
        <is>
          <t>settled</t>
        </is>
      </c>
      <c r="BF67" t="inlineStr">
        <is>
          <t>2025-12-17 05:30:00</t>
        </is>
      </c>
      <c r="BG67" t="inlineStr">
        <is>
          <t>CITIN25671154595</t>
        </is>
      </c>
      <c r="BH67" t="n">
        <v>0</v>
      </c>
      <c r="BI67" t="inlineStr">
        <is>
          <t>682f41700329530069a504db460d75ab98f7f85c506d315372e462e29d9b2eba</t>
        </is>
      </c>
    </row>
    <row r="68">
      <c r="A68" t="inlineStr">
        <is>
          <t>63</t>
        </is>
      </c>
      <c r="B68" t="inlineStr">
        <is>
          <t>7574375724</t>
        </is>
      </c>
      <c r="C68" t="inlineStr">
        <is>
          <t>2025-12-12 21:38:24</t>
        </is>
      </c>
      <c r="D68" t="inlineStr">
        <is>
          <t>50</t>
        </is>
      </c>
      <c r="E68" t="inlineStr">
        <is>
          <t>Baba Yaga Art Of Chinese - By Posh Foods</t>
        </is>
      </c>
      <c r="F68" t="inlineStr">
        <is>
          <t>20037890</t>
        </is>
      </c>
      <c r="G68" t="inlineStr">
        <is>
          <t>Flat ₹150 off (2025-12-08 - 2031-01-01)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9</t>
        </is>
      </c>
      <c r="O68" t="n">
        <v>530</v>
      </c>
      <c r="P68" t="n">
        <v>0</v>
      </c>
      <c r="Q68" t="n">
        <v>0</v>
      </c>
      <c r="R68" t="n">
        <v>105</v>
      </c>
      <c r="S68" t="n">
        <v>38</v>
      </c>
      <c r="T68" t="n">
        <v>0</v>
      </c>
      <c r="U68" t="n">
        <v>0</v>
      </c>
      <c r="V68" t="n">
        <v>19.35</v>
      </c>
      <c r="W68" t="n">
        <v>406.35</v>
      </c>
      <c r="X68" t="n">
        <v>387</v>
      </c>
      <c r="Y68" t="n">
        <v>0</v>
      </c>
      <c r="Z68" t="n">
        <v>0</v>
      </c>
      <c r="AA68" t="n">
        <v>387</v>
      </c>
      <c r="AB68" t="n">
        <v>23</v>
      </c>
      <c r="AC68" t="n">
        <v>89.01000000000001</v>
      </c>
      <c r="AD68" t="n">
        <v>4.8</v>
      </c>
      <c r="AE68" t="n">
        <v>20</v>
      </c>
      <c r="AF68" t="n">
        <v>0</v>
      </c>
      <c r="AG68" t="n">
        <v>0</v>
      </c>
      <c r="AH68" t="n">
        <v>7.48</v>
      </c>
      <c r="AI68" t="n">
        <v>116.49</v>
      </c>
      <c r="AJ68" t="n">
        <v>20.97</v>
      </c>
      <c r="AK68" t="n">
        <v>0</v>
      </c>
      <c r="AL68" t="n">
        <v>387</v>
      </c>
      <c r="AM68" t="n">
        <v>0</v>
      </c>
      <c r="AN68" t="n">
        <v>0</v>
      </c>
      <c r="AO68" t="n">
        <v>0.39</v>
      </c>
      <c r="AP68" t="n">
        <v>19.35</v>
      </c>
      <c r="AQ68" t="n">
        <v>0</v>
      </c>
      <c r="AR68" t="n">
        <v>40.71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157.2</v>
      </c>
      <c r="BC68" t="n">
        <v>0</v>
      </c>
      <c r="BD68" t="n">
        <v>249.15</v>
      </c>
      <c r="BE68" t="inlineStr">
        <is>
          <t>settled</t>
        </is>
      </c>
      <c r="BF68" t="inlineStr">
        <is>
          <t>2025-12-17 05:30:00</t>
        </is>
      </c>
      <c r="BG68" t="inlineStr">
        <is>
          <t>CITIN25671154595</t>
        </is>
      </c>
      <c r="BH68" t="n">
        <v>0</v>
      </c>
      <c r="BI68" t="inlineStr">
        <is>
          <t>ed54746696ef4c9088c4f793d7373cb630a2d573976f681311565cd06ca041f5</t>
        </is>
      </c>
    </row>
    <row r="69">
      <c r="A69" t="inlineStr">
        <is>
          <t>64</t>
        </is>
      </c>
      <c r="B69" t="inlineStr">
        <is>
          <t>7562834059</t>
        </is>
      </c>
      <c r="C69" t="inlineStr">
        <is>
          <t>2025-12-12 21:39:44</t>
        </is>
      </c>
      <c r="D69" t="inlineStr">
        <is>
          <t>50</t>
        </is>
      </c>
      <c r="E69" t="inlineStr">
        <is>
          <t>Baba Yaga Art Of Chinese - By Posh Foods</t>
        </is>
      </c>
      <c r="F69" t="inlineStr">
        <is>
          <t>20037890</t>
        </is>
      </c>
      <c r="G69" t="inlineStr">
        <is>
          <t>Flat 20% off (2025-09-25 - 2031-01-01)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9</t>
        </is>
      </c>
      <c r="O69" t="n">
        <v>1153</v>
      </c>
      <c r="P69" t="n">
        <v>0</v>
      </c>
      <c r="Q69" t="n">
        <v>0</v>
      </c>
      <c r="R69" t="n">
        <v>230.6</v>
      </c>
      <c r="S69" t="n">
        <v>0</v>
      </c>
      <c r="T69" t="n">
        <v>0</v>
      </c>
      <c r="U69" t="n">
        <v>0</v>
      </c>
      <c r="V69" t="n">
        <v>46.12</v>
      </c>
      <c r="W69" t="n">
        <v>968.52</v>
      </c>
      <c r="X69" t="n">
        <v>922.4</v>
      </c>
      <c r="Y69" t="n">
        <v>0</v>
      </c>
      <c r="Z69" t="n">
        <v>0</v>
      </c>
      <c r="AA69" t="n">
        <v>922.4</v>
      </c>
      <c r="AB69" t="n">
        <v>23</v>
      </c>
      <c r="AC69" t="n">
        <v>212.15</v>
      </c>
      <c r="AD69" t="n">
        <v>1.71</v>
      </c>
      <c r="AE69" t="n">
        <v>0</v>
      </c>
      <c r="AF69" t="n">
        <v>0</v>
      </c>
      <c r="AG69" t="n">
        <v>0</v>
      </c>
      <c r="AH69" t="n">
        <v>17.82</v>
      </c>
      <c r="AI69" t="n">
        <v>229.97</v>
      </c>
      <c r="AJ69" t="n">
        <v>41.4</v>
      </c>
      <c r="AK69" t="n">
        <v>0</v>
      </c>
      <c r="AL69" t="n">
        <v>922.4</v>
      </c>
      <c r="AM69" t="n">
        <v>0</v>
      </c>
      <c r="AN69" t="n">
        <v>0</v>
      </c>
      <c r="AO69" t="n">
        <v>0.92</v>
      </c>
      <c r="AP69" t="n">
        <v>46.12</v>
      </c>
      <c r="AQ69" t="n">
        <v>0</v>
      </c>
      <c r="AR69" t="n">
        <v>88.44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318.41</v>
      </c>
      <c r="BC69" t="n">
        <v>0</v>
      </c>
      <c r="BD69" t="n">
        <v>650.11</v>
      </c>
      <c r="BE69" t="inlineStr">
        <is>
          <t>settled</t>
        </is>
      </c>
      <c r="BF69" t="inlineStr">
        <is>
          <t>2025-12-17 05:30:00</t>
        </is>
      </c>
      <c r="BG69" t="inlineStr">
        <is>
          <t>CITIN25671154595</t>
        </is>
      </c>
      <c r="BH69" t="n">
        <v>0</v>
      </c>
      <c r="BI69" t="inlineStr">
        <is>
          <t>23386b0320e902f47c14ebf8bbbfe09be33a677cbd4136c91b9c7bb79c91c8db</t>
        </is>
      </c>
    </row>
    <row r="70">
      <c r="A70" t="inlineStr">
        <is>
          <t>65</t>
        </is>
      </c>
      <c r="B70" t="inlineStr">
        <is>
          <t>7558921637</t>
        </is>
      </c>
      <c r="C70" t="inlineStr">
        <is>
          <t>2025-12-12 21:42:26</t>
        </is>
      </c>
      <c r="D70" t="inlineStr">
        <is>
          <t>50</t>
        </is>
      </c>
      <c r="E70" t="inlineStr">
        <is>
          <t>Baba Yaga Art Of Chinese - By Posh Foods</t>
        </is>
      </c>
      <c r="F70" t="inlineStr">
        <is>
          <t>20037890</t>
        </is>
      </c>
      <c r="G70" t="inlineStr">
        <is>
          <t>Flat ₹150 off (2025-12-08 - 2031-01-01)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9</t>
        </is>
      </c>
      <c r="O70" t="n">
        <v>645</v>
      </c>
      <c r="P70" t="n">
        <v>0</v>
      </c>
      <c r="Q70" t="n">
        <v>0</v>
      </c>
      <c r="R70" t="n">
        <v>105</v>
      </c>
      <c r="S70" t="n">
        <v>49.5</v>
      </c>
      <c r="T70" t="n">
        <v>0</v>
      </c>
      <c r="U70" t="n">
        <v>0</v>
      </c>
      <c r="V70" t="n">
        <v>24.53</v>
      </c>
      <c r="W70" t="n">
        <v>515.03</v>
      </c>
      <c r="X70" t="n">
        <v>490.5</v>
      </c>
      <c r="Y70" t="n">
        <v>0</v>
      </c>
      <c r="Z70" t="n">
        <v>0</v>
      </c>
      <c r="AA70" t="n">
        <v>490.5</v>
      </c>
      <c r="AB70" t="n">
        <v>23</v>
      </c>
      <c r="AC70" t="n">
        <v>112.82</v>
      </c>
      <c r="AD70" t="n">
        <v>3.34</v>
      </c>
      <c r="AE70" t="n">
        <v>0</v>
      </c>
      <c r="AF70" t="n">
        <v>0</v>
      </c>
      <c r="AG70" t="n">
        <v>0</v>
      </c>
      <c r="AH70" t="n">
        <v>9.48</v>
      </c>
      <c r="AI70" t="n">
        <v>122.3</v>
      </c>
      <c r="AJ70" t="n">
        <v>22.02</v>
      </c>
      <c r="AK70" t="n">
        <v>0</v>
      </c>
      <c r="AL70" t="n">
        <v>490.5</v>
      </c>
      <c r="AM70" t="n">
        <v>0</v>
      </c>
      <c r="AN70" t="n">
        <v>0</v>
      </c>
      <c r="AO70" t="n">
        <v>0.49</v>
      </c>
      <c r="AP70" t="n">
        <v>24.52</v>
      </c>
      <c r="AQ70" t="n">
        <v>0.01</v>
      </c>
      <c r="AR70" t="n">
        <v>47.03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169.33</v>
      </c>
      <c r="BC70" t="n">
        <v>0</v>
      </c>
      <c r="BD70" t="n">
        <v>345.7</v>
      </c>
      <c r="BE70" t="inlineStr">
        <is>
          <t>settled</t>
        </is>
      </c>
      <c r="BF70" t="inlineStr">
        <is>
          <t>2025-12-17 05:30:00</t>
        </is>
      </c>
      <c r="BG70" t="inlineStr">
        <is>
          <t>CITIN25671154595</t>
        </is>
      </c>
      <c r="BH70" t="n">
        <v>0</v>
      </c>
      <c r="BI70" t="inlineStr">
        <is>
          <t>20192be2cf225ce83a4726db91b291ef2b7d07fa563240207024cfd4b1b76edf</t>
        </is>
      </c>
    </row>
    <row r="71">
      <c r="A71" t="inlineStr">
        <is>
          <t>66</t>
        </is>
      </c>
      <c r="B71" t="inlineStr">
        <is>
          <t>7575136043</t>
        </is>
      </c>
      <c r="C71" t="inlineStr">
        <is>
          <t>2025-12-12 22:16:12</t>
        </is>
      </c>
      <c r="D71" t="inlineStr">
        <is>
          <t>50</t>
        </is>
      </c>
      <c r="E71" t="inlineStr">
        <is>
          <t>Baba Yaga Art Of Chinese - By Posh Foods</t>
        </is>
      </c>
      <c r="F71" t="inlineStr">
        <is>
          <t>20037890</t>
        </is>
      </c>
      <c r="G71" t="inlineStr">
        <is>
          <t>Flat ₹175 off (2025-12-08 - 2031-01-01)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9</t>
        </is>
      </c>
      <c r="O71" t="n">
        <v>819</v>
      </c>
      <c r="P71" t="n">
        <v>0</v>
      </c>
      <c r="Q71" t="n">
        <v>0</v>
      </c>
      <c r="R71" t="n">
        <v>122</v>
      </c>
      <c r="S71" t="n">
        <v>64.40000000000001</v>
      </c>
      <c r="T71" t="n">
        <v>0</v>
      </c>
      <c r="U71" t="n">
        <v>0</v>
      </c>
      <c r="V71" t="n">
        <v>31.63</v>
      </c>
      <c r="W71" t="n">
        <v>664.23</v>
      </c>
      <c r="X71" t="n">
        <v>632.6</v>
      </c>
      <c r="Y71" t="n">
        <v>0</v>
      </c>
      <c r="Z71" t="n">
        <v>0</v>
      </c>
      <c r="AA71" t="n">
        <v>632.6</v>
      </c>
      <c r="AB71" t="n">
        <v>23</v>
      </c>
      <c r="AC71" t="n">
        <v>145.5</v>
      </c>
      <c r="AD71" t="n">
        <v>3.77</v>
      </c>
      <c r="AE71" t="n">
        <v>0</v>
      </c>
      <c r="AF71" t="n">
        <v>0</v>
      </c>
      <c r="AG71" t="n">
        <v>0</v>
      </c>
      <c r="AH71" t="n">
        <v>12.22</v>
      </c>
      <c r="AI71" t="n">
        <v>157.72</v>
      </c>
      <c r="AJ71" t="n">
        <v>28.39</v>
      </c>
      <c r="AK71" t="n">
        <v>0</v>
      </c>
      <c r="AL71" t="n">
        <v>632.6</v>
      </c>
      <c r="AM71" t="n">
        <v>0</v>
      </c>
      <c r="AN71" t="n">
        <v>0</v>
      </c>
      <c r="AO71" t="n">
        <v>0.63</v>
      </c>
      <c r="AP71" t="n">
        <v>31.63</v>
      </c>
      <c r="AQ71" t="n">
        <v>0</v>
      </c>
      <c r="AR71" t="n">
        <v>60.65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218.37</v>
      </c>
      <c r="BC71" t="n">
        <v>0</v>
      </c>
      <c r="BD71" t="n">
        <v>445.86</v>
      </c>
      <c r="BE71" t="inlineStr">
        <is>
          <t>settled</t>
        </is>
      </c>
      <c r="BF71" t="inlineStr">
        <is>
          <t>2025-12-17 05:30:00</t>
        </is>
      </c>
      <c r="BG71" t="inlineStr">
        <is>
          <t>CITIN25671154595</t>
        </is>
      </c>
      <c r="BH71" t="n">
        <v>0</v>
      </c>
      <c r="BI71" t="inlineStr">
        <is>
          <t>2eee53517f5a2b20ddcf10bcf6b4a72241aa276f9bd818c47aa1cfebe9cdadf8</t>
        </is>
      </c>
    </row>
    <row r="72">
      <c r="A72" t="inlineStr">
        <is>
          <t>67</t>
        </is>
      </c>
      <c r="B72" t="inlineStr">
        <is>
          <t>7576305163</t>
        </is>
      </c>
      <c r="C72" t="inlineStr">
        <is>
          <t>2025-12-12 22:20:32</t>
        </is>
      </c>
      <c r="D72" t="inlineStr">
        <is>
          <t>50</t>
        </is>
      </c>
      <c r="E72" t="inlineStr">
        <is>
          <t>Baba Yaga Art Of Chinese - By Posh Foods</t>
        </is>
      </c>
      <c r="F72" t="inlineStr">
        <is>
          <t>20037890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9</t>
        </is>
      </c>
      <c r="O72" t="n">
        <v>925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46.25</v>
      </c>
      <c r="W72" t="n">
        <v>971.25</v>
      </c>
      <c r="X72" t="n">
        <v>925</v>
      </c>
      <c r="Y72" t="n">
        <v>0</v>
      </c>
      <c r="Z72" t="n">
        <v>0</v>
      </c>
      <c r="AA72" t="n">
        <v>925</v>
      </c>
      <c r="AB72" t="n">
        <v>23</v>
      </c>
      <c r="AC72" t="n">
        <v>212.75</v>
      </c>
      <c r="AD72" t="n">
        <v>2.11</v>
      </c>
      <c r="AE72" t="n">
        <v>0</v>
      </c>
      <c r="AF72" t="n">
        <v>0</v>
      </c>
      <c r="AG72" t="n">
        <v>0</v>
      </c>
      <c r="AH72" t="n">
        <v>17.87</v>
      </c>
      <c r="AI72" t="n">
        <v>230.62</v>
      </c>
      <c r="AJ72" t="n">
        <v>41.52</v>
      </c>
      <c r="AK72" t="n">
        <v>0</v>
      </c>
      <c r="AL72" t="n">
        <v>925</v>
      </c>
      <c r="AM72" t="n">
        <v>0</v>
      </c>
      <c r="AN72" t="n">
        <v>0</v>
      </c>
      <c r="AO72" t="n">
        <v>0.92</v>
      </c>
      <c r="AP72" t="n">
        <v>46.25</v>
      </c>
      <c r="AQ72" t="n">
        <v>0</v>
      </c>
      <c r="AR72" t="n">
        <v>88.69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319.31</v>
      </c>
      <c r="BC72" t="n">
        <v>0</v>
      </c>
      <c r="BD72" t="n">
        <v>651.9400000000001</v>
      </c>
      <c r="BE72" t="inlineStr">
        <is>
          <t>settled</t>
        </is>
      </c>
      <c r="BF72" t="inlineStr">
        <is>
          <t>2025-12-17 05:30:00</t>
        </is>
      </c>
      <c r="BG72" t="inlineStr">
        <is>
          <t>CITIN25671154595</t>
        </is>
      </c>
      <c r="BH72" t="n">
        <v>0</v>
      </c>
      <c r="BI72" t="inlineStr">
        <is>
          <t>a8c8a09398d3fca96ac380771ecbc091db01da34abbd3ebef8cb19448e27a06a</t>
        </is>
      </c>
    </row>
    <row r="73">
      <c r="A73" t="inlineStr">
        <is>
          <t>68</t>
        </is>
      </c>
      <c r="B73" t="inlineStr">
        <is>
          <t>7573190355</t>
        </is>
      </c>
      <c r="C73" t="inlineStr">
        <is>
          <t>2025-12-12 22:24:26</t>
        </is>
      </c>
      <c r="D73" t="inlineStr">
        <is>
          <t>50</t>
        </is>
      </c>
      <c r="E73" t="inlineStr">
        <is>
          <t>Baba Yaga Art Of Chinese - By Posh Foods</t>
        </is>
      </c>
      <c r="F73" t="inlineStr">
        <is>
          <t>20037890</t>
        </is>
      </c>
      <c r="G73" t="inlineStr">
        <is>
          <t>Flat ₹100 off (2025-12-08 - 2031-01-01)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9</t>
        </is>
      </c>
      <c r="O73" t="n">
        <v>239</v>
      </c>
      <c r="P73" t="n">
        <v>0</v>
      </c>
      <c r="Q73" t="n">
        <v>0</v>
      </c>
      <c r="R73" t="n">
        <v>70</v>
      </c>
      <c r="S73" t="n">
        <v>0</v>
      </c>
      <c r="T73" t="n">
        <v>0</v>
      </c>
      <c r="U73" t="n">
        <v>0</v>
      </c>
      <c r="V73" t="n">
        <v>8.449999999999999</v>
      </c>
      <c r="W73" t="n">
        <v>177.45</v>
      </c>
      <c r="X73" t="n">
        <v>169</v>
      </c>
      <c r="Y73" t="n">
        <v>0</v>
      </c>
      <c r="Z73" t="n">
        <v>0</v>
      </c>
      <c r="AA73" t="n">
        <v>169</v>
      </c>
      <c r="AB73" t="n">
        <v>23</v>
      </c>
      <c r="AC73" t="n">
        <v>38.87</v>
      </c>
      <c r="AD73" t="n">
        <v>2.7</v>
      </c>
      <c r="AE73" t="n">
        <v>0</v>
      </c>
      <c r="AF73" t="n">
        <v>0</v>
      </c>
      <c r="AG73" t="n">
        <v>0</v>
      </c>
      <c r="AH73" t="n">
        <v>3.27</v>
      </c>
      <c r="AI73" t="n">
        <v>42.14</v>
      </c>
      <c r="AJ73" t="n">
        <v>7.59</v>
      </c>
      <c r="AK73" t="n">
        <v>0</v>
      </c>
      <c r="AL73" t="n">
        <v>169</v>
      </c>
      <c r="AM73" t="n">
        <v>0</v>
      </c>
      <c r="AN73" t="n">
        <v>0</v>
      </c>
      <c r="AO73" t="n">
        <v>0.17</v>
      </c>
      <c r="AP73" t="n">
        <v>8.449999999999999</v>
      </c>
      <c r="AQ73" t="n">
        <v>0</v>
      </c>
      <c r="AR73" t="n">
        <v>16.21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58.35</v>
      </c>
      <c r="BC73" t="n">
        <v>0</v>
      </c>
      <c r="BD73" t="n">
        <v>119.1</v>
      </c>
      <c r="BE73" t="inlineStr">
        <is>
          <t>settled</t>
        </is>
      </c>
      <c r="BF73" t="inlineStr">
        <is>
          <t>2025-12-17 05:30:00</t>
        </is>
      </c>
      <c r="BG73" t="inlineStr">
        <is>
          <t>CITIN25671154595</t>
        </is>
      </c>
      <c r="BH73" t="n">
        <v>0</v>
      </c>
      <c r="BI73" t="inlineStr">
        <is>
          <t>f2525b07ae597e365cfb2584f0a61c1798690b173320072e1a564ed418bf4dfa</t>
        </is>
      </c>
    </row>
    <row r="74">
      <c r="A74" t="inlineStr">
        <is>
          <t>69</t>
        </is>
      </c>
      <c r="B74" t="inlineStr">
        <is>
          <t>7575494144</t>
        </is>
      </c>
      <c r="C74" t="inlineStr">
        <is>
          <t>2025-12-12 22:25:14</t>
        </is>
      </c>
      <c r="D74" t="inlineStr">
        <is>
          <t>50</t>
        </is>
      </c>
      <c r="E74" t="inlineStr">
        <is>
          <t>Baba Yaga Art Of Chinese - By Posh Foods</t>
        </is>
      </c>
      <c r="F74" t="inlineStr">
        <is>
          <t>20037890</t>
        </is>
      </c>
      <c r="G74" t="inlineStr">
        <is>
          <t>Flat 20% off (2025-09-25 - 2031-01-01)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9</t>
        </is>
      </c>
      <c r="O74" t="n">
        <v>1879</v>
      </c>
      <c r="P74" t="n">
        <v>0</v>
      </c>
      <c r="Q74" t="n">
        <v>0</v>
      </c>
      <c r="R74" t="n">
        <v>375.8</v>
      </c>
      <c r="S74" t="n">
        <v>150.32</v>
      </c>
      <c r="T74" t="n">
        <v>0</v>
      </c>
      <c r="U74" t="n">
        <v>0</v>
      </c>
      <c r="V74" t="n">
        <v>67.65000000000001</v>
      </c>
      <c r="W74" t="n">
        <v>1420.53</v>
      </c>
      <c r="X74" t="n">
        <v>1352.88</v>
      </c>
      <c r="Y74" t="n">
        <v>0</v>
      </c>
      <c r="Z74" t="n">
        <v>0</v>
      </c>
      <c r="AA74" t="n">
        <v>1352.88</v>
      </c>
      <c r="AB74" t="n">
        <v>23</v>
      </c>
      <c r="AC74" t="n">
        <v>311.16</v>
      </c>
      <c r="AD74" t="n">
        <v>2.32</v>
      </c>
      <c r="AE74" t="n">
        <v>0</v>
      </c>
      <c r="AF74" t="n">
        <v>0</v>
      </c>
      <c r="AG74" t="n">
        <v>0</v>
      </c>
      <c r="AH74" t="n">
        <v>26.14</v>
      </c>
      <c r="AI74" t="n">
        <v>337.3</v>
      </c>
      <c r="AJ74" t="n">
        <v>60.72</v>
      </c>
      <c r="AK74" t="n">
        <v>0</v>
      </c>
      <c r="AL74" t="n">
        <v>1352.88</v>
      </c>
      <c r="AM74" t="n">
        <v>0</v>
      </c>
      <c r="AN74" t="n">
        <v>0</v>
      </c>
      <c r="AO74" t="n">
        <v>1.35</v>
      </c>
      <c r="AP74" t="n">
        <v>67.64</v>
      </c>
      <c r="AQ74" t="n">
        <v>0.01</v>
      </c>
      <c r="AR74" t="n">
        <v>129.71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467.01</v>
      </c>
      <c r="BC74" t="n">
        <v>0</v>
      </c>
      <c r="BD74" t="n">
        <v>953.52</v>
      </c>
      <c r="BE74" t="inlineStr">
        <is>
          <t>settled</t>
        </is>
      </c>
      <c r="BF74" t="inlineStr">
        <is>
          <t>2025-12-17 05:30:00</t>
        </is>
      </c>
      <c r="BG74" t="inlineStr">
        <is>
          <t>CITIN25671154595</t>
        </is>
      </c>
      <c r="BH74" t="n">
        <v>0</v>
      </c>
      <c r="BI74" t="inlineStr">
        <is>
          <t>6a50d0eaeba18a6f1cde66e437a095583af4c5c69bddc3d616a52f722235fc73</t>
        </is>
      </c>
    </row>
    <row r="75">
      <c r="A75" t="inlineStr">
        <is>
          <t>70</t>
        </is>
      </c>
      <c r="B75" t="inlineStr">
        <is>
          <t>7569587650</t>
        </is>
      </c>
      <c r="C75" t="inlineStr">
        <is>
          <t>2025-12-12 22:40:52</t>
        </is>
      </c>
      <c r="D75" t="inlineStr">
        <is>
          <t>50</t>
        </is>
      </c>
      <c r="E75" t="inlineStr">
        <is>
          <t>Baba Yaga Art Of Chinese - By Posh Foods</t>
        </is>
      </c>
      <c r="F75" t="inlineStr">
        <is>
          <t>20037890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9</t>
        </is>
      </c>
      <c r="O75" t="n">
        <v>335</v>
      </c>
      <c r="P75" t="n">
        <v>0</v>
      </c>
      <c r="Q75" t="n">
        <v>0</v>
      </c>
      <c r="R75" t="n">
        <v>0</v>
      </c>
      <c r="S75" t="n">
        <v>141.5</v>
      </c>
      <c r="T75" t="n">
        <v>0</v>
      </c>
      <c r="U75" t="n">
        <v>0</v>
      </c>
      <c r="V75" t="n">
        <v>9.68</v>
      </c>
      <c r="W75" t="n">
        <v>203.18</v>
      </c>
      <c r="X75" t="n">
        <v>193.5</v>
      </c>
      <c r="Y75" t="n">
        <v>0</v>
      </c>
      <c r="Z75" t="n">
        <v>0</v>
      </c>
      <c r="AA75" t="n">
        <v>193.5</v>
      </c>
      <c r="AB75" t="n">
        <v>23</v>
      </c>
      <c r="AC75" t="n">
        <v>44.5</v>
      </c>
      <c r="AD75" t="n">
        <v>5.78</v>
      </c>
      <c r="AE75" t="n">
        <v>20</v>
      </c>
      <c r="AF75" t="n">
        <v>0</v>
      </c>
      <c r="AG75" t="n">
        <v>6.45</v>
      </c>
      <c r="AH75" t="n">
        <v>3.74</v>
      </c>
      <c r="AI75" t="n">
        <v>61.79</v>
      </c>
      <c r="AJ75" t="n">
        <v>11.12</v>
      </c>
      <c r="AK75" t="n">
        <v>0</v>
      </c>
      <c r="AL75" t="n">
        <v>193.5</v>
      </c>
      <c r="AM75" t="n">
        <v>0</v>
      </c>
      <c r="AN75" t="n">
        <v>0</v>
      </c>
      <c r="AO75" t="n">
        <v>0.19</v>
      </c>
      <c r="AP75" t="n">
        <v>9.68</v>
      </c>
      <c r="AQ75" t="n">
        <v>0</v>
      </c>
      <c r="AR75" t="n">
        <v>20.99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22.83</v>
      </c>
      <c r="AY75" t="n">
        <v>0</v>
      </c>
      <c r="AZ75" t="n">
        <v>0</v>
      </c>
      <c r="BA75" t="n">
        <v>22.83</v>
      </c>
      <c r="BB75" t="n">
        <v>105.61</v>
      </c>
      <c r="BC75" t="n">
        <v>0</v>
      </c>
      <c r="BD75" t="n">
        <v>97.56999999999999</v>
      </c>
      <c r="BE75" t="inlineStr">
        <is>
          <t>settled</t>
        </is>
      </c>
      <c r="BF75" t="inlineStr">
        <is>
          <t>2025-12-17 05:30:00</t>
        </is>
      </c>
      <c r="BG75" t="inlineStr">
        <is>
          <t>CITIN25671154595</t>
        </is>
      </c>
      <c r="BH75" t="n">
        <v>0</v>
      </c>
      <c r="BI75" t="inlineStr">
        <is>
          <t>38f32fe11eecfe7d7e6c44f5de328fbae5bd2f0e84f6656872192e483ddc7579</t>
        </is>
      </c>
    </row>
    <row r="76">
      <c r="A76" t="inlineStr">
        <is>
          <t>71</t>
        </is>
      </c>
      <c r="B76" t="inlineStr">
        <is>
          <t>7572701495</t>
        </is>
      </c>
      <c r="C76" t="inlineStr">
        <is>
          <t>2025-12-12 22:58:25</t>
        </is>
      </c>
      <c r="D76" t="inlineStr">
        <is>
          <t>50</t>
        </is>
      </c>
      <c r="E76" t="inlineStr">
        <is>
          <t>Baba Yaga Art Of Chinese - By Posh Foods</t>
        </is>
      </c>
      <c r="F76" t="inlineStr">
        <is>
          <t>20037890</t>
        </is>
      </c>
      <c r="G76" t="inlineStr">
        <is>
          <t>Flat ₹100 off (2025-12-08 - 2031-01-01)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9</t>
        </is>
      </c>
      <c r="O76" t="n">
        <v>315</v>
      </c>
      <c r="P76" t="n">
        <v>0</v>
      </c>
      <c r="Q76" t="n">
        <v>0</v>
      </c>
      <c r="R76" t="n">
        <v>70</v>
      </c>
      <c r="S76" t="n">
        <v>21.5</v>
      </c>
      <c r="T76" t="n">
        <v>0</v>
      </c>
      <c r="U76" t="n">
        <v>0</v>
      </c>
      <c r="V76" t="n">
        <v>11.18</v>
      </c>
      <c r="W76" t="n">
        <v>234.68</v>
      </c>
      <c r="X76" t="n">
        <v>223.5</v>
      </c>
      <c r="Y76" t="n">
        <v>0</v>
      </c>
      <c r="Z76" t="n">
        <v>0</v>
      </c>
      <c r="AA76" t="n">
        <v>223.5</v>
      </c>
      <c r="AB76" t="n">
        <v>23</v>
      </c>
      <c r="AC76" t="n">
        <v>51.4</v>
      </c>
      <c r="AD76" t="n">
        <v>4.95</v>
      </c>
      <c r="AE76" t="n">
        <v>20</v>
      </c>
      <c r="AF76" t="n">
        <v>0</v>
      </c>
      <c r="AG76" t="n">
        <v>4.35</v>
      </c>
      <c r="AH76" t="n">
        <v>4.32</v>
      </c>
      <c r="AI76" t="n">
        <v>71.37</v>
      </c>
      <c r="AJ76" t="n">
        <v>12.85</v>
      </c>
      <c r="AK76" t="n">
        <v>0</v>
      </c>
      <c r="AL76" t="n">
        <v>223.5</v>
      </c>
      <c r="AM76" t="n">
        <v>0</v>
      </c>
      <c r="AN76" t="n">
        <v>0</v>
      </c>
      <c r="AO76" t="n">
        <v>0.22</v>
      </c>
      <c r="AP76" t="n">
        <v>11.18</v>
      </c>
      <c r="AQ76" t="n">
        <v>0</v>
      </c>
      <c r="AR76" t="n">
        <v>24.25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95.62</v>
      </c>
      <c r="BC76" t="n">
        <v>0</v>
      </c>
      <c r="BD76" t="n">
        <v>139.06</v>
      </c>
      <c r="BE76" t="inlineStr">
        <is>
          <t>settled</t>
        </is>
      </c>
      <c r="BF76" t="inlineStr">
        <is>
          <t>2025-12-17 05:30:00</t>
        </is>
      </c>
      <c r="BG76" t="inlineStr">
        <is>
          <t>CITIN25671154595</t>
        </is>
      </c>
      <c r="BH76" t="n">
        <v>0</v>
      </c>
      <c r="BI76" t="inlineStr">
        <is>
          <t>e8895d7379a827c9fe74cfbd756671677a984105976e3b1af6a179d4bacd013e</t>
        </is>
      </c>
    </row>
    <row r="77">
      <c r="A77" t="inlineStr">
        <is>
          <t>72</t>
        </is>
      </c>
      <c r="B77" t="inlineStr">
        <is>
          <t>7573998927</t>
        </is>
      </c>
      <c r="C77" t="inlineStr">
        <is>
          <t>2025-12-12 23:15:08</t>
        </is>
      </c>
      <c r="D77" t="inlineStr">
        <is>
          <t>50</t>
        </is>
      </c>
      <c r="E77" t="inlineStr">
        <is>
          <t>Baba Yaga Art Of Chinese - By Posh Foods</t>
        </is>
      </c>
      <c r="F77" t="inlineStr">
        <is>
          <t>20037890</t>
        </is>
      </c>
      <c r="G77" t="inlineStr">
        <is>
          <t>Flat ₹80 off (2025-12-08 - 2031-01-01)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9</t>
        </is>
      </c>
      <c r="O77" t="n">
        <v>265</v>
      </c>
      <c r="P77" t="n">
        <v>0</v>
      </c>
      <c r="Q77" t="n">
        <v>0</v>
      </c>
      <c r="R77" t="n">
        <v>80</v>
      </c>
      <c r="S77" t="n">
        <v>0</v>
      </c>
      <c r="T77" t="n">
        <v>0</v>
      </c>
      <c r="U77" t="n">
        <v>0</v>
      </c>
      <c r="V77" t="n">
        <v>9.25</v>
      </c>
      <c r="W77" t="n">
        <v>194.25</v>
      </c>
      <c r="X77" t="n">
        <v>185</v>
      </c>
      <c r="Y77" t="n">
        <v>0</v>
      </c>
      <c r="Z77" t="n">
        <v>0</v>
      </c>
      <c r="AA77" t="n">
        <v>185</v>
      </c>
      <c r="AB77" t="n">
        <v>23</v>
      </c>
      <c r="AC77" t="n">
        <v>42.55</v>
      </c>
      <c r="AD77" t="n">
        <v>2.7</v>
      </c>
      <c r="AE77" t="n">
        <v>0</v>
      </c>
      <c r="AF77" t="n">
        <v>0</v>
      </c>
      <c r="AG77" t="n">
        <v>0</v>
      </c>
      <c r="AH77" t="n">
        <v>3.57</v>
      </c>
      <c r="AI77" t="n">
        <v>46.12</v>
      </c>
      <c r="AJ77" t="n">
        <v>8.300000000000001</v>
      </c>
      <c r="AK77" t="n">
        <v>0</v>
      </c>
      <c r="AL77" t="n">
        <v>185</v>
      </c>
      <c r="AM77" t="n">
        <v>0</v>
      </c>
      <c r="AN77" t="n">
        <v>0</v>
      </c>
      <c r="AO77" t="n">
        <v>0.18</v>
      </c>
      <c r="AP77" t="n">
        <v>9.25</v>
      </c>
      <c r="AQ77" t="n">
        <v>0</v>
      </c>
      <c r="AR77" t="n">
        <v>17.73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63.85</v>
      </c>
      <c r="BC77" t="n">
        <v>0</v>
      </c>
      <c r="BD77" t="n">
        <v>130.4</v>
      </c>
      <c r="BE77" t="inlineStr">
        <is>
          <t>settled</t>
        </is>
      </c>
      <c r="BF77" t="inlineStr">
        <is>
          <t>2025-12-17 05:30:00</t>
        </is>
      </c>
      <c r="BG77" t="inlineStr">
        <is>
          <t>CITIN25671154595</t>
        </is>
      </c>
      <c r="BH77" t="n">
        <v>0</v>
      </c>
      <c r="BI77" t="inlineStr">
        <is>
          <t>f2525b07ae597e365cfb2584f0a61c1798690b173320072e1a564ed418bf4dfa</t>
        </is>
      </c>
    </row>
    <row r="78">
      <c r="A78" t="inlineStr">
        <is>
          <t>73</t>
        </is>
      </c>
      <c r="B78" t="inlineStr">
        <is>
          <t>7575231065</t>
        </is>
      </c>
      <c r="C78" t="inlineStr">
        <is>
          <t>2025-12-12 23:15:57</t>
        </is>
      </c>
      <c r="D78" t="inlineStr">
        <is>
          <t>50</t>
        </is>
      </c>
      <c r="E78" t="inlineStr">
        <is>
          <t>Baba Yaga Art Of Chinese - By Posh Foods</t>
        </is>
      </c>
      <c r="F78" t="inlineStr">
        <is>
          <t>20037890</t>
        </is>
      </c>
      <c r="G78" t="inlineStr">
        <is>
          <t>Flat ₹150 off (2025-12-08 - 2031-01-01)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9</t>
        </is>
      </c>
      <c r="O78" t="n">
        <v>660</v>
      </c>
      <c r="P78" t="n">
        <v>0</v>
      </c>
      <c r="Q78" t="n">
        <v>0</v>
      </c>
      <c r="R78" t="n">
        <v>150</v>
      </c>
      <c r="S78" t="n">
        <v>51</v>
      </c>
      <c r="T78" t="n">
        <v>0</v>
      </c>
      <c r="U78" t="n">
        <v>0</v>
      </c>
      <c r="V78" t="n">
        <v>22.95</v>
      </c>
      <c r="W78" t="n">
        <v>481.95</v>
      </c>
      <c r="X78" t="n">
        <v>459</v>
      </c>
      <c r="Y78" t="n">
        <v>0</v>
      </c>
      <c r="Z78" t="n">
        <v>0</v>
      </c>
      <c r="AA78" t="n">
        <v>459</v>
      </c>
      <c r="AB78" t="n">
        <v>23</v>
      </c>
      <c r="AC78" t="n">
        <v>105.57</v>
      </c>
      <c r="AD78" t="n">
        <v>1.56</v>
      </c>
      <c r="AE78" t="n">
        <v>0</v>
      </c>
      <c r="AF78" t="n">
        <v>0</v>
      </c>
      <c r="AG78" t="n">
        <v>0</v>
      </c>
      <c r="AH78" t="n">
        <v>8.869999999999999</v>
      </c>
      <c r="AI78" t="n">
        <v>114.44</v>
      </c>
      <c r="AJ78" t="n">
        <v>20.6</v>
      </c>
      <c r="AK78" t="n">
        <v>0</v>
      </c>
      <c r="AL78" t="n">
        <v>459</v>
      </c>
      <c r="AM78" t="n">
        <v>0</v>
      </c>
      <c r="AN78" t="n">
        <v>0</v>
      </c>
      <c r="AO78" t="n">
        <v>0.46</v>
      </c>
      <c r="AP78" t="n">
        <v>22.95</v>
      </c>
      <c r="AQ78" t="n">
        <v>0</v>
      </c>
      <c r="AR78" t="n">
        <v>44.01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158.45</v>
      </c>
      <c r="BC78" t="n">
        <v>0</v>
      </c>
      <c r="BD78" t="n">
        <v>323.5</v>
      </c>
      <c r="BE78" t="inlineStr">
        <is>
          <t>settled</t>
        </is>
      </c>
      <c r="BF78" t="inlineStr">
        <is>
          <t>2025-12-17 05:30:00</t>
        </is>
      </c>
      <c r="BG78" t="inlineStr">
        <is>
          <t>CITIN25671154595</t>
        </is>
      </c>
      <c r="BH78" t="n">
        <v>0</v>
      </c>
      <c r="BI78" t="inlineStr">
        <is>
          <t>b66911a05efeae5397164592a23ac1345f47ce5b863c211577246a179c2786a8</t>
        </is>
      </c>
    </row>
    <row r="79">
      <c r="A79" t="inlineStr">
        <is>
          <t>74</t>
        </is>
      </c>
      <c r="B79" t="inlineStr">
        <is>
          <t>7567535894</t>
        </is>
      </c>
      <c r="C79" t="inlineStr">
        <is>
          <t>2025-12-12 23:50:39</t>
        </is>
      </c>
      <c r="D79" t="inlineStr">
        <is>
          <t>50</t>
        </is>
      </c>
      <c r="E79" t="inlineStr">
        <is>
          <t>Baba Yaga Art Of Chinese - By Posh Foods</t>
        </is>
      </c>
      <c r="F79" t="inlineStr">
        <is>
          <t>20037890</t>
        </is>
      </c>
      <c r="G79" t="inlineStr">
        <is>
          <t>Flat ₹100 off (2025-12-08 - 2031-01-01)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9</t>
        </is>
      </c>
      <c r="O79" t="n">
        <v>420</v>
      </c>
      <c r="P79" t="n">
        <v>0</v>
      </c>
      <c r="Q79" t="n">
        <v>0</v>
      </c>
      <c r="R79" t="n">
        <v>70</v>
      </c>
      <c r="S79" t="n">
        <v>32</v>
      </c>
      <c r="T79" t="n">
        <v>0</v>
      </c>
      <c r="U79" t="n">
        <v>0</v>
      </c>
      <c r="V79" t="n">
        <v>15.9</v>
      </c>
      <c r="W79" t="n">
        <v>333.9</v>
      </c>
      <c r="X79" t="n">
        <v>318</v>
      </c>
      <c r="Y79" t="n">
        <v>0</v>
      </c>
      <c r="Z79" t="n">
        <v>0</v>
      </c>
      <c r="AA79" t="n">
        <v>318</v>
      </c>
      <c r="AB79" t="n">
        <v>23</v>
      </c>
      <c r="AC79" t="n">
        <v>73.14</v>
      </c>
      <c r="AD79" t="n">
        <v>6.78</v>
      </c>
      <c r="AE79" t="n">
        <v>40</v>
      </c>
      <c r="AF79" t="n">
        <v>0</v>
      </c>
      <c r="AG79" t="n">
        <v>17.74</v>
      </c>
      <c r="AH79" t="n">
        <v>6.14</v>
      </c>
      <c r="AI79" t="n">
        <v>101.54</v>
      </c>
      <c r="AJ79" t="n">
        <v>18.29</v>
      </c>
      <c r="AK79" t="n">
        <v>0</v>
      </c>
      <c r="AL79" t="n">
        <v>318</v>
      </c>
      <c r="AM79" t="n">
        <v>0</v>
      </c>
      <c r="AN79" t="n">
        <v>0</v>
      </c>
      <c r="AO79" t="n">
        <v>0.32</v>
      </c>
      <c r="AP79" t="n">
        <v>15.9</v>
      </c>
      <c r="AQ79" t="n">
        <v>0</v>
      </c>
      <c r="AR79" t="n">
        <v>34.51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37.52</v>
      </c>
      <c r="AY79" t="n">
        <v>0</v>
      </c>
      <c r="AZ79" t="n">
        <v>0</v>
      </c>
      <c r="BA79" t="n">
        <v>37.52</v>
      </c>
      <c r="BB79" t="n">
        <v>173.57</v>
      </c>
      <c r="BC79" t="n">
        <v>0</v>
      </c>
      <c r="BD79" t="n">
        <v>160.33</v>
      </c>
      <c r="BE79" t="inlineStr">
        <is>
          <t>settled</t>
        </is>
      </c>
      <c r="BF79" t="inlineStr">
        <is>
          <t>2025-12-17 05:30:00</t>
        </is>
      </c>
      <c r="BG79" t="inlineStr">
        <is>
          <t>CITIN25671154595</t>
        </is>
      </c>
      <c r="BH79" t="n">
        <v>0</v>
      </c>
      <c r="BI79" t="inlineStr">
        <is>
          <t>265bc284d4ccb2dc507f8a945d759f7a00ebb13def34b7dab85ba7b7f304c75d</t>
        </is>
      </c>
    </row>
    <row r="80">
      <c r="A80" t="inlineStr">
        <is>
          <t>75</t>
        </is>
      </c>
      <c r="B80" t="inlineStr">
        <is>
          <t>7574002053</t>
        </is>
      </c>
      <c r="C80" t="inlineStr">
        <is>
          <t>2025-12-12 23:58:01</t>
        </is>
      </c>
      <c r="D80" t="inlineStr">
        <is>
          <t>50</t>
        </is>
      </c>
      <c r="E80" t="inlineStr">
        <is>
          <t>Baba Yaga Art Of Chinese - By Posh Foods</t>
        </is>
      </c>
      <c r="F80" t="inlineStr">
        <is>
          <t>20037890</t>
        </is>
      </c>
      <c r="G80" t="inlineStr">
        <is>
          <t>NA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9</t>
        </is>
      </c>
      <c r="O80" t="n">
        <v>895</v>
      </c>
      <c r="P80" t="n">
        <v>0</v>
      </c>
      <c r="Q80" t="n">
        <v>0</v>
      </c>
      <c r="R80" t="n">
        <v>0</v>
      </c>
      <c r="S80" t="n">
        <v>89.5</v>
      </c>
      <c r="T80" t="n">
        <v>0</v>
      </c>
      <c r="U80" t="n">
        <v>0</v>
      </c>
      <c r="V80" t="n">
        <v>40.28</v>
      </c>
      <c r="W80" t="n">
        <v>845.78</v>
      </c>
      <c r="X80" t="n">
        <v>805.5</v>
      </c>
      <c r="Y80" t="n">
        <v>0</v>
      </c>
      <c r="Z80" t="n">
        <v>0</v>
      </c>
      <c r="AA80" t="n">
        <v>805.5</v>
      </c>
      <c r="AB80" t="n">
        <v>23</v>
      </c>
      <c r="AC80" t="n">
        <v>185.26</v>
      </c>
      <c r="AD80" t="n">
        <v>2.84</v>
      </c>
      <c r="AE80" t="n">
        <v>0</v>
      </c>
      <c r="AF80" t="n">
        <v>0</v>
      </c>
      <c r="AG80" t="n">
        <v>0</v>
      </c>
      <c r="AH80" t="n">
        <v>15.56</v>
      </c>
      <c r="AI80" t="n">
        <v>200.82</v>
      </c>
      <c r="AJ80" t="n">
        <v>36.15</v>
      </c>
      <c r="AK80" t="n">
        <v>0</v>
      </c>
      <c r="AL80" t="n">
        <v>805.5</v>
      </c>
      <c r="AM80" t="n">
        <v>0</v>
      </c>
      <c r="AN80" t="n">
        <v>0</v>
      </c>
      <c r="AO80" t="n">
        <v>0.8100000000000001</v>
      </c>
      <c r="AP80" t="n">
        <v>40.28</v>
      </c>
      <c r="AQ80" t="n">
        <v>0</v>
      </c>
      <c r="AR80" t="n">
        <v>77.23999999999999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278.06</v>
      </c>
      <c r="BC80" t="n">
        <v>0</v>
      </c>
      <c r="BD80" t="n">
        <v>567.72</v>
      </c>
      <c r="BE80" t="inlineStr">
        <is>
          <t>settled</t>
        </is>
      </c>
      <c r="BF80" t="inlineStr">
        <is>
          <t>2025-12-17 05:30:00</t>
        </is>
      </c>
      <c r="BG80" t="inlineStr">
        <is>
          <t>CITIN25671154595</t>
        </is>
      </c>
      <c r="BH80" t="n">
        <v>0</v>
      </c>
      <c r="BI80" t="inlineStr">
        <is>
          <t>20dce5cc832e156214f9af6dd876d0babff1a825519cc7f050df08a5b999426e</t>
        </is>
      </c>
    </row>
    <row r="81">
      <c r="A81" t="inlineStr">
        <is>
          <t>76</t>
        </is>
      </c>
      <c r="B81" t="inlineStr">
        <is>
          <t>7569239811</t>
        </is>
      </c>
      <c r="C81" t="inlineStr">
        <is>
          <t>2025-12-13 15:04:00</t>
        </is>
      </c>
      <c r="D81" t="inlineStr">
        <is>
          <t>50</t>
        </is>
      </c>
      <c r="E81" t="inlineStr">
        <is>
          <t>Baba Yaga Art Of Chinese - By Posh Foods</t>
        </is>
      </c>
      <c r="F81" t="inlineStr">
        <is>
          <t>20037890</t>
        </is>
      </c>
      <c r="G81" t="inlineStr">
        <is>
          <t>Flat ₹100 off (2025-12-08 - 2031-01-01)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9</t>
        </is>
      </c>
      <c r="O81" t="n">
        <v>335</v>
      </c>
      <c r="P81" t="n">
        <v>0</v>
      </c>
      <c r="Q81" t="n">
        <v>0</v>
      </c>
      <c r="R81" t="n">
        <v>70</v>
      </c>
      <c r="S81" t="n">
        <v>23.5</v>
      </c>
      <c r="T81" t="n">
        <v>0</v>
      </c>
      <c r="U81" t="n">
        <v>0</v>
      </c>
      <c r="V81" t="n">
        <v>12.08</v>
      </c>
      <c r="W81" t="n">
        <v>253.58</v>
      </c>
      <c r="X81" t="n">
        <v>241.5</v>
      </c>
      <c r="Y81" t="n">
        <v>0</v>
      </c>
      <c r="Z81" t="n">
        <v>0</v>
      </c>
      <c r="AA81" t="n">
        <v>241.5</v>
      </c>
      <c r="AB81" t="n">
        <v>23</v>
      </c>
      <c r="AC81" t="n">
        <v>55.54</v>
      </c>
      <c r="AD81" t="n">
        <v>4.95</v>
      </c>
      <c r="AE81" t="n">
        <v>20</v>
      </c>
      <c r="AF81" t="n">
        <v>0</v>
      </c>
      <c r="AG81" t="n">
        <v>3.09</v>
      </c>
      <c r="AH81" t="n">
        <v>4.67</v>
      </c>
      <c r="AI81" t="n">
        <v>77.12</v>
      </c>
      <c r="AJ81" t="n">
        <v>13.88</v>
      </c>
      <c r="AK81" t="n">
        <v>0</v>
      </c>
      <c r="AL81" t="n">
        <v>241.5</v>
      </c>
      <c r="AM81" t="n">
        <v>0</v>
      </c>
      <c r="AN81" t="n">
        <v>0</v>
      </c>
      <c r="AO81" t="n">
        <v>0.24</v>
      </c>
      <c r="AP81" t="n">
        <v>12.08</v>
      </c>
      <c r="AQ81" t="n">
        <v>0</v>
      </c>
      <c r="AR81" t="n">
        <v>26.2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103.32</v>
      </c>
      <c r="BC81" t="n">
        <v>0</v>
      </c>
      <c r="BD81" t="n">
        <v>150.26</v>
      </c>
      <c r="BE81" t="inlineStr">
        <is>
          <t>settled</t>
        </is>
      </c>
      <c r="BF81" t="inlineStr">
        <is>
          <t>2025-12-17 05:30:00</t>
        </is>
      </c>
      <c r="BG81" t="inlineStr">
        <is>
          <t>CITIN25671154595</t>
        </is>
      </c>
      <c r="BH81" t="n">
        <v>0</v>
      </c>
      <c r="BI81" t="inlineStr">
        <is>
          <t>884573fa141c1cf13799a7c960ded60396f7f85deda924696d79be965b22bd6d</t>
        </is>
      </c>
    </row>
    <row r="82">
      <c r="A82" t="inlineStr">
        <is>
          <t>77</t>
        </is>
      </c>
      <c r="B82" t="inlineStr">
        <is>
          <t>7573837959</t>
        </is>
      </c>
      <c r="C82" t="inlineStr">
        <is>
          <t>2025-12-13 15:38:21</t>
        </is>
      </c>
      <c r="D82" t="inlineStr">
        <is>
          <t>50</t>
        </is>
      </c>
      <c r="E82" t="inlineStr">
        <is>
          <t>Baba Yaga Art Of Chinese - By Posh Foods</t>
        </is>
      </c>
      <c r="F82" t="inlineStr">
        <is>
          <t>20037890</t>
        </is>
      </c>
      <c r="G82" t="inlineStr">
        <is>
          <t>Flat ₹175 off (2025-12-08 - 2031-01-01)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9</t>
        </is>
      </c>
      <c r="O82" t="n">
        <v>700</v>
      </c>
      <c r="P82" t="n">
        <v>0</v>
      </c>
      <c r="Q82" t="n">
        <v>0</v>
      </c>
      <c r="R82" t="n">
        <v>122</v>
      </c>
      <c r="S82" t="n">
        <v>0</v>
      </c>
      <c r="T82" t="n">
        <v>0</v>
      </c>
      <c r="U82" t="n">
        <v>0</v>
      </c>
      <c r="V82" t="n">
        <v>28.9</v>
      </c>
      <c r="W82" t="n">
        <v>606.9</v>
      </c>
      <c r="X82" t="n">
        <v>578</v>
      </c>
      <c r="Y82" t="n">
        <v>0</v>
      </c>
      <c r="Z82" t="n">
        <v>0</v>
      </c>
      <c r="AA82" t="n">
        <v>578</v>
      </c>
      <c r="AB82" t="n">
        <v>23</v>
      </c>
      <c r="AC82" t="n">
        <v>132.94</v>
      </c>
      <c r="AD82" t="n">
        <v>2.43</v>
      </c>
      <c r="AE82" t="n">
        <v>0</v>
      </c>
      <c r="AF82" t="n">
        <v>0</v>
      </c>
      <c r="AG82" t="n">
        <v>0</v>
      </c>
      <c r="AH82" t="n">
        <v>11.17</v>
      </c>
      <c r="AI82" t="n">
        <v>144.11</v>
      </c>
      <c r="AJ82" t="n">
        <v>25.94</v>
      </c>
      <c r="AK82" t="n">
        <v>0</v>
      </c>
      <c r="AL82" t="n">
        <v>578</v>
      </c>
      <c r="AM82" t="n">
        <v>0</v>
      </c>
      <c r="AN82" t="n">
        <v>0</v>
      </c>
      <c r="AO82" t="n">
        <v>0.58</v>
      </c>
      <c r="AP82" t="n">
        <v>28.9</v>
      </c>
      <c r="AQ82" t="n">
        <v>0</v>
      </c>
      <c r="AR82" t="n">
        <v>55.42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199.53</v>
      </c>
      <c r="BC82" t="n">
        <v>0</v>
      </c>
      <c r="BD82" t="n">
        <v>407.37</v>
      </c>
      <c r="BE82" t="inlineStr">
        <is>
          <t>settled</t>
        </is>
      </c>
      <c r="BF82" t="inlineStr">
        <is>
          <t>2025-12-17 05:30:00</t>
        </is>
      </c>
      <c r="BG82" t="inlineStr">
        <is>
          <t>CITIN25671154595</t>
        </is>
      </c>
      <c r="BH82" t="n">
        <v>0</v>
      </c>
      <c r="BI82" t="inlineStr">
        <is>
          <t>76c8c1ce86494d824a4c16bee96edb37525cf6e2c580a841d64cf5afd938fcdc</t>
        </is>
      </c>
    </row>
    <row r="83">
      <c r="A83" t="inlineStr">
        <is>
          <t>78</t>
        </is>
      </c>
      <c r="B83" t="inlineStr">
        <is>
          <t>7572803115</t>
        </is>
      </c>
      <c r="C83" t="inlineStr">
        <is>
          <t>2025-12-13 17:32:54</t>
        </is>
      </c>
      <c r="D83" t="inlineStr">
        <is>
          <t>50</t>
        </is>
      </c>
      <c r="E83" t="inlineStr">
        <is>
          <t>Baba Yaga Art Of Chinese - By Posh Foods</t>
        </is>
      </c>
      <c r="F83" t="inlineStr">
        <is>
          <t>20037890</t>
        </is>
      </c>
      <c r="G83" t="inlineStr">
        <is>
          <t>Flat ₹80 off (2025-12-08 - 2031-01-01)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9</t>
        </is>
      </c>
      <c r="O83" t="n">
        <v>265</v>
      </c>
      <c r="P83" t="n">
        <v>0</v>
      </c>
      <c r="Q83" t="n">
        <v>0</v>
      </c>
      <c r="R83" t="n">
        <v>56</v>
      </c>
      <c r="S83" t="n">
        <v>0</v>
      </c>
      <c r="T83" t="n">
        <v>0</v>
      </c>
      <c r="U83" t="n">
        <v>0</v>
      </c>
      <c r="V83" t="n">
        <v>10.45</v>
      </c>
      <c r="W83" t="n">
        <v>219.45</v>
      </c>
      <c r="X83" t="n">
        <v>209</v>
      </c>
      <c r="Y83" t="n">
        <v>0</v>
      </c>
      <c r="Z83" t="n">
        <v>0</v>
      </c>
      <c r="AA83" t="n">
        <v>209</v>
      </c>
      <c r="AB83" t="n">
        <v>23</v>
      </c>
      <c r="AC83" t="n">
        <v>48.07</v>
      </c>
      <c r="AD83" t="n">
        <v>3.2</v>
      </c>
      <c r="AE83" t="n">
        <v>0</v>
      </c>
      <c r="AF83" t="n">
        <v>0</v>
      </c>
      <c r="AG83" t="n">
        <v>0</v>
      </c>
      <c r="AH83" t="n">
        <v>4.04</v>
      </c>
      <c r="AI83" t="n">
        <v>52.11</v>
      </c>
      <c r="AJ83" t="n">
        <v>9.380000000000001</v>
      </c>
      <c r="AK83" t="n">
        <v>0</v>
      </c>
      <c r="AL83" t="n">
        <v>209</v>
      </c>
      <c r="AM83" t="n">
        <v>0</v>
      </c>
      <c r="AN83" t="n">
        <v>0</v>
      </c>
      <c r="AO83" t="n">
        <v>0.21</v>
      </c>
      <c r="AP83" t="n">
        <v>10.45</v>
      </c>
      <c r="AQ83" t="n">
        <v>0</v>
      </c>
      <c r="AR83" t="n">
        <v>20.04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24.66</v>
      </c>
      <c r="AY83" t="n">
        <v>0</v>
      </c>
      <c r="AZ83" t="n">
        <v>0</v>
      </c>
      <c r="BA83" t="n">
        <v>24.66</v>
      </c>
      <c r="BB83" t="n">
        <v>96.81</v>
      </c>
      <c r="BC83" t="n">
        <v>0</v>
      </c>
      <c r="BD83" t="n">
        <v>122.64</v>
      </c>
      <c r="BE83" t="inlineStr">
        <is>
          <t>settled</t>
        </is>
      </c>
      <c r="BF83" t="inlineStr">
        <is>
          <t>2025-12-17 05:30:00</t>
        </is>
      </c>
      <c r="BG83" t="inlineStr">
        <is>
          <t>CITIN25671154595</t>
        </is>
      </c>
      <c r="BH83" t="n">
        <v>0</v>
      </c>
      <c r="BI83" t="inlineStr">
        <is>
          <t>d620331fc1d741722993c88e538c5d01820767733e9a4f34a8dc6e707abde7ce</t>
        </is>
      </c>
    </row>
    <row r="84">
      <c r="A84" t="inlineStr">
        <is>
          <t>79</t>
        </is>
      </c>
      <c r="B84" t="inlineStr">
        <is>
          <t>7578923652</t>
        </is>
      </c>
      <c r="C84" t="inlineStr">
        <is>
          <t>2025-12-13 20:09:55</t>
        </is>
      </c>
      <c r="D84" t="inlineStr">
        <is>
          <t>50</t>
        </is>
      </c>
      <c r="E84" t="inlineStr">
        <is>
          <t>Baba Yaga Art Of Chinese - By Posh Foods</t>
        </is>
      </c>
      <c r="F84" t="inlineStr">
        <is>
          <t>20037890</t>
        </is>
      </c>
      <c r="G84" t="inlineStr">
        <is>
          <t>Flat ₹125 off (2025-12-08 - 2031-01-01)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9</t>
        </is>
      </c>
      <c r="O84" t="n">
        <v>504</v>
      </c>
      <c r="P84" t="n">
        <v>0</v>
      </c>
      <c r="Q84" t="n">
        <v>0</v>
      </c>
      <c r="R84" t="n">
        <v>125</v>
      </c>
      <c r="S84" t="n">
        <v>37.9</v>
      </c>
      <c r="T84" t="n">
        <v>0</v>
      </c>
      <c r="U84" t="n">
        <v>0</v>
      </c>
      <c r="V84" t="n">
        <v>17.06</v>
      </c>
      <c r="W84" t="n">
        <v>358.16</v>
      </c>
      <c r="X84" t="n">
        <v>341.1</v>
      </c>
      <c r="Y84" t="n">
        <v>0</v>
      </c>
      <c r="Z84" t="n">
        <v>0</v>
      </c>
      <c r="AA84" t="n">
        <v>341.1</v>
      </c>
      <c r="AB84" t="n">
        <v>23</v>
      </c>
      <c r="AC84" t="n">
        <v>78.45</v>
      </c>
      <c r="AD84" t="n">
        <v>3.29</v>
      </c>
      <c r="AE84" t="n">
        <v>0</v>
      </c>
      <c r="AF84" t="n">
        <v>0</v>
      </c>
      <c r="AG84" t="n">
        <v>0</v>
      </c>
      <c r="AH84" t="n">
        <v>6.59</v>
      </c>
      <c r="AI84" t="n">
        <v>85.04000000000001</v>
      </c>
      <c r="AJ84" t="n">
        <v>15.31</v>
      </c>
      <c r="AK84" t="n">
        <v>0</v>
      </c>
      <c r="AL84" t="n">
        <v>341.1</v>
      </c>
      <c r="AM84" t="n">
        <v>0</v>
      </c>
      <c r="AN84" t="n">
        <v>0</v>
      </c>
      <c r="AO84" t="n">
        <v>0.34</v>
      </c>
      <c r="AP84" t="n">
        <v>17.06</v>
      </c>
      <c r="AQ84" t="n">
        <v>0</v>
      </c>
      <c r="AR84" t="n">
        <v>32.71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117.75</v>
      </c>
      <c r="BC84" t="n">
        <v>0</v>
      </c>
      <c r="BD84" t="n">
        <v>240.41</v>
      </c>
      <c r="BE84" t="inlineStr">
        <is>
          <t>settled</t>
        </is>
      </c>
      <c r="BF84" t="inlineStr">
        <is>
          <t>2025-12-17 05:30:00</t>
        </is>
      </c>
      <c r="BG84" t="inlineStr">
        <is>
          <t>CITIN25671154595</t>
        </is>
      </c>
      <c r="BH84" t="n">
        <v>0</v>
      </c>
      <c r="BI84" t="inlineStr">
        <is>
          <t>fd33d8cd133f11fd1bfc564c99301cf1362ac377d92012c6a8cf2027c475c7cb</t>
        </is>
      </c>
    </row>
    <row r="85">
      <c r="A85" t="inlineStr">
        <is>
          <t>80</t>
        </is>
      </c>
      <c r="B85" t="inlineStr">
        <is>
          <t>7574528842</t>
        </is>
      </c>
      <c r="C85" t="inlineStr">
        <is>
          <t>2025-12-13 20:52:32</t>
        </is>
      </c>
      <c r="D85" t="inlineStr">
        <is>
          <t>50</t>
        </is>
      </c>
      <c r="E85" t="inlineStr">
        <is>
          <t>Baba Yaga Art Of Chinese - By Posh Foods</t>
        </is>
      </c>
      <c r="F85" t="inlineStr">
        <is>
          <t>20037890</t>
        </is>
      </c>
      <c r="G85" t="inlineStr">
        <is>
          <t>Flat ₹150 off (2025-12-08 - 2031-01-01)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9</t>
        </is>
      </c>
      <c r="O85" t="n">
        <v>504</v>
      </c>
      <c r="P85" t="n">
        <v>0</v>
      </c>
      <c r="Q85" t="n">
        <v>0</v>
      </c>
      <c r="R85" t="n">
        <v>105</v>
      </c>
      <c r="S85" t="n">
        <v>35.4</v>
      </c>
      <c r="T85" t="n">
        <v>0</v>
      </c>
      <c r="U85" t="n">
        <v>0</v>
      </c>
      <c r="V85" t="n">
        <v>18.18</v>
      </c>
      <c r="W85" t="n">
        <v>381.78</v>
      </c>
      <c r="X85" t="n">
        <v>363.6</v>
      </c>
      <c r="Y85" t="n">
        <v>0</v>
      </c>
      <c r="Z85" t="n">
        <v>0</v>
      </c>
      <c r="AA85" t="n">
        <v>363.6</v>
      </c>
      <c r="AB85" t="n">
        <v>23</v>
      </c>
      <c r="AC85" t="n">
        <v>83.63</v>
      </c>
      <c r="AD85" t="n">
        <v>3.39</v>
      </c>
      <c r="AE85" t="n">
        <v>0</v>
      </c>
      <c r="AF85" t="n">
        <v>0</v>
      </c>
      <c r="AG85" t="n">
        <v>0</v>
      </c>
      <c r="AH85" t="n">
        <v>7.02</v>
      </c>
      <c r="AI85" t="n">
        <v>90.65000000000001</v>
      </c>
      <c r="AJ85" t="n">
        <v>16.31</v>
      </c>
      <c r="AK85" t="n">
        <v>0</v>
      </c>
      <c r="AL85" t="n">
        <v>363.6</v>
      </c>
      <c r="AM85" t="n">
        <v>0</v>
      </c>
      <c r="AN85" t="n">
        <v>0</v>
      </c>
      <c r="AO85" t="n">
        <v>0.36</v>
      </c>
      <c r="AP85" t="n">
        <v>18.18</v>
      </c>
      <c r="AQ85" t="n">
        <v>0</v>
      </c>
      <c r="AR85" t="n">
        <v>34.85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125.5</v>
      </c>
      <c r="BC85" t="n">
        <v>0</v>
      </c>
      <c r="BD85" t="n">
        <v>256.28</v>
      </c>
      <c r="BE85" t="inlineStr">
        <is>
          <t>settled</t>
        </is>
      </c>
      <c r="BF85" t="inlineStr">
        <is>
          <t>2025-12-17 05:30:00</t>
        </is>
      </c>
      <c r="BG85" t="inlineStr">
        <is>
          <t>CITIN25671154595</t>
        </is>
      </c>
      <c r="BH85" t="n">
        <v>0</v>
      </c>
      <c r="BI85" t="inlineStr">
        <is>
          <t>a2db8eab6eb4aafb6348ff7e2ab95432d1d89eeb0a600162f0fdcbc985d8e3a1</t>
        </is>
      </c>
    </row>
    <row r="86">
      <c r="A86" t="inlineStr">
        <is>
          <t>81</t>
        </is>
      </c>
      <c r="B86" t="inlineStr">
        <is>
          <t>7578417191</t>
        </is>
      </c>
      <c r="C86" t="inlineStr">
        <is>
          <t>2025-12-13 22:29:22</t>
        </is>
      </c>
      <c r="D86" t="inlineStr">
        <is>
          <t>50</t>
        </is>
      </c>
      <c r="E86" t="inlineStr">
        <is>
          <t>Baba Yaga Art Of Chinese - By Posh Foods</t>
        </is>
      </c>
      <c r="F86" t="inlineStr">
        <is>
          <t>20037890</t>
        </is>
      </c>
      <c r="G86" t="inlineStr">
        <is>
          <t>Flat ₹100 off (2025-12-08 - 2031-01-01)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9</t>
        </is>
      </c>
      <c r="O86" t="n">
        <v>335</v>
      </c>
      <c r="P86" t="n">
        <v>0</v>
      </c>
      <c r="Q86" t="n">
        <v>0</v>
      </c>
      <c r="R86" t="n">
        <v>70</v>
      </c>
      <c r="S86" t="n">
        <v>23.5</v>
      </c>
      <c r="T86" t="n">
        <v>0</v>
      </c>
      <c r="U86" t="n">
        <v>0</v>
      </c>
      <c r="V86" t="n">
        <v>12.08</v>
      </c>
      <c r="W86" t="n">
        <v>253.58</v>
      </c>
      <c r="X86" t="n">
        <v>241.5</v>
      </c>
      <c r="Y86" t="n">
        <v>0</v>
      </c>
      <c r="Z86" t="n">
        <v>0</v>
      </c>
      <c r="AA86" t="n">
        <v>241.5</v>
      </c>
      <c r="AB86" t="n">
        <v>23</v>
      </c>
      <c r="AC86" t="n">
        <v>55.54</v>
      </c>
      <c r="AD86" t="n">
        <v>1.89</v>
      </c>
      <c r="AE86" t="n">
        <v>0</v>
      </c>
      <c r="AF86" t="n">
        <v>0</v>
      </c>
      <c r="AG86" t="n">
        <v>0</v>
      </c>
      <c r="AH86" t="n">
        <v>4.67</v>
      </c>
      <c r="AI86" t="n">
        <v>60.21</v>
      </c>
      <c r="AJ86" t="n">
        <v>10.84</v>
      </c>
      <c r="AK86" t="n">
        <v>0</v>
      </c>
      <c r="AL86" t="n">
        <v>241.5</v>
      </c>
      <c r="AM86" t="n">
        <v>0</v>
      </c>
      <c r="AN86" t="n">
        <v>0</v>
      </c>
      <c r="AO86" t="n">
        <v>0.24</v>
      </c>
      <c r="AP86" t="n">
        <v>12.08</v>
      </c>
      <c r="AQ86" t="n">
        <v>0</v>
      </c>
      <c r="AR86" t="n">
        <v>23.16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28.5</v>
      </c>
      <c r="AY86" t="n">
        <v>0</v>
      </c>
      <c r="AZ86" t="n">
        <v>0</v>
      </c>
      <c r="BA86" t="n">
        <v>28.5</v>
      </c>
      <c r="BB86" t="n">
        <v>111.87</v>
      </c>
      <c r="BC86" t="n">
        <v>0</v>
      </c>
      <c r="BD86" t="n">
        <v>141.71</v>
      </c>
      <c r="BE86" t="inlineStr">
        <is>
          <t>settled</t>
        </is>
      </c>
      <c r="BF86" t="inlineStr">
        <is>
          <t>2025-12-17 05:30:00</t>
        </is>
      </c>
      <c r="BG86" t="inlineStr">
        <is>
          <t>CITIN25671154595</t>
        </is>
      </c>
      <c r="BH86" t="n">
        <v>0</v>
      </c>
      <c r="BI86" t="inlineStr">
        <is>
          <t>39601ca5c0853c27602c7082dc2545eaaacf514ec8b7e3e2fe70d5ab761bb35d</t>
        </is>
      </c>
    </row>
    <row r="87">
      <c r="A87" t="inlineStr">
        <is>
          <t>82</t>
        </is>
      </c>
      <c r="B87" t="inlineStr">
        <is>
          <t>7577302076</t>
        </is>
      </c>
      <c r="C87" t="inlineStr">
        <is>
          <t>2025-12-13 23:06:49</t>
        </is>
      </c>
      <c r="D87" t="inlineStr">
        <is>
          <t>50</t>
        </is>
      </c>
      <c r="E87" t="inlineStr">
        <is>
          <t>Baba Yaga Art Of Chinese - By Posh Foods</t>
        </is>
      </c>
      <c r="F87" t="inlineStr">
        <is>
          <t>20037890</t>
        </is>
      </c>
      <c r="G87" t="inlineStr">
        <is>
          <t>Flat ₹150 off (2025-12-08 - 2031-01-01)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9</t>
        </is>
      </c>
      <c r="O87" t="n">
        <v>645</v>
      </c>
      <c r="P87" t="n">
        <v>0</v>
      </c>
      <c r="Q87" t="n">
        <v>0</v>
      </c>
      <c r="R87" t="n">
        <v>150</v>
      </c>
      <c r="S87" t="n">
        <v>49.5</v>
      </c>
      <c r="T87" t="n">
        <v>0</v>
      </c>
      <c r="U87" t="n">
        <v>0</v>
      </c>
      <c r="V87" t="n">
        <v>22.28</v>
      </c>
      <c r="W87" t="n">
        <v>467.78</v>
      </c>
      <c r="X87" t="n">
        <v>445.5</v>
      </c>
      <c r="Y87" t="n">
        <v>0</v>
      </c>
      <c r="Z87" t="n">
        <v>0</v>
      </c>
      <c r="AA87" t="n">
        <v>445.5</v>
      </c>
      <c r="AB87" t="n">
        <v>23</v>
      </c>
      <c r="AC87" t="n">
        <v>102.46</v>
      </c>
      <c r="AD87" t="n">
        <v>3.13</v>
      </c>
      <c r="AE87" t="n">
        <v>0</v>
      </c>
      <c r="AF87" t="n">
        <v>0</v>
      </c>
      <c r="AG87" t="n">
        <v>0</v>
      </c>
      <c r="AH87" t="n">
        <v>8.609999999999999</v>
      </c>
      <c r="AI87" t="n">
        <v>111.07</v>
      </c>
      <c r="AJ87" t="n">
        <v>19.99</v>
      </c>
      <c r="AK87" t="n">
        <v>0</v>
      </c>
      <c r="AL87" t="n">
        <v>445.5</v>
      </c>
      <c r="AM87" t="n">
        <v>0</v>
      </c>
      <c r="AN87" t="n">
        <v>0</v>
      </c>
      <c r="AO87" t="n">
        <v>0.45</v>
      </c>
      <c r="AP87" t="n">
        <v>22.28</v>
      </c>
      <c r="AQ87" t="n">
        <v>0</v>
      </c>
      <c r="AR87" t="n">
        <v>42.72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52.57</v>
      </c>
      <c r="AY87" t="n">
        <v>0</v>
      </c>
      <c r="AZ87" t="n">
        <v>0</v>
      </c>
      <c r="BA87" t="n">
        <v>52.57</v>
      </c>
      <c r="BB87" t="n">
        <v>206.36</v>
      </c>
      <c r="BC87" t="n">
        <v>0</v>
      </c>
      <c r="BD87" t="n">
        <v>261.42</v>
      </c>
      <c r="BE87" t="inlineStr">
        <is>
          <t>settled</t>
        </is>
      </c>
      <c r="BF87" t="inlineStr">
        <is>
          <t>2025-12-17 05:30:00</t>
        </is>
      </c>
      <c r="BG87" t="inlineStr">
        <is>
          <t>CITIN25671154595</t>
        </is>
      </c>
      <c r="BH87" t="n">
        <v>0</v>
      </c>
      <c r="BI87" t="inlineStr">
        <is>
          <t>f474091f3d7170e8875e186a09fb5eda3dc390dfdc2dab179ed7b172e2d8c9cf</t>
        </is>
      </c>
    </row>
    <row r="88">
      <c r="A88" t="inlineStr">
        <is>
          <t>83</t>
        </is>
      </c>
      <c r="B88" t="inlineStr">
        <is>
          <t>7578279236</t>
        </is>
      </c>
      <c r="C88" t="inlineStr">
        <is>
          <t>2025-12-14 00:43:50</t>
        </is>
      </c>
      <c r="D88" t="inlineStr">
        <is>
          <t>50</t>
        </is>
      </c>
      <c r="E88" t="inlineStr">
        <is>
          <t>Baba Yaga Art Of Chinese - By Posh Foods</t>
        </is>
      </c>
      <c r="F88" t="inlineStr">
        <is>
          <t>20037890</t>
        </is>
      </c>
      <c r="G88" t="inlineStr">
        <is>
          <t>Flat ₹100 off (2025-12-08 - 2031-01-01)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9</t>
        </is>
      </c>
      <c r="O88" t="n">
        <v>280</v>
      </c>
      <c r="P88" t="n">
        <v>0</v>
      </c>
      <c r="Q88" t="n">
        <v>0</v>
      </c>
      <c r="R88" t="n">
        <v>70</v>
      </c>
      <c r="S88" t="n">
        <v>0</v>
      </c>
      <c r="T88" t="n">
        <v>0</v>
      </c>
      <c r="U88" t="n">
        <v>0</v>
      </c>
      <c r="V88" t="n">
        <v>10.5</v>
      </c>
      <c r="W88" t="n">
        <v>220.5</v>
      </c>
      <c r="X88" t="n">
        <v>210</v>
      </c>
      <c r="Y88" t="n">
        <v>0</v>
      </c>
      <c r="Z88" t="n">
        <v>0</v>
      </c>
      <c r="AA88" t="n">
        <v>210</v>
      </c>
      <c r="AB88" t="n">
        <v>23</v>
      </c>
      <c r="AC88" t="n">
        <v>48.3</v>
      </c>
      <c r="AD88" t="n">
        <v>2.72</v>
      </c>
      <c r="AE88" t="n">
        <v>0</v>
      </c>
      <c r="AF88" t="n">
        <v>0</v>
      </c>
      <c r="AG88" t="n">
        <v>0</v>
      </c>
      <c r="AH88" t="n">
        <v>4.06</v>
      </c>
      <c r="AI88" t="n">
        <v>52.36</v>
      </c>
      <c r="AJ88" t="n">
        <v>9.42</v>
      </c>
      <c r="AK88" t="n">
        <v>0</v>
      </c>
      <c r="AL88" t="n">
        <v>210</v>
      </c>
      <c r="AM88" t="n">
        <v>0</v>
      </c>
      <c r="AN88" t="n">
        <v>0</v>
      </c>
      <c r="AO88" t="n">
        <v>0.21</v>
      </c>
      <c r="AP88" t="n">
        <v>10.5</v>
      </c>
      <c r="AQ88" t="n">
        <v>0</v>
      </c>
      <c r="AR88" t="n">
        <v>20.13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72.48999999999999</v>
      </c>
      <c r="BC88" t="n">
        <v>0</v>
      </c>
      <c r="BD88" t="n">
        <v>148.01</v>
      </c>
      <c r="BE88" t="inlineStr">
        <is>
          <t>settled</t>
        </is>
      </c>
      <c r="BF88" t="inlineStr">
        <is>
          <t>2025-12-17 05:30:00</t>
        </is>
      </c>
      <c r="BG88" t="inlineStr">
        <is>
          <t>CITIN25671154595</t>
        </is>
      </c>
      <c r="BH88" t="n">
        <v>0</v>
      </c>
      <c r="BI88" t="inlineStr">
        <is>
          <t>98b8131b452c06057dab3dc39b7cd656825aa1c6933cb1a6cfc764e70d087a79</t>
        </is>
      </c>
    </row>
    <row r="89">
      <c r="A89" t="inlineStr">
        <is>
          <t>84</t>
        </is>
      </c>
      <c r="B89" t="inlineStr">
        <is>
          <t>7579306399</t>
        </is>
      </c>
      <c r="C89" t="inlineStr">
        <is>
          <t>2025-12-14 14:02:58</t>
        </is>
      </c>
      <c r="D89" t="inlineStr">
        <is>
          <t>50</t>
        </is>
      </c>
      <c r="E89" t="inlineStr">
        <is>
          <t>Baba Yaga Art Of Chinese - By Posh Foods</t>
        </is>
      </c>
      <c r="F89" t="inlineStr">
        <is>
          <t>20037890</t>
        </is>
      </c>
      <c r="G89" t="inlineStr">
        <is>
          <t>Flat ₹175 off (2025-12-08 - 2031-01-01)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9</t>
        </is>
      </c>
      <c r="O89" t="n">
        <v>769</v>
      </c>
      <c r="P89" t="n">
        <v>0</v>
      </c>
      <c r="Q89" t="n">
        <v>0</v>
      </c>
      <c r="R89" t="n">
        <v>175</v>
      </c>
      <c r="S89" t="n">
        <v>59.4</v>
      </c>
      <c r="T89" t="n">
        <v>0</v>
      </c>
      <c r="U89" t="n">
        <v>0</v>
      </c>
      <c r="V89" t="n">
        <v>26.73</v>
      </c>
      <c r="W89" t="n">
        <v>561.33</v>
      </c>
      <c r="X89" t="n">
        <v>534.6</v>
      </c>
      <c r="Y89" t="n">
        <v>0</v>
      </c>
      <c r="Z89" t="n">
        <v>0</v>
      </c>
      <c r="AA89" t="n">
        <v>534.6</v>
      </c>
      <c r="AB89" t="n">
        <v>23</v>
      </c>
      <c r="AC89" t="n">
        <v>122.96</v>
      </c>
      <c r="AD89" t="n">
        <v>3</v>
      </c>
      <c r="AE89" t="n">
        <v>0</v>
      </c>
      <c r="AF89" t="n">
        <v>0</v>
      </c>
      <c r="AG89" t="n">
        <v>0</v>
      </c>
      <c r="AH89" t="n">
        <v>10.33</v>
      </c>
      <c r="AI89" t="n">
        <v>133.29</v>
      </c>
      <c r="AJ89" t="n">
        <v>23.99</v>
      </c>
      <c r="AK89" t="n">
        <v>0</v>
      </c>
      <c r="AL89" t="n">
        <v>534.6</v>
      </c>
      <c r="AM89" t="n">
        <v>0</v>
      </c>
      <c r="AN89" t="n">
        <v>0</v>
      </c>
      <c r="AO89" t="n">
        <v>0.53</v>
      </c>
      <c r="AP89" t="n">
        <v>26.73</v>
      </c>
      <c r="AQ89" t="n">
        <v>0</v>
      </c>
      <c r="AR89" t="n">
        <v>51.25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63.08</v>
      </c>
      <c r="AY89" t="n">
        <v>0</v>
      </c>
      <c r="AZ89" t="n">
        <v>0</v>
      </c>
      <c r="BA89" t="n">
        <v>63.08</v>
      </c>
      <c r="BB89" t="n">
        <v>247.62</v>
      </c>
      <c r="BC89" t="n">
        <v>0</v>
      </c>
      <c r="BD89" t="n">
        <v>313.71</v>
      </c>
      <c r="BE89" t="inlineStr">
        <is>
          <t>settled</t>
        </is>
      </c>
      <c r="BF89" t="inlineStr">
        <is>
          <t>2025-12-17 05:30:00</t>
        </is>
      </c>
      <c r="BG89" t="inlineStr">
        <is>
          <t>CITIN25671154595</t>
        </is>
      </c>
      <c r="BH89" t="n">
        <v>0</v>
      </c>
      <c r="BI89" t="inlineStr">
        <is>
          <t>d1a7a3e9ee16df21f64a9da97e8a1b8da8b3a6287cfa286c6eed7367ca15a2f0</t>
        </is>
      </c>
    </row>
    <row r="90">
      <c r="A90" t="inlineStr">
        <is>
          <t>85</t>
        </is>
      </c>
      <c r="B90" t="inlineStr">
        <is>
          <t>7580556446</t>
        </is>
      </c>
      <c r="C90" t="inlineStr">
        <is>
          <t>2025-12-14 14:36:37</t>
        </is>
      </c>
      <c r="D90" t="inlineStr">
        <is>
          <t>50</t>
        </is>
      </c>
      <c r="E90" t="inlineStr">
        <is>
          <t>Baba Yaga Art Of Chinese - By Posh Foods</t>
        </is>
      </c>
      <c r="F90" t="inlineStr">
        <is>
          <t>20037890</t>
        </is>
      </c>
      <c r="G90" t="inlineStr">
        <is>
          <t>Flat ₹100 off (2025-12-05 - 2031-01-01)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9</t>
        </is>
      </c>
      <c r="O90" t="n">
        <v>365</v>
      </c>
      <c r="P90" t="n">
        <v>0</v>
      </c>
      <c r="Q90" t="n">
        <v>0</v>
      </c>
      <c r="R90" t="n">
        <v>100</v>
      </c>
      <c r="S90" t="n">
        <v>26.5</v>
      </c>
      <c r="T90" t="n">
        <v>0</v>
      </c>
      <c r="U90" t="n">
        <v>0</v>
      </c>
      <c r="V90" t="n">
        <v>11.93</v>
      </c>
      <c r="W90" t="n">
        <v>250.43</v>
      </c>
      <c r="X90" t="n">
        <v>238.5</v>
      </c>
      <c r="Y90" t="n">
        <v>0</v>
      </c>
      <c r="Z90" t="n">
        <v>0</v>
      </c>
      <c r="AA90" t="n">
        <v>238.5</v>
      </c>
      <c r="AB90" t="n">
        <v>23</v>
      </c>
      <c r="AC90" t="n">
        <v>54.86</v>
      </c>
      <c r="AD90" t="n">
        <v>3.05</v>
      </c>
      <c r="AE90" t="n">
        <v>0</v>
      </c>
      <c r="AF90" t="n">
        <v>0</v>
      </c>
      <c r="AG90" t="n">
        <v>0</v>
      </c>
      <c r="AH90" t="n">
        <v>4.61</v>
      </c>
      <c r="AI90" t="n">
        <v>59.47</v>
      </c>
      <c r="AJ90" t="n">
        <v>10.7</v>
      </c>
      <c r="AK90" t="n">
        <v>0</v>
      </c>
      <c r="AL90" t="n">
        <v>238.5</v>
      </c>
      <c r="AM90" t="n">
        <v>0</v>
      </c>
      <c r="AN90" t="n">
        <v>0</v>
      </c>
      <c r="AO90" t="n">
        <v>0.24</v>
      </c>
      <c r="AP90" t="n">
        <v>11.93</v>
      </c>
      <c r="AQ90" t="n">
        <v>0</v>
      </c>
      <c r="AR90" t="n">
        <v>22.87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82.34</v>
      </c>
      <c r="BC90" t="n">
        <v>0</v>
      </c>
      <c r="BD90" t="n">
        <v>168.09</v>
      </c>
      <c r="BE90" t="inlineStr">
        <is>
          <t>settled</t>
        </is>
      </c>
      <c r="BF90" t="inlineStr">
        <is>
          <t>2025-12-17 05:30:00</t>
        </is>
      </c>
      <c r="BG90" t="inlineStr">
        <is>
          <t>CITIN25671154595</t>
        </is>
      </c>
      <c r="BH90" t="n">
        <v>0</v>
      </c>
      <c r="BI90" t="inlineStr">
        <is>
          <t>b8ae946be4dc5a9e207e25d6001a42709ae89a6474fd2130b13ef9130dbd4939</t>
        </is>
      </c>
    </row>
    <row r="91">
      <c r="A91" t="inlineStr">
        <is>
          <t>86</t>
        </is>
      </c>
      <c r="B91" t="inlineStr">
        <is>
          <t>7575625728</t>
        </is>
      </c>
      <c r="C91" t="inlineStr">
        <is>
          <t>2025-12-14 19:51:17</t>
        </is>
      </c>
      <c r="D91" t="inlineStr">
        <is>
          <t>50</t>
        </is>
      </c>
      <c r="E91" t="inlineStr">
        <is>
          <t>Baba Yaga Art Of Chinese - By Posh Foods</t>
        </is>
      </c>
      <c r="F91" t="inlineStr">
        <is>
          <t>20037890</t>
        </is>
      </c>
      <c r="G91" t="inlineStr">
        <is>
          <t>Flat ₹100 off (2025-12-08 - 2031-01-01)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9</t>
        </is>
      </c>
      <c r="O91" t="n">
        <v>315</v>
      </c>
      <c r="P91" t="n">
        <v>0</v>
      </c>
      <c r="Q91" t="n">
        <v>0</v>
      </c>
      <c r="R91" t="n">
        <v>70</v>
      </c>
      <c r="S91" t="n">
        <v>21.5</v>
      </c>
      <c r="T91" t="n">
        <v>0</v>
      </c>
      <c r="U91" t="n">
        <v>0</v>
      </c>
      <c r="V91" t="n">
        <v>11.18</v>
      </c>
      <c r="W91" t="n">
        <v>234.68</v>
      </c>
      <c r="X91" t="n">
        <v>223.5</v>
      </c>
      <c r="Y91" t="n">
        <v>0</v>
      </c>
      <c r="Z91" t="n">
        <v>0</v>
      </c>
      <c r="AA91" t="n">
        <v>223.5</v>
      </c>
      <c r="AB91" t="n">
        <v>23</v>
      </c>
      <c r="AC91" t="n">
        <v>51.4</v>
      </c>
      <c r="AD91" t="n">
        <v>3.28</v>
      </c>
      <c r="AE91" t="n">
        <v>0</v>
      </c>
      <c r="AF91" t="n">
        <v>0</v>
      </c>
      <c r="AG91" t="n">
        <v>0</v>
      </c>
      <c r="AH91" t="n">
        <v>4.32</v>
      </c>
      <c r="AI91" t="n">
        <v>55.72</v>
      </c>
      <c r="AJ91" t="n">
        <v>10.03</v>
      </c>
      <c r="AK91" t="n">
        <v>0</v>
      </c>
      <c r="AL91" t="n">
        <v>223.5</v>
      </c>
      <c r="AM91" t="n">
        <v>0</v>
      </c>
      <c r="AN91" t="n">
        <v>0</v>
      </c>
      <c r="AO91" t="n">
        <v>0.22</v>
      </c>
      <c r="AP91" t="n">
        <v>11.18</v>
      </c>
      <c r="AQ91" t="n">
        <v>0</v>
      </c>
      <c r="AR91" t="n">
        <v>21.43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26.37</v>
      </c>
      <c r="AY91" t="n">
        <v>0</v>
      </c>
      <c r="AZ91" t="n">
        <v>0</v>
      </c>
      <c r="BA91" t="n">
        <v>26.37</v>
      </c>
      <c r="BB91" t="n">
        <v>103.52</v>
      </c>
      <c r="BC91" t="n">
        <v>0</v>
      </c>
      <c r="BD91" t="n">
        <v>131.16</v>
      </c>
      <c r="BE91" t="inlineStr">
        <is>
          <t>settled</t>
        </is>
      </c>
      <c r="BF91" t="inlineStr">
        <is>
          <t>2025-12-17 05:30:00</t>
        </is>
      </c>
      <c r="BG91" t="inlineStr">
        <is>
          <t>CITIN25671154595</t>
        </is>
      </c>
      <c r="BH91" t="n">
        <v>0</v>
      </c>
      <c r="BI91" t="inlineStr">
        <is>
          <t>dfe7c009d7edfd8bedd1e5a45ea08f95b809dcb854148b7e5fefeabcc4a84747</t>
        </is>
      </c>
    </row>
    <row r="92">
      <c r="A92" t="inlineStr">
        <is>
          <t>87</t>
        </is>
      </c>
      <c r="B92" t="inlineStr">
        <is>
          <t>7584090044</t>
        </is>
      </c>
      <c r="C92" t="inlineStr">
        <is>
          <t>2025-12-14 20:18:07</t>
        </is>
      </c>
      <c r="D92" t="inlineStr">
        <is>
          <t>50</t>
        </is>
      </c>
      <c r="E92" t="inlineStr">
        <is>
          <t>Baba Yaga Art Of Chinese - By Posh Foods</t>
        </is>
      </c>
      <c r="F92" t="inlineStr">
        <is>
          <t>20037890</t>
        </is>
      </c>
      <c r="G92" t="inlineStr">
        <is>
          <t>Flat ₹150 off (2025-12-08 - 2031-01-01)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9</t>
        </is>
      </c>
      <c r="O92" t="n">
        <v>525</v>
      </c>
      <c r="P92" t="n">
        <v>0</v>
      </c>
      <c r="Q92" t="n">
        <v>0</v>
      </c>
      <c r="R92" t="n">
        <v>105</v>
      </c>
      <c r="S92" t="n">
        <v>37.5</v>
      </c>
      <c r="T92" t="n">
        <v>0</v>
      </c>
      <c r="U92" t="n">
        <v>0</v>
      </c>
      <c r="V92" t="n">
        <v>19.13</v>
      </c>
      <c r="W92" t="n">
        <v>401.63</v>
      </c>
      <c r="X92" t="n">
        <v>382.5</v>
      </c>
      <c r="Y92" t="n">
        <v>0</v>
      </c>
      <c r="Z92" t="n">
        <v>0</v>
      </c>
      <c r="AA92" t="n">
        <v>382.5</v>
      </c>
      <c r="AB92" t="n">
        <v>23</v>
      </c>
      <c r="AC92" t="n">
        <v>87.98</v>
      </c>
      <c r="AD92" t="n">
        <v>5.22</v>
      </c>
      <c r="AE92" t="n">
        <v>20</v>
      </c>
      <c r="AF92" t="n">
        <v>0</v>
      </c>
      <c r="AG92" t="n">
        <v>0</v>
      </c>
      <c r="AH92" t="n">
        <v>7.39</v>
      </c>
      <c r="AI92" t="n">
        <v>115.37</v>
      </c>
      <c r="AJ92" t="n">
        <v>20.77</v>
      </c>
      <c r="AK92" t="n">
        <v>0</v>
      </c>
      <c r="AL92" t="n">
        <v>382.5</v>
      </c>
      <c r="AM92" t="n">
        <v>0</v>
      </c>
      <c r="AN92" t="n">
        <v>0</v>
      </c>
      <c r="AO92" t="n">
        <v>0.38</v>
      </c>
      <c r="AP92" t="n">
        <v>19.13</v>
      </c>
      <c r="AQ92" t="n">
        <v>0</v>
      </c>
      <c r="AR92" t="n">
        <v>40.28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45.13</v>
      </c>
      <c r="AY92" t="n">
        <v>0</v>
      </c>
      <c r="AZ92" t="n">
        <v>0</v>
      </c>
      <c r="BA92" t="n">
        <v>45.13</v>
      </c>
      <c r="BB92" t="n">
        <v>200.78</v>
      </c>
      <c r="BC92" t="n">
        <v>0</v>
      </c>
      <c r="BD92" t="n">
        <v>200.85</v>
      </c>
      <c r="BE92" t="inlineStr">
        <is>
          <t>settled</t>
        </is>
      </c>
      <c r="BF92" t="inlineStr">
        <is>
          <t>2025-12-17 05:30:00</t>
        </is>
      </c>
      <c r="BG92" t="inlineStr">
        <is>
          <t>CITIN25671154595</t>
        </is>
      </c>
      <c r="BH92" t="n">
        <v>0</v>
      </c>
      <c r="BI92" t="inlineStr">
        <is>
          <t>d5a531415dae9407051ac5788a07c33b8fbdc9bfbe71178d678078a1fc089658</t>
        </is>
      </c>
    </row>
    <row r="93">
      <c r="A93" t="inlineStr">
        <is>
          <t>88</t>
        </is>
      </c>
      <c r="B93" t="inlineStr">
        <is>
          <t>7580975692</t>
        </is>
      </c>
      <c r="C93" t="inlineStr">
        <is>
          <t>2025-12-14 20:56:36</t>
        </is>
      </c>
      <c r="D93" t="inlineStr">
        <is>
          <t>50</t>
        </is>
      </c>
      <c r="E93" t="inlineStr">
        <is>
          <t>Baba Yaga Art Of Chinese - By Posh Foods</t>
        </is>
      </c>
      <c r="F93" t="inlineStr">
        <is>
          <t>20037890</t>
        </is>
      </c>
      <c r="G93" t="inlineStr">
        <is>
          <t>Flat ₹100 off (2025-12-08 - 2031-01-01)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9</t>
        </is>
      </c>
      <c r="O93" t="n">
        <v>265</v>
      </c>
      <c r="P93" t="n">
        <v>0</v>
      </c>
      <c r="Q93" t="n">
        <v>0</v>
      </c>
      <c r="R93" t="n">
        <v>70</v>
      </c>
      <c r="S93" t="n">
        <v>0</v>
      </c>
      <c r="T93" t="n">
        <v>0</v>
      </c>
      <c r="U93" t="n">
        <v>0</v>
      </c>
      <c r="V93" t="n">
        <v>9.75</v>
      </c>
      <c r="W93" t="n">
        <v>204.75</v>
      </c>
      <c r="X93" t="n">
        <v>195</v>
      </c>
      <c r="Y93" t="n">
        <v>0</v>
      </c>
      <c r="Z93" t="n">
        <v>0</v>
      </c>
      <c r="AA93" t="n">
        <v>195</v>
      </c>
      <c r="AB93" t="n">
        <v>23</v>
      </c>
      <c r="AC93" t="n">
        <v>44.85</v>
      </c>
      <c r="AD93" t="n">
        <v>3.35</v>
      </c>
      <c r="AE93" t="n">
        <v>0</v>
      </c>
      <c r="AF93" t="n">
        <v>0</v>
      </c>
      <c r="AG93" t="n">
        <v>0</v>
      </c>
      <c r="AH93" t="n">
        <v>3.77</v>
      </c>
      <c r="AI93" t="n">
        <v>48.62</v>
      </c>
      <c r="AJ93" t="n">
        <v>8.75</v>
      </c>
      <c r="AK93" t="n">
        <v>0</v>
      </c>
      <c r="AL93" t="n">
        <v>195</v>
      </c>
      <c r="AM93" t="n">
        <v>0</v>
      </c>
      <c r="AN93" t="n">
        <v>0</v>
      </c>
      <c r="AO93" t="n">
        <v>0.2</v>
      </c>
      <c r="AP93" t="n">
        <v>9.75</v>
      </c>
      <c r="AQ93" t="n">
        <v>0</v>
      </c>
      <c r="AR93" t="n">
        <v>18.7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23.01</v>
      </c>
      <c r="AY93" t="n">
        <v>0</v>
      </c>
      <c r="AZ93" t="n">
        <v>0</v>
      </c>
      <c r="BA93" t="n">
        <v>23.01</v>
      </c>
      <c r="BB93" t="n">
        <v>90.33</v>
      </c>
      <c r="BC93" t="n">
        <v>0</v>
      </c>
      <c r="BD93" t="n">
        <v>114.42</v>
      </c>
      <c r="BE93" t="inlineStr">
        <is>
          <t>settled</t>
        </is>
      </c>
      <c r="BF93" t="inlineStr">
        <is>
          <t>2025-12-17 05:30:00</t>
        </is>
      </c>
      <c r="BG93" t="inlineStr">
        <is>
          <t>CITIN25671154595</t>
        </is>
      </c>
      <c r="BH93" t="n">
        <v>0</v>
      </c>
      <c r="BI93" t="inlineStr">
        <is>
          <t>e55783dbd3a185a1681977cc29c1dee91343125a8acff0ee674bd976c00eb6bb</t>
        </is>
      </c>
    </row>
    <row r="94">
      <c r="A94" t="inlineStr">
        <is>
          <t>89</t>
        </is>
      </c>
      <c r="B94" t="inlineStr">
        <is>
          <t>7579172232</t>
        </is>
      </c>
      <c r="C94" t="inlineStr">
        <is>
          <t>2025-12-14 21:07:58</t>
        </is>
      </c>
      <c r="D94" t="inlineStr">
        <is>
          <t>50</t>
        </is>
      </c>
      <c r="E94" t="inlineStr">
        <is>
          <t>Baba Yaga Art Of Chinese - By Posh Foods</t>
        </is>
      </c>
      <c r="F94" t="inlineStr">
        <is>
          <t>20037890</t>
        </is>
      </c>
      <c r="G94" t="inlineStr">
        <is>
          <t>Flat ₹125 off (2025-12-08 - 2031-01-01)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9</t>
        </is>
      </c>
      <c r="O94" t="n">
        <v>558</v>
      </c>
      <c r="P94" t="n">
        <v>0</v>
      </c>
      <c r="Q94" t="n">
        <v>0</v>
      </c>
      <c r="R94" t="n">
        <v>125</v>
      </c>
      <c r="S94" t="n">
        <v>43.3</v>
      </c>
      <c r="T94" t="n">
        <v>0</v>
      </c>
      <c r="U94" t="n">
        <v>0</v>
      </c>
      <c r="V94" t="n">
        <v>19.49</v>
      </c>
      <c r="W94" t="n">
        <v>409.19</v>
      </c>
      <c r="X94" t="n">
        <v>389.7</v>
      </c>
      <c r="Y94" t="n">
        <v>0</v>
      </c>
      <c r="Z94" t="n">
        <v>0</v>
      </c>
      <c r="AA94" t="n">
        <v>389.7</v>
      </c>
      <c r="AB94" t="n">
        <v>23</v>
      </c>
      <c r="AC94" t="n">
        <v>89.63</v>
      </c>
      <c r="AD94" t="n">
        <v>2.35</v>
      </c>
      <c r="AE94" t="n">
        <v>0</v>
      </c>
      <c r="AF94" t="n">
        <v>0</v>
      </c>
      <c r="AG94" t="n">
        <v>0</v>
      </c>
      <c r="AH94" t="n">
        <v>7.53</v>
      </c>
      <c r="AI94" t="n">
        <v>97.16</v>
      </c>
      <c r="AJ94" t="n">
        <v>17.49</v>
      </c>
      <c r="AK94" t="n">
        <v>0</v>
      </c>
      <c r="AL94" t="n">
        <v>389.7</v>
      </c>
      <c r="AM94" t="n">
        <v>0</v>
      </c>
      <c r="AN94" t="n">
        <v>0</v>
      </c>
      <c r="AO94" t="n">
        <v>0.39</v>
      </c>
      <c r="AP94" t="n">
        <v>19.49</v>
      </c>
      <c r="AQ94" t="n">
        <v>0</v>
      </c>
      <c r="AR94" t="n">
        <v>37.37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134.53</v>
      </c>
      <c r="BC94" t="n">
        <v>0</v>
      </c>
      <c r="BD94" t="n">
        <v>274.66</v>
      </c>
      <c r="BE94" t="inlineStr">
        <is>
          <t>settled</t>
        </is>
      </c>
      <c r="BF94" t="inlineStr">
        <is>
          <t>2025-12-17 05:30:00</t>
        </is>
      </c>
      <c r="BG94" t="inlineStr">
        <is>
          <t>CITIN25671154595</t>
        </is>
      </c>
      <c r="BH94" t="n">
        <v>0</v>
      </c>
      <c r="BI94" t="inlineStr">
        <is>
          <t>eb0bc301b9860ec0aeb15c559f574af75e90fdac9dacc27042c8b1ae8549cfed</t>
        </is>
      </c>
    </row>
    <row r="95">
      <c r="A95" t="inlineStr">
        <is>
          <t>90</t>
        </is>
      </c>
      <c r="B95" t="inlineStr">
        <is>
          <t>7583968113</t>
        </is>
      </c>
      <c r="C95" t="inlineStr">
        <is>
          <t>2025-12-14 21:17:01</t>
        </is>
      </c>
      <c r="D95" t="inlineStr">
        <is>
          <t>50</t>
        </is>
      </c>
      <c r="E95" t="inlineStr">
        <is>
          <t>Baba Yaga Art Of Chinese - By Posh Foods</t>
        </is>
      </c>
      <c r="F95" t="inlineStr">
        <is>
          <t>20037890</t>
        </is>
      </c>
      <c r="G95" t="inlineStr">
        <is>
          <t>Flat ₹175 off (2025-12-08 - 2031-01-01)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9</t>
        </is>
      </c>
      <c r="O95" t="n">
        <v>630</v>
      </c>
      <c r="P95" t="n">
        <v>0</v>
      </c>
      <c r="Q95" t="n">
        <v>0</v>
      </c>
      <c r="R95" t="n">
        <v>122</v>
      </c>
      <c r="S95" t="n">
        <v>45.5</v>
      </c>
      <c r="T95" t="n">
        <v>0</v>
      </c>
      <c r="U95" t="n">
        <v>0</v>
      </c>
      <c r="V95" t="n">
        <v>23.13</v>
      </c>
      <c r="W95" t="n">
        <v>485.63</v>
      </c>
      <c r="X95" t="n">
        <v>462.5</v>
      </c>
      <c r="Y95" t="n">
        <v>0</v>
      </c>
      <c r="Z95" t="n">
        <v>0</v>
      </c>
      <c r="AA95" t="n">
        <v>462.5</v>
      </c>
      <c r="AB95" t="n">
        <v>23</v>
      </c>
      <c r="AC95" t="n">
        <v>106.38</v>
      </c>
      <c r="AD95" t="n">
        <v>3.13</v>
      </c>
      <c r="AE95" t="n">
        <v>0</v>
      </c>
      <c r="AF95" t="n">
        <v>0</v>
      </c>
      <c r="AG95" t="n">
        <v>0</v>
      </c>
      <c r="AH95" t="n">
        <v>8.94</v>
      </c>
      <c r="AI95" t="n">
        <v>115.32</v>
      </c>
      <c r="AJ95" t="n">
        <v>20.76</v>
      </c>
      <c r="AK95" t="n">
        <v>0</v>
      </c>
      <c r="AL95" t="n">
        <v>462.5</v>
      </c>
      <c r="AM95" t="n">
        <v>0</v>
      </c>
      <c r="AN95" t="n">
        <v>0</v>
      </c>
      <c r="AO95" t="n">
        <v>0.46</v>
      </c>
      <c r="AP95" t="n">
        <v>23.13</v>
      </c>
      <c r="AQ95" t="n">
        <v>0</v>
      </c>
      <c r="AR95" t="n">
        <v>44.35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159.67</v>
      </c>
      <c r="BC95" t="n">
        <v>0</v>
      </c>
      <c r="BD95" t="n">
        <v>325.96</v>
      </c>
      <c r="BE95" t="inlineStr">
        <is>
          <t>settled</t>
        </is>
      </c>
      <c r="BF95" t="inlineStr">
        <is>
          <t>2025-12-17 05:30:00</t>
        </is>
      </c>
      <c r="BG95" t="inlineStr">
        <is>
          <t>CITIN25671154595</t>
        </is>
      </c>
      <c r="BH95" t="n">
        <v>0</v>
      </c>
      <c r="BI95" t="inlineStr">
        <is>
          <t>e190f44fb77c3907e7f7b7d5dad65c5f18802ff71a58b4d61105dec225513484</t>
        </is>
      </c>
    </row>
    <row r="96">
      <c r="A96" t="inlineStr">
        <is>
          <t>91</t>
        </is>
      </c>
      <c r="B96" t="inlineStr">
        <is>
          <t>7579511323</t>
        </is>
      </c>
      <c r="C96" t="inlineStr">
        <is>
          <t>2025-12-14 21:20:20</t>
        </is>
      </c>
      <c r="D96" t="inlineStr">
        <is>
          <t>50</t>
        </is>
      </c>
      <c r="E96" t="inlineStr">
        <is>
          <t>Baba Yaga Art Of Chinese - By Posh Foods</t>
        </is>
      </c>
      <c r="F96" t="inlineStr">
        <is>
          <t>20037890</t>
        </is>
      </c>
      <c r="G96" t="inlineStr">
        <is>
          <t>Flat 20% off (2025-09-25 - 2031-01-01)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9</t>
        </is>
      </c>
      <c r="O96" t="n">
        <v>1260</v>
      </c>
      <c r="P96" t="n">
        <v>0</v>
      </c>
      <c r="Q96" t="n">
        <v>0</v>
      </c>
      <c r="R96" t="n">
        <v>252</v>
      </c>
      <c r="S96" t="n">
        <v>100.8</v>
      </c>
      <c r="T96" t="n">
        <v>0</v>
      </c>
      <c r="U96" t="n">
        <v>0</v>
      </c>
      <c r="V96" t="n">
        <v>45.36</v>
      </c>
      <c r="W96" t="n">
        <v>952.5599999999999</v>
      </c>
      <c r="X96" t="n">
        <v>907.2</v>
      </c>
      <c r="Y96" t="n">
        <v>0</v>
      </c>
      <c r="Z96" t="n">
        <v>0</v>
      </c>
      <c r="AA96" t="n">
        <v>907.2</v>
      </c>
      <c r="AB96" t="n">
        <v>23</v>
      </c>
      <c r="AC96" t="n">
        <v>208.66</v>
      </c>
      <c r="AD96" t="n">
        <v>3.69</v>
      </c>
      <c r="AE96" t="n">
        <v>0</v>
      </c>
      <c r="AF96" t="n">
        <v>0</v>
      </c>
      <c r="AG96" t="n">
        <v>0</v>
      </c>
      <c r="AH96" t="n">
        <v>17.53</v>
      </c>
      <c r="AI96" t="n">
        <v>226.19</v>
      </c>
      <c r="AJ96" t="n">
        <v>40.72</v>
      </c>
      <c r="AK96" t="n">
        <v>0</v>
      </c>
      <c r="AL96" t="n">
        <v>907.2</v>
      </c>
      <c r="AM96" t="n">
        <v>0</v>
      </c>
      <c r="AN96" t="n">
        <v>0</v>
      </c>
      <c r="AO96" t="n">
        <v>0.91</v>
      </c>
      <c r="AP96" t="n">
        <v>45.36</v>
      </c>
      <c r="AQ96" t="n">
        <v>0</v>
      </c>
      <c r="AR96" t="n">
        <v>86.98999999999999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313.18</v>
      </c>
      <c r="BC96" t="n">
        <v>0</v>
      </c>
      <c r="BD96" t="n">
        <v>639.38</v>
      </c>
      <c r="BE96" t="inlineStr">
        <is>
          <t>settled</t>
        </is>
      </c>
      <c r="BF96" t="inlineStr">
        <is>
          <t>2025-12-17 05:30:00</t>
        </is>
      </c>
      <c r="BG96" t="inlineStr">
        <is>
          <t>CITIN25671154595</t>
        </is>
      </c>
      <c r="BH96" t="n">
        <v>0</v>
      </c>
      <c r="BI96" t="inlineStr">
        <is>
          <t>53c5388f12c7c46b39565511228ec995fd4c203b8f6be9581ee3c1dd3f5d90ec</t>
        </is>
      </c>
    </row>
    <row r="97">
      <c r="A97" t="inlineStr">
        <is>
          <t>92</t>
        </is>
      </c>
      <c r="B97" t="inlineStr">
        <is>
          <t>7574259182</t>
        </is>
      </c>
      <c r="C97" t="inlineStr">
        <is>
          <t>2025-12-14 21:31:48</t>
        </is>
      </c>
      <c r="D97" t="inlineStr">
        <is>
          <t>50</t>
        </is>
      </c>
      <c r="E97" t="inlineStr">
        <is>
          <t>Baba Yaga Art Of Chinese - By Posh Foods</t>
        </is>
      </c>
      <c r="F97" t="inlineStr">
        <is>
          <t>20037890</t>
        </is>
      </c>
      <c r="G97" t="inlineStr">
        <is>
          <t>Flat ₹150 off (2025-12-08 - 2031-01-01)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9</t>
        </is>
      </c>
      <c r="O97" t="n">
        <v>560</v>
      </c>
      <c r="P97" t="n">
        <v>0</v>
      </c>
      <c r="Q97" t="n">
        <v>0</v>
      </c>
      <c r="R97" t="n">
        <v>105</v>
      </c>
      <c r="S97" t="n">
        <v>41</v>
      </c>
      <c r="T97" t="n">
        <v>0</v>
      </c>
      <c r="U97" t="n">
        <v>0</v>
      </c>
      <c r="V97" t="n">
        <v>20.7</v>
      </c>
      <c r="W97" t="n">
        <v>434.7</v>
      </c>
      <c r="X97" t="n">
        <v>414</v>
      </c>
      <c r="Y97" t="n">
        <v>0</v>
      </c>
      <c r="Z97" t="n">
        <v>0</v>
      </c>
      <c r="AA97" t="n">
        <v>414</v>
      </c>
      <c r="AB97" t="n">
        <v>23</v>
      </c>
      <c r="AC97" t="n">
        <v>95.22</v>
      </c>
      <c r="AD97" t="n">
        <v>1.08</v>
      </c>
      <c r="AE97" t="n">
        <v>0</v>
      </c>
      <c r="AF97" t="n">
        <v>0</v>
      </c>
      <c r="AG97" t="n">
        <v>0</v>
      </c>
      <c r="AH97" t="n">
        <v>8</v>
      </c>
      <c r="AI97" t="n">
        <v>103.22</v>
      </c>
      <c r="AJ97" t="n">
        <v>18.58</v>
      </c>
      <c r="AK97" t="n">
        <v>0</v>
      </c>
      <c r="AL97" t="n">
        <v>414</v>
      </c>
      <c r="AM97" t="n">
        <v>0</v>
      </c>
      <c r="AN97" t="n">
        <v>0</v>
      </c>
      <c r="AO97" t="n">
        <v>0.41</v>
      </c>
      <c r="AP97" t="n">
        <v>20.7</v>
      </c>
      <c r="AQ97" t="n">
        <v>0</v>
      </c>
      <c r="AR97" t="n">
        <v>39.69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48.85</v>
      </c>
      <c r="AY97" t="n">
        <v>0</v>
      </c>
      <c r="AZ97" t="n">
        <v>0</v>
      </c>
      <c r="BA97" t="n">
        <v>48.85</v>
      </c>
      <c r="BB97" t="n">
        <v>191.76</v>
      </c>
      <c r="BC97" t="n">
        <v>0</v>
      </c>
      <c r="BD97" t="n">
        <v>242.94</v>
      </c>
      <c r="BE97" t="inlineStr">
        <is>
          <t>settled</t>
        </is>
      </c>
      <c r="BF97" t="inlineStr">
        <is>
          <t>2025-12-17 05:30:00</t>
        </is>
      </c>
      <c r="BG97" t="inlineStr">
        <is>
          <t>CITIN25671154595</t>
        </is>
      </c>
      <c r="BH97" t="n">
        <v>0</v>
      </c>
      <c r="BI97" t="inlineStr">
        <is>
          <t>e4b90e842d58b6c85a6752a041fe3551f0cbee542b75dc0265a72115b4eee1e3</t>
        </is>
      </c>
    </row>
    <row r="98">
      <c r="A98" t="inlineStr">
        <is>
          <t>93</t>
        </is>
      </c>
      <c r="B98" t="inlineStr">
        <is>
          <t>7582412226</t>
        </is>
      </c>
      <c r="C98" t="inlineStr">
        <is>
          <t>2025-12-14 21:45:11</t>
        </is>
      </c>
      <c r="D98" t="inlineStr">
        <is>
          <t>50</t>
        </is>
      </c>
      <c r="E98" t="inlineStr">
        <is>
          <t>Baba Yaga Art Of Chinese - By Posh Foods</t>
        </is>
      </c>
      <c r="F98" t="inlineStr">
        <is>
          <t>20037890</t>
        </is>
      </c>
      <c r="G98" t="inlineStr">
        <is>
          <t>Flat 20% off (2025-09-25 - 2031-01-01)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9</t>
        </is>
      </c>
      <c r="O98" t="n">
        <v>1360</v>
      </c>
      <c r="P98" t="n">
        <v>0</v>
      </c>
      <c r="Q98" t="n">
        <v>0</v>
      </c>
      <c r="R98" t="n">
        <v>272</v>
      </c>
      <c r="S98" t="n">
        <v>108.8</v>
      </c>
      <c r="T98" t="n">
        <v>0</v>
      </c>
      <c r="U98" t="n">
        <v>0</v>
      </c>
      <c r="V98" t="n">
        <v>48.96</v>
      </c>
      <c r="W98" t="n">
        <v>1028.16</v>
      </c>
      <c r="X98" t="n">
        <v>979.2</v>
      </c>
      <c r="Y98" t="n">
        <v>0</v>
      </c>
      <c r="Z98" t="n">
        <v>0</v>
      </c>
      <c r="AA98" t="n">
        <v>979.2</v>
      </c>
      <c r="AB98" t="n">
        <v>23</v>
      </c>
      <c r="AC98" t="n">
        <v>225.22</v>
      </c>
      <c r="AD98" t="n">
        <v>3.22</v>
      </c>
      <c r="AE98" t="n">
        <v>0</v>
      </c>
      <c r="AF98" t="n">
        <v>0</v>
      </c>
      <c r="AG98" t="n">
        <v>0</v>
      </c>
      <c r="AH98" t="n">
        <v>18.92</v>
      </c>
      <c r="AI98" t="n">
        <v>244.14</v>
      </c>
      <c r="AJ98" t="n">
        <v>43.95</v>
      </c>
      <c r="AK98" t="n">
        <v>0</v>
      </c>
      <c r="AL98" t="n">
        <v>979.2</v>
      </c>
      <c r="AM98" t="n">
        <v>0</v>
      </c>
      <c r="AN98" t="n">
        <v>0</v>
      </c>
      <c r="AO98" t="n">
        <v>0.98</v>
      </c>
      <c r="AP98" t="n">
        <v>48.96</v>
      </c>
      <c r="AQ98" t="n">
        <v>0</v>
      </c>
      <c r="AR98" t="n">
        <v>93.89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338.03</v>
      </c>
      <c r="BC98" t="n">
        <v>0</v>
      </c>
      <c r="BD98" t="n">
        <v>690.13</v>
      </c>
      <c r="BE98" t="inlineStr">
        <is>
          <t>settled</t>
        </is>
      </c>
      <c r="BF98" t="inlineStr">
        <is>
          <t>2025-12-17 05:30:00</t>
        </is>
      </c>
      <c r="BG98" t="inlineStr">
        <is>
          <t>CITIN25671154595</t>
        </is>
      </c>
      <c r="BH98" t="n">
        <v>0</v>
      </c>
      <c r="BI98" t="inlineStr">
        <is>
          <t>bf4388e9fcf0f5e4ddd0a71dffcca81956191d6783dcbd356fc970b78ecd4c49</t>
        </is>
      </c>
    </row>
    <row r="99">
      <c r="A99" t="inlineStr">
        <is>
          <t>94</t>
        </is>
      </c>
      <c r="B99" t="inlineStr">
        <is>
          <t>7578121647</t>
        </is>
      </c>
      <c r="C99" t="inlineStr">
        <is>
          <t>2025-12-14 21:55:10</t>
        </is>
      </c>
      <c r="D99" t="inlineStr">
        <is>
          <t>50</t>
        </is>
      </c>
      <c r="E99" t="inlineStr">
        <is>
          <t>Baba Yaga Art Of Chinese - By Posh Foods</t>
        </is>
      </c>
      <c r="F99" t="inlineStr">
        <is>
          <t>20037890</t>
        </is>
      </c>
      <c r="G99" t="inlineStr">
        <is>
          <t>Flat ₹100 off (2025-12-08 - 2031-01-01)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9</t>
        </is>
      </c>
      <c r="O99" t="n">
        <v>315</v>
      </c>
      <c r="P99" t="n">
        <v>0</v>
      </c>
      <c r="Q99" t="n">
        <v>0</v>
      </c>
      <c r="R99" t="n">
        <v>70</v>
      </c>
      <c r="S99" t="n">
        <v>21.5</v>
      </c>
      <c r="T99" t="n">
        <v>0</v>
      </c>
      <c r="U99" t="n">
        <v>0</v>
      </c>
      <c r="V99" t="n">
        <v>11.18</v>
      </c>
      <c r="W99" t="n">
        <v>234.68</v>
      </c>
      <c r="X99" t="n">
        <v>223.5</v>
      </c>
      <c r="Y99" t="n">
        <v>0</v>
      </c>
      <c r="Z99" t="n">
        <v>0</v>
      </c>
      <c r="AA99" t="n">
        <v>223.5</v>
      </c>
      <c r="AB99" t="n">
        <v>23</v>
      </c>
      <c r="AC99" t="n">
        <v>51.4</v>
      </c>
      <c r="AD99" t="n">
        <v>4.45</v>
      </c>
      <c r="AE99" t="n">
        <v>20</v>
      </c>
      <c r="AF99" t="n">
        <v>0</v>
      </c>
      <c r="AG99" t="n">
        <v>4.35</v>
      </c>
      <c r="AH99" t="n">
        <v>4.32</v>
      </c>
      <c r="AI99" t="n">
        <v>71.37</v>
      </c>
      <c r="AJ99" t="n">
        <v>12.85</v>
      </c>
      <c r="AK99" t="n">
        <v>0</v>
      </c>
      <c r="AL99" t="n">
        <v>223.5</v>
      </c>
      <c r="AM99" t="n">
        <v>0</v>
      </c>
      <c r="AN99" t="n">
        <v>0</v>
      </c>
      <c r="AO99" t="n">
        <v>0.22</v>
      </c>
      <c r="AP99" t="n">
        <v>11.18</v>
      </c>
      <c r="AQ99" t="n">
        <v>0</v>
      </c>
      <c r="AR99" t="n">
        <v>24.25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95.62</v>
      </c>
      <c r="BC99" t="n">
        <v>0</v>
      </c>
      <c r="BD99" t="n">
        <v>139.06</v>
      </c>
      <c r="BE99" t="inlineStr">
        <is>
          <t>settled</t>
        </is>
      </c>
      <c r="BF99" t="inlineStr">
        <is>
          <t>2025-12-17 05:30:00</t>
        </is>
      </c>
      <c r="BG99" t="inlineStr">
        <is>
          <t>CITIN25671154595</t>
        </is>
      </c>
      <c r="BH99" t="n">
        <v>0</v>
      </c>
      <c r="BI99" t="inlineStr">
        <is>
          <t>f32dc0f43f139ad8b7e506374f48a34bbd70749812c139025b8205e3459bf378</t>
        </is>
      </c>
    </row>
    <row r="100">
      <c r="A100" t="inlineStr">
        <is>
          <t>95</t>
        </is>
      </c>
      <c r="B100" t="inlineStr">
        <is>
          <t>7570805911</t>
        </is>
      </c>
      <c r="C100" t="inlineStr">
        <is>
          <t>2025-12-14 23:14:58</t>
        </is>
      </c>
      <c r="D100" t="inlineStr">
        <is>
          <t>50</t>
        </is>
      </c>
      <c r="E100" t="inlineStr">
        <is>
          <t>Baba Yaga Art Of Chinese - By Posh Foods</t>
        </is>
      </c>
      <c r="F100" t="inlineStr">
        <is>
          <t>20037890</t>
        </is>
      </c>
      <c r="G100" t="inlineStr">
        <is>
          <t>Flat ₹100 off (2025-12-08 - 2031-01-01)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9</t>
        </is>
      </c>
      <c r="O100" t="n">
        <v>265</v>
      </c>
      <c r="P100" t="n">
        <v>0</v>
      </c>
      <c r="Q100" t="n">
        <v>0</v>
      </c>
      <c r="R100" t="n">
        <v>70</v>
      </c>
      <c r="S100" t="n">
        <v>0</v>
      </c>
      <c r="T100" t="n">
        <v>0</v>
      </c>
      <c r="U100" t="n">
        <v>0</v>
      </c>
      <c r="V100" t="n">
        <v>9.75</v>
      </c>
      <c r="W100" t="n">
        <v>204.75</v>
      </c>
      <c r="X100" t="n">
        <v>195</v>
      </c>
      <c r="Y100" t="n">
        <v>0</v>
      </c>
      <c r="Z100" t="n">
        <v>0</v>
      </c>
      <c r="AA100" t="n">
        <v>195</v>
      </c>
      <c r="AB100" t="n">
        <v>23</v>
      </c>
      <c r="AC100" t="n">
        <v>44.85</v>
      </c>
      <c r="AD100" t="n">
        <v>6.2</v>
      </c>
      <c r="AE100" t="n">
        <v>40</v>
      </c>
      <c r="AF100" t="n">
        <v>0</v>
      </c>
      <c r="AG100" t="n">
        <v>26.35</v>
      </c>
      <c r="AH100" t="n">
        <v>3.77</v>
      </c>
      <c r="AI100" t="n">
        <v>62.27</v>
      </c>
      <c r="AJ100" t="n">
        <v>11.21</v>
      </c>
      <c r="AK100" t="n">
        <v>0</v>
      </c>
      <c r="AL100" t="n">
        <v>195</v>
      </c>
      <c r="AM100" t="n">
        <v>0</v>
      </c>
      <c r="AN100" t="n">
        <v>0</v>
      </c>
      <c r="AO100" t="n">
        <v>0.2</v>
      </c>
      <c r="AP100" t="n">
        <v>9.75</v>
      </c>
      <c r="AQ100" t="n">
        <v>0</v>
      </c>
      <c r="AR100" t="n">
        <v>21.16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83.43000000000001</v>
      </c>
      <c r="BC100" t="n">
        <v>0</v>
      </c>
      <c r="BD100" t="n">
        <v>121.32</v>
      </c>
      <c r="BE100" t="inlineStr">
        <is>
          <t>settled</t>
        </is>
      </c>
      <c r="BF100" t="inlineStr">
        <is>
          <t>2025-12-17 05:30:00</t>
        </is>
      </c>
      <c r="BG100" t="inlineStr">
        <is>
          <t>CITIN25671154595</t>
        </is>
      </c>
      <c r="BH100" t="n">
        <v>0</v>
      </c>
      <c r="BI100" t="inlineStr">
        <is>
          <t>cc9ad42790e195a4351c4b22a4c6d34af4c7c7f29dcf46a47434d4889c7a58d0</t>
        </is>
      </c>
    </row>
    <row r="101">
      <c r="A101" t="inlineStr">
        <is>
          <t>96</t>
        </is>
      </c>
      <c r="B101" t="inlineStr">
        <is>
          <t>7583957717</t>
        </is>
      </c>
      <c r="C101" t="inlineStr">
        <is>
          <t>2025-12-14 23:35:33</t>
        </is>
      </c>
      <c r="D101" t="inlineStr">
        <is>
          <t>50</t>
        </is>
      </c>
      <c r="E101" t="inlineStr">
        <is>
          <t>Baba Yaga Art Of Chinese - By Posh Foods</t>
        </is>
      </c>
      <c r="F101" t="inlineStr">
        <is>
          <t>20037890</t>
        </is>
      </c>
      <c r="G101" t="inlineStr">
        <is>
          <t>Flat ₹100 off (2025-12-08 - 2031-01-01)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9</t>
        </is>
      </c>
      <c r="O101" t="n">
        <v>315</v>
      </c>
      <c r="P101" t="n">
        <v>0</v>
      </c>
      <c r="Q101" t="n">
        <v>0</v>
      </c>
      <c r="R101" t="n">
        <v>70</v>
      </c>
      <c r="S101" t="n">
        <v>21.5</v>
      </c>
      <c r="T101" t="n">
        <v>0</v>
      </c>
      <c r="U101" t="n">
        <v>0</v>
      </c>
      <c r="V101" t="n">
        <v>11.18</v>
      </c>
      <c r="W101" t="n">
        <v>234.68</v>
      </c>
      <c r="X101" t="n">
        <v>223.5</v>
      </c>
      <c r="Y101" t="n">
        <v>0</v>
      </c>
      <c r="Z101" t="n">
        <v>0</v>
      </c>
      <c r="AA101" t="n">
        <v>223.5</v>
      </c>
      <c r="AB101" t="n">
        <v>23</v>
      </c>
      <c r="AC101" t="n">
        <v>51.4</v>
      </c>
      <c r="AD101" t="n">
        <v>4.91</v>
      </c>
      <c r="AE101" t="n">
        <v>20</v>
      </c>
      <c r="AF101" t="n">
        <v>0</v>
      </c>
      <c r="AG101" t="n">
        <v>4.35</v>
      </c>
      <c r="AH101" t="n">
        <v>4.32</v>
      </c>
      <c r="AI101" t="n">
        <v>71.37</v>
      </c>
      <c r="AJ101" t="n">
        <v>12.85</v>
      </c>
      <c r="AK101" t="n">
        <v>0</v>
      </c>
      <c r="AL101" t="n">
        <v>223.5</v>
      </c>
      <c r="AM101" t="n">
        <v>0</v>
      </c>
      <c r="AN101" t="n">
        <v>0</v>
      </c>
      <c r="AO101" t="n">
        <v>0.22</v>
      </c>
      <c r="AP101" t="n">
        <v>11.18</v>
      </c>
      <c r="AQ101" t="n">
        <v>0</v>
      </c>
      <c r="AR101" t="n">
        <v>24.25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95.62</v>
      </c>
      <c r="BC101" t="n">
        <v>0</v>
      </c>
      <c r="BD101" t="n">
        <v>139.06</v>
      </c>
      <c r="BE101" t="inlineStr">
        <is>
          <t>settled</t>
        </is>
      </c>
      <c r="BF101" t="inlineStr">
        <is>
          <t>2025-12-17 05:30:00</t>
        </is>
      </c>
      <c r="BG101" t="inlineStr">
        <is>
          <t>CITIN25671154595</t>
        </is>
      </c>
      <c r="BH101" t="n">
        <v>0</v>
      </c>
      <c r="BI101" t="inlineStr">
        <is>
          <t>872923efdb0e38f21cf9e2724f63f438af571da0818ba476f0e2522508fea5cb</t>
        </is>
      </c>
    </row>
    <row r="102">
      <c r="A102" t="inlineStr">
        <is>
          <t>97</t>
        </is>
      </c>
      <c r="B102" t="inlineStr">
        <is>
          <t>7584521396</t>
        </is>
      </c>
      <c r="C102" t="inlineStr">
        <is>
          <t>2025-12-14 23:40:05</t>
        </is>
      </c>
      <c r="D102" t="inlineStr">
        <is>
          <t>50</t>
        </is>
      </c>
      <c r="E102" t="inlineStr">
        <is>
          <t>Baba Yaga Art Of Chinese - By Posh Foods</t>
        </is>
      </c>
      <c r="F102" t="inlineStr">
        <is>
          <t>20037890</t>
        </is>
      </c>
      <c r="G102" t="inlineStr">
        <is>
          <t>NA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9</t>
        </is>
      </c>
      <c r="O102" t="n">
        <v>335</v>
      </c>
      <c r="P102" t="n">
        <v>0</v>
      </c>
      <c r="Q102" t="n">
        <v>0</v>
      </c>
      <c r="R102" t="n">
        <v>0</v>
      </c>
      <c r="S102" t="n">
        <v>33.5</v>
      </c>
      <c r="T102" t="n">
        <v>0</v>
      </c>
      <c r="U102" t="n">
        <v>0</v>
      </c>
      <c r="V102" t="n">
        <v>15.08</v>
      </c>
      <c r="W102" t="n">
        <v>316.58</v>
      </c>
      <c r="X102" t="n">
        <v>301.5</v>
      </c>
      <c r="Y102" t="n">
        <v>0</v>
      </c>
      <c r="Z102" t="n">
        <v>0</v>
      </c>
      <c r="AA102" t="n">
        <v>301.5</v>
      </c>
      <c r="AB102" t="n">
        <v>23</v>
      </c>
      <c r="AC102" t="n">
        <v>69.34</v>
      </c>
      <c r="AD102" t="n">
        <v>6.38</v>
      </c>
      <c r="AE102" t="n">
        <v>40</v>
      </c>
      <c r="AF102" t="n">
        <v>0</v>
      </c>
      <c r="AG102" t="n">
        <v>18.89</v>
      </c>
      <c r="AH102" t="n">
        <v>5.83</v>
      </c>
      <c r="AI102" t="n">
        <v>96.28</v>
      </c>
      <c r="AJ102" t="n">
        <v>17.33</v>
      </c>
      <c r="AK102" t="n">
        <v>0</v>
      </c>
      <c r="AL102" t="n">
        <v>301.5</v>
      </c>
      <c r="AM102" t="n">
        <v>0</v>
      </c>
      <c r="AN102" t="n">
        <v>0</v>
      </c>
      <c r="AO102" t="n">
        <v>0.3</v>
      </c>
      <c r="AP102" t="n">
        <v>15.08</v>
      </c>
      <c r="AQ102" t="n">
        <v>0</v>
      </c>
      <c r="AR102" t="n">
        <v>32.71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35.58</v>
      </c>
      <c r="AY102" t="n">
        <v>0</v>
      </c>
      <c r="AZ102" t="n">
        <v>0</v>
      </c>
      <c r="BA102" t="n">
        <v>35.58</v>
      </c>
      <c r="BB102" t="n">
        <v>164.57</v>
      </c>
      <c r="BC102" t="n">
        <v>0</v>
      </c>
      <c r="BD102" t="n">
        <v>152.01</v>
      </c>
      <c r="BE102" t="inlineStr">
        <is>
          <t>settled</t>
        </is>
      </c>
      <c r="BF102" t="inlineStr">
        <is>
          <t>2025-12-17 05:30:00</t>
        </is>
      </c>
      <c r="BG102" t="inlineStr">
        <is>
          <t>CITIN25671154595</t>
        </is>
      </c>
      <c r="BH102" t="n">
        <v>0</v>
      </c>
      <c r="BI102" t="inlineStr">
        <is>
          <t>6516b843c88588d53409ec0ff7842554fb312e354905a078b157354a87c81663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20037890</t>
        </is>
      </c>
      <c r="D13" t="inlineStr">
        <is>
          <t>31889184</t>
        </is>
      </c>
      <c r="E13" t="inlineStr">
        <is>
          <t>08 December 25 - 14 December 25</t>
        </is>
      </c>
      <c r="F13" t="inlineStr">
        <is>
          <t>settled</t>
        </is>
      </c>
      <c r="G13" t="n">
        <v>3068.83</v>
      </c>
      <c r="H13" t="n">
        <v>3068.83</v>
      </c>
      <c r="I13" t="n">
        <v>0</v>
      </c>
    </row>
    <row r="14">
      <c r="B14" t="inlineStr">
        <is>
          <t>ADS</t>
        </is>
      </c>
      <c r="C14" t="inlineStr">
        <is>
          <t>20037890</t>
        </is>
      </c>
      <c r="D14" t="inlineStr">
        <is>
          <t>32022906</t>
        </is>
      </c>
      <c r="E14" t="inlineStr">
        <is>
          <t>08 December 25 - 14 December 25</t>
        </is>
      </c>
      <c r="F14" t="inlineStr">
        <is>
          <t>settled</t>
        </is>
      </c>
      <c r="G14" t="n">
        <v>3711.69</v>
      </c>
      <c r="H14" t="n">
        <v>3711.69</v>
      </c>
      <c r="I14" t="n">
        <v>0</v>
      </c>
    </row>
    <row r="15">
      <c r="B15" t="inlineStr">
        <is>
          <t>ADS</t>
        </is>
      </c>
      <c r="C15" t="inlineStr">
        <is>
          <t>19428127</t>
        </is>
      </c>
      <c r="D15" t="inlineStr">
        <is>
          <t>31786453</t>
        </is>
      </c>
      <c r="E15" t="inlineStr">
        <is>
          <t>12 December 25 - 12 December 25</t>
        </is>
      </c>
      <c r="F15" t="inlineStr">
        <is>
          <t>settled</t>
        </is>
      </c>
      <c r="G15" t="n">
        <v>203.55</v>
      </c>
      <c r="H15" t="n">
        <v>203.55</v>
      </c>
      <c r="I15" t="n">
        <v>0</v>
      </c>
    </row>
    <row r="16">
      <c r="B16" t="inlineStr">
        <is>
          <t>ADS</t>
        </is>
      </c>
      <c r="C16" t="inlineStr">
        <is>
          <t>20037890</t>
        </is>
      </c>
      <c r="D16" t="inlineStr">
        <is>
          <t>31800113</t>
        </is>
      </c>
      <c r="E16" t="inlineStr">
        <is>
          <t>08 December 25 - 14 December 25</t>
        </is>
      </c>
      <c r="F16" t="inlineStr">
        <is>
          <t>settled</t>
        </is>
      </c>
      <c r="G16" t="n">
        <v>4651.56</v>
      </c>
      <c r="H16" t="n">
        <v>4651.56</v>
      </c>
      <c r="I16" t="n">
        <v>0</v>
      </c>
    </row>
    <row r="17">
      <c r="B17" t="inlineStr">
        <is>
          <t>Total Ads &amp; miscellaneous services</t>
        </is>
      </c>
      <c r="G17" t="n">
        <v>11635.63</v>
      </c>
      <c r="H17" t="n">
        <v>11635.63</v>
      </c>
      <c r="I17" t="n">
        <v>0</v>
      </c>
    </row>
    <row r="18"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B19" t="inlineStr">
        <is>
          <t>B) Investments in Hyperpure</t>
        </is>
      </c>
    </row>
    <row r="20">
      <c r="B20" t="inlineStr">
        <is>
          <t>Type</t>
        </is>
      </c>
      <c r="C20" t="inlineStr">
        <is>
          <t>Res id for which deduction created</t>
        </is>
      </c>
      <c r="D20" t="inlineStr">
        <is>
          <t>OrderId</t>
        </is>
      </c>
      <c r="E20" t="inlineStr">
        <is>
          <t>Deduction time period</t>
        </is>
      </c>
      <c r="F20" t="inlineStr">
        <is>
          <t>Settlement Status</t>
        </is>
      </c>
      <c r="G20" t="inlineStr">
        <is>
          <t>Total amount</t>
        </is>
      </c>
      <c r="H20" t="inlineStr">
        <is>
          <t>Adjusted amount</t>
        </is>
      </c>
      <c r="I20" t="inlineStr">
        <is>
          <t>Outstanding amount</t>
        </is>
      </c>
    </row>
    <row r="21">
      <c r="B21" t="inlineStr">
        <is>
          <t>Total Hyperpure</t>
        </is>
      </c>
      <c r="G21" t="n">
        <v>0</v>
      </c>
      <c r="H21" t="n">
        <v>0</v>
      </c>
      <c r="I21" t="n">
        <v>0</v>
      </c>
    </row>
    <row r="22"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B23" t="inlineStr">
        <is>
          <t>C) Other deductions</t>
        </is>
      </c>
    </row>
    <row r="24">
      <c r="B24" t="inlineStr">
        <is>
          <t>D) Adjustments from previous weeks</t>
        </is>
      </c>
    </row>
    <row r="25">
      <c r="B25" t="inlineStr">
        <is>
          <t>Total Deductions (A) + (B) + (C)</t>
        </is>
      </c>
      <c r="C25" t="inlineStr"/>
      <c r="D25" t="inlineStr"/>
      <c r="E25" t="inlineStr"/>
      <c r="F25" t="inlineStr"/>
      <c r="G25" t="n">
        <v>11635.63</v>
      </c>
      <c r="H25" t="n">
        <v>11635.63</v>
      </c>
      <c r="I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83"/>
  <sheetViews>
    <sheetView workbookViewId="0">
      <selection activeCell="A1" sqref="A1"/>
    </sheetView>
  </sheetViews>
  <sheetFormatPr baseColWidth="8" defaultRowHeight="15"/>
  <sheetData>
    <row r="1">
      <c r="O1" t="n">
        <v>545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545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345.69</v>
      </c>
      <c r="BD1" t="n">
        <v>345.69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32181</v>
      </c>
      <c r="P2" t="n">
        <v>0</v>
      </c>
      <c r="Q2" t="n">
        <v>0</v>
      </c>
      <c r="R2" t="n">
        <v>6334.8</v>
      </c>
      <c r="S2" t="n">
        <v>2209.32</v>
      </c>
      <c r="T2" t="n">
        <v>0</v>
      </c>
      <c r="U2" t="n">
        <v>0</v>
      </c>
      <c r="V2" t="n">
        <v>1181.99</v>
      </c>
      <c r="W2" t="n">
        <v>24818.87000000001</v>
      </c>
      <c r="X2" t="n">
        <v>23636.88</v>
      </c>
      <c r="Y2" t="n">
        <v>0</v>
      </c>
      <c r="Z2" t="n">
        <v>0</v>
      </c>
      <c r="AA2" t="n">
        <v>23636.88</v>
      </c>
      <c r="AB2" t="n">
        <v>1822.34</v>
      </c>
      <c r="AC2" t="n">
        <v>5716.24</v>
      </c>
      <c r="AD2" t="n">
        <v>279.3700000000001</v>
      </c>
      <c r="AE2" t="n">
        <v>660</v>
      </c>
      <c r="AF2" t="n">
        <v>0</v>
      </c>
      <c r="AG2" t="n">
        <v>163.72</v>
      </c>
      <c r="AH2" t="n">
        <v>456.7700000000001</v>
      </c>
      <c r="AI2" t="n">
        <v>6669.289999999998</v>
      </c>
      <c r="AJ2" t="n">
        <v>1200.47</v>
      </c>
      <c r="AK2" t="n">
        <v>0</v>
      </c>
      <c r="AL2" t="n">
        <v>23636.88</v>
      </c>
      <c r="AM2" t="n">
        <v>0</v>
      </c>
      <c r="AN2" t="n">
        <v>0</v>
      </c>
      <c r="AO2" t="n">
        <v>23.61000000000001</v>
      </c>
      <c r="AP2" t="n">
        <v>1181.96</v>
      </c>
      <c r="AQ2" t="n">
        <v>0.03</v>
      </c>
      <c r="AR2" t="n">
        <v>2406.04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527.0300000000001</v>
      </c>
      <c r="AY2" t="n">
        <v>0</v>
      </c>
      <c r="AZ2" t="n">
        <v>0</v>
      </c>
      <c r="BA2" t="n">
        <v>527.0300000000001</v>
      </c>
      <c r="BB2" t="n">
        <v>9602.359999999999</v>
      </c>
      <c r="BC2" t="n">
        <v>0</v>
      </c>
      <c r="BD2" t="n">
        <v>15216.51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37973.57999999999</v>
      </c>
      <c r="P3" t="n">
        <v>0</v>
      </c>
      <c r="Q3" t="n">
        <v>0</v>
      </c>
      <c r="R3" t="n">
        <v>7475.063999999999</v>
      </c>
      <c r="S3" t="n">
        <v>2606.9976</v>
      </c>
      <c r="T3" t="n">
        <v>0</v>
      </c>
      <c r="U3" t="n">
        <v>0</v>
      </c>
      <c r="V3" t="n">
        <v>1394.7482</v>
      </c>
      <c r="W3" t="n">
        <v>29286.26660000001</v>
      </c>
      <c r="X3" t="n">
        <v>27891.5184</v>
      </c>
      <c r="Y3" t="n">
        <v>0</v>
      </c>
      <c r="Z3" t="n">
        <v>0</v>
      </c>
      <c r="AA3" t="n">
        <v>27891.5184</v>
      </c>
      <c r="AB3" t="n">
        <v>2150.3612</v>
      </c>
      <c r="AC3" t="n">
        <v>6745.163199999999</v>
      </c>
      <c r="AD3" t="n">
        <v>329.6566000000001</v>
      </c>
      <c r="AE3" t="n">
        <v>778.8</v>
      </c>
      <c r="AF3" t="n">
        <v>0</v>
      </c>
      <c r="AG3" t="n">
        <v>193.1896</v>
      </c>
      <c r="AH3" t="n">
        <v>538.9886000000001</v>
      </c>
      <c r="AI3" t="n">
        <v>7869.762199999997</v>
      </c>
      <c r="AJ3" t="n">
        <v>1416.5546</v>
      </c>
      <c r="AK3" t="n">
        <v>0</v>
      </c>
      <c r="AL3" t="n">
        <v>27891.5184</v>
      </c>
      <c r="AM3" t="n">
        <v>0</v>
      </c>
      <c r="AN3" t="n">
        <v>0</v>
      </c>
      <c r="AO3" t="n">
        <v>27.85980000000001</v>
      </c>
      <c r="AP3" t="n">
        <v>1394.7128</v>
      </c>
      <c r="AQ3" t="n">
        <v>0.03539999999999999</v>
      </c>
      <c r="AR3" t="n">
        <v>2839.1272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621.8954000000001</v>
      </c>
      <c r="AY3" t="n">
        <v>0</v>
      </c>
      <c r="AZ3" t="n">
        <v>0</v>
      </c>
      <c r="BA3" t="n">
        <v>621.8954000000001</v>
      </c>
      <c r="BB3" t="n">
        <v>11330.7848</v>
      </c>
      <c r="BC3" t="n">
        <v>0</v>
      </c>
      <c r="BD3" t="n">
        <v>17955.4818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32726</v>
      </c>
      <c r="P4" t="n">
        <v>0</v>
      </c>
      <c r="Q4" t="n">
        <v>0</v>
      </c>
      <c r="R4" t="n">
        <v>6334.8</v>
      </c>
      <c r="S4" t="n">
        <v>2209.32</v>
      </c>
      <c r="T4" t="n">
        <v>0</v>
      </c>
      <c r="U4" t="n">
        <v>0</v>
      </c>
      <c r="V4" t="n">
        <v>1181.99</v>
      </c>
      <c r="W4" t="n">
        <v>25363.87000000001</v>
      </c>
      <c r="X4" t="n">
        <v>23636.88</v>
      </c>
      <c r="Y4" t="n">
        <v>0</v>
      </c>
      <c r="Z4" t="n">
        <v>0</v>
      </c>
      <c r="AA4" t="n">
        <v>23636.88</v>
      </c>
      <c r="AB4" t="n">
        <v>1822.34</v>
      </c>
      <c r="AC4" t="n">
        <v>5716.24</v>
      </c>
      <c r="AD4" t="n">
        <v>279.3700000000001</v>
      </c>
      <c r="AE4" t="n">
        <v>660</v>
      </c>
      <c r="AF4" t="n">
        <v>0</v>
      </c>
      <c r="AG4" t="n">
        <v>163.72</v>
      </c>
      <c r="AH4" t="n">
        <v>456.7700000000001</v>
      </c>
      <c r="AI4" t="n">
        <v>6669.289999999998</v>
      </c>
      <c r="AJ4" t="n">
        <v>1200.47</v>
      </c>
      <c r="AK4" t="n">
        <v>0</v>
      </c>
      <c r="AL4" t="n">
        <v>23636.88</v>
      </c>
      <c r="AM4" t="n">
        <v>0</v>
      </c>
      <c r="AN4" t="n">
        <v>0</v>
      </c>
      <c r="AO4" t="n">
        <v>23.61000000000001</v>
      </c>
      <c r="AP4" t="n">
        <v>1181.96</v>
      </c>
      <c r="AQ4" t="n">
        <v>0.03</v>
      </c>
      <c r="AR4" t="n">
        <v>2406.04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527.0300000000001</v>
      </c>
      <c r="AY4" t="n">
        <v>0</v>
      </c>
      <c r="AZ4" t="n">
        <v>0</v>
      </c>
      <c r="BA4" t="n">
        <v>527.0300000000001</v>
      </c>
      <c r="BB4" t="n">
        <v>9602.359999999999</v>
      </c>
      <c r="BC4" t="n">
        <v>345.69</v>
      </c>
      <c r="BD4" t="n">
        <v>15562.2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7581316940</t>
        </is>
      </c>
      <c r="C6" t="inlineStr">
        <is>
          <t>2025-12-15 14:35:01</t>
        </is>
      </c>
      <c r="D6" t="inlineStr">
        <is>
          <t>51</t>
        </is>
      </c>
      <c r="E6" t="inlineStr">
        <is>
          <t>Baba Yaga Art Of Chinese - By Posh Foods</t>
        </is>
      </c>
      <c r="F6" t="inlineStr">
        <is>
          <t>20037890</t>
        </is>
      </c>
      <c r="G6" t="inlineStr">
        <is>
          <t>Flat ₹125 off (2025-12-08 - 2031-01-01)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9</t>
        </is>
      </c>
      <c r="O6" t="n">
        <v>420</v>
      </c>
      <c r="P6" t="n">
        <v>0</v>
      </c>
      <c r="Q6" t="n">
        <v>0</v>
      </c>
      <c r="R6" t="n">
        <v>125</v>
      </c>
      <c r="S6" t="n">
        <v>29.5</v>
      </c>
      <c r="T6" t="n">
        <v>0</v>
      </c>
      <c r="U6" t="n">
        <v>0</v>
      </c>
      <c r="V6" t="n">
        <v>13.28</v>
      </c>
      <c r="W6" t="n">
        <v>278.78</v>
      </c>
      <c r="X6" t="n">
        <v>265.5</v>
      </c>
      <c r="Y6" t="n">
        <v>0</v>
      </c>
      <c r="Z6" t="n">
        <v>0</v>
      </c>
      <c r="AA6" t="n">
        <v>265.5</v>
      </c>
      <c r="AB6" t="n">
        <v>23</v>
      </c>
      <c r="AC6" t="n">
        <v>61.06</v>
      </c>
      <c r="AD6" t="n">
        <v>3.05</v>
      </c>
      <c r="AE6" t="n">
        <v>0</v>
      </c>
      <c r="AF6" t="n">
        <v>0</v>
      </c>
      <c r="AG6" t="n">
        <v>0</v>
      </c>
      <c r="AH6" t="n">
        <v>5.13</v>
      </c>
      <c r="AI6" t="n">
        <v>66.19</v>
      </c>
      <c r="AJ6" t="n">
        <v>11.91</v>
      </c>
      <c r="AK6" t="n">
        <v>0</v>
      </c>
      <c r="AL6" t="n">
        <v>265.5</v>
      </c>
      <c r="AM6" t="n">
        <v>0</v>
      </c>
      <c r="AN6" t="n">
        <v>0</v>
      </c>
      <c r="AO6" t="n">
        <v>0.27</v>
      </c>
      <c r="AP6" t="n">
        <v>13.28</v>
      </c>
      <c r="AQ6" t="n">
        <v>0</v>
      </c>
      <c r="AR6" t="n">
        <v>25.46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91.65000000000001</v>
      </c>
      <c r="BC6" t="n">
        <v>0</v>
      </c>
      <c r="BD6" t="n">
        <v>187.13</v>
      </c>
      <c r="BE6" t="inlineStr">
        <is>
          <t>settled</t>
        </is>
      </c>
      <c r="BF6" t="inlineStr">
        <is>
          <t>2025-12-24 05:30:00</t>
        </is>
      </c>
      <c r="BG6" t="inlineStr">
        <is>
          <t>CITIN25674376566</t>
        </is>
      </c>
      <c r="BH6" t="n">
        <v>0</v>
      </c>
      <c r="BI6" t="inlineStr">
        <is>
          <t>b8ae946be4dc5a9e207e25d6001a42709ae89a6474fd2130b13ef9130dbd4939</t>
        </is>
      </c>
    </row>
    <row r="7">
      <c r="A7" t="inlineStr">
        <is>
          <t>2</t>
        </is>
      </c>
      <c r="B7" t="inlineStr">
        <is>
          <t>7579371752</t>
        </is>
      </c>
      <c r="C7" t="inlineStr">
        <is>
          <t>2025-12-15 14:38:11</t>
        </is>
      </c>
      <c r="D7" t="inlineStr">
        <is>
          <t>51</t>
        </is>
      </c>
      <c r="E7" t="inlineStr">
        <is>
          <t>Baba Yaga Art Of Chinese - By Posh Foods</t>
        </is>
      </c>
      <c r="F7" t="inlineStr">
        <is>
          <t>20037890</t>
        </is>
      </c>
      <c r="G7" t="inlineStr">
        <is>
          <t>Flat ₹100 off (2025-12-05 - 2031-01-01)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9</t>
        </is>
      </c>
      <c r="O7" t="n">
        <v>319</v>
      </c>
      <c r="P7" t="n">
        <v>0</v>
      </c>
      <c r="Q7" t="n">
        <v>0</v>
      </c>
      <c r="R7" t="n">
        <v>100</v>
      </c>
      <c r="S7" t="n">
        <v>21.9</v>
      </c>
      <c r="T7" t="n">
        <v>0</v>
      </c>
      <c r="U7" t="n">
        <v>0</v>
      </c>
      <c r="V7" t="n">
        <v>9.859999999999999</v>
      </c>
      <c r="W7" t="n">
        <v>206.96</v>
      </c>
      <c r="X7" t="n">
        <v>197.1</v>
      </c>
      <c r="Y7" t="n">
        <v>0</v>
      </c>
      <c r="Z7" t="n">
        <v>0</v>
      </c>
      <c r="AA7" t="n">
        <v>197.1</v>
      </c>
      <c r="AB7" t="n">
        <v>23</v>
      </c>
      <c r="AC7" t="n">
        <v>45.33</v>
      </c>
      <c r="AD7" t="n">
        <v>1.78</v>
      </c>
      <c r="AE7" t="n">
        <v>0</v>
      </c>
      <c r="AF7" t="n">
        <v>0</v>
      </c>
      <c r="AG7" t="n">
        <v>0</v>
      </c>
      <c r="AH7" t="n">
        <v>3.81</v>
      </c>
      <c r="AI7" t="n">
        <v>49.14</v>
      </c>
      <c r="AJ7" t="n">
        <v>8.85</v>
      </c>
      <c r="AK7" t="n">
        <v>0</v>
      </c>
      <c r="AL7" t="n">
        <v>197.1</v>
      </c>
      <c r="AM7" t="n">
        <v>0</v>
      </c>
      <c r="AN7" t="n">
        <v>0</v>
      </c>
      <c r="AO7" t="n">
        <v>0.2</v>
      </c>
      <c r="AP7" t="n">
        <v>9.859999999999999</v>
      </c>
      <c r="AQ7" t="n">
        <v>0</v>
      </c>
      <c r="AR7" t="n">
        <v>18.91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68.05</v>
      </c>
      <c r="BC7" t="n">
        <v>0</v>
      </c>
      <c r="BD7" t="n">
        <v>138.91</v>
      </c>
      <c r="BE7" t="inlineStr">
        <is>
          <t>settled</t>
        </is>
      </c>
      <c r="BF7" t="inlineStr">
        <is>
          <t>2025-12-24 05:30:00</t>
        </is>
      </c>
      <c r="BG7" t="inlineStr">
        <is>
          <t>CITIN25674376566</t>
        </is>
      </c>
      <c r="BH7" t="n">
        <v>0</v>
      </c>
      <c r="BI7" t="inlineStr">
        <is>
          <t>6927e0ea562d43d3b415e2ded0cfa4a766d3d27cf93c8f15197f48bb4c6fa566</t>
        </is>
      </c>
    </row>
    <row r="8">
      <c r="A8" t="inlineStr">
        <is>
          <t>3</t>
        </is>
      </c>
      <c r="B8" t="inlineStr">
        <is>
          <t>7585732106</t>
        </is>
      </c>
      <c r="C8" t="inlineStr">
        <is>
          <t>2025-12-15 14:42:20</t>
        </is>
      </c>
      <c r="D8" t="inlineStr">
        <is>
          <t>51</t>
        </is>
      </c>
      <c r="E8" t="inlineStr">
        <is>
          <t>Baba Yaga Art Of Chinese - By Posh Foods</t>
        </is>
      </c>
      <c r="F8" t="inlineStr">
        <is>
          <t>20037890</t>
        </is>
      </c>
      <c r="G8" t="inlineStr">
        <is>
          <t>Flat ₹125 off (2025-12-08 - 2031-01-01)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9</t>
        </is>
      </c>
      <c r="O8" t="n">
        <v>365</v>
      </c>
      <c r="P8" t="n">
        <v>0</v>
      </c>
      <c r="Q8" t="n">
        <v>0</v>
      </c>
      <c r="R8" t="n">
        <v>87</v>
      </c>
      <c r="S8" t="n">
        <v>24</v>
      </c>
      <c r="T8" t="n">
        <v>0</v>
      </c>
      <c r="U8" t="n">
        <v>0</v>
      </c>
      <c r="V8" t="n">
        <v>12.7</v>
      </c>
      <c r="W8" t="n">
        <v>266.7</v>
      </c>
      <c r="X8" t="n">
        <v>254</v>
      </c>
      <c r="Y8" t="n">
        <v>0</v>
      </c>
      <c r="Z8" t="n">
        <v>0</v>
      </c>
      <c r="AA8" t="n">
        <v>254</v>
      </c>
      <c r="AB8" t="n">
        <v>23</v>
      </c>
      <c r="AC8" t="n">
        <v>58.42</v>
      </c>
      <c r="AD8" t="n">
        <v>1.85</v>
      </c>
      <c r="AE8" t="n">
        <v>0</v>
      </c>
      <c r="AF8" t="n">
        <v>0</v>
      </c>
      <c r="AG8" t="n">
        <v>0</v>
      </c>
      <c r="AH8" t="n">
        <v>4.91</v>
      </c>
      <c r="AI8" t="n">
        <v>63.33</v>
      </c>
      <c r="AJ8" t="n">
        <v>11.4</v>
      </c>
      <c r="AK8" t="n">
        <v>0</v>
      </c>
      <c r="AL8" t="n">
        <v>254</v>
      </c>
      <c r="AM8" t="n">
        <v>0</v>
      </c>
      <c r="AN8" t="n">
        <v>0</v>
      </c>
      <c r="AO8" t="n">
        <v>0.25</v>
      </c>
      <c r="AP8" t="n">
        <v>12.7</v>
      </c>
      <c r="AQ8" t="n">
        <v>0</v>
      </c>
      <c r="AR8" t="n">
        <v>24.35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87.68000000000001</v>
      </c>
      <c r="BC8" t="n">
        <v>0</v>
      </c>
      <c r="BD8" t="n">
        <v>179.02</v>
      </c>
      <c r="BE8" t="inlineStr">
        <is>
          <t>settled</t>
        </is>
      </c>
      <c r="BF8" t="inlineStr">
        <is>
          <t>2025-12-24 05:30:00</t>
        </is>
      </c>
      <c r="BG8" t="inlineStr">
        <is>
          <t>CITIN25674376566</t>
        </is>
      </c>
      <c r="BH8" t="n">
        <v>0</v>
      </c>
      <c r="BI8" t="inlineStr">
        <is>
          <t>d650b55e18cec8592349b7561ed4dc42fe5c371584f9a6302d8c53275ede8a84</t>
        </is>
      </c>
    </row>
    <row r="9">
      <c r="A9" t="inlineStr">
        <is>
          <t>4</t>
        </is>
      </c>
      <c r="B9" t="inlineStr">
        <is>
          <t>7575244034</t>
        </is>
      </c>
      <c r="C9" t="inlineStr">
        <is>
          <t>2025-12-15 14:53:37</t>
        </is>
      </c>
      <c r="D9" t="inlineStr">
        <is>
          <t>51</t>
        </is>
      </c>
      <c r="E9" t="inlineStr">
        <is>
          <t>Baba Yaga Art Of Chinese - By Posh Foods</t>
        </is>
      </c>
      <c r="F9" t="inlineStr">
        <is>
          <t>20037890</t>
        </is>
      </c>
      <c r="G9" t="inlineStr">
        <is>
          <t>Flat ₹125 off (2025-12-08 - 2031-01-01)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9</t>
        </is>
      </c>
      <c r="O9" t="n">
        <v>350</v>
      </c>
      <c r="P9" t="n">
        <v>0</v>
      </c>
      <c r="Q9" t="n">
        <v>0</v>
      </c>
      <c r="R9" t="n">
        <v>87</v>
      </c>
      <c r="S9" t="n">
        <v>22.5</v>
      </c>
      <c r="T9" t="n">
        <v>0</v>
      </c>
      <c r="U9" t="n">
        <v>0</v>
      </c>
      <c r="V9" t="n">
        <v>12.03</v>
      </c>
      <c r="W9" t="n">
        <v>252.53</v>
      </c>
      <c r="X9" t="n">
        <v>240.5</v>
      </c>
      <c r="Y9" t="n">
        <v>0</v>
      </c>
      <c r="Z9" t="n">
        <v>0</v>
      </c>
      <c r="AA9" t="n">
        <v>240.5</v>
      </c>
      <c r="AB9" t="n">
        <v>23</v>
      </c>
      <c r="AC9" t="n">
        <v>55.32</v>
      </c>
      <c r="AD9" t="n">
        <v>3.84</v>
      </c>
      <c r="AE9" t="n">
        <v>0</v>
      </c>
      <c r="AF9" t="n">
        <v>0</v>
      </c>
      <c r="AG9" t="n">
        <v>0</v>
      </c>
      <c r="AH9" t="n">
        <v>4.65</v>
      </c>
      <c r="AI9" t="n">
        <v>59.97</v>
      </c>
      <c r="AJ9" t="n">
        <v>10.8</v>
      </c>
      <c r="AK9" t="n">
        <v>0</v>
      </c>
      <c r="AL9" t="n">
        <v>240.5</v>
      </c>
      <c r="AM9" t="n">
        <v>0</v>
      </c>
      <c r="AN9" t="n">
        <v>0</v>
      </c>
      <c r="AO9" t="n">
        <v>0.24</v>
      </c>
      <c r="AP9" t="n">
        <v>12.03</v>
      </c>
      <c r="AQ9" t="n">
        <v>0</v>
      </c>
      <c r="AR9" t="n">
        <v>23.07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83.04000000000001</v>
      </c>
      <c r="BC9" t="n">
        <v>0</v>
      </c>
      <c r="BD9" t="n">
        <v>169.49</v>
      </c>
      <c r="BE9" t="inlineStr">
        <is>
          <t>settled</t>
        </is>
      </c>
      <c r="BF9" t="inlineStr">
        <is>
          <t>2025-12-24 05:30:00</t>
        </is>
      </c>
      <c r="BG9" t="inlineStr">
        <is>
          <t>CITIN25674376566</t>
        </is>
      </c>
      <c r="BH9" t="n">
        <v>0</v>
      </c>
      <c r="BI9" t="inlineStr">
        <is>
          <t>6add21d7c828d2d3c712c5a4e1c75a409015fdfa740fd68778eae2f589f929a3</t>
        </is>
      </c>
    </row>
    <row r="10">
      <c r="A10" t="inlineStr">
        <is>
          <t>5</t>
        </is>
      </c>
      <c r="B10" t="inlineStr">
        <is>
          <t>7578894898</t>
        </is>
      </c>
      <c r="C10" t="inlineStr">
        <is>
          <t>2025-12-15 18:34:29</t>
        </is>
      </c>
      <c r="D10" t="inlineStr">
        <is>
          <t>51</t>
        </is>
      </c>
      <c r="E10" t="inlineStr">
        <is>
          <t>Baba Yaga Art Of Chinese - By Posh Foods</t>
        </is>
      </c>
      <c r="F10" t="inlineStr">
        <is>
          <t>20037890</t>
        </is>
      </c>
      <c r="G10" t="inlineStr">
        <is>
          <t>Flat ₹125 off (2025-12-08 - 2031-01-01)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9</t>
        </is>
      </c>
      <c r="O10" t="n">
        <v>525</v>
      </c>
      <c r="P10" t="n">
        <v>0</v>
      </c>
      <c r="Q10" t="n">
        <v>0</v>
      </c>
      <c r="R10" t="n">
        <v>125</v>
      </c>
      <c r="S10" t="n">
        <v>40</v>
      </c>
      <c r="T10" t="n">
        <v>0</v>
      </c>
      <c r="U10" t="n">
        <v>0</v>
      </c>
      <c r="V10" t="n">
        <v>18</v>
      </c>
      <c r="W10" t="n">
        <v>378</v>
      </c>
      <c r="X10" t="n">
        <v>360</v>
      </c>
      <c r="Y10" t="n">
        <v>0</v>
      </c>
      <c r="Z10" t="n">
        <v>0</v>
      </c>
      <c r="AA10" t="n">
        <v>360</v>
      </c>
      <c r="AB10" t="n">
        <v>23</v>
      </c>
      <c r="AC10" t="n">
        <v>82.8</v>
      </c>
      <c r="AD10" t="n">
        <v>1.35</v>
      </c>
      <c r="AE10" t="n">
        <v>0</v>
      </c>
      <c r="AF10" t="n">
        <v>0</v>
      </c>
      <c r="AG10" t="n">
        <v>0</v>
      </c>
      <c r="AH10" t="n">
        <v>6.96</v>
      </c>
      <c r="AI10" t="n">
        <v>89.76000000000001</v>
      </c>
      <c r="AJ10" t="n">
        <v>16.15</v>
      </c>
      <c r="AK10" t="n">
        <v>0</v>
      </c>
      <c r="AL10" t="n">
        <v>360</v>
      </c>
      <c r="AM10" t="n">
        <v>0</v>
      </c>
      <c r="AN10" t="n">
        <v>0</v>
      </c>
      <c r="AO10" t="n">
        <v>0.36</v>
      </c>
      <c r="AP10" t="n">
        <v>18</v>
      </c>
      <c r="AQ10" t="n">
        <v>0</v>
      </c>
      <c r="AR10" t="n">
        <v>34.51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42.48</v>
      </c>
      <c r="AY10" t="n">
        <v>0</v>
      </c>
      <c r="AZ10" t="n">
        <v>0</v>
      </c>
      <c r="BA10" t="n">
        <v>42.48</v>
      </c>
      <c r="BB10" t="n">
        <v>166.75</v>
      </c>
      <c r="BC10" t="n">
        <v>0</v>
      </c>
      <c r="BD10" t="n">
        <v>211.25</v>
      </c>
      <c r="BE10" t="inlineStr">
        <is>
          <t>settled</t>
        </is>
      </c>
      <c r="BF10" t="inlineStr">
        <is>
          <t>2025-12-24 05:30:00</t>
        </is>
      </c>
      <c r="BG10" t="inlineStr">
        <is>
          <t>CITIN25674376566</t>
        </is>
      </c>
      <c r="BH10" t="n">
        <v>0</v>
      </c>
      <c r="BI10" t="inlineStr">
        <is>
          <t>c1c785654703aeca3b1e6376683ff02a8d58cfe8361020bdfc04579111801555</t>
        </is>
      </c>
    </row>
    <row r="11">
      <c r="A11" t="inlineStr">
        <is>
          <t>6</t>
        </is>
      </c>
      <c r="B11" t="inlineStr">
        <is>
          <t>7585983993</t>
        </is>
      </c>
      <c r="C11" t="inlineStr">
        <is>
          <t>2025-12-15 19:46:44</t>
        </is>
      </c>
      <c r="D11" t="inlineStr">
        <is>
          <t>51</t>
        </is>
      </c>
      <c r="E11" t="inlineStr">
        <is>
          <t>Baba Yaga Art Of Chinese - By Posh Foods</t>
        </is>
      </c>
      <c r="F11" t="inlineStr">
        <is>
          <t>20037890</t>
        </is>
      </c>
      <c r="G11" t="inlineStr">
        <is>
          <t>Flat ₹125 off (2025-12-08 - 2031-01-01)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9</t>
        </is>
      </c>
      <c r="O11" t="n">
        <v>455</v>
      </c>
      <c r="P11" t="n">
        <v>0</v>
      </c>
      <c r="Q11" t="n">
        <v>0</v>
      </c>
      <c r="R11" t="n">
        <v>125</v>
      </c>
      <c r="S11" t="n">
        <v>0</v>
      </c>
      <c r="T11" t="n">
        <v>0</v>
      </c>
      <c r="U11" t="n">
        <v>0</v>
      </c>
      <c r="V11" t="n">
        <v>16.5</v>
      </c>
      <c r="W11" t="n">
        <v>346.5</v>
      </c>
      <c r="X11" t="n">
        <v>330</v>
      </c>
      <c r="Y11" t="n">
        <v>0</v>
      </c>
      <c r="Z11" t="n">
        <v>0</v>
      </c>
      <c r="AA11" t="n">
        <v>330</v>
      </c>
      <c r="AB11" t="n">
        <v>23</v>
      </c>
      <c r="AC11" t="n">
        <v>75.90000000000001</v>
      </c>
      <c r="AD11" t="n">
        <v>2.37</v>
      </c>
      <c r="AE11" t="n">
        <v>0</v>
      </c>
      <c r="AF11" t="n">
        <v>0</v>
      </c>
      <c r="AG11" t="n">
        <v>0</v>
      </c>
      <c r="AH11" t="n">
        <v>6.38</v>
      </c>
      <c r="AI11" t="n">
        <v>82.28</v>
      </c>
      <c r="AJ11" t="n">
        <v>14.81</v>
      </c>
      <c r="AK11" t="n">
        <v>0</v>
      </c>
      <c r="AL11" t="n">
        <v>330</v>
      </c>
      <c r="AM11" t="n">
        <v>0</v>
      </c>
      <c r="AN11" t="n">
        <v>0</v>
      </c>
      <c r="AO11" t="n">
        <v>0.33</v>
      </c>
      <c r="AP11" t="n">
        <v>16.5</v>
      </c>
      <c r="AQ11" t="n">
        <v>0</v>
      </c>
      <c r="AR11" t="n">
        <v>31.64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113.92</v>
      </c>
      <c r="BC11" t="n">
        <v>0</v>
      </c>
      <c r="BD11" t="n">
        <v>232.58</v>
      </c>
      <c r="BE11" t="inlineStr">
        <is>
          <t>settled</t>
        </is>
      </c>
      <c r="BF11" t="inlineStr">
        <is>
          <t>2025-12-24 05:30:00</t>
        </is>
      </c>
      <c r="BG11" t="inlineStr">
        <is>
          <t>CITIN25674376566</t>
        </is>
      </c>
      <c r="BH11" t="n">
        <v>0</v>
      </c>
      <c r="BI11" t="inlineStr">
        <is>
          <t>2eeae4170837c543094cb3a76b00f382386d109f6ae9cde4e542cc5d326078d6</t>
        </is>
      </c>
    </row>
    <row r="12">
      <c r="A12" t="inlineStr">
        <is>
          <t>7</t>
        </is>
      </c>
      <c r="B12" t="inlineStr">
        <is>
          <t>7586291370</t>
        </is>
      </c>
      <c r="C12" t="inlineStr">
        <is>
          <t>2025-12-15 20:36:51</t>
        </is>
      </c>
      <c r="D12" t="inlineStr">
        <is>
          <t>51</t>
        </is>
      </c>
      <c r="E12" t="inlineStr">
        <is>
          <t>Baba Yaga Art Of Chinese - By Posh Foods</t>
        </is>
      </c>
      <c r="F12" t="inlineStr">
        <is>
          <t>20037890</t>
        </is>
      </c>
      <c r="G12" t="inlineStr">
        <is>
          <t>Flat ₹100 off (2025-12-08 - 2031-01-01)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9</t>
        </is>
      </c>
      <c r="O12" t="n">
        <v>315</v>
      </c>
      <c r="P12" t="n">
        <v>0</v>
      </c>
      <c r="Q12" t="n">
        <v>0</v>
      </c>
      <c r="R12" t="n">
        <v>70</v>
      </c>
      <c r="S12" t="n">
        <v>21.5</v>
      </c>
      <c r="T12" t="n">
        <v>0</v>
      </c>
      <c r="U12" t="n">
        <v>0</v>
      </c>
      <c r="V12" t="n">
        <v>11.18</v>
      </c>
      <c r="W12" t="n">
        <v>234.68</v>
      </c>
      <c r="X12" t="n">
        <v>223.5</v>
      </c>
      <c r="Y12" t="n">
        <v>0</v>
      </c>
      <c r="Z12" t="n">
        <v>0</v>
      </c>
      <c r="AA12" t="n">
        <v>223.5</v>
      </c>
      <c r="AB12" t="n">
        <v>23</v>
      </c>
      <c r="AC12" t="n">
        <v>51.4</v>
      </c>
      <c r="AD12" t="n">
        <v>4.76</v>
      </c>
      <c r="AE12" t="n">
        <v>20</v>
      </c>
      <c r="AF12" t="n">
        <v>0</v>
      </c>
      <c r="AG12" t="n">
        <v>4.35</v>
      </c>
      <c r="AH12" t="n">
        <v>4.32</v>
      </c>
      <c r="AI12" t="n">
        <v>71.37</v>
      </c>
      <c r="AJ12" t="n">
        <v>12.85</v>
      </c>
      <c r="AK12" t="n">
        <v>0</v>
      </c>
      <c r="AL12" t="n">
        <v>223.5</v>
      </c>
      <c r="AM12" t="n">
        <v>0</v>
      </c>
      <c r="AN12" t="n">
        <v>0</v>
      </c>
      <c r="AO12" t="n">
        <v>0.22</v>
      </c>
      <c r="AP12" t="n">
        <v>11.18</v>
      </c>
      <c r="AQ12" t="n">
        <v>0</v>
      </c>
      <c r="AR12" t="n">
        <v>24.25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95.62</v>
      </c>
      <c r="BC12" t="n">
        <v>0</v>
      </c>
      <c r="BD12" t="n">
        <v>139.06</v>
      </c>
      <c r="BE12" t="inlineStr">
        <is>
          <t>settled</t>
        </is>
      </c>
      <c r="BF12" t="inlineStr">
        <is>
          <t>2025-12-24 05:30:00</t>
        </is>
      </c>
      <c r="BG12" t="inlineStr">
        <is>
          <t>CITIN25674376566</t>
        </is>
      </c>
      <c r="BH12" t="n">
        <v>0</v>
      </c>
      <c r="BI12" t="inlineStr">
        <is>
          <t>d7eddf7cc5432fe0c3eff0735533407a552c0c0d64f74db2a85231f80d604067</t>
        </is>
      </c>
    </row>
    <row r="13">
      <c r="A13" t="inlineStr">
        <is>
          <t>8</t>
        </is>
      </c>
      <c r="B13" t="inlineStr">
        <is>
          <t>7583338340</t>
        </is>
      </c>
      <c r="C13" t="inlineStr">
        <is>
          <t>2025-12-15 20:46:24</t>
        </is>
      </c>
      <c r="D13" t="inlineStr">
        <is>
          <t>51</t>
        </is>
      </c>
      <c r="E13" t="inlineStr">
        <is>
          <t>Baba Yaga Art Of Chinese - By Posh Foods</t>
        </is>
      </c>
      <c r="F13" t="inlineStr">
        <is>
          <t>20037890</t>
        </is>
      </c>
      <c r="G13" t="inlineStr">
        <is>
          <t>Flat ₹100 off (2025-12-08 - 2031-01-01)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9</t>
        </is>
      </c>
      <c r="O13" t="n">
        <v>265</v>
      </c>
      <c r="P13" t="n">
        <v>0</v>
      </c>
      <c r="Q13" t="n">
        <v>0</v>
      </c>
      <c r="R13" t="n">
        <v>70</v>
      </c>
      <c r="S13" t="n">
        <v>0</v>
      </c>
      <c r="T13" t="n">
        <v>0</v>
      </c>
      <c r="U13" t="n">
        <v>0</v>
      </c>
      <c r="V13" t="n">
        <v>9.75</v>
      </c>
      <c r="W13" t="n">
        <v>204.75</v>
      </c>
      <c r="X13" t="n">
        <v>195</v>
      </c>
      <c r="Y13" t="n">
        <v>0</v>
      </c>
      <c r="Z13" t="n">
        <v>0</v>
      </c>
      <c r="AA13" t="n">
        <v>195</v>
      </c>
      <c r="AB13" t="n">
        <v>23</v>
      </c>
      <c r="AC13" t="n">
        <v>44.85</v>
      </c>
      <c r="AD13" t="n">
        <v>3.28</v>
      </c>
      <c r="AE13" t="n">
        <v>0</v>
      </c>
      <c r="AF13" t="n">
        <v>0</v>
      </c>
      <c r="AG13" t="n">
        <v>0</v>
      </c>
      <c r="AH13" t="n">
        <v>3.77</v>
      </c>
      <c r="AI13" t="n">
        <v>48.62</v>
      </c>
      <c r="AJ13" t="n">
        <v>8.75</v>
      </c>
      <c r="AK13" t="n">
        <v>0</v>
      </c>
      <c r="AL13" t="n">
        <v>195</v>
      </c>
      <c r="AM13" t="n">
        <v>0</v>
      </c>
      <c r="AN13" t="n">
        <v>0</v>
      </c>
      <c r="AO13" t="n">
        <v>0.2</v>
      </c>
      <c r="AP13" t="n">
        <v>9.75</v>
      </c>
      <c r="AQ13" t="n">
        <v>0</v>
      </c>
      <c r="AR13" t="n">
        <v>18.7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67.31999999999999</v>
      </c>
      <c r="BC13" t="n">
        <v>0</v>
      </c>
      <c r="BD13" t="n">
        <v>137.43</v>
      </c>
      <c r="BE13" t="inlineStr">
        <is>
          <t>settled</t>
        </is>
      </c>
      <c r="BF13" t="inlineStr">
        <is>
          <t>2025-12-24 05:30:00</t>
        </is>
      </c>
      <c r="BG13" t="inlineStr">
        <is>
          <t>CITIN25674376566</t>
        </is>
      </c>
      <c r="BH13" t="n">
        <v>0</v>
      </c>
      <c r="BI13" t="inlineStr">
        <is>
          <t>9557af8dfb19487ba01f995a175192e25ccfd5fd9fb36fe902a27f475a66f025</t>
        </is>
      </c>
    </row>
    <row r="14">
      <c r="A14" t="inlineStr">
        <is>
          <t>9</t>
        </is>
      </c>
      <c r="B14" t="inlineStr">
        <is>
          <t>7579446367</t>
        </is>
      </c>
      <c r="C14" t="inlineStr">
        <is>
          <t>2025-12-15 21:16:55</t>
        </is>
      </c>
      <c r="D14" t="inlineStr">
        <is>
          <t>51</t>
        </is>
      </c>
      <c r="E14" t="inlineStr">
        <is>
          <t>Baba Yaga Art Of Chinese - By Posh Foods</t>
        </is>
      </c>
      <c r="F14" t="inlineStr">
        <is>
          <t>20037890</t>
        </is>
      </c>
      <c r="G14" t="inlineStr">
        <is>
          <t>Flat ₹80 off (2025-12-08 - 2031-01-01)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9</t>
        </is>
      </c>
      <c r="O14" t="n">
        <v>265</v>
      </c>
      <c r="P14" t="n">
        <v>0</v>
      </c>
      <c r="Q14" t="n">
        <v>0</v>
      </c>
      <c r="R14" t="n">
        <v>56</v>
      </c>
      <c r="S14" t="n">
        <v>0</v>
      </c>
      <c r="T14" t="n">
        <v>0</v>
      </c>
      <c r="U14" t="n">
        <v>0</v>
      </c>
      <c r="V14" t="n">
        <v>10.45</v>
      </c>
      <c r="W14" t="n">
        <v>219.45</v>
      </c>
      <c r="X14" t="n">
        <v>209</v>
      </c>
      <c r="Y14" t="n">
        <v>0</v>
      </c>
      <c r="Z14" t="n">
        <v>0</v>
      </c>
      <c r="AA14" t="n">
        <v>209</v>
      </c>
      <c r="AB14" t="n">
        <v>23</v>
      </c>
      <c r="AC14" t="n">
        <v>48.07</v>
      </c>
      <c r="AD14" t="n">
        <v>3.71</v>
      </c>
      <c r="AE14" t="n">
        <v>0</v>
      </c>
      <c r="AF14" t="n">
        <v>0</v>
      </c>
      <c r="AG14" t="n">
        <v>0</v>
      </c>
      <c r="AH14" t="n">
        <v>4.04</v>
      </c>
      <c r="AI14" t="n">
        <v>52.11</v>
      </c>
      <c r="AJ14" t="n">
        <v>9.380000000000001</v>
      </c>
      <c r="AK14" t="n">
        <v>0</v>
      </c>
      <c r="AL14" t="n">
        <v>209</v>
      </c>
      <c r="AM14" t="n">
        <v>0</v>
      </c>
      <c r="AN14" t="n">
        <v>0</v>
      </c>
      <c r="AO14" t="n">
        <v>0.21</v>
      </c>
      <c r="AP14" t="n">
        <v>10.45</v>
      </c>
      <c r="AQ14" t="n">
        <v>0</v>
      </c>
      <c r="AR14" t="n">
        <v>20.04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72.15000000000001</v>
      </c>
      <c r="BC14" t="n">
        <v>0</v>
      </c>
      <c r="BD14" t="n">
        <v>147.3</v>
      </c>
      <c r="BE14" t="inlineStr">
        <is>
          <t>settled</t>
        </is>
      </c>
      <c r="BF14" t="inlineStr">
        <is>
          <t>2025-12-24 05:30:00</t>
        </is>
      </c>
      <c r="BG14" t="inlineStr">
        <is>
          <t>CITIN25674376566</t>
        </is>
      </c>
      <c r="BH14" t="n">
        <v>0</v>
      </c>
      <c r="BI14" t="inlineStr">
        <is>
          <t>1291a726a40906fa29d749102626084a2576e0508cb088ee6c1958c5be24008a</t>
        </is>
      </c>
    </row>
    <row r="15">
      <c r="A15" t="inlineStr">
        <is>
          <t>10</t>
        </is>
      </c>
      <c r="B15" t="inlineStr">
        <is>
          <t>7584860162</t>
        </is>
      </c>
      <c r="C15" t="inlineStr">
        <is>
          <t>2025-12-15 21:30:28</t>
        </is>
      </c>
      <c r="D15" t="inlineStr">
        <is>
          <t>51</t>
        </is>
      </c>
      <c r="E15" t="inlineStr">
        <is>
          <t>Baba Yaga Art Of Chinese - By Posh Foods</t>
        </is>
      </c>
      <c r="F15" t="inlineStr">
        <is>
          <t>20037890</t>
        </is>
      </c>
      <c r="G15" t="inlineStr">
        <is>
          <t>Flat ₹100 off (2025-12-08 - 2031-01-01)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9</t>
        </is>
      </c>
      <c r="O15" t="n">
        <v>245</v>
      </c>
      <c r="P15" t="n">
        <v>0</v>
      </c>
      <c r="Q15" t="n">
        <v>0</v>
      </c>
      <c r="R15" t="n">
        <v>70</v>
      </c>
      <c r="S15" t="n">
        <v>0</v>
      </c>
      <c r="T15" t="n">
        <v>0</v>
      </c>
      <c r="U15" t="n">
        <v>0</v>
      </c>
      <c r="V15" t="n">
        <v>8.75</v>
      </c>
      <c r="W15" t="n">
        <v>183.75</v>
      </c>
      <c r="X15" t="n">
        <v>175</v>
      </c>
      <c r="Y15" t="n">
        <v>0</v>
      </c>
      <c r="Z15" t="n">
        <v>0</v>
      </c>
      <c r="AA15" t="n">
        <v>175</v>
      </c>
      <c r="AB15" t="n">
        <v>23</v>
      </c>
      <c r="AC15" t="n">
        <v>40.25</v>
      </c>
      <c r="AD15" t="n">
        <v>1.69</v>
      </c>
      <c r="AE15" t="n">
        <v>0</v>
      </c>
      <c r="AF15" t="n">
        <v>0</v>
      </c>
      <c r="AG15" t="n">
        <v>0</v>
      </c>
      <c r="AH15" t="n">
        <v>3.38</v>
      </c>
      <c r="AI15" t="n">
        <v>43.63</v>
      </c>
      <c r="AJ15" t="n">
        <v>7.85</v>
      </c>
      <c r="AK15" t="n">
        <v>0</v>
      </c>
      <c r="AL15" t="n">
        <v>175</v>
      </c>
      <c r="AM15" t="n">
        <v>0</v>
      </c>
      <c r="AN15" t="n">
        <v>0</v>
      </c>
      <c r="AO15" t="n">
        <v>0.18</v>
      </c>
      <c r="AP15" t="n">
        <v>8.75</v>
      </c>
      <c r="AQ15" t="n">
        <v>0</v>
      </c>
      <c r="AR15" t="n">
        <v>16.78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60.41</v>
      </c>
      <c r="BC15" t="n">
        <v>0</v>
      </c>
      <c r="BD15" t="n">
        <v>123.34</v>
      </c>
      <c r="BE15" t="inlineStr">
        <is>
          <t>settled</t>
        </is>
      </c>
      <c r="BF15" t="inlineStr">
        <is>
          <t>2025-12-24 05:30:00</t>
        </is>
      </c>
      <c r="BG15" t="inlineStr">
        <is>
          <t>CITIN25674376566</t>
        </is>
      </c>
      <c r="BH15" t="n">
        <v>0</v>
      </c>
      <c r="BI15" t="inlineStr">
        <is>
          <t>8107f259f94906be6ee1ce9a17539535c0fde88ab58bf5c1aebf333645bb6903</t>
        </is>
      </c>
    </row>
    <row r="16">
      <c r="A16" t="inlineStr">
        <is>
          <t>11</t>
        </is>
      </c>
      <c r="B16" t="inlineStr">
        <is>
          <t>7582810956</t>
        </is>
      </c>
      <c r="C16" t="inlineStr">
        <is>
          <t>2025-12-15 22:02:28</t>
        </is>
      </c>
      <c r="D16" t="inlineStr">
        <is>
          <t>51</t>
        </is>
      </c>
      <c r="E16" t="inlineStr">
        <is>
          <t>Baba Yaga Art Of Chinese - By Posh Foods</t>
        </is>
      </c>
      <c r="F16" t="inlineStr">
        <is>
          <t>20037890</t>
        </is>
      </c>
      <c r="G16" t="inlineStr">
        <is>
          <t>Flat ₹125 off (2025-12-08 - 2031-01-01)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9</t>
        </is>
      </c>
      <c r="O16" t="n">
        <v>365</v>
      </c>
      <c r="P16" t="n">
        <v>0</v>
      </c>
      <c r="Q16" t="n">
        <v>0</v>
      </c>
      <c r="R16" t="n">
        <v>87</v>
      </c>
      <c r="S16" t="n">
        <v>24</v>
      </c>
      <c r="T16" t="n">
        <v>0</v>
      </c>
      <c r="U16" t="n">
        <v>0</v>
      </c>
      <c r="V16" t="n">
        <v>12.7</v>
      </c>
      <c r="W16" t="n">
        <v>266.7</v>
      </c>
      <c r="X16" t="n">
        <v>254</v>
      </c>
      <c r="Y16" t="n">
        <v>0</v>
      </c>
      <c r="Z16" t="n">
        <v>0</v>
      </c>
      <c r="AA16" t="n">
        <v>254</v>
      </c>
      <c r="AB16" t="n">
        <v>23</v>
      </c>
      <c r="AC16" t="n">
        <v>58.42</v>
      </c>
      <c r="AD16" t="n">
        <v>4.22</v>
      </c>
      <c r="AE16" t="n">
        <v>20</v>
      </c>
      <c r="AF16" t="n">
        <v>0</v>
      </c>
      <c r="AG16" t="n">
        <v>2.22</v>
      </c>
      <c r="AH16" t="n">
        <v>4.91</v>
      </c>
      <c r="AI16" t="n">
        <v>81.11</v>
      </c>
      <c r="AJ16" t="n">
        <v>14.6</v>
      </c>
      <c r="AK16" t="n">
        <v>0</v>
      </c>
      <c r="AL16" t="n">
        <v>254</v>
      </c>
      <c r="AM16" t="n">
        <v>0</v>
      </c>
      <c r="AN16" t="n">
        <v>0</v>
      </c>
      <c r="AO16" t="n">
        <v>0.25</v>
      </c>
      <c r="AP16" t="n">
        <v>12.7</v>
      </c>
      <c r="AQ16" t="n">
        <v>0</v>
      </c>
      <c r="AR16" t="n">
        <v>27.55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108.66</v>
      </c>
      <c r="BC16" t="n">
        <v>0</v>
      </c>
      <c r="BD16" t="n">
        <v>158.04</v>
      </c>
      <c r="BE16" t="inlineStr">
        <is>
          <t>settled</t>
        </is>
      </c>
      <c r="BF16" t="inlineStr">
        <is>
          <t>2025-12-24 05:30:00</t>
        </is>
      </c>
      <c r="BG16" t="inlineStr">
        <is>
          <t>CITIN25674376566</t>
        </is>
      </c>
      <c r="BH16" t="n">
        <v>0</v>
      </c>
      <c r="BI16" t="inlineStr">
        <is>
          <t>005bfed8f319b695c59233e25f0b66f9cb9ae2cf55f3b3e0848aba2bd4d7547c</t>
        </is>
      </c>
    </row>
    <row r="17">
      <c r="A17" t="inlineStr">
        <is>
          <t>12</t>
        </is>
      </c>
      <c r="B17" t="inlineStr">
        <is>
          <t>7587213566</t>
        </is>
      </c>
      <c r="C17" t="inlineStr">
        <is>
          <t>2025-12-15 22:26:52</t>
        </is>
      </c>
      <c r="D17" t="inlineStr">
        <is>
          <t>51</t>
        </is>
      </c>
      <c r="E17" t="inlineStr">
        <is>
          <t>Baba Yaga Art Of Chinese - By Posh Foods</t>
        </is>
      </c>
      <c r="F17" t="inlineStr">
        <is>
          <t>20037890</t>
        </is>
      </c>
      <c r="G17" t="inlineStr">
        <is>
          <t>Flat ₹100 off (2025-12-08 - 2031-01-01)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9</t>
        </is>
      </c>
      <c r="O17" t="n">
        <v>365</v>
      </c>
      <c r="P17" t="n">
        <v>0</v>
      </c>
      <c r="Q17" t="n">
        <v>0</v>
      </c>
      <c r="R17" t="n">
        <v>70</v>
      </c>
      <c r="S17" t="n">
        <v>26.5</v>
      </c>
      <c r="T17" t="n">
        <v>0</v>
      </c>
      <c r="U17" t="n">
        <v>0</v>
      </c>
      <c r="V17" t="n">
        <v>13.43</v>
      </c>
      <c r="W17" t="n">
        <v>281.93</v>
      </c>
      <c r="X17" t="n">
        <v>268.5</v>
      </c>
      <c r="Y17" t="n">
        <v>0</v>
      </c>
      <c r="Z17" t="n">
        <v>0</v>
      </c>
      <c r="AA17" t="n">
        <v>268.5</v>
      </c>
      <c r="AB17" t="n">
        <v>23</v>
      </c>
      <c r="AC17" t="n">
        <v>61.76</v>
      </c>
      <c r="AD17" t="n">
        <v>2.76</v>
      </c>
      <c r="AE17" t="n">
        <v>0</v>
      </c>
      <c r="AF17" t="n">
        <v>0</v>
      </c>
      <c r="AG17" t="n">
        <v>0</v>
      </c>
      <c r="AH17" t="n">
        <v>5.19</v>
      </c>
      <c r="AI17" t="n">
        <v>66.95</v>
      </c>
      <c r="AJ17" t="n">
        <v>12.05</v>
      </c>
      <c r="AK17" t="n">
        <v>0</v>
      </c>
      <c r="AL17" t="n">
        <v>268.5</v>
      </c>
      <c r="AM17" t="n">
        <v>0</v>
      </c>
      <c r="AN17" t="n">
        <v>0</v>
      </c>
      <c r="AO17" t="n">
        <v>0.27</v>
      </c>
      <c r="AP17" t="n">
        <v>13.43</v>
      </c>
      <c r="AQ17" t="n">
        <v>0</v>
      </c>
      <c r="AR17" t="n">
        <v>25.75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92.7</v>
      </c>
      <c r="BC17" t="n">
        <v>0</v>
      </c>
      <c r="BD17" t="n">
        <v>189.23</v>
      </c>
      <c r="BE17" t="inlineStr">
        <is>
          <t>settled</t>
        </is>
      </c>
      <c r="BF17" t="inlineStr">
        <is>
          <t>2025-12-24 05:30:00</t>
        </is>
      </c>
      <c r="BG17" t="inlineStr">
        <is>
          <t>CITIN25674376566</t>
        </is>
      </c>
      <c r="BH17" t="n">
        <v>0</v>
      </c>
      <c r="BI17" t="inlineStr">
        <is>
          <t>737df77f6d0103c7435df6854a3505c0d7b8f365ab7684104e69845ba6bdf885</t>
        </is>
      </c>
    </row>
    <row r="18">
      <c r="A18" t="inlineStr">
        <is>
          <t>13</t>
        </is>
      </c>
      <c r="B18" t="inlineStr">
        <is>
          <t>7579780616</t>
        </is>
      </c>
      <c r="C18" t="inlineStr">
        <is>
          <t>2025-12-15 23:13:14</t>
        </is>
      </c>
      <c r="D18" t="inlineStr">
        <is>
          <t>51</t>
        </is>
      </c>
      <c r="E18" t="inlineStr">
        <is>
          <t>Baba Yaga Art Of Chinese - By Posh Foods</t>
        </is>
      </c>
      <c r="F18" t="inlineStr">
        <is>
          <t>20037890</t>
        </is>
      </c>
      <c r="G18" t="inlineStr">
        <is>
          <t>Flat ₹150 off (2025-12-08 - 2031-01-01)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9</t>
        </is>
      </c>
      <c r="O18" t="n">
        <v>580</v>
      </c>
      <c r="P18" t="n">
        <v>0</v>
      </c>
      <c r="Q18" t="n">
        <v>0</v>
      </c>
      <c r="R18" t="n">
        <v>105</v>
      </c>
      <c r="S18" t="n">
        <v>43</v>
      </c>
      <c r="T18" t="n">
        <v>0</v>
      </c>
      <c r="U18" t="n">
        <v>0</v>
      </c>
      <c r="V18" t="n">
        <v>21.6</v>
      </c>
      <c r="W18" t="n">
        <v>453.6</v>
      </c>
      <c r="X18" t="n">
        <v>432</v>
      </c>
      <c r="Y18" t="n">
        <v>0</v>
      </c>
      <c r="Z18" t="n">
        <v>0</v>
      </c>
      <c r="AA18" t="n">
        <v>432</v>
      </c>
      <c r="AB18" t="n">
        <v>23</v>
      </c>
      <c r="AC18" t="n">
        <v>99.36</v>
      </c>
      <c r="AD18" t="n">
        <v>1.69</v>
      </c>
      <c r="AE18" t="n">
        <v>0</v>
      </c>
      <c r="AF18" t="n">
        <v>0</v>
      </c>
      <c r="AG18" t="n">
        <v>0</v>
      </c>
      <c r="AH18" t="n">
        <v>8.35</v>
      </c>
      <c r="AI18" t="n">
        <v>107.71</v>
      </c>
      <c r="AJ18" t="n">
        <v>19.38</v>
      </c>
      <c r="AK18" t="n">
        <v>0</v>
      </c>
      <c r="AL18" t="n">
        <v>432</v>
      </c>
      <c r="AM18" t="n">
        <v>0</v>
      </c>
      <c r="AN18" t="n">
        <v>0</v>
      </c>
      <c r="AO18" t="n">
        <v>0.43</v>
      </c>
      <c r="AP18" t="n">
        <v>21.6</v>
      </c>
      <c r="AQ18" t="n">
        <v>0</v>
      </c>
      <c r="AR18" t="n">
        <v>41.41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50.98</v>
      </c>
      <c r="AY18" t="n">
        <v>0</v>
      </c>
      <c r="AZ18" t="n">
        <v>0</v>
      </c>
      <c r="BA18" t="n">
        <v>50.98</v>
      </c>
      <c r="BB18" t="n">
        <v>200.1</v>
      </c>
      <c r="BC18" t="n">
        <v>0</v>
      </c>
      <c r="BD18" t="n">
        <v>253.5</v>
      </c>
      <c r="BE18" t="inlineStr">
        <is>
          <t>settled</t>
        </is>
      </c>
      <c r="BF18" t="inlineStr">
        <is>
          <t>2025-12-24 05:30:00</t>
        </is>
      </c>
      <c r="BG18" t="inlineStr">
        <is>
          <t>CITIN25674376566</t>
        </is>
      </c>
      <c r="BH18" t="n">
        <v>0</v>
      </c>
      <c r="BI18" t="inlineStr">
        <is>
          <t>376386093ee5115fba6e65514fc8c94820c19a401f7a33a3fdba3a29628f7cd3</t>
        </is>
      </c>
    </row>
    <row r="19">
      <c r="A19" t="inlineStr">
        <is>
          <t>14</t>
        </is>
      </c>
      <c r="B19" t="inlineStr">
        <is>
          <t>7582367511</t>
        </is>
      </c>
      <c r="C19" t="inlineStr">
        <is>
          <t>2025-12-15 23:49:01</t>
        </is>
      </c>
      <c r="D19" t="inlineStr">
        <is>
          <t>51</t>
        </is>
      </c>
      <c r="E19" t="inlineStr">
        <is>
          <t>Baba Yaga Art Of Chinese - By Posh Foods</t>
        </is>
      </c>
      <c r="F19" t="inlineStr">
        <is>
          <t>20037890</t>
        </is>
      </c>
      <c r="G19" t="inlineStr">
        <is>
          <t>Flat ₹80 off (2025-12-08 - 2031-01-01)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9</t>
        </is>
      </c>
      <c r="O19" t="n">
        <v>279</v>
      </c>
      <c r="P19" t="n">
        <v>0</v>
      </c>
      <c r="Q19" t="n">
        <v>0</v>
      </c>
      <c r="R19" t="n">
        <v>56</v>
      </c>
      <c r="S19" t="n">
        <v>0</v>
      </c>
      <c r="T19" t="n">
        <v>0</v>
      </c>
      <c r="U19" t="n">
        <v>0</v>
      </c>
      <c r="V19" t="n">
        <v>11.15</v>
      </c>
      <c r="W19" t="n">
        <v>234.15</v>
      </c>
      <c r="X19" t="n">
        <v>223</v>
      </c>
      <c r="Y19" t="n">
        <v>0</v>
      </c>
      <c r="Z19" t="n">
        <v>0</v>
      </c>
      <c r="AA19" t="n">
        <v>223</v>
      </c>
      <c r="AB19" t="n">
        <v>23</v>
      </c>
      <c r="AC19" t="n">
        <v>51.29</v>
      </c>
      <c r="AD19" t="n">
        <v>3.51</v>
      </c>
      <c r="AE19" t="n">
        <v>0</v>
      </c>
      <c r="AF19" t="n">
        <v>0</v>
      </c>
      <c r="AG19" t="n">
        <v>0</v>
      </c>
      <c r="AH19" t="n">
        <v>4.31</v>
      </c>
      <c r="AI19" t="n">
        <v>55.6</v>
      </c>
      <c r="AJ19" t="n">
        <v>10.01</v>
      </c>
      <c r="AK19" t="n">
        <v>0</v>
      </c>
      <c r="AL19" t="n">
        <v>223</v>
      </c>
      <c r="AM19" t="n">
        <v>0</v>
      </c>
      <c r="AN19" t="n">
        <v>0</v>
      </c>
      <c r="AO19" t="n">
        <v>0.22</v>
      </c>
      <c r="AP19" t="n">
        <v>11.15</v>
      </c>
      <c r="AQ19" t="n">
        <v>0</v>
      </c>
      <c r="AR19" t="n">
        <v>21.38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26.31</v>
      </c>
      <c r="AY19" t="n">
        <v>0</v>
      </c>
      <c r="AZ19" t="n">
        <v>0</v>
      </c>
      <c r="BA19" t="n">
        <v>26.31</v>
      </c>
      <c r="BB19" t="n">
        <v>103.29</v>
      </c>
      <c r="BC19" t="n">
        <v>0</v>
      </c>
      <c r="BD19" t="n">
        <v>130.86</v>
      </c>
      <c r="BE19" t="inlineStr">
        <is>
          <t>settled</t>
        </is>
      </c>
      <c r="BF19" t="inlineStr">
        <is>
          <t>2025-12-24 05:30:00</t>
        </is>
      </c>
      <c r="BG19" t="inlineStr">
        <is>
          <t>CITIN25674376566</t>
        </is>
      </c>
      <c r="BH19" t="n">
        <v>0</v>
      </c>
      <c r="BI19" t="inlineStr">
        <is>
          <t>854ddb5c6e41b287271a21a01dff1bf3d408a58022ff6c81b57596d833d56886</t>
        </is>
      </c>
    </row>
    <row r="20">
      <c r="A20" t="inlineStr">
        <is>
          <t>15</t>
        </is>
      </c>
      <c r="B20" t="inlineStr">
        <is>
          <t>7585933873</t>
        </is>
      </c>
      <c r="C20" t="inlineStr">
        <is>
          <t>2025-12-15 23:59:13</t>
        </is>
      </c>
      <c r="D20" t="inlineStr">
        <is>
          <t>51</t>
        </is>
      </c>
      <c r="E20" t="inlineStr">
        <is>
          <t>Baba Yaga Art Of Chinese - By Posh Foods</t>
        </is>
      </c>
      <c r="F20" t="inlineStr">
        <is>
          <t>20037890</t>
        </is>
      </c>
      <c r="G20" t="inlineStr">
        <is>
          <t>Flat ₹100 off (2025-12-08 - 2031-01-01)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9</t>
        </is>
      </c>
      <c r="O20" t="n">
        <v>315</v>
      </c>
      <c r="P20" t="n">
        <v>0</v>
      </c>
      <c r="Q20" t="n">
        <v>0</v>
      </c>
      <c r="R20" t="n">
        <v>70</v>
      </c>
      <c r="S20" t="n">
        <v>21.5</v>
      </c>
      <c r="T20" t="n">
        <v>0</v>
      </c>
      <c r="U20" t="n">
        <v>0</v>
      </c>
      <c r="V20" t="n">
        <v>11.18</v>
      </c>
      <c r="W20" t="n">
        <v>234.68</v>
      </c>
      <c r="X20" t="n">
        <v>223.5</v>
      </c>
      <c r="Y20" t="n">
        <v>0</v>
      </c>
      <c r="Z20" t="n">
        <v>0</v>
      </c>
      <c r="AA20" t="n">
        <v>223.5</v>
      </c>
      <c r="AB20" t="n">
        <v>23</v>
      </c>
      <c r="AC20" t="n">
        <v>51.4</v>
      </c>
      <c r="AD20" t="n">
        <v>1.58</v>
      </c>
      <c r="AE20" t="n">
        <v>0</v>
      </c>
      <c r="AF20" t="n">
        <v>0</v>
      </c>
      <c r="AG20" t="n">
        <v>0</v>
      </c>
      <c r="AH20" t="n">
        <v>4.32</v>
      </c>
      <c r="AI20" t="n">
        <v>55.72</v>
      </c>
      <c r="AJ20" t="n">
        <v>10.03</v>
      </c>
      <c r="AK20" t="n">
        <v>0</v>
      </c>
      <c r="AL20" t="n">
        <v>223.5</v>
      </c>
      <c r="AM20" t="n">
        <v>0</v>
      </c>
      <c r="AN20" t="n">
        <v>0</v>
      </c>
      <c r="AO20" t="n">
        <v>0.22</v>
      </c>
      <c r="AP20" t="n">
        <v>11.18</v>
      </c>
      <c r="AQ20" t="n">
        <v>0</v>
      </c>
      <c r="AR20" t="n">
        <v>21.43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77.15000000000001</v>
      </c>
      <c r="BC20" t="n">
        <v>0</v>
      </c>
      <c r="BD20" t="n">
        <v>157.53</v>
      </c>
      <c r="BE20" t="inlineStr">
        <is>
          <t>settled</t>
        </is>
      </c>
      <c r="BF20" t="inlineStr">
        <is>
          <t>2025-12-24 05:30:00</t>
        </is>
      </c>
      <c r="BG20" t="inlineStr">
        <is>
          <t>CITIN25674376566</t>
        </is>
      </c>
      <c r="BH20" t="n">
        <v>0</v>
      </c>
      <c r="BI20" t="inlineStr">
        <is>
          <t>a5d105357dee3a05740a55ecd1ff0c09388bf048a7f36fd7f989558d87b64bf2</t>
        </is>
      </c>
    </row>
    <row r="21">
      <c r="A21" t="inlineStr">
        <is>
          <t>16</t>
        </is>
      </c>
      <c r="B21" t="inlineStr">
        <is>
          <t>7569711258</t>
        </is>
      </c>
      <c r="C21" t="inlineStr">
        <is>
          <t>2025-12-16 13:08:25</t>
        </is>
      </c>
      <c r="D21" t="inlineStr">
        <is>
          <t>51</t>
        </is>
      </c>
      <c r="E21" t="inlineStr">
        <is>
          <t>Baba Yaga Art Of Chinese - By Posh Foods</t>
        </is>
      </c>
      <c r="F21" t="inlineStr">
        <is>
          <t>20037890</t>
        </is>
      </c>
      <c r="G21" t="inlineStr">
        <is>
          <t>Flat ₹150 off (2025-12-08 - 2031-01-01)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9</t>
        </is>
      </c>
      <c r="O21" t="n">
        <v>640</v>
      </c>
      <c r="P21" t="n">
        <v>0</v>
      </c>
      <c r="Q21" t="n">
        <v>0</v>
      </c>
      <c r="R21" t="n">
        <v>150</v>
      </c>
      <c r="S21" t="n">
        <v>49</v>
      </c>
      <c r="T21" t="n">
        <v>0</v>
      </c>
      <c r="U21" t="n">
        <v>0</v>
      </c>
      <c r="V21" t="n">
        <v>22.05</v>
      </c>
      <c r="W21" t="n">
        <v>463.05</v>
      </c>
      <c r="X21" t="n">
        <v>441</v>
      </c>
      <c r="Y21" t="n">
        <v>0</v>
      </c>
      <c r="Z21" t="n">
        <v>0</v>
      </c>
      <c r="AA21" t="n">
        <v>441</v>
      </c>
      <c r="AB21" t="n">
        <v>23</v>
      </c>
      <c r="AC21" t="n">
        <v>101.43</v>
      </c>
      <c r="AD21" t="n">
        <v>4.32</v>
      </c>
      <c r="AE21" t="n">
        <v>20</v>
      </c>
      <c r="AF21" t="n">
        <v>0</v>
      </c>
      <c r="AG21" t="n">
        <v>0</v>
      </c>
      <c r="AH21" t="n">
        <v>8.52</v>
      </c>
      <c r="AI21" t="n">
        <v>129.95</v>
      </c>
      <c r="AJ21" t="n">
        <v>23.39</v>
      </c>
      <c r="AK21" t="n">
        <v>0</v>
      </c>
      <c r="AL21" t="n">
        <v>441</v>
      </c>
      <c r="AM21" t="n">
        <v>0</v>
      </c>
      <c r="AN21" t="n">
        <v>0</v>
      </c>
      <c r="AO21" t="n">
        <v>0.44</v>
      </c>
      <c r="AP21" t="n">
        <v>22.05</v>
      </c>
      <c r="AQ21" t="n">
        <v>0</v>
      </c>
      <c r="AR21" t="n">
        <v>45.88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175.83</v>
      </c>
      <c r="BC21" t="n">
        <v>0</v>
      </c>
      <c r="BD21" t="n">
        <v>287.22</v>
      </c>
      <c r="BE21" t="inlineStr">
        <is>
          <t>settled</t>
        </is>
      </c>
      <c r="BF21" t="inlineStr">
        <is>
          <t>2025-12-24 05:30:00</t>
        </is>
      </c>
      <c r="BG21" t="inlineStr">
        <is>
          <t>CITIN25674376566</t>
        </is>
      </c>
      <c r="BH21" t="n">
        <v>0</v>
      </c>
      <c r="BI21" t="inlineStr">
        <is>
          <t>497d333b67e9c8ee7b4d2ef528dd9c69b6ee0e96b3b6c7ee50485e7daff7fb0d</t>
        </is>
      </c>
    </row>
    <row r="22">
      <c r="A22" t="inlineStr">
        <is>
          <t>17</t>
        </is>
      </c>
      <c r="B22" t="inlineStr">
        <is>
          <t>7584015008</t>
        </is>
      </c>
      <c r="C22" t="inlineStr">
        <is>
          <t>2025-12-16 13:36:36</t>
        </is>
      </c>
      <c r="D22" t="inlineStr">
        <is>
          <t>51</t>
        </is>
      </c>
      <c r="E22" t="inlineStr">
        <is>
          <t>Baba Yaga Art Of Chinese - By Posh Foods</t>
        </is>
      </c>
      <c r="F22" t="inlineStr">
        <is>
          <t>20037890</t>
        </is>
      </c>
      <c r="G22" t="inlineStr">
        <is>
          <t>Flat ₹100 off (2025-12-08 - 2031-01-01)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9</t>
        </is>
      </c>
      <c r="O22" t="n">
        <v>239</v>
      </c>
      <c r="P22" t="n">
        <v>0</v>
      </c>
      <c r="Q22" t="n">
        <v>0</v>
      </c>
      <c r="R22" t="n">
        <v>70</v>
      </c>
      <c r="S22" t="n">
        <v>0</v>
      </c>
      <c r="T22" t="n">
        <v>0</v>
      </c>
      <c r="U22" t="n">
        <v>0</v>
      </c>
      <c r="V22" t="n">
        <v>8.449999999999999</v>
      </c>
      <c r="W22" t="n">
        <v>177.45</v>
      </c>
      <c r="X22" t="n">
        <v>169</v>
      </c>
      <c r="Y22" t="n">
        <v>0</v>
      </c>
      <c r="Z22" t="n">
        <v>0</v>
      </c>
      <c r="AA22" t="n">
        <v>169</v>
      </c>
      <c r="AB22" t="n">
        <v>23</v>
      </c>
      <c r="AC22" t="n">
        <v>38.87</v>
      </c>
      <c r="AD22" t="n">
        <v>2.41</v>
      </c>
      <c r="AE22" t="n">
        <v>0</v>
      </c>
      <c r="AF22" t="n">
        <v>0</v>
      </c>
      <c r="AG22" t="n">
        <v>0</v>
      </c>
      <c r="AH22" t="n">
        <v>3.27</v>
      </c>
      <c r="AI22" t="n">
        <v>42.14</v>
      </c>
      <c r="AJ22" t="n">
        <v>7.59</v>
      </c>
      <c r="AK22" t="n">
        <v>0</v>
      </c>
      <c r="AL22" t="n">
        <v>169</v>
      </c>
      <c r="AM22" t="n">
        <v>0</v>
      </c>
      <c r="AN22" t="n">
        <v>0</v>
      </c>
      <c r="AO22" t="n">
        <v>0.17</v>
      </c>
      <c r="AP22" t="n">
        <v>8.449999999999999</v>
      </c>
      <c r="AQ22" t="n">
        <v>0</v>
      </c>
      <c r="AR22" t="n">
        <v>16.21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58.35</v>
      </c>
      <c r="BC22" t="n">
        <v>0</v>
      </c>
      <c r="BD22" t="n">
        <v>119.1</v>
      </c>
      <c r="BE22" t="inlineStr">
        <is>
          <t>settled</t>
        </is>
      </c>
      <c r="BF22" t="inlineStr">
        <is>
          <t>2025-12-24 05:30:00</t>
        </is>
      </c>
      <c r="BG22" t="inlineStr">
        <is>
          <t>CITIN25674376566</t>
        </is>
      </c>
      <c r="BH22" t="n">
        <v>0</v>
      </c>
      <c r="BI22" t="inlineStr">
        <is>
          <t>4cba56ea4d2d36ad1d193fb6ed7c6112a11614c79763845408cc9faf3da2c489</t>
        </is>
      </c>
    </row>
    <row r="23">
      <c r="A23" t="inlineStr">
        <is>
          <t>18</t>
        </is>
      </c>
      <c r="B23" t="inlineStr">
        <is>
          <t>7588044843</t>
        </is>
      </c>
      <c r="C23" t="inlineStr">
        <is>
          <t>2025-12-16 13:41:15</t>
        </is>
      </c>
      <c r="D23" t="inlineStr">
        <is>
          <t>51</t>
        </is>
      </c>
      <c r="E23" t="inlineStr">
        <is>
          <t>Baba Yaga Art Of Chinese - By Posh Foods</t>
        </is>
      </c>
      <c r="F23" t="inlineStr">
        <is>
          <t>20037890</t>
        </is>
      </c>
      <c r="G23" t="inlineStr">
        <is>
          <t>Flat ₹100 off (2025-12-08 - 2031-01-01)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9</t>
        </is>
      </c>
      <c r="O23" t="n">
        <v>210</v>
      </c>
      <c r="P23" t="n">
        <v>0</v>
      </c>
      <c r="Q23" t="n">
        <v>0</v>
      </c>
      <c r="R23" t="n">
        <v>70</v>
      </c>
      <c r="S23" t="n">
        <v>0</v>
      </c>
      <c r="T23" t="n">
        <v>0</v>
      </c>
      <c r="U23" t="n">
        <v>0</v>
      </c>
      <c r="V23" t="n">
        <v>7</v>
      </c>
      <c r="W23" t="n">
        <v>147</v>
      </c>
      <c r="X23" t="n">
        <v>140</v>
      </c>
      <c r="Y23" t="n">
        <v>0</v>
      </c>
      <c r="Z23" t="n">
        <v>0</v>
      </c>
      <c r="AA23" t="n">
        <v>140</v>
      </c>
      <c r="AB23" t="n">
        <v>23</v>
      </c>
      <c r="AC23" t="n">
        <v>32.2</v>
      </c>
      <c r="AD23" t="n">
        <v>2.66</v>
      </c>
      <c r="AE23" t="n">
        <v>0</v>
      </c>
      <c r="AF23" t="n">
        <v>0</v>
      </c>
      <c r="AG23" t="n">
        <v>0</v>
      </c>
      <c r="AH23" t="n">
        <v>2.7</v>
      </c>
      <c r="AI23" t="n">
        <v>34.9</v>
      </c>
      <c r="AJ23" t="n">
        <v>6.29</v>
      </c>
      <c r="AK23" t="n">
        <v>0</v>
      </c>
      <c r="AL23" t="n">
        <v>140</v>
      </c>
      <c r="AM23" t="n">
        <v>0</v>
      </c>
      <c r="AN23" t="n">
        <v>0</v>
      </c>
      <c r="AO23" t="n">
        <v>0.14</v>
      </c>
      <c r="AP23" t="n">
        <v>7</v>
      </c>
      <c r="AQ23" t="n">
        <v>0</v>
      </c>
      <c r="AR23" t="n">
        <v>13.43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48.33</v>
      </c>
      <c r="BC23" t="n">
        <v>0</v>
      </c>
      <c r="BD23" t="n">
        <v>98.67</v>
      </c>
      <c r="BE23" t="inlineStr">
        <is>
          <t>settled</t>
        </is>
      </c>
      <c r="BF23" t="inlineStr">
        <is>
          <t>2025-12-24 05:30:00</t>
        </is>
      </c>
      <c r="BG23" t="inlineStr">
        <is>
          <t>CITIN25674376566</t>
        </is>
      </c>
      <c r="BH23" t="n">
        <v>0</v>
      </c>
      <c r="BI23" t="inlineStr">
        <is>
          <t>90fe7a2c6d01cbee0fd56fb6138dd68f7d7e8b250d19078973063c5e4d1518df</t>
        </is>
      </c>
    </row>
    <row r="24">
      <c r="A24" t="inlineStr">
        <is>
          <t>19</t>
        </is>
      </c>
      <c r="B24" t="inlineStr">
        <is>
          <t>7588658291</t>
        </is>
      </c>
      <c r="C24" t="inlineStr">
        <is>
          <t>2025-12-16 16:42:25</t>
        </is>
      </c>
      <c r="D24" t="inlineStr">
        <is>
          <t>51</t>
        </is>
      </c>
      <c r="E24" t="inlineStr">
        <is>
          <t>Baba Yaga Art Of Chinese - By Posh Foods</t>
        </is>
      </c>
      <c r="F24" t="inlineStr">
        <is>
          <t>20037890</t>
        </is>
      </c>
      <c r="G24" t="inlineStr">
        <is>
          <t>Flat 20% off (2025-09-25 - 2031-01-01)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9</t>
        </is>
      </c>
      <c r="O24" t="n">
        <v>1145</v>
      </c>
      <c r="P24" t="n">
        <v>0</v>
      </c>
      <c r="Q24" t="n">
        <v>0</v>
      </c>
      <c r="R24" t="n">
        <v>229</v>
      </c>
      <c r="S24" t="n">
        <v>91.59999999999999</v>
      </c>
      <c r="T24" t="n">
        <v>0</v>
      </c>
      <c r="U24" t="n">
        <v>0</v>
      </c>
      <c r="V24" t="n">
        <v>41.22</v>
      </c>
      <c r="W24" t="n">
        <v>865.62</v>
      </c>
      <c r="X24" t="n">
        <v>824.4</v>
      </c>
      <c r="Y24" t="n">
        <v>0</v>
      </c>
      <c r="Z24" t="n">
        <v>0</v>
      </c>
      <c r="AA24" t="n">
        <v>824.4</v>
      </c>
      <c r="AB24" t="n">
        <v>23</v>
      </c>
      <c r="AC24" t="n">
        <v>189.61</v>
      </c>
      <c r="AD24" t="n">
        <v>2.29</v>
      </c>
      <c r="AE24" t="n">
        <v>0</v>
      </c>
      <c r="AF24" t="n">
        <v>0</v>
      </c>
      <c r="AG24" t="n">
        <v>0</v>
      </c>
      <c r="AH24" t="n">
        <v>15.93</v>
      </c>
      <c r="AI24" t="n">
        <v>205.54</v>
      </c>
      <c r="AJ24" t="n">
        <v>37</v>
      </c>
      <c r="AK24" t="n">
        <v>0</v>
      </c>
      <c r="AL24" t="n">
        <v>824.4</v>
      </c>
      <c r="AM24" t="n">
        <v>0</v>
      </c>
      <c r="AN24" t="n">
        <v>0</v>
      </c>
      <c r="AO24" t="n">
        <v>0.82</v>
      </c>
      <c r="AP24" t="n">
        <v>41.22</v>
      </c>
      <c r="AQ24" t="n">
        <v>0</v>
      </c>
      <c r="AR24" t="n">
        <v>79.04000000000001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284.58</v>
      </c>
      <c r="BC24" t="n">
        <v>0</v>
      </c>
      <c r="BD24" t="n">
        <v>581.04</v>
      </c>
      <c r="BE24" t="inlineStr">
        <is>
          <t>settled</t>
        </is>
      </c>
      <c r="BF24" t="inlineStr">
        <is>
          <t>2025-12-24 05:30:00</t>
        </is>
      </c>
      <c r="BG24" t="inlineStr">
        <is>
          <t>CITIN25674376566</t>
        </is>
      </c>
      <c r="BH24" t="n">
        <v>0</v>
      </c>
      <c r="BI24" t="inlineStr">
        <is>
          <t>aac1d3c974f00f08dcaab533c9a48d44d0016f2288b83d69b0bc2fa0c4b8fa68</t>
        </is>
      </c>
    </row>
    <row r="25">
      <c r="A25" t="inlineStr">
        <is>
          <t>20</t>
        </is>
      </c>
      <c r="B25" t="inlineStr">
        <is>
          <t>7589661350</t>
        </is>
      </c>
      <c r="C25" t="inlineStr">
        <is>
          <t>2025-12-16 17:20:57</t>
        </is>
      </c>
      <c r="D25" t="inlineStr">
        <is>
          <t>51</t>
        </is>
      </c>
      <c r="E25" t="inlineStr">
        <is>
          <t>Baba Yaga Art Of Chinese - By Posh Foods</t>
        </is>
      </c>
      <c r="F25" t="inlineStr">
        <is>
          <t>20037890</t>
        </is>
      </c>
      <c r="G25" t="inlineStr">
        <is>
          <t>Flat ₹100 off (2025-12-08 - 2031-01-01)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9</t>
        </is>
      </c>
      <c r="O25" t="n">
        <v>315</v>
      </c>
      <c r="P25" t="n">
        <v>0</v>
      </c>
      <c r="Q25" t="n">
        <v>0</v>
      </c>
      <c r="R25" t="n">
        <v>70</v>
      </c>
      <c r="S25" t="n">
        <v>21.5</v>
      </c>
      <c r="T25" t="n">
        <v>0</v>
      </c>
      <c r="U25" t="n">
        <v>0</v>
      </c>
      <c r="V25" t="n">
        <v>11.18</v>
      </c>
      <c r="W25" t="n">
        <v>234.68</v>
      </c>
      <c r="X25" t="n">
        <v>223.5</v>
      </c>
      <c r="Y25" t="n">
        <v>0</v>
      </c>
      <c r="Z25" t="n">
        <v>0</v>
      </c>
      <c r="AA25" t="n">
        <v>223.5</v>
      </c>
      <c r="AB25" t="n">
        <v>23</v>
      </c>
      <c r="AC25" t="n">
        <v>51.4</v>
      </c>
      <c r="AD25" t="n">
        <v>2.72</v>
      </c>
      <c r="AE25" t="n">
        <v>0</v>
      </c>
      <c r="AF25" t="n">
        <v>0</v>
      </c>
      <c r="AG25" t="n">
        <v>0</v>
      </c>
      <c r="AH25" t="n">
        <v>4.32</v>
      </c>
      <c r="AI25" t="n">
        <v>55.72</v>
      </c>
      <c r="AJ25" t="n">
        <v>10.03</v>
      </c>
      <c r="AK25" t="n">
        <v>0</v>
      </c>
      <c r="AL25" t="n">
        <v>223.5</v>
      </c>
      <c r="AM25" t="n">
        <v>0</v>
      </c>
      <c r="AN25" t="n">
        <v>0</v>
      </c>
      <c r="AO25" t="n">
        <v>0.22</v>
      </c>
      <c r="AP25" t="n">
        <v>11.18</v>
      </c>
      <c r="AQ25" t="n">
        <v>0</v>
      </c>
      <c r="AR25" t="n">
        <v>21.43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77.15000000000001</v>
      </c>
      <c r="BC25" t="n">
        <v>0</v>
      </c>
      <c r="BD25" t="n">
        <v>157.53</v>
      </c>
      <c r="BE25" t="inlineStr">
        <is>
          <t>settled</t>
        </is>
      </c>
      <c r="BF25" t="inlineStr">
        <is>
          <t>2025-12-24 05:30:00</t>
        </is>
      </c>
      <c r="BG25" t="inlineStr">
        <is>
          <t>CITIN25674376566</t>
        </is>
      </c>
      <c r="BH25" t="n">
        <v>0</v>
      </c>
      <c r="BI25" t="inlineStr">
        <is>
          <t>8271352c9a323e2ed966ffbd2e2c2afd40042b9f278f9e52012572cc08dc8fd2</t>
        </is>
      </c>
    </row>
    <row r="26">
      <c r="A26" t="inlineStr">
        <is>
          <t>21</t>
        </is>
      </c>
      <c r="B26" t="inlineStr">
        <is>
          <t>7583561899</t>
        </is>
      </c>
      <c r="C26" t="inlineStr">
        <is>
          <t>2025-12-16 18:10:09</t>
        </is>
      </c>
      <c r="D26" t="inlineStr">
        <is>
          <t>51</t>
        </is>
      </c>
      <c r="E26" t="inlineStr">
        <is>
          <t>Baba Yaga Art Of Chinese - By Posh Foods</t>
        </is>
      </c>
      <c r="F26" t="inlineStr">
        <is>
          <t>20037890</t>
        </is>
      </c>
      <c r="G26" t="inlineStr">
        <is>
          <t>Flat ₹100 off (2025-12-05 - 2031-01-01)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9</t>
        </is>
      </c>
      <c r="O26" t="n">
        <v>335</v>
      </c>
      <c r="P26" t="n">
        <v>0</v>
      </c>
      <c r="Q26" t="n">
        <v>0</v>
      </c>
      <c r="R26" t="n">
        <v>100</v>
      </c>
      <c r="S26" t="n">
        <v>23.5</v>
      </c>
      <c r="T26" t="n">
        <v>0</v>
      </c>
      <c r="U26" t="n">
        <v>0</v>
      </c>
      <c r="V26" t="n">
        <v>10.58</v>
      </c>
      <c r="W26" t="n">
        <v>222.08</v>
      </c>
      <c r="X26" t="n">
        <v>211.5</v>
      </c>
      <c r="Y26" t="n">
        <v>0</v>
      </c>
      <c r="Z26" t="n">
        <v>0</v>
      </c>
      <c r="AA26" t="n">
        <v>211.5</v>
      </c>
      <c r="AB26" t="n">
        <v>23</v>
      </c>
      <c r="AC26" t="n">
        <v>48.64</v>
      </c>
      <c r="AD26" t="n">
        <v>2.97</v>
      </c>
      <c r="AE26" t="n">
        <v>0</v>
      </c>
      <c r="AF26" t="n">
        <v>0</v>
      </c>
      <c r="AG26" t="n">
        <v>0</v>
      </c>
      <c r="AH26" t="n">
        <v>4.09</v>
      </c>
      <c r="AI26" t="n">
        <v>52.73</v>
      </c>
      <c r="AJ26" t="n">
        <v>9.5</v>
      </c>
      <c r="AK26" t="n">
        <v>0</v>
      </c>
      <c r="AL26" t="n">
        <v>211.5</v>
      </c>
      <c r="AM26" t="n">
        <v>0</v>
      </c>
      <c r="AN26" t="n">
        <v>0</v>
      </c>
      <c r="AO26" t="n">
        <v>0.21</v>
      </c>
      <c r="AP26" t="n">
        <v>10.58</v>
      </c>
      <c r="AQ26" t="n">
        <v>0</v>
      </c>
      <c r="AR26" t="n">
        <v>20.29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73.02</v>
      </c>
      <c r="BC26" t="n">
        <v>0</v>
      </c>
      <c r="BD26" t="n">
        <v>149.06</v>
      </c>
      <c r="BE26" t="inlineStr">
        <is>
          <t>settled</t>
        </is>
      </c>
      <c r="BF26" t="inlineStr">
        <is>
          <t>2025-12-24 05:30:00</t>
        </is>
      </c>
      <c r="BG26" t="inlineStr">
        <is>
          <t>CITIN25674376566</t>
        </is>
      </c>
      <c r="BH26" t="n">
        <v>0</v>
      </c>
      <c r="BI26" t="inlineStr">
        <is>
          <t>978695bde0837622c561037c1d9700aca32ebb217d039ae24b5c9d6204933978</t>
        </is>
      </c>
    </row>
    <row r="27">
      <c r="A27" t="inlineStr">
        <is>
          <t>22</t>
        </is>
      </c>
      <c r="B27" t="inlineStr">
        <is>
          <t>7579583376</t>
        </is>
      </c>
      <c r="C27" t="inlineStr">
        <is>
          <t>2025-12-16 18:11:45</t>
        </is>
      </c>
      <c r="D27" t="inlineStr">
        <is>
          <t>51</t>
        </is>
      </c>
      <c r="E27" t="inlineStr">
        <is>
          <t>Baba Yaga Art Of Chinese - By Posh Foods</t>
        </is>
      </c>
      <c r="F27" t="inlineStr">
        <is>
          <t>20037890</t>
        </is>
      </c>
      <c r="G27" t="inlineStr">
        <is>
          <t>Flat ₹125 off (2025-12-08 - 2031-01-01)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9</t>
        </is>
      </c>
      <c r="O27" t="n">
        <v>545</v>
      </c>
      <c r="P27" t="n">
        <v>0</v>
      </c>
      <c r="Q27" t="n">
        <v>0</v>
      </c>
      <c r="R27" t="n">
        <v>125</v>
      </c>
      <c r="S27" t="n">
        <v>42</v>
      </c>
      <c r="T27" t="n">
        <v>0</v>
      </c>
      <c r="U27" t="n">
        <v>0</v>
      </c>
      <c r="V27" t="n">
        <v>18.9</v>
      </c>
      <c r="W27" t="n">
        <v>396.9</v>
      </c>
      <c r="X27" t="n">
        <v>378</v>
      </c>
      <c r="Y27" t="n">
        <v>0</v>
      </c>
      <c r="Z27" t="n">
        <v>0</v>
      </c>
      <c r="AA27" t="n">
        <v>378</v>
      </c>
      <c r="AB27" t="n">
        <v>23</v>
      </c>
      <c r="AC27" t="n">
        <v>86.94</v>
      </c>
      <c r="AD27" t="n">
        <v>2.64</v>
      </c>
      <c r="AE27" t="n">
        <v>0</v>
      </c>
      <c r="AF27" t="n">
        <v>0</v>
      </c>
      <c r="AG27" t="n">
        <v>0</v>
      </c>
      <c r="AH27" t="n">
        <v>7.3</v>
      </c>
      <c r="AI27" t="n">
        <v>94.23999999999999</v>
      </c>
      <c r="AJ27" t="n">
        <v>16.96</v>
      </c>
      <c r="AK27" t="n">
        <v>0</v>
      </c>
      <c r="AL27" t="n">
        <v>378</v>
      </c>
      <c r="AM27" t="n">
        <v>0</v>
      </c>
      <c r="AN27" t="n">
        <v>0</v>
      </c>
      <c r="AO27" t="n">
        <v>0.38</v>
      </c>
      <c r="AP27" t="n">
        <v>18.9</v>
      </c>
      <c r="AQ27" t="n">
        <v>0</v>
      </c>
      <c r="AR27" t="n">
        <v>36.24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130.48</v>
      </c>
      <c r="BC27" t="n">
        <v>0</v>
      </c>
      <c r="BD27" t="n">
        <v>266.42</v>
      </c>
      <c r="BE27" t="inlineStr">
        <is>
          <t>settled</t>
        </is>
      </c>
      <c r="BF27" t="inlineStr">
        <is>
          <t>2025-12-24 05:30:00</t>
        </is>
      </c>
      <c r="BG27" t="inlineStr">
        <is>
          <t>CITIN25674376566</t>
        </is>
      </c>
      <c r="BH27" t="n">
        <v>0</v>
      </c>
      <c r="BI27" t="inlineStr">
        <is>
          <t>5dab7935a0c1174f0d4db7291c4f916a0b9358bb44a4c7508338df3824765766</t>
        </is>
      </c>
    </row>
    <row r="28">
      <c r="A28" t="inlineStr">
        <is>
          <t>23</t>
        </is>
      </c>
      <c r="B28" t="inlineStr">
        <is>
          <t>7581942746</t>
        </is>
      </c>
      <c r="C28" t="inlineStr">
        <is>
          <t>2025-12-16 19:05:31</t>
        </is>
      </c>
      <c r="D28" t="inlineStr">
        <is>
          <t>51</t>
        </is>
      </c>
      <c r="E28" t="inlineStr">
        <is>
          <t>Baba Yaga Art Of Chinese - By Posh Foods</t>
        </is>
      </c>
      <c r="F28" t="inlineStr">
        <is>
          <t>20037890</t>
        </is>
      </c>
      <c r="G28" t="inlineStr">
        <is>
          <t>Flat ₹100 off (2025-12-08 - 2031-01-01)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9</t>
        </is>
      </c>
      <c r="O28" t="n">
        <v>265</v>
      </c>
      <c r="P28" t="n">
        <v>0</v>
      </c>
      <c r="Q28" t="n">
        <v>0</v>
      </c>
      <c r="R28" t="n">
        <v>70</v>
      </c>
      <c r="S28" t="n">
        <v>0</v>
      </c>
      <c r="T28" t="n">
        <v>0</v>
      </c>
      <c r="U28" t="n">
        <v>0</v>
      </c>
      <c r="V28" t="n">
        <v>9.75</v>
      </c>
      <c r="W28" t="n">
        <v>204.75</v>
      </c>
      <c r="X28" t="n">
        <v>195</v>
      </c>
      <c r="Y28" t="n">
        <v>0</v>
      </c>
      <c r="Z28" t="n">
        <v>0</v>
      </c>
      <c r="AA28" t="n">
        <v>195</v>
      </c>
      <c r="AB28" t="n">
        <v>23</v>
      </c>
      <c r="AC28" t="n">
        <v>44.85</v>
      </c>
      <c r="AD28" t="n">
        <v>0.6899999999999999</v>
      </c>
      <c r="AE28" t="n">
        <v>0</v>
      </c>
      <c r="AF28" t="n">
        <v>0</v>
      </c>
      <c r="AG28" t="n">
        <v>0</v>
      </c>
      <c r="AH28" t="n">
        <v>3.77</v>
      </c>
      <c r="AI28" t="n">
        <v>48.62</v>
      </c>
      <c r="AJ28" t="n">
        <v>8.75</v>
      </c>
      <c r="AK28" t="n">
        <v>0</v>
      </c>
      <c r="AL28" t="n">
        <v>195</v>
      </c>
      <c r="AM28" t="n">
        <v>0</v>
      </c>
      <c r="AN28" t="n">
        <v>0</v>
      </c>
      <c r="AO28" t="n">
        <v>0.2</v>
      </c>
      <c r="AP28" t="n">
        <v>9.75</v>
      </c>
      <c r="AQ28" t="n">
        <v>0</v>
      </c>
      <c r="AR28" t="n">
        <v>18.7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67.31999999999999</v>
      </c>
      <c r="BC28" t="n">
        <v>0</v>
      </c>
      <c r="BD28" t="n">
        <v>137.43</v>
      </c>
      <c r="BE28" t="inlineStr">
        <is>
          <t>settled</t>
        </is>
      </c>
      <c r="BF28" t="inlineStr">
        <is>
          <t>2025-12-24 05:30:00</t>
        </is>
      </c>
      <c r="BG28" t="inlineStr">
        <is>
          <t>CITIN25674376566</t>
        </is>
      </c>
      <c r="BH28" t="n">
        <v>0</v>
      </c>
      <c r="BI28" t="inlineStr">
        <is>
          <t>a29c5ad11dec78dd1d792063c4a611d68e4e44186146031316830d4f455e7ba7</t>
        </is>
      </c>
    </row>
    <row r="29">
      <c r="A29" t="inlineStr">
        <is>
          <t>24</t>
        </is>
      </c>
      <c r="B29" t="inlineStr">
        <is>
          <t>7573223339</t>
        </is>
      </c>
      <c r="C29" t="inlineStr">
        <is>
          <t>2025-12-16 20:22:43</t>
        </is>
      </c>
      <c r="D29" t="inlineStr">
        <is>
          <t>51</t>
        </is>
      </c>
      <c r="E29" t="inlineStr">
        <is>
          <t>Baba Yaga Art Of Chinese - By Posh Foods</t>
        </is>
      </c>
      <c r="F29" t="inlineStr">
        <is>
          <t>20037890</t>
        </is>
      </c>
      <c r="G29" t="inlineStr">
        <is>
          <t>Flat ₹80 off (2025-12-08 - 2031-01-01)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9</t>
        </is>
      </c>
      <c r="O29" t="n">
        <v>210</v>
      </c>
      <c r="P29" t="n">
        <v>0</v>
      </c>
      <c r="Q29" t="n">
        <v>0</v>
      </c>
      <c r="R29" t="n">
        <v>80</v>
      </c>
      <c r="S29" t="n">
        <v>0</v>
      </c>
      <c r="T29" t="n">
        <v>0</v>
      </c>
      <c r="U29" t="n">
        <v>0</v>
      </c>
      <c r="V29" t="n">
        <v>6.5</v>
      </c>
      <c r="W29" t="n">
        <v>136.5</v>
      </c>
      <c r="X29" t="n">
        <v>130</v>
      </c>
      <c r="Y29" t="n">
        <v>0</v>
      </c>
      <c r="Z29" t="n">
        <v>0</v>
      </c>
      <c r="AA29" t="n">
        <v>130</v>
      </c>
      <c r="AB29" t="n">
        <v>23</v>
      </c>
      <c r="AC29" t="n">
        <v>29.9</v>
      </c>
      <c r="AD29" t="n">
        <v>3.07</v>
      </c>
      <c r="AE29" t="n">
        <v>0</v>
      </c>
      <c r="AF29" t="n">
        <v>0</v>
      </c>
      <c r="AG29" t="n">
        <v>0</v>
      </c>
      <c r="AH29" t="n">
        <v>2.51</v>
      </c>
      <c r="AI29" t="n">
        <v>32.41</v>
      </c>
      <c r="AJ29" t="n">
        <v>5.83</v>
      </c>
      <c r="AK29" t="n">
        <v>0</v>
      </c>
      <c r="AL29" t="n">
        <v>130</v>
      </c>
      <c r="AM29" t="n">
        <v>0</v>
      </c>
      <c r="AN29" t="n">
        <v>0</v>
      </c>
      <c r="AO29" t="n">
        <v>0.13</v>
      </c>
      <c r="AP29" t="n">
        <v>6.5</v>
      </c>
      <c r="AQ29" t="n">
        <v>0</v>
      </c>
      <c r="AR29" t="n">
        <v>12.46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44.87</v>
      </c>
      <c r="BC29" t="n">
        <v>0</v>
      </c>
      <c r="BD29" t="n">
        <v>91.63</v>
      </c>
      <c r="BE29" t="inlineStr">
        <is>
          <t>settled</t>
        </is>
      </c>
      <c r="BF29" t="inlineStr">
        <is>
          <t>2025-12-24 05:30:00</t>
        </is>
      </c>
      <c r="BG29" t="inlineStr">
        <is>
          <t>CITIN25674376566</t>
        </is>
      </c>
      <c r="BH29" t="n">
        <v>0</v>
      </c>
      <c r="BI29" t="inlineStr">
        <is>
          <t>36760353e89bc463fd34782ea2259c46a1989c256dbc5d8cd1ee4085674d14ac</t>
        </is>
      </c>
    </row>
    <row r="30">
      <c r="A30" t="inlineStr">
        <is>
          <t>25</t>
        </is>
      </c>
      <c r="B30" t="inlineStr">
        <is>
          <t>7590217591</t>
        </is>
      </c>
      <c r="C30" t="inlineStr">
        <is>
          <t>2025-12-16 21:09:53</t>
        </is>
      </c>
      <c r="D30" t="inlineStr">
        <is>
          <t>51</t>
        </is>
      </c>
      <c r="E30" t="inlineStr">
        <is>
          <t>Baba Yaga Art Of Chinese - By Posh Foods</t>
        </is>
      </c>
      <c r="F30" t="inlineStr">
        <is>
          <t>20037890</t>
        </is>
      </c>
      <c r="G30" t="inlineStr">
        <is>
          <t>Flat ₹125 off (2025-12-08 - 2031-01-01)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9</t>
        </is>
      </c>
      <c r="O30" t="n">
        <v>504</v>
      </c>
      <c r="P30" t="n">
        <v>0</v>
      </c>
      <c r="Q30" t="n">
        <v>0</v>
      </c>
      <c r="R30" t="n">
        <v>125</v>
      </c>
      <c r="S30" t="n">
        <v>37.9</v>
      </c>
      <c r="T30" t="n">
        <v>0</v>
      </c>
      <c r="U30" t="n">
        <v>0</v>
      </c>
      <c r="V30" t="n">
        <v>17.06</v>
      </c>
      <c r="W30" t="n">
        <v>358.16</v>
      </c>
      <c r="X30" t="n">
        <v>341.1</v>
      </c>
      <c r="Y30" t="n">
        <v>0</v>
      </c>
      <c r="Z30" t="n">
        <v>0</v>
      </c>
      <c r="AA30" t="n">
        <v>341.1</v>
      </c>
      <c r="AB30" t="n">
        <v>23</v>
      </c>
      <c r="AC30" t="n">
        <v>78.45</v>
      </c>
      <c r="AD30" t="n">
        <v>6.84</v>
      </c>
      <c r="AE30" t="n">
        <v>40</v>
      </c>
      <c r="AF30" t="n">
        <v>0</v>
      </c>
      <c r="AG30" t="n">
        <v>16.12</v>
      </c>
      <c r="AH30" t="n">
        <v>6.59</v>
      </c>
      <c r="AI30" t="n">
        <v>108.92</v>
      </c>
      <c r="AJ30" t="n">
        <v>19.61</v>
      </c>
      <c r="AK30" t="n">
        <v>0</v>
      </c>
      <c r="AL30" t="n">
        <v>341.1</v>
      </c>
      <c r="AM30" t="n">
        <v>0</v>
      </c>
      <c r="AN30" t="n">
        <v>0</v>
      </c>
      <c r="AO30" t="n">
        <v>0.34</v>
      </c>
      <c r="AP30" t="n">
        <v>17.06</v>
      </c>
      <c r="AQ30" t="n">
        <v>0</v>
      </c>
      <c r="AR30" t="n">
        <v>37.01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145.93</v>
      </c>
      <c r="BC30" t="n">
        <v>0</v>
      </c>
      <c r="BD30" t="n">
        <v>212.23</v>
      </c>
      <c r="BE30" t="inlineStr">
        <is>
          <t>settled</t>
        </is>
      </c>
      <c r="BF30" t="inlineStr">
        <is>
          <t>2025-12-24 05:30:00</t>
        </is>
      </c>
      <c r="BG30" t="inlineStr">
        <is>
          <t>CITIN25674376566</t>
        </is>
      </c>
      <c r="BH30" t="n">
        <v>0</v>
      </c>
      <c r="BI30" t="inlineStr">
        <is>
          <t>ea9ec53091b5885c2caa03c944fc9281d5ed3198cb060496102a78ee49da3159</t>
        </is>
      </c>
    </row>
    <row r="31">
      <c r="A31" t="inlineStr">
        <is>
          <t>26</t>
        </is>
      </c>
      <c r="B31" t="inlineStr">
        <is>
          <t>7590933886</t>
        </is>
      </c>
      <c r="C31" t="inlineStr">
        <is>
          <t>2025-12-16 21:53:30</t>
        </is>
      </c>
      <c r="D31" t="inlineStr">
        <is>
          <t>51</t>
        </is>
      </c>
      <c r="E31" t="inlineStr">
        <is>
          <t>Baba Yaga Art Of Chinese - By Posh Foods</t>
        </is>
      </c>
      <c r="F31" t="inlineStr">
        <is>
          <t>20037890</t>
        </is>
      </c>
      <c r="G31" t="inlineStr">
        <is>
          <t>Flat ₹125 off (2025-12-08 - 2031-01-01)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9</t>
        </is>
      </c>
      <c r="O31" t="n">
        <v>365</v>
      </c>
      <c r="P31" t="n">
        <v>0</v>
      </c>
      <c r="Q31" t="n">
        <v>0</v>
      </c>
      <c r="R31" t="n">
        <v>87</v>
      </c>
      <c r="S31" t="n">
        <v>24</v>
      </c>
      <c r="T31" t="n">
        <v>0</v>
      </c>
      <c r="U31" t="n">
        <v>0</v>
      </c>
      <c r="V31" t="n">
        <v>12.7</v>
      </c>
      <c r="W31" t="n">
        <v>266.7</v>
      </c>
      <c r="X31" t="n">
        <v>254</v>
      </c>
      <c r="Y31" t="n">
        <v>0</v>
      </c>
      <c r="Z31" t="n">
        <v>0</v>
      </c>
      <c r="AA31" t="n">
        <v>254</v>
      </c>
      <c r="AB31" t="n">
        <v>23</v>
      </c>
      <c r="AC31" t="n">
        <v>58.42</v>
      </c>
      <c r="AD31" t="n">
        <v>4.03</v>
      </c>
      <c r="AE31" t="n">
        <v>20</v>
      </c>
      <c r="AF31" t="n">
        <v>0</v>
      </c>
      <c r="AG31" t="n">
        <v>2.22</v>
      </c>
      <c r="AH31" t="n">
        <v>4.91</v>
      </c>
      <c r="AI31" t="n">
        <v>81.11</v>
      </c>
      <c r="AJ31" t="n">
        <v>14.6</v>
      </c>
      <c r="AK31" t="n">
        <v>0</v>
      </c>
      <c r="AL31" t="n">
        <v>254</v>
      </c>
      <c r="AM31" t="n">
        <v>0</v>
      </c>
      <c r="AN31" t="n">
        <v>0</v>
      </c>
      <c r="AO31" t="n">
        <v>0.25</v>
      </c>
      <c r="AP31" t="n">
        <v>12.7</v>
      </c>
      <c r="AQ31" t="n">
        <v>0</v>
      </c>
      <c r="AR31" t="n">
        <v>27.55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29.97</v>
      </c>
      <c r="AY31" t="n">
        <v>0</v>
      </c>
      <c r="AZ31" t="n">
        <v>0</v>
      </c>
      <c r="BA31" t="n">
        <v>29.97</v>
      </c>
      <c r="BB31" t="n">
        <v>138.63</v>
      </c>
      <c r="BC31" t="n">
        <v>0</v>
      </c>
      <c r="BD31" t="n">
        <v>128.07</v>
      </c>
      <c r="BE31" t="inlineStr">
        <is>
          <t>settled</t>
        </is>
      </c>
      <c r="BF31" t="inlineStr">
        <is>
          <t>2025-12-24 05:30:00</t>
        </is>
      </c>
      <c r="BG31" t="inlineStr">
        <is>
          <t>CITIN25674376566</t>
        </is>
      </c>
      <c r="BH31" t="n">
        <v>0</v>
      </c>
      <c r="BI31" t="inlineStr">
        <is>
          <t>7efc408fdf124cc86494051f3d2f524bce517e8e5a01fe489d0314ae73cfa4c6</t>
        </is>
      </c>
    </row>
    <row r="32">
      <c r="A32" t="inlineStr">
        <is>
          <t>27</t>
        </is>
      </c>
      <c r="B32" t="inlineStr">
        <is>
          <t>7588593808</t>
        </is>
      </c>
      <c r="C32" t="inlineStr">
        <is>
          <t>2025-12-16 22:14:26</t>
        </is>
      </c>
      <c r="D32" t="inlineStr">
        <is>
          <t>51</t>
        </is>
      </c>
      <c r="E32" t="inlineStr">
        <is>
          <t>Baba Yaga Art Of Chinese - By Posh Foods</t>
        </is>
      </c>
      <c r="F32" t="inlineStr">
        <is>
          <t>20037890</t>
        </is>
      </c>
      <c r="G32" t="inlineStr">
        <is>
          <t>NA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9</t>
        </is>
      </c>
      <c r="O32" t="n">
        <v>210</v>
      </c>
      <c r="P32" t="n">
        <v>0</v>
      </c>
      <c r="Q32" t="n">
        <v>0</v>
      </c>
      <c r="R32" t="n">
        <v>0</v>
      </c>
      <c r="S32" t="n">
        <v>120</v>
      </c>
      <c r="T32" t="n">
        <v>0</v>
      </c>
      <c r="U32" t="n">
        <v>0</v>
      </c>
      <c r="V32" t="n">
        <v>4.5</v>
      </c>
      <c r="W32" t="n">
        <v>94.5</v>
      </c>
      <c r="X32" t="n">
        <v>90</v>
      </c>
      <c r="Y32" t="n">
        <v>0</v>
      </c>
      <c r="Z32" t="n">
        <v>0</v>
      </c>
      <c r="AA32" t="n">
        <v>90</v>
      </c>
      <c r="AB32" t="n">
        <v>23</v>
      </c>
      <c r="AC32" t="n">
        <v>20.7</v>
      </c>
      <c r="AD32" t="n">
        <v>1.48</v>
      </c>
      <c r="AE32" t="n">
        <v>0</v>
      </c>
      <c r="AF32" t="n">
        <v>0</v>
      </c>
      <c r="AG32" t="n">
        <v>0</v>
      </c>
      <c r="AH32" t="n">
        <v>1.74</v>
      </c>
      <c r="AI32" t="n">
        <v>22.44</v>
      </c>
      <c r="AJ32" t="n">
        <v>4.04</v>
      </c>
      <c r="AK32" t="n">
        <v>0</v>
      </c>
      <c r="AL32" t="n">
        <v>90</v>
      </c>
      <c r="AM32" t="n">
        <v>0</v>
      </c>
      <c r="AN32" t="n">
        <v>0</v>
      </c>
      <c r="AO32" t="n">
        <v>0.09</v>
      </c>
      <c r="AP32" t="n">
        <v>4.5</v>
      </c>
      <c r="AQ32" t="n">
        <v>0</v>
      </c>
      <c r="AR32" t="n">
        <v>8.630000000000001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10.62</v>
      </c>
      <c r="AY32" t="n">
        <v>0</v>
      </c>
      <c r="AZ32" t="n">
        <v>0</v>
      </c>
      <c r="BA32" t="n">
        <v>10.62</v>
      </c>
      <c r="BB32" t="n">
        <v>41.69</v>
      </c>
      <c r="BC32" t="n">
        <v>0</v>
      </c>
      <c r="BD32" t="n">
        <v>52.81</v>
      </c>
      <c r="BE32" t="inlineStr">
        <is>
          <t>settled</t>
        </is>
      </c>
      <c r="BF32" t="inlineStr">
        <is>
          <t>2025-12-24 05:30:00</t>
        </is>
      </c>
      <c r="BG32" t="inlineStr">
        <is>
          <t>CITIN25674376566</t>
        </is>
      </c>
      <c r="BH32" t="n">
        <v>0</v>
      </c>
      <c r="BI32" t="inlineStr">
        <is>
          <t>e7290c268c7aef6529cf2610b2cf30399b4a33d46493ec2552c8ee3f6e4b5cb6</t>
        </is>
      </c>
    </row>
    <row r="33">
      <c r="A33" t="inlineStr">
        <is>
          <t>28</t>
        </is>
      </c>
      <c r="B33" t="inlineStr">
        <is>
          <t>7587303182</t>
        </is>
      </c>
      <c r="C33" t="inlineStr">
        <is>
          <t>2025-12-16 22:22:40</t>
        </is>
      </c>
      <c r="D33" t="inlineStr">
        <is>
          <t>51</t>
        </is>
      </c>
      <c r="E33" t="inlineStr">
        <is>
          <t>Baba Yaga Art Of Chinese - By Posh Foods</t>
        </is>
      </c>
      <c r="F33" t="inlineStr">
        <is>
          <t>20037890</t>
        </is>
      </c>
      <c r="G33" t="inlineStr">
        <is>
          <t>Flat ₹100 off (2025-12-08 - 2031-01-01)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9</t>
        </is>
      </c>
      <c r="O33" t="n">
        <v>265</v>
      </c>
      <c r="P33" t="n">
        <v>0</v>
      </c>
      <c r="Q33" t="n">
        <v>0</v>
      </c>
      <c r="R33" t="n">
        <v>70</v>
      </c>
      <c r="S33" t="n">
        <v>0</v>
      </c>
      <c r="T33" t="n">
        <v>0</v>
      </c>
      <c r="U33" t="n">
        <v>0</v>
      </c>
      <c r="V33" t="n">
        <v>9.75</v>
      </c>
      <c r="W33" t="n">
        <v>204.75</v>
      </c>
      <c r="X33" t="n">
        <v>195</v>
      </c>
      <c r="Y33" t="n">
        <v>0</v>
      </c>
      <c r="Z33" t="n">
        <v>0</v>
      </c>
      <c r="AA33" t="n">
        <v>195</v>
      </c>
      <c r="AB33" t="n">
        <v>23</v>
      </c>
      <c r="AC33" t="n">
        <v>44.85</v>
      </c>
      <c r="AD33" t="n">
        <v>4.82</v>
      </c>
      <c r="AE33" t="n">
        <v>20</v>
      </c>
      <c r="AF33" t="n">
        <v>0</v>
      </c>
      <c r="AG33" t="n">
        <v>6.35</v>
      </c>
      <c r="AH33" t="n">
        <v>3.77</v>
      </c>
      <c r="AI33" t="n">
        <v>62.27</v>
      </c>
      <c r="AJ33" t="n">
        <v>11.21</v>
      </c>
      <c r="AK33" t="n">
        <v>0</v>
      </c>
      <c r="AL33" t="n">
        <v>195</v>
      </c>
      <c r="AM33" t="n">
        <v>0</v>
      </c>
      <c r="AN33" t="n">
        <v>0</v>
      </c>
      <c r="AO33" t="n">
        <v>0.2</v>
      </c>
      <c r="AP33" t="n">
        <v>9.75</v>
      </c>
      <c r="AQ33" t="n">
        <v>0</v>
      </c>
      <c r="AR33" t="n">
        <v>21.16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83.43000000000001</v>
      </c>
      <c r="BC33" t="n">
        <v>0</v>
      </c>
      <c r="BD33" t="n">
        <v>121.32</v>
      </c>
      <c r="BE33" t="inlineStr">
        <is>
          <t>settled</t>
        </is>
      </c>
      <c r="BF33" t="inlineStr">
        <is>
          <t>2025-12-24 05:30:00</t>
        </is>
      </c>
      <c r="BG33" t="inlineStr">
        <is>
          <t>CITIN25674376566</t>
        </is>
      </c>
      <c r="BH33" t="n">
        <v>0</v>
      </c>
      <c r="BI33" t="inlineStr">
        <is>
          <t>6df35b815f579e9e5c774e230adb52ec6f32914a32d04620e8ef1556491b901e</t>
        </is>
      </c>
    </row>
    <row r="34">
      <c r="A34" t="inlineStr">
        <is>
          <t>29</t>
        </is>
      </c>
      <c r="B34" t="inlineStr">
        <is>
          <t>7575440488</t>
        </is>
      </c>
      <c r="C34" t="inlineStr">
        <is>
          <t>2025-12-16 23:24:24</t>
        </is>
      </c>
      <c r="D34" t="inlineStr">
        <is>
          <t>51</t>
        </is>
      </c>
      <c r="E34" t="inlineStr">
        <is>
          <t>Baba Yaga Art Of Chinese - By Posh Foods</t>
        </is>
      </c>
      <c r="F34" t="inlineStr">
        <is>
          <t>20037890</t>
        </is>
      </c>
      <c r="G34" t="inlineStr">
        <is>
          <t>NA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9</t>
        </is>
      </c>
      <c r="O34" t="n">
        <v>239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11.95</v>
      </c>
      <c r="W34" t="n">
        <v>250.95</v>
      </c>
      <c r="X34" t="n">
        <v>239</v>
      </c>
      <c r="Y34" t="n">
        <v>0</v>
      </c>
      <c r="Z34" t="n">
        <v>0</v>
      </c>
      <c r="AA34" t="n">
        <v>239</v>
      </c>
      <c r="AB34" t="n">
        <v>23</v>
      </c>
      <c r="AC34" t="n">
        <v>54.97</v>
      </c>
      <c r="AD34" t="n">
        <v>4.37</v>
      </c>
      <c r="AE34" t="n">
        <v>20</v>
      </c>
      <c r="AF34" t="n">
        <v>0</v>
      </c>
      <c r="AG34" t="n">
        <v>3.27</v>
      </c>
      <c r="AH34" t="n">
        <v>4.62</v>
      </c>
      <c r="AI34" t="n">
        <v>76.31999999999999</v>
      </c>
      <c r="AJ34" t="n">
        <v>13.73</v>
      </c>
      <c r="AK34" t="n">
        <v>0</v>
      </c>
      <c r="AL34" t="n">
        <v>239</v>
      </c>
      <c r="AM34" t="n">
        <v>0</v>
      </c>
      <c r="AN34" t="n">
        <v>0</v>
      </c>
      <c r="AO34" t="n">
        <v>0.24</v>
      </c>
      <c r="AP34" t="n">
        <v>11.95</v>
      </c>
      <c r="AQ34" t="n">
        <v>0</v>
      </c>
      <c r="AR34" t="n">
        <v>25.92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102.24</v>
      </c>
      <c r="BC34" t="n">
        <v>0</v>
      </c>
      <c r="BD34" t="n">
        <v>148.71</v>
      </c>
      <c r="BE34" t="inlineStr">
        <is>
          <t>settled</t>
        </is>
      </c>
      <c r="BF34" t="inlineStr">
        <is>
          <t>2025-12-24 05:30:00</t>
        </is>
      </c>
      <c r="BG34" t="inlineStr">
        <is>
          <t>CITIN25674376566</t>
        </is>
      </c>
      <c r="BH34" t="n">
        <v>0</v>
      </c>
      <c r="BI34" t="inlineStr">
        <is>
          <t>17ce5509d87829af9ebb3e791e29607e15f2568d4e931199b6280dc0bf0325df</t>
        </is>
      </c>
    </row>
    <row r="35">
      <c r="A35" t="inlineStr">
        <is>
          <t>30</t>
        </is>
      </c>
      <c r="B35" t="inlineStr">
        <is>
          <t>7587616538</t>
        </is>
      </c>
      <c r="C35" t="inlineStr">
        <is>
          <t>2025-12-16 23:41:08</t>
        </is>
      </c>
      <c r="D35" t="inlineStr">
        <is>
          <t>51</t>
        </is>
      </c>
      <c r="E35" t="inlineStr">
        <is>
          <t>Baba Yaga Art Of Chinese - By Posh Foods</t>
        </is>
      </c>
      <c r="F35" t="inlineStr">
        <is>
          <t>20037890</t>
        </is>
      </c>
      <c r="G35" t="inlineStr">
        <is>
          <t>Flat ₹125 off (2025-12-08 - 2031-01-01)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9</t>
        </is>
      </c>
      <c r="O35" t="n">
        <v>405</v>
      </c>
      <c r="P35" t="n">
        <v>0</v>
      </c>
      <c r="Q35" t="n">
        <v>0</v>
      </c>
      <c r="R35" t="n">
        <v>87</v>
      </c>
      <c r="S35" t="n">
        <v>28</v>
      </c>
      <c r="T35" t="n">
        <v>0</v>
      </c>
      <c r="U35" t="n">
        <v>0</v>
      </c>
      <c r="V35" t="n">
        <v>14.5</v>
      </c>
      <c r="W35" t="n">
        <v>304.5</v>
      </c>
      <c r="X35" t="n">
        <v>290</v>
      </c>
      <c r="Y35" t="n">
        <v>0</v>
      </c>
      <c r="Z35" t="n">
        <v>0</v>
      </c>
      <c r="AA35" t="n">
        <v>290</v>
      </c>
      <c r="AB35" t="n">
        <v>23</v>
      </c>
      <c r="AC35" t="n">
        <v>66.7</v>
      </c>
      <c r="AD35" t="n">
        <v>1.9</v>
      </c>
      <c r="AE35" t="n">
        <v>0</v>
      </c>
      <c r="AF35" t="n">
        <v>0</v>
      </c>
      <c r="AG35" t="n">
        <v>0</v>
      </c>
      <c r="AH35" t="n">
        <v>5.6</v>
      </c>
      <c r="AI35" t="n">
        <v>72.3</v>
      </c>
      <c r="AJ35" t="n">
        <v>13.02</v>
      </c>
      <c r="AK35" t="n">
        <v>0</v>
      </c>
      <c r="AL35" t="n">
        <v>290</v>
      </c>
      <c r="AM35" t="n">
        <v>0</v>
      </c>
      <c r="AN35" t="n">
        <v>0</v>
      </c>
      <c r="AO35" t="n">
        <v>0.29</v>
      </c>
      <c r="AP35" t="n">
        <v>14.5</v>
      </c>
      <c r="AQ35" t="n">
        <v>0</v>
      </c>
      <c r="AR35" t="n">
        <v>27.81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100.11</v>
      </c>
      <c r="BC35" t="n">
        <v>0</v>
      </c>
      <c r="BD35" t="n">
        <v>204.39</v>
      </c>
      <c r="BE35" t="inlineStr">
        <is>
          <t>settled</t>
        </is>
      </c>
      <c r="BF35" t="inlineStr">
        <is>
          <t>2025-12-24 05:30:00</t>
        </is>
      </c>
      <c r="BG35" t="inlineStr">
        <is>
          <t>CITIN25674376566</t>
        </is>
      </c>
      <c r="BH35" t="n">
        <v>0</v>
      </c>
      <c r="BI35" t="inlineStr">
        <is>
          <t>b9342c2965d97af6f90382dbb60273ffda3606c4e6f87b32cd5f167b5dac8727</t>
        </is>
      </c>
    </row>
    <row r="36">
      <c r="A36" t="inlineStr">
        <is>
          <t>31</t>
        </is>
      </c>
      <c r="B36" t="inlineStr">
        <is>
          <t>7579892802</t>
        </is>
      </c>
      <c r="C36" t="inlineStr">
        <is>
          <t>2025-12-16 23:49:31</t>
        </is>
      </c>
      <c r="D36" t="inlineStr">
        <is>
          <t>51</t>
        </is>
      </c>
      <c r="E36" t="inlineStr">
        <is>
          <t>Baba Yaga Art Of Chinese - By Posh Foods</t>
        </is>
      </c>
      <c r="F36" t="inlineStr">
        <is>
          <t>20037890</t>
        </is>
      </c>
      <c r="G36" t="inlineStr">
        <is>
          <t>NA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9</t>
        </is>
      </c>
      <c r="O36" t="n">
        <v>650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32.5</v>
      </c>
      <c r="W36" t="n">
        <v>682.5</v>
      </c>
      <c r="X36" t="n">
        <v>650</v>
      </c>
      <c r="Y36" t="n">
        <v>0</v>
      </c>
      <c r="Z36" t="n">
        <v>0</v>
      </c>
      <c r="AA36" t="n">
        <v>650</v>
      </c>
      <c r="AB36" t="n">
        <v>23</v>
      </c>
      <c r="AC36" t="n">
        <v>149.5</v>
      </c>
      <c r="AD36" t="n">
        <v>6.79</v>
      </c>
      <c r="AE36" t="n">
        <v>40</v>
      </c>
      <c r="AF36" t="n">
        <v>0</v>
      </c>
      <c r="AG36" t="n">
        <v>0</v>
      </c>
      <c r="AH36" t="n">
        <v>12.56</v>
      </c>
      <c r="AI36" t="n">
        <v>202.06</v>
      </c>
      <c r="AJ36" t="n">
        <v>36.37</v>
      </c>
      <c r="AK36" t="n">
        <v>0</v>
      </c>
      <c r="AL36" t="n">
        <v>650</v>
      </c>
      <c r="AM36" t="n">
        <v>0</v>
      </c>
      <c r="AN36" t="n">
        <v>0</v>
      </c>
      <c r="AO36" t="n">
        <v>0.65</v>
      </c>
      <c r="AP36" t="n">
        <v>32.5</v>
      </c>
      <c r="AQ36" t="n">
        <v>0</v>
      </c>
      <c r="AR36" t="n">
        <v>69.52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271.58</v>
      </c>
      <c r="BC36" t="n">
        <v>0</v>
      </c>
      <c r="BD36" t="n">
        <v>410.92</v>
      </c>
      <c r="BE36" t="inlineStr">
        <is>
          <t>settled</t>
        </is>
      </c>
      <c r="BF36" t="inlineStr">
        <is>
          <t>2025-12-24 05:30:00</t>
        </is>
      </c>
      <c r="BG36" t="inlineStr">
        <is>
          <t>CITIN25674376566</t>
        </is>
      </c>
      <c r="BH36" t="n">
        <v>0</v>
      </c>
      <c r="BI36" t="inlineStr">
        <is>
          <t>0a979fdd1c18ad2ae03bb97169481ece68e59a372923d1afa40496d9a1f0d61e</t>
        </is>
      </c>
    </row>
    <row r="37">
      <c r="A37" t="inlineStr">
        <is>
          <t>32</t>
        </is>
      </c>
      <c r="B37" t="inlineStr">
        <is>
          <t>7589712861</t>
        </is>
      </c>
      <c r="C37" t="inlineStr">
        <is>
          <t>2025-12-17 17:08:10</t>
        </is>
      </c>
      <c r="D37" t="inlineStr">
        <is>
          <t>51</t>
        </is>
      </c>
      <c r="E37" t="inlineStr">
        <is>
          <t>Baba Yaga Art Of Chinese - By Posh Foods</t>
        </is>
      </c>
      <c r="F37" t="inlineStr">
        <is>
          <t>20037890</t>
        </is>
      </c>
      <c r="G37" t="inlineStr">
        <is>
          <t>NA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9</t>
        </is>
      </c>
      <c r="O37" t="n">
        <v>525</v>
      </c>
      <c r="P37" t="n">
        <v>0</v>
      </c>
      <c r="Q37" t="n">
        <v>0</v>
      </c>
      <c r="R37" t="n">
        <v>0</v>
      </c>
      <c r="S37" t="n">
        <v>52.5</v>
      </c>
      <c r="T37" t="n">
        <v>0</v>
      </c>
      <c r="U37" t="n">
        <v>0</v>
      </c>
      <c r="V37" t="n">
        <v>23.63</v>
      </c>
      <c r="W37" t="n">
        <v>496.13</v>
      </c>
      <c r="X37" t="n">
        <v>472.5</v>
      </c>
      <c r="Y37" t="n">
        <v>0</v>
      </c>
      <c r="Z37" t="n">
        <v>0</v>
      </c>
      <c r="AA37" t="n">
        <v>472.5</v>
      </c>
      <c r="AB37" t="n">
        <v>23</v>
      </c>
      <c r="AC37" t="n">
        <v>108.68</v>
      </c>
      <c r="AD37" t="n">
        <v>2.19</v>
      </c>
      <c r="AE37" t="n">
        <v>0</v>
      </c>
      <c r="AF37" t="n">
        <v>0</v>
      </c>
      <c r="AG37" t="n">
        <v>0</v>
      </c>
      <c r="AH37" t="n">
        <v>9.130000000000001</v>
      </c>
      <c r="AI37" t="n">
        <v>117.81</v>
      </c>
      <c r="AJ37" t="n">
        <v>21.2</v>
      </c>
      <c r="AK37" t="n">
        <v>0</v>
      </c>
      <c r="AL37" t="n">
        <v>472.5</v>
      </c>
      <c r="AM37" t="n">
        <v>0</v>
      </c>
      <c r="AN37" t="n">
        <v>0</v>
      </c>
      <c r="AO37" t="n">
        <v>0.47</v>
      </c>
      <c r="AP37" t="n">
        <v>23.63</v>
      </c>
      <c r="AQ37" t="n">
        <v>0</v>
      </c>
      <c r="AR37" t="n">
        <v>45.3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163.11</v>
      </c>
      <c r="BC37" t="n">
        <v>0</v>
      </c>
      <c r="BD37" t="n">
        <v>333.02</v>
      </c>
      <c r="BE37" t="inlineStr">
        <is>
          <t>settled</t>
        </is>
      </c>
      <c r="BF37" t="inlineStr">
        <is>
          <t>2025-12-24 05:30:00</t>
        </is>
      </c>
      <c r="BG37" t="inlineStr">
        <is>
          <t>CITIN25674376566</t>
        </is>
      </c>
      <c r="BH37" t="n">
        <v>0</v>
      </c>
      <c r="BI37" t="inlineStr">
        <is>
          <t>3e154ef9c256a2907bca000f9988416bae5a72e83fc9f0158fe1d2f2e78875d8</t>
        </is>
      </c>
    </row>
    <row r="38">
      <c r="A38" t="inlineStr">
        <is>
          <t>33</t>
        </is>
      </c>
      <c r="B38" t="inlineStr">
        <is>
          <t>7591879447</t>
        </is>
      </c>
      <c r="C38" t="inlineStr">
        <is>
          <t>2025-12-17 19:06:03</t>
        </is>
      </c>
      <c r="D38" t="inlineStr">
        <is>
          <t>51</t>
        </is>
      </c>
      <c r="E38" t="inlineStr">
        <is>
          <t>Baba Yaga Art Of Chinese - By Posh Foods</t>
        </is>
      </c>
      <c r="F38" t="inlineStr">
        <is>
          <t>20037890</t>
        </is>
      </c>
      <c r="G38" t="inlineStr">
        <is>
          <t>Flat ₹100 off (2025-12-08 - 2031-01-01)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9</t>
        </is>
      </c>
      <c r="O38" t="n">
        <v>315</v>
      </c>
      <c r="P38" t="n">
        <v>0</v>
      </c>
      <c r="Q38" t="n">
        <v>0</v>
      </c>
      <c r="R38" t="n">
        <v>70</v>
      </c>
      <c r="S38" t="n">
        <v>21.5</v>
      </c>
      <c r="T38" t="n">
        <v>0</v>
      </c>
      <c r="U38" t="n">
        <v>0</v>
      </c>
      <c r="V38" t="n">
        <v>11.18</v>
      </c>
      <c r="W38" t="n">
        <v>234.68</v>
      </c>
      <c r="X38" t="n">
        <v>223.5</v>
      </c>
      <c r="Y38" t="n">
        <v>0</v>
      </c>
      <c r="Z38" t="n">
        <v>0</v>
      </c>
      <c r="AA38" t="n">
        <v>223.5</v>
      </c>
      <c r="AB38" t="n">
        <v>23</v>
      </c>
      <c r="AC38" t="n">
        <v>51.4</v>
      </c>
      <c r="AD38" t="n">
        <v>1.12</v>
      </c>
      <c r="AE38" t="n">
        <v>0</v>
      </c>
      <c r="AF38" t="n">
        <v>0</v>
      </c>
      <c r="AG38" t="n">
        <v>0</v>
      </c>
      <c r="AH38" t="n">
        <v>4.32</v>
      </c>
      <c r="AI38" t="n">
        <v>55.72</v>
      </c>
      <c r="AJ38" t="n">
        <v>10.03</v>
      </c>
      <c r="AK38" t="n">
        <v>0</v>
      </c>
      <c r="AL38" t="n">
        <v>223.5</v>
      </c>
      <c r="AM38" t="n">
        <v>0</v>
      </c>
      <c r="AN38" t="n">
        <v>0</v>
      </c>
      <c r="AO38" t="n">
        <v>0.22</v>
      </c>
      <c r="AP38" t="n">
        <v>11.18</v>
      </c>
      <c r="AQ38" t="n">
        <v>0</v>
      </c>
      <c r="AR38" t="n">
        <v>21.43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26.37</v>
      </c>
      <c r="AY38" t="n">
        <v>0</v>
      </c>
      <c r="AZ38" t="n">
        <v>0</v>
      </c>
      <c r="BA38" t="n">
        <v>26.37</v>
      </c>
      <c r="BB38" t="n">
        <v>103.52</v>
      </c>
      <c r="BC38" t="n">
        <v>0</v>
      </c>
      <c r="BD38" t="n">
        <v>131.16</v>
      </c>
      <c r="BE38" t="inlineStr">
        <is>
          <t>settled</t>
        </is>
      </c>
      <c r="BF38" t="inlineStr">
        <is>
          <t>2025-12-24 05:30:00</t>
        </is>
      </c>
      <c r="BG38" t="inlineStr">
        <is>
          <t>CITIN25674376566</t>
        </is>
      </c>
      <c r="BH38" t="n">
        <v>0</v>
      </c>
      <c r="BI38" t="inlineStr">
        <is>
          <t>dc9df08c537cd9692f1bdd98d541454f8ec2a625d1ffd142bd3db3a5d11a16eb</t>
        </is>
      </c>
    </row>
    <row r="39">
      <c r="A39" t="inlineStr">
        <is>
          <t>34</t>
        </is>
      </c>
      <c r="B39" t="inlineStr">
        <is>
          <t>7588846595</t>
        </is>
      </c>
      <c r="C39" t="inlineStr">
        <is>
          <t>2025-12-17 19:31:40</t>
        </is>
      </c>
      <c r="D39" t="inlineStr">
        <is>
          <t>51</t>
        </is>
      </c>
      <c r="E39" t="inlineStr">
        <is>
          <t>Baba Yaga Art Of Chinese - By Posh Foods</t>
        </is>
      </c>
      <c r="F39" t="inlineStr">
        <is>
          <t>20037890</t>
        </is>
      </c>
      <c r="G39" t="inlineStr">
        <is>
          <t>Flat ₹80 off (2025-12-08 - 2031-01-01)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9</t>
        </is>
      </c>
      <c r="O39" t="n">
        <v>210</v>
      </c>
      <c r="P39" t="n">
        <v>0</v>
      </c>
      <c r="Q39" t="n">
        <v>0</v>
      </c>
      <c r="R39" t="n">
        <v>56</v>
      </c>
      <c r="S39" t="n">
        <v>0</v>
      </c>
      <c r="T39" t="n">
        <v>0</v>
      </c>
      <c r="U39" t="n">
        <v>0</v>
      </c>
      <c r="V39" t="n">
        <v>7.7</v>
      </c>
      <c r="W39" t="n">
        <v>161.7</v>
      </c>
      <c r="X39" t="n">
        <v>154</v>
      </c>
      <c r="Y39" t="n">
        <v>0</v>
      </c>
      <c r="Z39" t="n">
        <v>0</v>
      </c>
      <c r="AA39" t="n">
        <v>154</v>
      </c>
      <c r="AB39" t="n">
        <v>23</v>
      </c>
      <c r="AC39" t="n">
        <v>35.42</v>
      </c>
      <c r="AD39" t="n">
        <v>4.94</v>
      </c>
      <c r="AE39" t="n">
        <v>20</v>
      </c>
      <c r="AF39" t="n">
        <v>0</v>
      </c>
      <c r="AG39" t="n">
        <v>9.220000000000001</v>
      </c>
      <c r="AH39" t="n">
        <v>2.98</v>
      </c>
      <c r="AI39" t="n">
        <v>49.18</v>
      </c>
      <c r="AJ39" t="n">
        <v>8.859999999999999</v>
      </c>
      <c r="AK39" t="n">
        <v>0</v>
      </c>
      <c r="AL39" t="n">
        <v>154</v>
      </c>
      <c r="AM39" t="n">
        <v>0</v>
      </c>
      <c r="AN39" t="n">
        <v>0</v>
      </c>
      <c r="AO39" t="n">
        <v>0.15</v>
      </c>
      <c r="AP39" t="n">
        <v>7.7</v>
      </c>
      <c r="AQ39" t="n">
        <v>0</v>
      </c>
      <c r="AR39" t="n">
        <v>16.71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18.17</v>
      </c>
      <c r="AY39" t="n">
        <v>0</v>
      </c>
      <c r="AZ39" t="n">
        <v>0</v>
      </c>
      <c r="BA39" t="n">
        <v>18.17</v>
      </c>
      <c r="BB39" t="n">
        <v>84.06</v>
      </c>
      <c r="BC39" t="n">
        <v>0</v>
      </c>
      <c r="BD39" t="n">
        <v>77.64</v>
      </c>
      <c r="BE39" t="inlineStr">
        <is>
          <t>settled</t>
        </is>
      </c>
      <c r="BF39" t="inlineStr">
        <is>
          <t>2025-12-24 05:30:00</t>
        </is>
      </c>
      <c r="BG39" t="inlineStr">
        <is>
          <t>CITIN25674376566</t>
        </is>
      </c>
      <c r="BH39" t="n">
        <v>0</v>
      </c>
      <c r="BI39" t="inlineStr">
        <is>
          <t>ecf75b72587e9fd5b17cb3f30805c6ebada939bab1cf3cbbdd7d10bbf12786fb</t>
        </is>
      </c>
    </row>
    <row r="40">
      <c r="A40" t="inlineStr">
        <is>
          <t>35</t>
        </is>
      </c>
      <c r="B40" t="inlineStr">
        <is>
          <t>7591416731</t>
        </is>
      </c>
      <c r="C40" t="inlineStr">
        <is>
          <t>2025-12-17 20:04:26</t>
        </is>
      </c>
      <c r="D40" t="inlineStr">
        <is>
          <t>51</t>
        </is>
      </c>
      <c r="E40" t="inlineStr">
        <is>
          <t>Baba Yaga Art Of Chinese - By Posh Foods</t>
        </is>
      </c>
      <c r="F40" t="inlineStr">
        <is>
          <t>20037890</t>
        </is>
      </c>
      <c r="G40" t="inlineStr">
        <is>
          <t>Flat ₹125 off (2025-12-08 - 2031-01-01)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9</t>
        </is>
      </c>
      <c r="O40" t="n">
        <v>440</v>
      </c>
      <c r="P40" t="n">
        <v>0</v>
      </c>
      <c r="Q40" t="n">
        <v>0</v>
      </c>
      <c r="R40" t="n">
        <v>125</v>
      </c>
      <c r="S40" t="n">
        <v>31.5</v>
      </c>
      <c r="T40" t="n">
        <v>0</v>
      </c>
      <c r="U40" t="n">
        <v>0</v>
      </c>
      <c r="V40" t="n">
        <v>14.18</v>
      </c>
      <c r="W40" t="n">
        <v>297.68</v>
      </c>
      <c r="X40" t="n">
        <v>283.5</v>
      </c>
      <c r="Y40" t="n">
        <v>0</v>
      </c>
      <c r="Z40" t="n">
        <v>0</v>
      </c>
      <c r="AA40" t="n">
        <v>283.5</v>
      </c>
      <c r="AB40" t="n">
        <v>23</v>
      </c>
      <c r="AC40" t="n">
        <v>65.2</v>
      </c>
      <c r="AD40" t="n">
        <v>2.66</v>
      </c>
      <c r="AE40" t="n">
        <v>0</v>
      </c>
      <c r="AF40" t="n">
        <v>0</v>
      </c>
      <c r="AG40" t="n">
        <v>0</v>
      </c>
      <c r="AH40" t="n">
        <v>5.48</v>
      </c>
      <c r="AI40" t="n">
        <v>70.68000000000001</v>
      </c>
      <c r="AJ40" t="n">
        <v>12.73</v>
      </c>
      <c r="AK40" t="n">
        <v>0</v>
      </c>
      <c r="AL40" t="n">
        <v>283.5</v>
      </c>
      <c r="AM40" t="n">
        <v>0</v>
      </c>
      <c r="AN40" t="n">
        <v>0</v>
      </c>
      <c r="AO40" t="n">
        <v>0.28</v>
      </c>
      <c r="AP40" t="n">
        <v>14.18</v>
      </c>
      <c r="AQ40" t="n">
        <v>0</v>
      </c>
      <c r="AR40" t="n">
        <v>27.19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97.87</v>
      </c>
      <c r="BC40" t="n">
        <v>0</v>
      </c>
      <c r="BD40" t="n">
        <v>199.81</v>
      </c>
      <c r="BE40" t="inlineStr">
        <is>
          <t>settled</t>
        </is>
      </c>
      <c r="BF40" t="inlineStr">
        <is>
          <t>2025-12-24 05:30:00</t>
        </is>
      </c>
      <c r="BG40" t="inlineStr">
        <is>
          <t>CITIN25674376566</t>
        </is>
      </c>
      <c r="BH40" t="n">
        <v>0</v>
      </c>
      <c r="BI40" t="inlineStr">
        <is>
          <t>88c15224e1c5ab7bfe74190485a6e673c46db9ba489a5a59f96038c759080cc6</t>
        </is>
      </c>
    </row>
    <row r="41">
      <c r="A41" t="inlineStr">
        <is>
          <t>36</t>
        </is>
      </c>
      <c r="B41" t="inlineStr">
        <is>
          <t>7593768715</t>
        </is>
      </c>
      <c r="C41" t="inlineStr">
        <is>
          <t>2025-12-17 21:48:11</t>
        </is>
      </c>
      <c r="D41" t="inlineStr">
        <is>
          <t>51</t>
        </is>
      </c>
      <c r="E41" t="inlineStr">
        <is>
          <t>Baba Yaga Art Of Chinese - By Posh Foods</t>
        </is>
      </c>
      <c r="F41" t="inlineStr">
        <is>
          <t>20037890</t>
        </is>
      </c>
      <c r="G41" t="inlineStr">
        <is>
          <t>NA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9</t>
        </is>
      </c>
      <c r="O41" t="n">
        <v>590</v>
      </c>
      <c r="P41" t="n">
        <v>0</v>
      </c>
      <c r="Q41" t="n">
        <v>0</v>
      </c>
      <c r="R41" t="n">
        <v>0</v>
      </c>
      <c r="S41" t="n">
        <v>59</v>
      </c>
      <c r="T41" t="n">
        <v>0</v>
      </c>
      <c r="U41" t="n">
        <v>0</v>
      </c>
      <c r="V41" t="n">
        <v>26.55</v>
      </c>
      <c r="W41" t="n">
        <v>557.55</v>
      </c>
      <c r="X41" t="n">
        <v>531</v>
      </c>
      <c r="Y41" t="n">
        <v>0</v>
      </c>
      <c r="Z41" t="n">
        <v>0</v>
      </c>
      <c r="AA41" t="n">
        <v>531</v>
      </c>
      <c r="AB41" t="n">
        <v>23</v>
      </c>
      <c r="AC41" t="n">
        <v>122.13</v>
      </c>
      <c r="AD41" t="n">
        <v>5.71</v>
      </c>
      <c r="AE41" t="n">
        <v>20</v>
      </c>
      <c r="AF41" t="n">
        <v>0</v>
      </c>
      <c r="AG41" t="n">
        <v>0</v>
      </c>
      <c r="AH41" t="n">
        <v>10.26</v>
      </c>
      <c r="AI41" t="n">
        <v>152.39</v>
      </c>
      <c r="AJ41" t="n">
        <v>27.43</v>
      </c>
      <c r="AK41" t="n">
        <v>0</v>
      </c>
      <c r="AL41" t="n">
        <v>531</v>
      </c>
      <c r="AM41" t="n">
        <v>0</v>
      </c>
      <c r="AN41" t="n">
        <v>0</v>
      </c>
      <c r="AO41" t="n">
        <v>0.53</v>
      </c>
      <c r="AP41" t="n">
        <v>26.55</v>
      </c>
      <c r="AQ41" t="n">
        <v>0</v>
      </c>
      <c r="AR41" t="n">
        <v>54.51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206.9</v>
      </c>
      <c r="BC41" t="n">
        <v>0</v>
      </c>
      <c r="BD41" t="n">
        <v>350.65</v>
      </c>
      <c r="BE41" t="inlineStr">
        <is>
          <t>settled</t>
        </is>
      </c>
      <c r="BF41" t="inlineStr">
        <is>
          <t>2025-12-24 05:30:00</t>
        </is>
      </c>
      <c r="BG41" t="inlineStr">
        <is>
          <t>CITIN25674376566</t>
        </is>
      </c>
      <c r="BH41" t="n">
        <v>0</v>
      </c>
      <c r="BI41" t="inlineStr">
        <is>
          <t>6f7939e78e1ce07fd783325951497bfa52dd4b6dbf24b11a7d2de5b5890374c1</t>
        </is>
      </c>
    </row>
    <row r="42">
      <c r="A42" t="inlineStr">
        <is>
          <t>37</t>
        </is>
      </c>
      <c r="B42" t="inlineStr">
        <is>
          <t>7589548551</t>
        </is>
      </c>
      <c r="C42" t="inlineStr">
        <is>
          <t>2025-12-17 22:13:05</t>
        </is>
      </c>
      <c r="D42" t="inlineStr">
        <is>
          <t>51</t>
        </is>
      </c>
      <c r="E42" t="inlineStr">
        <is>
          <t>Baba Yaga Art Of Chinese - By Posh Foods</t>
        </is>
      </c>
      <c r="F42" t="inlineStr">
        <is>
          <t>20037890</t>
        </is>
      </c>
      <c r="G42" t="inlineStr">
        <is>
          <t>Flat ₹100 off (2025-12-08 - 2031-01-01)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9</t>
        </is>
      </c>
      <c r="O42" t="n">
        <v>315</v>
      </c>
      <c r="P42" t="n">
        <v>0</v>
      </c>
      <c r="Q42" t="n">
        <v>0</v>
      </c>
      <c r="R42" t="n">
        <v>70</v>
      </c>
      <c r="S42" t="n">
        <v>21.5</v>
      </c>
      <c r="T42" t="n">
        <v>0</v>
      </c>
      <c r="U42" t="n">
        <v>0</v>
      </c>
      <c r="V42" t="n">
        <v>11.18</v>
      </c>
      <c r="W42" t="n">
        <v>234.68</v>
      </c>
      <c r="X42" t="n">
        <v>223.5</v>
      </c>
      <c r="Y42" t="n">
        <v>0</v>
      </c>
      <c r="Z42" t="n">
        <v>0</v>
      </c>
      <c r="AA42" t="n">
        <v>223.5</v>
      </c>
      <c r="AB42" t="n">
        <v>23</v>
      </c>
      <c r="AC42" t="n">
        <v>51.4</v>
      </c>
      <c r="AD42" t="n">
        <v>4.23</v>
      </c>
      <c r="AE42" t="n">
        <v>20</v>
      </c>
      <c r="AF42" t="n">
        <v>0</v>
      </c>
      <c r="AG42" t="n">
        <v>4.35</v>
      </c>
      <c r="AH42" t="n">
        <v>4.32</v>
      </c>
      <c r="AI42" t="n">
        <v>71.37</v>
      </c>
      <c r="AJ42" t="n">
        <v>12.85</v>
      </c>
      <c r="AK42" t="n">
        <v>0</v>
      </c>
      <c r="AL42" t="n">
        <v>223.5</v>
      </c>
      <c r="AM42" t="n">
        <v>0</v>
      </c>
      <c r="AN42" t="n">
        <v>0</v>
      </c>
      <c r="AO42" t="n">
        <v>0.22</v>
      </c>
      <c r="AP42" t="n">
        <v>11.18</v>
      </c>
      <c r="AQ42" t="n">
        <v>0</v>
      </c>
      <c r="AR42" t="n">
        <v>24.25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26.37</v>
      </c>
      <c r="AY42" t="n">
        <v>0</v>
      </c>
      <c r="AZ42" t="n">
        <v>0</v>
      </c>
      <c r="BA42" t="n">
        <v>26.37</v>
      </c>
      <c r="BB42" t="n">
        <v>121.99</v>
      </c>
      <c r="BC42" t="n">
        <v>0</v>
      </c>
      <c r="BD42" t="n">
        <v>112.69</v>
      </c>
      <c r="BE42" t="inlineStr">
        <is>
          <t>settled</t>
        </is>
      </c>
      <c r="BF42" t="inlineStr">
        <is>
          <t>2025-12-24 05:30:00</t>
        </is>
      </c>
      <c r="BG42" t="inlineStr">
        <is>
          <t>CITIN25674376566</t>
        </is>
      </c>
      <c r="BH42" t="n">
        <v>0</v>
      </c>
      <c r="BI42" t="inlineStr">
        <is>
          <t>babf7484ae5e5545619f47969f3ebeb842e8a9646a5d00a8341d0d87c597198b</t>
        </is>
      </c>
    </row>
    <row r="43">
      <c r="A43" t="inlineStr">
        <is>
          <t>38</t>
        </is>
      </c>
      <c r="B43" t="inlineStr">
        <is>
          <t>7591035883</t>
        </is>
      </c>
      <c r="C43" t="inlineStr">
        <is>
          <t>2025-12-17 23:05:06</t>
        </is>
      </c>
      <c r="D43" t="inlineStr">
        <is>
          <t>51</t>
        </is>
      </c>
      <c r="E43" t="inlineStr">
        <is>
          <t>Baba Yaga Art Of Chinese - By Posh Foods</t>
        </is>
      </c>
      <c r="F43" t="inlineStr">
        <is>
          <t>20037890</t>
        </is>
      </c>
      <c r="G43" t="inlineStr">
        <is>
          <t>Flat ₹150 off (2025-12-08 - 2031-01-01)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9</t>
        </is>
      </c>
      <c r="O43" t="n">
        <v>630</v>
      </c>
      <c r="P43" t="n">
        <v>0</v>
      </c>
      <c r="Q43" t="n">
        <v>0</v>
      </c>
      <c r="R43" t="n">
        <v>105</v>
      </c>
      <c r="S43" t="n">
        <v>48</v>
      </c>
      <c r="T43" t="n">
        <v>0</v>
      </c>
      <c r="U43" t="n">
        <v>0</v>
      </c>
      <c r="V43" t="n">
        <v>23.85</v>
      </c>
      <c r="W43" t="n">
        <v>500.85</v>
      </c>
      <c r="X43" t="n">
        <v>477</v>
      </c>
      <c r="Y43" t="n">
        <v>0</v>
      </c>
      <c r="Z43" t="n">
        <v>0</v>
      </c>
      <c r="AA43" t="n">
        <v>477</v>
      </c>
      <c r="AB43" t="n">
        <v>23</v>
      </c>
      <c r="AC43" t="n">
        <v>109.71</v>
      </c>
      <c r="AD43" t="n">
        <v>3.32</v>
      </c>
      <c r="AE43" t="n">
        <v>0</v>
      </c>
      <c r="AF43" t="n">
        <v>0</v>
      </c>
      <c r="AG43" t="n">
        <v>0</v>
      </c>
      <c r="AH43" t="n">
        <v>9.220000000000001</v>
      </c>
      <c r="AI43" t="n">
        <v>118.93</v>
      </c>
      <c r="AJ43" t="n">
        <v>21.41</v>
      </c>
      <c r="AK43" t="n">
        <v>0</v>
      </c>
      <c r="AL43" t="n">
        <v>477</v>
      </c>
      <c r="AM43" t="n">
        <v>0</v>
      </c>
      <c r="AN43" t="n">
        <v>0</v>
      </c>
      <c r="AO43" t="n">
        <v>0.48</v>
      </c>
      <c r="AP43" t="n">
        <v>23.85</v>
      </c>
      <c r="AQ43" t="n">
        <v>0</v>
      </c>
      <c r="AR43" t="n">
        <v>45.74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164.67</v>
      </c>
      <c r="BC43" t="n">
        <v>0</v>
      </c>
      <c r="BD43" t="n">
        <v>336.18</v>
      </c>
      <c r="BE43" t="inlineStr">
        <is>
          <t>settled</t>
        </is>
      </c>
      <c r="BF43" t="inlineStr">
        <is>
          <t>2025-12-24 05:30:00</t>
        </is>
      </c>
      <c r="BG43" t="inlineStr">
        <is>
          <t>CITIN25674376566</t>
        </is>
      </c>
      <c r="BH43" t="n">
        <v>0</v>
      </c>
      <c r="BI43" t="inlineStr">
        <is>
          <t>4e6f5a3aa6e850437798ff0ecc500f9bca02fff28b6a24bccc6501f5c501c906</t>
        </is>
      </c>
    </row>
    <row r="44">
      <c r="A44" t="inlineStr">
        <is>
          <t>39</t>
        </is>
      </c>
      <c r="B44" t="inlineStr">
        <is>
          <t>7593572696</t>
        </is>
      </c>
      <c r="C44" t="inlineStr">
        <is>
          <t>2025-12-17 23:35:58</t>
        </is>
      </c>
      <c r="D44" t="inlineStr">
        <is>
          <t>51</t>
        </is>
      </c>
      <c r="E44" t="inlineStr">
        <is>
          <t>Baba Yaga Art Of Chinese - By Posh Foods</t>
        </is>
      </c>
      <c r="F44" t="inlineStr">
        <is>
          <t>20037890</t>
        </is>
      </c>
      <c r="G44" t="inlineStr">
        <is>
          <t>Flat ₹125 off (2025-12-08 - 2031-01-01)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9</t>
        </is>
      </c>
      <c r="O44" t="n">
        <v>365</v>
      </c>
      <c r="P44" t="n">
        <v>0</v>
      </c>
      <c r="Q44" t="n">
        <v>0</v>
      </c>
      <c r="R44" t="n">
        <v>87</v>
      </c>
      <c r="S44" t="n">
        <v>24</v>
      </c>
      <c r="T44" t="n">
        <v>0</v>
      </c>
      <c r="U44" t="n">
        <v>0</v>
      </c>
      <c r="V44" t="n">
        <v>12.7</v>
      </c>
      <c r="W44" t="n">
        <v>266.7</v>
      </c>
      <c r="X44" t="n">
        <v>254</v>
      </c>
      <c r="Y44" t="n">
        <v>0</v>
      </c>
      <c r="Z44" t="n">
        <v>0</v>
      </c>
      <c r="AA44" t="n">
        <v>254</v>
      </c>
      <c r="AB44" t="n">
        <v>23</v>
      </c>
      <c r="AC44" t="n">
        <v>58.42</v>
      </c>
      <c r="AD44" t="n">
        <v>6.25</v>
      </c>
      <c r="AE44" t="n">
        <v>40</v>
      </c>
      <c r="AF44" t="n">
        <v>0</v>
      </c>
      <c r="AG44" t="n">
        <v>22.22</v>
      </c>
      <c r="AH44" t="n">
        <v>4.91</v>
      </c>
      <c r="AI44" t="n">
        <v>81.11</v>
      </c>
      <c r="AJ44" t="n">
        <v>14.6</v>
      </c>
      <c r="AK44" t="n">
        <v>0</v>
      </c>
      <c r="AL44" t="n">
        <v>254</v>
      </c>
      <c r="AM44" t="n">
        <v>0</v>
      </c>
      <c r="AN44" t="n">
        <v>0</v>
      </c>
      <c r="AO44" t="n">
        <v>0.25</v>
      </c>
      <c r="AP44" t="n">
        <v>12.7</v>
      </c>
      <c r="AQ44" t="n">
        <v>0</v>
      </c>
      <c r="AR44" t="n">
        <v>27.55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108.66</v>
      </c>
      <c r="BC44" t="n">
        <v>0</v>
      </c>
      <c r="BD44" t="n">
        <v>158.04</v>
      </c>
      <c r="BE44" t="inlineStr">
        <is>
          <t>settled</t>
        </is>
      </c>
      <c r="BF44" t="inlineStr">
        <is>
          <t>2025-12-24 05:30:00</t>
        </is>
      </c>
      <c r="BG44" t="inlineStr">
        <is>
          <t>CITIN25674376566</t>
        </is>
      </c>
      <c r="BH44" t="n">
        <v>0</v>
      </c>
      <c r="BI44" t="inlineStr">
        <is>
          <t>d2ff48b52fc21514f06283a7cce58429653b0f1a5a4023d4045baac9c23b5394</t>
        </is>
      </c>
    </row>
    <row r="45">
      <c r="A45" t="inlineStr">
        <is>
          <t>40</t>
        </is>
      </c>
      <c r="B45" t="inlineStr">
        <is>
          <t>7593230426</t>
        </is>
      </c>
      <c r="C45" t="inlineStr">
        <is>
          <t>2025-12-17 23:47:13</t>
        </is>
      </c>
      <c r="D45" t="inlineStr">
        <is>
          <t>51</t>
        </is>
      </c>
      <c r="E45" t="inlineStr">
        <is>
          <t>Baba Yaga Art Of Chinese - By Posh Foods</t>
        </is>
      </c>
      <c r="F45" t="inlineStr">
        <is>
          <t>20037890</t>
        </is>
      </c>
      <c r="G45" t="inlineStr">
        <is>
          <t>Flat ₹100 off (2025-12-08 - 2031-01-01)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9</t>
        </is>
      </c>
      <c r="O45" t="n">
        <v>265</v>
      </c>
      <c r="P45" t="n">
        <v>0</v>
      </c>
      <c r="Q45" t="n">
        <v>0</v>
      </c>
      <c r="R45" t="n">
        <v>70</v>
      </c>
      <c r="S45" t="n">
        <v>0</v>
      </c>
      <c r="T45" t="n">
        <v>0</v>
      </c>
      <c r="U45" t="n">
        <v>0</v>
      </c>
      <c r="V45" t="n">
        <v>9.75</v>
      </c>
      <c r="W45" t="n">
        <v>204.75</v>
      </c>
      <c r="X45" t="n">
        <v>195</v>
      </c>
      <c r="Y45" t="n">
        <v>0</v>
      </c>
      <c r="Z45" t="n">
        <v>0</v>
      </c>
      <c r="AA45" t="n">
        <v>195</v>
      </c>
      <c r="AB45" t="n">
        <v>23</v>
      </c>
      <c r="AC45" t="n">
        <v>44.85</v>
      </c>
      <c r="AD45" t="n">
        <v>2.47</v>
      </c>
      <c r="AE45" t="n">
        <v>0</v>
      </c>
      <c r="AF45" t="n">
        <v>0</v>
      </c>
      <c r="AG45" t="n">
        <v>0</v>
      </c>
      <c r="AH45" t="n">
        <v>3.77</v>
      </c>
      <c r="AI45" t="n">
        <v>48.62</v>
      </c>
      <c r="AJ45" t="n">
        <v>8.75</v>
      </c>
      <c r="AK45" t="n">
        <v>0</v>
      </c>
      <c r="AL45" t="n">
        <v>195</v>
      </c>
      <c r="AM45" t="n">
        <v>0</v>
      </c>
      <c r="AN45" t="n">
        <v>0</v>
      </c>
      <c r="AO45" t="n">
        <v>0.2</v>
      </c>
      <c r="AP45" t="n">
        <v>9.75</v>
      </c>
      <c r="AQ45" t="n">
        <v>0</v>
      </c>
      <c r="AR45" t="n">
        <v>18.7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23.01</v>
      </c>
      <c r="AY45" t="n">
        <v>0</v>
      </c>
      <c r="AZ45" t="n">
        <v>0</v>
      </c>
      <c r="BA45" t="n">
        <v>23.01</v>
      </c>
      <c r="BB45" t="n">
        <v>90.33</v>
      </c>
      <c r="BC45" t="n">
        <v>0</v>
      </c>
      <c r="BD45" t="n">
        <v>114.42</v>
      </c>
      <c r="BE45" t="inlineStr">
        <is>
          <t>settled</t>
        </is>
      </c>
      <c r="BF45" t="inlineStr">
        <is>
          <t>2025-12-24 05:30:00</t>
        </is>
      </c>
      <c r="BG45" t="inlineStr">
        <is>
          <t>CITIN25674376566</t>
        </is>
      </c>
      <c r="BH45" t="n">
        <v>0</v>
      </c>
      <c r="BI45" t="inlineStr">
        <is>
          <t>ec7ca8ee4a01671f9c62c6b9cdddd69f8ebe523db0025eecf9c446b24b207ff7</t>
        </is>
      </c>
    </row>
    <row r="46">
      <c r="A46" t="inlineStr">
        <is>
          <t>41</t>
        </is>
      </c>
      <c r="B46" t="inlineStr">
        <is>
          <t>7595177998</t>
        </is>
      </c>
      <c r="C46" t="inlineStr">
        <is>
          <t>2025-12-18 13:42:19</t>
        </is>
      </c>
      <c r="D46" t="inlineStr">
        <is>
          <t>51</t>
        </is>
      </c>
      <c r="E46" t="inlineStr">
        <is>
          <t>Baba Yaga Art Of Chinese - By Posh Foods</t>
        </is>
      </c>
      <c r="F46" t="inlineStr">
        <is>
          <t>20037890</t>
        </is>
      </c>
      <c r="G46" t="inlineStr">
        <is>
          <t>Flat ₹80 off (2025-12-08 - 2031-01-01)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9</t>
        </is>
      </c>
      <c r="O46" t="n">
        <v>325</v>
      </c>
      <c r="P46" t="n">
        <v>0</v>
      </c>
      <c r="Q46" t="n">
        <v>0</v>
      </c>
      <c r="R46" t="n">
        <v>56</v>
      </c>
      <c r="S46" t="n">
        <v>20</v>
      </c>
      <c r="T46" t="n">
        <v>0</v>
      </c>
      <c r="U46" t="n">
        <v>0</v>
      </c>
      <c r="V46" t="n">
        <v>12.45</v>
      </c>
      <c r="W46" t="n">
        <v>261.45</v>
      </c>
      <c r="X46" t="n">
        <v>249</v>
      </c>
      <c r="Y46" t="n">
        <v>0</v>
      </c>
      <c r="Z46" t="n">
        <v>0</v>
      </c>
      <c r="AA46" t="n">
        <v>249</v>
      </c>
      <c r="AB46" t="n">
        <v>23</v>
      </c>
      <c r="AC46" t="n">
        <v>57.27</v>
      </c>
      <c r="AD46" t="n">
        <v>3.51</v>
      </c>
      <c r="AE46" t="n">
        <v>0</v>
      </c>
      <c r="AF46" t="n">
        <v>0</v>
      </c>
      <c r="AG46" t="n">
        <v>0</v>
      </c>
      <c r="AH46" t="n">
        <v>4.81</v>
      </c>
      <c r="AI46" t="n">
        <v>62.08</v>
      </c>
      <c r="AJ46" t="n">
        <v>11.18</v>
      </c>
      <c r="AK46" t="n">
        <v>0</v>
      </c>
      <c r="AL46" t="n">
        <v>249</v>
      </c>
      <c r="AM46" t="n">
        <v>0</v>
      </c>
      <c r="AN46" t="n">
        <v>0</v>
      </c>
      <c r="AO46" t="n">
        <v>0.25</v>
      </c>
      <c r="AP46" t="n">
        <v>12.45</v>
      </c>
      <c r="AQ46" t="n">
        <v>0</v>
      </c>
      <c r="AR46" t="n">
        <v>23.88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29.38</v>
      </c>
      <c r="AY46" t="n">
        <v>0</v>
      </c>
      <c r="AZ46" t="n">
        <v>0</v>
      </c>
      <c r="BA46" t="n">
        <v>29.38</v>
      </c>
      <c r="BB46" t="n">
        <v>115.34</v>
      </c>
      <c r="BC46" t="n">
        <v>0</v>
      </c>
      <c r="BD46" t="n">
        <v>146.11</v>
      </c>
      <c r="BE46" t="inlineStr">
        <is>
          <t>settled</t>
        </is>
      </c>
      <c r="BF46" t="inlineStr">
        <is>
          <t>2025-12-24 05:30:00</t>
        </is>
      </c>
      <c r="BG46" t="inlineStr">
        <is>
          <t>CITIN25674376566</t>
        </is>
      </c>
      <c r="BH46" t="n">
        <v>0</v>
      </c>
      <c r="BI46" t="inlineStr">
        <is>
          <t>1a2d1d09991e61c3ce4b27e90caeece6bb0c04247d8fb2f504a1488aec0846a1</t>
        </is>
      </c>
    </row>
    <row r="47">
      <c r="A47" t="inlineStr">
        <is>
          <t>42</t>
        </is>
      </c>
      <c r="B47" t="inlineStr">
        <is>
          <t>7582622641</t>
        </is>
      </c>
      <c r="C47" t="inlineStr">
        <is>
          <t>2025-12-18 16:58:33</t>
        </is>
      </c>
      <c r="D47" t="inlineStr">
        <is>
          <t>51</t>
        </is>
      </c>
      <c r="E47" t="inlineStr">
        <is>
          <t>Baba Yaga Art Of Chinese - By Posh Foods</t>
        </is>
      </c>
      <c r="F47" t="inlineStr">
        <is>
          <t>20037890</t>
        </is>
      </c>
      <c r="G47" t="inlineStr">
        <is>
          <t>Flat ₹100 off (2025-12-08 - 2031-01-01)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9</t>
        </is>
      </c>
      <c r="O47" t="n">
        <v>265</v>
      </c>
      <c r="P47" t="n">
        <v>0</v>
      </c>
      <c r="Q47" t="n">
        <v>0</v>
      </c>
      <c r="R47" t="n">
        <v>70</v>
      </c>
      <c r="S47" t="n">
        <v>0</v>
      </c>
      <c r="T47" t="n">
        <v>0</v>
      </c>
      <c r="U47" t="n">
        <v>0</v>
      </c>
      <c r="V47" t="n">
        <v>9.75</v>
      </c>
      <c r="W47" t="n">
        <v>204.75</v>
      </c>
      <c r="X47" t="n">
        <v>195</v>
      </c>
      <c r="Y47" t="n">
        <v>0</v>
      </c>
      <c r="Z47" t="n">
        <v>0</v>
      </c>
      <c r="AA47" t="n">
        <v>195</v>
      </c>
      <c r="AB47" t="n">
        <v>23</v>
      </c>
      <c r="AC47" t="n">
        <v>44.85</v>
      </c>
      <c r="AD47" t="n">
        <v>4.9</v>
      </c>
      <c r="AE47" t="n">
        <v>20</v>
      </c>
      <c r="AF47" t="n">
        <v>0</v>
      </c>
      <c r="AG47" t="n">
        <v>6.35</v>
      </c>
      <c r="AH47" t="n">
        <v>3.77</v>
      </c>
      <c r="AI47" t="n">
        <v>62.27</v>
      </c>
      <c r="AJ47" t="n">
        <v>11.21</v>
      </c>
      <c r="AK47" t="n">
        <v>0</v>
      </c>
      <c r="AL47" t="n">
        <v>195</v>
      </c>
      <c r="AM47" t="n">
        <v>0</v>
      </c>
      <c r="AN47" t="n">
        <v>0</v>
      </c>
      <c r="AO47" t="n">
        <v>0.2</v>
      </c>
      <c r="AP47" t="n">
        <v>9.75</v>
      </c>
      <c r="AQ47" t="n">
        <v>0</v>
      </c>
      <c r="AR47" t="n">
        <v>21.16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83.43000000000001</v>
      </c>
      <c r="BC47" t="n">
        <v>0</v>
      </c>
      <c r="BD47" t="n">
        <v>121.32</v>
      </c>
      <c r="BE47" t="inlineStr">
        <is>
          <t>settled</t>
        </is>
      </c>
      <c r="BF47" t="inlineStr">
        <is>
          <t>2025-12-24 05:30:00</t>
        </is>
      </c>
      <c r="BG47" t="inlineStr">
        <is>
          <t>CITIN25674376566</t>
        </is>
      </c>
      <c r="BH47" t="n">
        <v>0</v>
      </c>
      <c r="BI47" t="inlineStr">
        <is>
          <t>0f6d47a2b759b13272cdd1b9e75399d9b6896dbac94acc27197917d7e5ba6fd9</t>
        </is>
      </c>
    </row>
    <row r="48">
      <c r="A48" t="inlineStr">
        <is>
          <t>43</t>
        </is>
      </c>
      <c r="B48" t="inlineStr">
        <is>
          <t>7593373806</t>
        </is>
      </c>
      <c r="C48" t="inlineStr">
        <is>
          <t>2025-12-18 17:14:03</t>
        </is>
      </c>
      <c r="D48" t="inlineStr">
        <is>
          <t>51</t>
        </is>
      </c>
      <c r="E48" t="inlineStr">
        <is>
          <t>Baba Yaga Art Of Chinese - By Posh Foods</t>
        </is>
      </c>
      <c r="F48" t="inlineStr">
        <is>
          <t>20037890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9</t>
        </is>
      </c>
      <c r="O48" t="n">
        <v>315</v>
      </c>
      <c r="P48" t="n">
        <v>0</v>
      </c>
      <c r="Q48" t="n">
        <v>0</v>
      </c>
      <c r="R48" t="n">
        <v>0</v>
      </c>
      <c r="S48" t="n">
        <v>31.5</v>
      </c>
      <c r="T48" t="n">
        <v>0</v>
      </c>
      <c r="U48" t="n">
        <v>0</v>
      </c>
      <c r="V48" t="n">
        <v>14.18</v>
      </c>
      <c r="W48" t="n">
        <v>297.68</v>
      </c>
      <c r="X48" t="n">
        <v>283.5</v>
      </c>
      <c r="Y48" t="n">
        <v>0</v>
      </c>
      <c r="Z48" t="n">
        <v>0</v>
      </c>
      <c r="AA48" t="n">
        <v>283.5</v>
      </c>
      <c r="AB48" t="n">
        <v>23</v>
      </c>
      <c r="AC48" t="n">
        <v>65.2</v>
      </c>
      <c r="AD48" t="n">
        <v>6.3</v>
      </c>
      <c r="AE48" t="n">
        <v>40</v>
      </c>
      <c r="AF48" t="n">
        <v>0</v>
      </c>
      <c r="AG48" t="n">
        <v>20.15</v>
      </c>
      <c r="AH48" t="n">
        <v>5.48</v>
      </c>
      <c r="AI48" t="n">
        <v>90.53</v>
      </c>
      <c r="AJ48" t="n">
        <v>16.3</v>
      </c>
      <c r="AK48" t="n">
        <v>0</v>
      </c>
      <c r="AL48" t="n">
        <v>283.5</v>
      </c>
      <c r="AM48" t="n">
        <v>0</v>
      </c>
      <c r="AN48" t="n">
        <v>0</v>
      </c>
      <c r="AO48" t="n">
        <v>0.28</v>
      </c>
      <c r="AP48" t="n">
        <v>14.18</v>
      </c>
      <c r="AQ48" t="n">
        <v>0</v>
      </c>
      <c r="AR48" t="n">
        <v>30.76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121.29</v>
      </c>
      <c r="BC48" t="n">
        <v>0</v>
      </c>
      <c r="BD48" t="n">
        <v>176.39</v>
      </c>
      <c r="BE48" t="inlineStr">
        <is>
          <t>settled</t>
        </is>
      </c>
      <c r="BF48" t="inlineStr">
        <is>
          <t>2025-12-24 05:30:00</t>
        </is>
      </c>
      <c r="BG48" t="inlineStr">
        <is>
          <t>CITIN25674376566</t>
        </is>
      </c>
      <c r="BH48" t="n">
        <v>0</v>
      </c>
      <c r="BI48" t="inlineStr">
        <is>
          <t>712bcbdc4a2a98551118c94aab7745636b0e68823969905ccb42454a1f6411bf</t>
        </is>
      </c>
    </row>
    <row r="49">
      <c r="A49" t="inlineStr">
        <is>
          <t>44</t>
        </is>
      </c>
      <c r="B49" t="inlineStr">
        <is>
          <t>7596136111</t>
        </is>
      </c>
      <c r="C49" t="inlineStr">
        <is>
          <t>2025-12-18 19:54:27</t>
        </is>
      </c>
      <c r="D49" t="inlineStr">
        <is>
          <t>51</t>
        </is>
      </c>
      <c r="E49" t="inlineStr">
        <is>
          <t>Baba Yaga Art Of Chinese - By Posh Foods</t>
        </is>
      </c>
      <c r="F49" t="inlineStr">
        <is>
          <t>20037890</t>
        </is>
      </c>
      <c r="G49" t="inlineStr">
        <is>
          <t>Flat ₹80 off (2025-12-08 - 2031-01-01)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9</t>
        </is>
      </c>
      <c r="O49" t="n">
        <v>315</v>
      </c>
      <c r="P49" t="n">
        <v>0</v>
      </c>
      <c r="Q49" t="n">
        <v>0</v>
      </c>
      <c r="R49" t="n">
        <v>80</v>
      </c>
      <c r="S49" t="n">
        <v>23.5</v>
      </c>
      <c r="T49" t="n">
        <v>0</v>
      </c>
      <c r="U49" t="n">
        <v>0</v>
      </c>
      <c r="V49" t="n">
        <v>10.58</v>
      </c>
      <c r="W49" t="n">
        <v>222.08</v>
      </c>
      <c r="X49" t="n">
        <v>211.5</v>
      </c>
      <c r="Y49" t="n">
        <v>0</v>
      </c>
      <c r="Z49" t="n">
        <v>0</v>
      </c>
      <c r="AA49" t="n">
        <v>211.5</v>
      </c>
      <c r="AB49" t="n">
        <v>23</v>
      </c>
      <c r="AC49" t="n">
        <v>48.64</v>
      </c>
      <c r="AD49" t="n">
        <v>3.52</v>
      </c>
      <c r="AE49" t="n">
        <v>0</v>
      </c>
      <c r="AF49" t="n">
        <v>0</v>
      </c>
      <c r="AG49" t="n">
        <v>0</v>
      </c>
      <c r="AH49" t="n">
        <v>4.09</v>
      </c>
      <c r="AI49" t="n">
        <v>52.73</v>
      </c>
      <c r="AJ49" t="n">
        <v>9.5</v>
      </c>
      <c r="AK49" t="n">
        <v>0</v>
      </c>
      <c r="AL49" t="n">
        <v>211.5</v>
      </c>
      <c r="AM49" t="n">
        <v>0</v>
      </c>
      <c r="AN49" t="n">
        <v>0</v>
      </c>
      <c r="AO49" t="n">
        <v>0.21</v>
      </c>
      <c r="AP49" t="n">
        <v>10.58</v>
      </c>
      <c r="AQ49" t="n">
        <v>0</v>
      </c>
      <c r="AR49" t="n">
        <v>20.29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73.02</v>
      </c>
      <c r="BC49" t="n">
        <v>0</v>
      </c>
      <c r="BD49" t="n">
        <v>149.06</v>
      </c>
      <c r="BE49" t="inlineStr">
        <is>
          <t>settled</t>
        </is>
      </c>
      <c r="BF49" t="inlineStr">
        <is>
          <t>2025-12-24 05:30:00</t>
        </is>
      </c>
      <c r="BG49" t="inlineStr">
        <is>
          <t>CITIN25674376566</t>
        </is>
      </c>
      <c r="BH49" t="n">
        <v>0</v>
      </c>
      <c r="BI49" t="inlineStr">
        <is>
          <t>d1a7a3e9ee16df21f64a9da97e8a1b8da8b3a6287cfa286c6eed7367ca15a2f0</t>
        </is>
      </c>
    </row>
    <row r="50">
      <c r="A50" t="inlineStr">
        <is>
          <t>45</t>
        </is>
      </c>
      <c r="B50" t="inlineStr">
        <is>
          <t>7596655911</t>
        </is>
      </c>
      <c r="C50" t="inlineStr">
        <is>
          <t>2025-12-18 20:36:42</t>
        </is>
      </c>
      <c r="D50" t="inlineStr">
        <is>
          <t>51</t>
        </is>
      </c>
      <c r="E50" t="inlineStr">
        <is>
          <t>Baba Yaga Art Of Chinese - By Posh Foods</t>
        </is>
      </c>
      <c r="F50" t="inlineStr">
        <is>
          <t>20037890</t>
        </is>
      </c>
      <c r="G50" t="inlineStr">
        <is>
          <t>Flat ₹100 off (2025-12-08 - 2031-01-01)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9</t>
        </is>
      </c>
      <c r="O50" t="n">
        <v>265</v>
      </c>
      <c r="P50" t="n">
        <v>0</v>
      </c>
      <c r="Q50" t="n">
        <v>0</v>
      </c>
      <c r="R50" t="n">
        <v>70</v>
      </c>
      <c r="S50" t="n">
        <v>0</v>
      </c>
      <c r="T50" t="n">
        <v>0</v>
      </c>
      <c r="U50" t="n">
        <v>0</v>
      </c>
      <c r="V50" t="n">
        <v>9.75</v>
      </c>
      <c r="W50" t="n">
        <v>204.75</v>
      </c>
      <c r="X50" t="n">
        <v>195</v>
      </c>
      <c r="Y50" t="n">
        <v>0</v>
      </c>
      <c r="Z50" t="n">
        <v>0</v>
      </c>
      <c r="AA50" t="n">
        <v>195</v>
      </c>
      <c r="AB50" t="n">
        <v>23</v>
      </c>
      <c r="AC50" t="n">
        <v>44.85</v>
      </c>
      <c r="AD50" t="n">
        <v>2.43</v>
      </c>
      <c r="AE50" t="n">
        <v>0</v>
      </c>
      <c r="AF50" t="n">
        <v>0</v>
      </c>
      <c r="AG50" t="n">
        <v>0</v>
      </c>
      <c r="AH50" t="n">
        <v>3.77</v>
      </c>
      <c r="AI50" t="n">
        <v>48.62</v>
      </c>
      <c r="AJ50" t="n">
        <v>8.75</v>
      </c>
      <c r="AK50" t="n">
        <v>0</v>
      </c>
      <c r="AL50" t="n">
        <v>195</v>
      </c>
      <c r="AM50" t="n">
        <v>0</v>
      </c>
      <c r="AN50" t="n">
        <v>0</v>
      </c>
      <c r="AO50" t="n">
        <v>0.2</v>
      </c>
      <c r="AP50" t="n">
        <v>9.75</v>
      </c>
      <c r="AQ50" t="n">
        <v>0</v>
      </c>
      <c r="AR50" t="n">
        <v>18.7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67.31999999999999</v>
      </c>
      <c r="BC50" t="n">
        <v>0</v>
      </c>
      <c r="BD50" t="n">
        <v>137.43</v>
      </c>
      <c r="BE50" t="inlineStr">
        <is>
          <t>settled</t>
        </is>
      </c>
      <c r="BF50" t="inlineStr">
        <is>
          <t>2025-12-24 05:30:00</t>
        </is>
      </c>
      <c r="BG50" t="inlineStr">
        <is>
          <t>CITIN25674376566</t>
        </is>
      </c>
      <c r="BH50" t="n">
        <v>0</v>
      </c>
      <c r="BI50" t="inlineStr">
        <is>
          <t>b2a88f5475a85afbd86bbf795bfa588e968d0dba4cb684c4463705e0bcf622ec</t>
        </is>
      </c>
    </row>
    <row r="51">
      <c r="A51" t="inlineStr">
        <is>
          <t>46</t>
        </is>
      </c>
      <c r="B51" t="inlineStr">
        <is>
          <t>7594015567</t>
        </is>
      </c>
      <c r="C51" t="inlineStr">
        <is>
          <t>2025-12-18 21:53:36</t>
        </is>
      </c>
      <c r="D51" t="inlineStr">
        <is>
          <t>51</t>
        </is>
      </c>
      <c r="E51" t="inlineStr">
        <is>
          <t>Baba Yaga Art Of Chinese - By Posh Foods</t>
        </is>
      </c>
      <c r="F51" t="inlineStr">
        <is>
          <t>20037890</t>
        </is>
      </c>
      <c r="G51" t="inlineStr">
        <is>
          <t>Flat ₹100 off (2025-12-08 - 2031-01-01)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9</t>
        </is>
      </c>
      <c r="O51" t="n">
        <v>265</v>
      </c>
      <c r="P51" t="n">
        <v>0</v>
      </c>
      <c r="Q51" t="n">
        <v>0</v>
      </c>
      <c r="R51" t="n">
        <v>70</v>
      </c>
      <c r="S51" t="n">
        <v>0</v>
      </c>
      <c r="T51" t="n">
        <v>0</v>
      </c>
      <c r="U51" t="n">
        <v>0</v>
      </c>
      <c r="V51" t="n">
        <v>9.75</v>
      </c>
      <c r="W51" t="n">
        <v>204.75</v>
      </c>
      <c r="X51" t="n">
        <v>195</v>
      </c>
      <c r="Y51" t="n">
        <v>0</v>
      </c>
      <c r="Z51" t="n">
        <v>0</v>
      </c>
      <c r="AA51" t="n">
        <v>195</v>
      </c>
      <c r="AB51" t="n">
        <v>23</v>
      </c>
      <c r="AC51" t="n">
        <v>44.85</v>
      </c>
      <c r="AD51" t="n">
        <v>2.79</v>
      </c>
      <c r="AE51" t="n">
        <v>0</v>
      </c>
      <c r="AF51" t="n">
        <v>0</v>
      </c>
      <c r="AG51" t="n">
        <v>0</v>
      </c>
      <c r="AH51" t="n">
        <v>3.77</v>
      </c>
      <c r="AI51" t="n">
        <v>48.62</v>
      </c>
      <c r="AJ51" t="n">
        <v>8.75</v>
      </c>
      <c r="AK51" t="n">
        <v>0</v>
      </c>
      <c r="AL51" t="n">
        <v>195</v>
      </c>
      <c r="AM51" t="n">
        <v>0</v>
      </c>
      <c r="AN51" t="n">
        <v>0</v>
      </c>
      <c r="AO51" t="n">
        <v>0.2</v>
      </c>
      <c r="AP51" t="n">
        <v>9.75</v>
      </c>
      <c r="AQ51" t="n">
        <v>0</v>
      </c>
      <c r="AR51" t="n">
        <v>18.7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23.01</v>
      </c>
      <c r="AY51" t="n">
        <v>0</v>
      </c>
      <c r="AZ51" t="n">
        <v>0</v>
      </c>
      <c r="BA51" t="n">
        <v>23.01</v>
      </c>
      <c r="BB51" t="n">
        <v>90.33</v>
      </c>
      <c r="BC51" t="n">
        <v>0</v>
      </c>
      <c r="BD51" t="n">
        <v>114.42</v>
      </c>
      <c r="BE51" t="inlineStr">
        <is>
          <t>settled</t>
        </is>
      </c>
      <c r="BF51" t="inlineStr">
        <is>
          <t>2025-12-24 05:30:00</t>
        </is>
      </c>
      <c r="BG51" t="inlineStr">
        <is>
          <t>CITIN25674376566</t>
        </is>
      </c>
      <c r="BH51" t="n">
        <v>0</v>
      </c>
      <c r="BI51" t="inlineStr">
        <is>
          <t>63806d6bb19691d9251659d993ea16d10cc787853098d01eb5f40b3fea5c8edc</t>
        </is>
      </c>
    </row>
    <row r="52">
      <c r="A52" t="inlineStr">
        <is>
          <t>47</t>
        </is>
      </c>
      <c r="B52" t="inlineStr">
        <is>
          <t>7597389850</t>
        </is>
      </c>
      <c r="C52" t="inlineStr">
        <is>
          <t>2025-12-18 22:34:59</t>
        </is>
      </c>
      <c r="D52" t="inlineStr">
        <is>
          <t>51</t>
        </is>
      </c>
      <c r="E52" t="inlineStr">
        <is>
          <t>Baba Yaga Art Of Chinese - By Posh Foods</t>
        </is>
      </c>
      <c r="F52" t="inlineStr">
        <is>
          <t>20037890</t>
        </is>
      </c>
      <c r="G52" t="inlineStr">
        <is>
          <t>Flat ₹125 off (2025-12-08 - 2031-01-01)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9</t>
        </is>
      </c>
      <c r="O52" t="n">
        <v>560</v>
      </c>
      <c r="P52" t="n">
        <v>0</v>
      </c>
      <c r="Q52" t="n">
        <v>0</v>
      </c>
      <c r="R52" t="n">
        <v>125</v>
      </c>
      <c r="S52" t="n">
        <v>43.5</v>
      </c>
      <c r="T52" t="n">
        <v>0</v>
      </c>
      <c r="U52" t="n">
        <v>0</v>
      </c>
      <c r="V52" t="n">
        <v>19.58</v>
      </c>
      <c r="W52" t="n">
        <v>411.08</v>
      </c>
      <c r="X52" t="n">
        <v>391.5</v>
      </c>
      <c r="Y52" t="n">
        <v>0</v>
      </c>
      <c r="Z52" t="n">
        <v>0</v>
      </c>
      <c r="AA52" t="n">
        <v>391.5</v>
      </c>
      <c r="AB52" t="n">
        <v>23</v>
      </c>
      <c r="AC52" t="n">
        <v>90.04000000000001</v>
      </c>
      <c r="AD52" t="n">
        <v>2.37</v>
      </c>
      <c r="AE52" t="n">
        <v>0</v>
      </c>
      <c r="AF52" t="n">
        <v>0</v>
      </c>
      <c r="AG52" t="n">
        <v>0</v>
      </c>
      <c r="AH52" t="n">
        <v>7.56</v>
      </c>
      <c r="AI52" t="n">
        <v>97.59999999999999</v>
      </c>
      <c r="AJ52" t="n">
        <v>17.57</v>
      </c>
      <c r="AK52" t="n">
        <v>0</v>
      </c>
      <c r="AL52" t="n">
        <v>391.5</v>
      </c>
      <c r="AM52" t="n">
        <v>0</v>
      </c>
      <c r="AN52" t="n">
        <v>0</v>
      </c>
      <c r="AO52" t="n">
        <v>0.39</v>
      </c>
      <c r="AP52" t="n">
        <v>19.57</v>
      </c>
      <c r="AQ52" t="n">
        <v>0.01</v>
      </c>
      <c r="AR52" t="n">
        <v>37.53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135.13</v>
      </c>
      <c r="BC52" t="n">
        <v>0</v>
      </c>
      <c r="BD52" t="n">
        <v>275.95</v>
      </c>
      <c r="BE52" t="inlineStr">
        <is>
          <t>settled</t>
        </is>
      </c>
      <c r="BF52" t="inlineStr">
        <is>
          <t>2025-12-24 05:30:00</t>
        </is>
      </c>
      <c r="BG52" t="inlineStr">
        <is>
          <t>CITIN25674376566</t>
        </is>
      </c>
      <c r="BH52" t="n">
        <v>0</v>
      </c>
      <c r="BI52" t="inlineStr">
        <is>
          <t>2eeae4170837c543094cb3a76b00f382386d109f6ae9cde4e542cc5d326078d6</t>
        </is>
      </c>
    </row>
    <row r="53">
      <c r="A53" t="inlineStr">
        <is>
          <t>48</t>
        </is>
      </c>
      <c r="B53" t="inlineStr">
        <is>
          <t>7591889063</t>
        </is>
      </c>
      <c r="C53" t="inlineStr">
        <is>
          <t>2025-12-19 15:30:05</t>
        </is>
      </c>
      <c r="D53" t="inlineStr">
        <is>
          <t>51</t>
        </is>
      </c>
      <c r="E53" t="inlineStr">
        <is>
          <t>Baba Yaga Art Of Chinese - By Posh Foods</t>
        </is>
      </c>
      <c r="F53" t="inlineStr">
        <is>
          <t>20037890</t>
        </is>
      </c>
      <c r="G53" t="inlineStr">
        <is>
          <t>Flat ₹100 off (2025-12-08 - 2031-01-01)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9</t>
        </is>
      </c>
      <c r="O53" t="n">
        <v>315</v>
      </c>
      <c r="P53" t="n">
        <v>0</v>
      </c>
      <c r="Q53" t="n">
        <v>0</v>
      </c>
      <c r="R53" t="n">
        <v>70</v>
      </c>
      <c r="S53" t="n">
        <v>0</v>
      </c>
      <c r="T53" t="n">
        <v>0</v>
      </c>
      <c r="U53" t="n">
        <v>0</v>
      </c>
      <c r="V53" t="n">
        <v>12.25</v>
      </c>
      <c r="W53" t="n">
        <v>257.25</v>
      </c>
      <c r="X53" t="n">
        <v>245</v>
      </c>
      <c r="Y53" t="n">
        <v>0</v>
      </c>
      <c r="Z53" t="n">
        <v>0</v>
      </c>
      <c r="AA53" t="n">
        <v>245</v>
      </c>
      <c r="AB53" t="n">
        <v>23</v>
      </c>
      <c r="AC53" t="n">
        <v>56.35</v>
      </c>
      <c r="AD53" t="n">
        <v>4.46</v>
      </c>
      <c r="AE53" t="n">
        <v>20</v>
      </c>
      <c r="AF53" t="n">
        <v>0</v>
      </c>
      <c r="AG53" t="n">
        <v>2.85</v>
      </c>
      <c r="AH53" t="n">
        <v>4.73</v>
      </c>
      <c r="AI53" t="n">
        <v>78.23</v>
      </c>
      <c r="AJ53" t="n">
        <v>14.08</v>
      </c>
      <c r="AK53" t="n">
        <v>0</v>
      </c>
      <c r="AL53" t="n">
        <v>245</v>
      </c>
      <c r="AM53" t="n">
        <v>0</v>
      </c>
      <c r="AN53" t="n">
        <v>0</v>
      </c>
      <c r="AO53" t="n">
        <v>0.24</v>
      </c>
      <c r="AP53" t="n">
        <v>12.25</v>
      </c>
      <c r="AQ53" t="n">
        <v>0</v>
      </c>
      <c r="AR53" t="n">
        <v>26.57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104.8</v>
      </c>
      <c r="BC53" t="n">
        <v>0</v>
      </c>
      <c r="BD53" t="n">
        <v>152.45</v>
      </c>
      <c r="BE53" t="inlineStr">
        <is>
          <t>settled</t>
        </is>
      </c>
      <c r="BF53" t="inlineStr">
        <is>
          <t>2025-12-24 05:30:00</t>
        </is>
      </c>
      <c r="BG53" t="inlineStr">
        <is>
          <t>CITIN25674376566</t>
        </is>
      </c>
      <c r="BH53" t="n">
        <v>0</v>
      </c>
      <c r="BI53" t="inlineStr">
        <is>
          <t>7e5338b7439ef002f886d1c7b3359a9de1f410fdc8a85be9badb3d2161a22d75</t>
        </is>
      </c>
    </row>
    <row r="54">
      <c r="A54" t="inlineStr">
        <is>
          <t>49</t>
        </is>
      </c>
      <c r="B54" t="inlineStr">
        <is>
          <t>7591390577</t>
        </is>
      </c>
      <c r="C54" t="inlineStr">
        <is>
          <t>2025-12-19 19:00:34</t>
        </is>
      </c>
      <c r="D54" t="inlineStr">
        <is>
          <t>51</t>
        </is>
      </c>
      <c r="E54" t="inlineStr">
        <is>
          <t>Baba Yaga Art Of Chinese - By Posh Foods</t>
        </is>
      </c>
      <c r="F54" t="inlineStr">
        <is>
          <t>20037890</t>
        </is>
      </c>
      <c r="G54" t="inlineStr">
        <is>
          <t>NA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9</t>
        </is>
      </c>
      <c r="O54" t="n">
        <v>335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16.75</v>
      </c>
      <c r="W54" t="n">
        <v>351.75</v>
      </c>
      <c r="X54" t="n">
        <v>335</v>
      </c>
      <c r="Y54" t="n">
        <v>0</v>
      </c>
      <c r="Z54" t="n">
        <v>0</v>
      </c>
      <c r="AA54" t="n">
        <v>335</v>
      </c>
      <c r="AB54" t="n">
        <v>23</v>
      </c>
      <c r="AC54" t="n">
        <v>77.05</v>
      </c>
      <c r="AD54" t="n">
        <v>5.72</v>
      </c>
      <c r="AE54" t="n">
        <v>20</v>
      </c>
      <c r="AF54" t="n">
        <v>0</v>
      </c>
      <c r="AG54" t="n">
        <v>0</v>
      </c>
      <c r="AH54" t="n">
        <v>6.47</v>
      </c>
      <c r="AI54" t="n">
        <v>103.52</v>
      </c>
      <c r="AJ54" t="n">
        <v>18.63</v>
      </c>
      <c r="AK54" t="n">
        <v>0</v>
      </c>
      <c r="AL54" t="n">
        <v>335</v>
      </c>
      <c r="AM54" t="n">
        <v>0</v>
      </c>
      <c r="AN54" t="n">
        <v>0</v>
      </c>
      <c r="AO54" t="n">
        <v>0.34</v>
      </c>
      <c r="AP54" t="n">
        <v>16.75</v>
      </c>
      <c r="AQ54" t="n">
        <v>0</v>
      </c>
      <c r="AR54" t="n">
        <v>35.72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39.53</v>
      </c>
      <c r="AY54" t="n">
        <v>0</v>
      </c>
      <c r="AZ54" t="n">
        <v>0</v>
      </c>
      <c r="BA54" t="n">
        <v>39.53</v>
      </c>
      <c r="BB54" t="n">
        <v>178.77</v>
      </c>
      <c r="BC54" t="n">
        <v>0</v>
      </c>
      <c r="BD54" t="n">
        <v>172.98</v>
      </c>
      <c r="BE54" t="inlineStr">
        <is>
          <t>settled</t>
        </is>
      </c>
      <c r="BF54" t="inlineStr">
        <is>
          <t>2025-12-24 05:30:00</t>
        </is>
      </c>
      <c r="BG54" t="inlineStr">
        <is>
          <t>CITIN25674376566</t>
        </is>
      </c>
      <c r="BH54" t="n">
        <v>0</v>
      </c>
      <c r="BI54" t="inlineStr">
        <is>
          <t>b5453799b35d06b5d81d3d61ca8f5b91af51e1f93d7a3803fd8120f66e45ddf8</t>
        </is>
      </c>
    </row>
    <row r="55">
      <c r="A55" t="inlineStr">
        <is>
          <t>50</t>
        </is>
      </c>
      <c r="B55" t="inlineStr">
        <is>
          <t>7598613617</t>
        </is>
      </c>
      <c r="C55" t="inlineStr">
        <is>
          <t>2025-12-19 19:51:07</t>
        </is>
      </c>
      <c r="D55" t="inlineStr">
        <is>
          <t>51</t>
        </is>
      </c>
      <c r="E55" t="inlineStr">
        <is>
          <t>Baba Yaga Art Of Chinese - By Posh Foods</t>
        </is>
      </c>
      <c r="F55" t="inlineStr">
        <is>
          <t>20037890</t>
        </is>
      </c>
      <c r="G55" t="inlineStr">
        <is>
          <t>Flat ₹125 off (2025-12-08 - 2031-01-01)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9</t>
        </is>
      </c>
      <c r="O55" t="n">
        <v>440</v>
      </c>
      <c r="P55" t="n">
        <v>0</v>
      </c>
      <c r="Q55" t="n">
        <v>0</v>
      </c>
      <c r="R55" t="n">
        <v>87</v>
      </c>
      <c r="S55" t="n">
        <v>31.5</v>
      </c>
      <c r="T55" t="n">
        <v>0</v>
      </c>
      <c r="U55" t="n">
        <v>0</v>
      </c>
      <c r="V55" t="n">
        <v>16.08</v>
      </c>
      <c r="W55" t="n">
        <v>337.58</v>
      </c>
      <c r="X55" t="n">
        <v>321.5</v>
      </c>
      <c r="Y55" t="n">
        <v>0</v>
      </c>
      <c r="Z55" t="n">
        <v>0</v>
      </c>
      <c r="AA55" t="n">
        <v>321.5</v>
      </c>
      <c r="AB55" t="n">
        <v>23</v>
      </c>
      <c r="AC55" t="n">
        <v>73.94</v>
      </c>
      <c r="AD55" t="n">
        <v>3.22</v>
      </c>
      <c r="AE55" t="n">
        <v>0</v>
      </c>
      <c r="AF55" t="n">
        <v>0</v>
      </c>
      <c r="AG55" t="n">
        <v>0</v>
      </c>
      <c r="AH55" t="n">
        <v>6.21</v>
      </c>
      <c r="AI55" t="n">
        <v>80.15000000000001</v>
      </c>
      <c r="AJ55" t="n">
        <v>14.43</v>
      </c>
      <c r="AK55" t="n">
        <v>0</v>
      </c>
      <c r="AL55" t="n">
        <v>321.5</v>
      </c>
      <c r="AM55" t="n">
        <v>0</v>
      </c>
      <c r="AN55" t="n">
        <v>0</v>
      </c>
      <c r="AO55" t="n">
        <v>0.32</v>
      </c>
      <c r="AP55" t="n">
        <v>16.08</v>
      </c>
      <c r="AQ55" t="n">
        <v>0</v>
      </c>
      <c r="AR55" t="n">
        <v>30.83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110.98</v>
      </c>
      <c r="BC55" t="n">
        <v>0</v>
      </c>
      <c r="BD55" t="n">
        <v>226.6</v>
      </c>
      <c r="BE55" t="inlineStr">
        <is>
          <t>settled</t>
        </is>
      </c>
      <c r="BF55" t="inlineStr">
        <is>
          <t>2025-12-24 05:30:00</t>
        </is>
      </c>
      <c r="BG55" t="inlineStr">
        <is>
          <t>CITIN25674376566</t>
        </is>
      </c>
      <c r="BH55" t="n">
        <v>0</v>
      </c>
      <c r="BI55" t="inlineStr">
        <is>
          <t>bf4388e9fcf0f5e4ddd0a71dffcca81956191d6783dcbd356fc970b78ecd4c49</t>
        </is>
      </c>
    </row>
    <row r="56">
      <c r="A56" t="inlineStr">
        <is>
          <t>51</t>
        </is>
      </c>
      <c r="B56" t="inlineStr">
        <is>
          <t>7597849580</t>
        </is>
      </c>
      <c r="C56" t="inlineStr">
        <is>
          <t>2025-12-19 20:49:09</t>
        </is>
      </c>
      <c r="D56" t="inlineStr">
        <is>
          <t>51</t>
        </is>
      </c>
      <c r="E56" t="inlineStr">
        <is>
          <t>Baba Yaga Art Of Chinese - By Posh Foods</t>
        </is>
      </c>
      <c r="F56" t="inlineStr">
        <is>
          <t>20037890</t>
        </is>
      </c>
      <c r="G56" t="inlineStr">
        <is>
          <t>Flat 20% off (2025-09-25 - 2031-01-01)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9</t>
        </is>
      </c>
      <c r="O56" t="n">
        <v>1089</v>
      </c>
      <c r="P56" t="n">
        <v>0</v>
      </c>
      <c r="Q56" t="n">
        <v>0</v>
      </c>
      <c r="R56" t="n">
        <v>217.8</v>
      </c>
      <c r="S56" t="n">
        <v>87.12</v>
      </c>
      <c r="T56" t="n">
        <v>0</v>
      </c>
      <c r="U56" t="n">
        <v>0</v>
      </c>
      <c r="V56" t="n">
        <v>39.21</v>
      </c>
      <c r="W56" t="n">
        <v>823.29</v>
      </c>
      <c r="X56" t="n">
        <v>784.08</v>
      </c>
      <c r="Y56" t="n">
        <v>0</v>
      </c>
      <c r="Z56" t="n">
        <v>0</v>
      </c>
      <c r="AA56" t="n">
        <v>784.08</v>
      </c>
      <c r="AB56" t="n">
        <v>23</v>
      </c>
      <c r="AC56" t="n">
        <v>180.34</v>
      </c>
      <c r="AD56" t="n">
        <v>3.48</v>
      </c>
      <c r="AE56" t="n">
        <v>0</v>
      </c>
      <c r="AF56" t="n">
        <v>0</v>
      </c>
      <c r="AG56" t="n">
        <v>0</v>
      </c>
      <c r="AH56" t="n">
        <v>15.15</v>
      </c>
      <c r="AI56" t="n">
        <v>195.49</v>
      </c>
      <c r="AJ56" t="n">
        <v>35.19</v>
      </c>
      <c r="AK56" t="n">
        <v>0</v>
      </c>
      <c r="AL56" t="n">
        <v>784.08</v>
      </c>
      <c r="AM56" t="n">
        <v>0</v>
      </c>
      <c r="AN56" t="n">
        <v>0</v>
      </c>
      <c r="AO56" t="n">
        <v>0.78</v>
      </c>
      <c r="AP56" t="n">
        <v>39.2</v>
      </c>
      <c r="AQ56" t="n">
        <v>0.01</v>
      </c>
      <c r="AR56" t="n">
        <v>75.17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270.66</v>
      </c>
      <c r="BC56" t="n">
        <v>0</v>
      </c>
      <c r="BD56" t="n">
        <v>552.63</v>
      </c>
      <c r="BE56" t="inlineStr">
        <is>
          <t>settled</t>
        </is>
      </c>
      <c r="BF56" t="inlineStr">
        <is>
          <t>2025-12-24 05:30:00</t>
        </is>
      </c>
      <c r="BG56" t="inlineStr">
        <is>
          <t>CITIN25674376566</t>
        </is>
      </c>
      <c r="BH56" t="n">
        <v>0</v>
      </c>
      <c r="BI56" t="inlineStr">
        <is>
          <t>9cdccf4c8b0e03fd6cd401eb027432c383264c989e0cabfb8b4e3efab6569960</t>
        </is>
      </c>
    </row>
    <row r="57">
      <c r="A57" t="inlineStr">
        <is>
          <t>52</t>
        </is>
      </c>
      <c r="B57" t="inlineStr">
        <is>
          <t>7595146126</t>
        </is>
      </c>
      <c r="C57" t="inlineStr">
        <is>
          <t>2025-12-19 21:10:13</t>
        </is>
      </c>
      <c r="D57" t="inlineStr">
        <is>
          <t>51</t>
        </is>
      </c>
      <c r="E57" t="inlineStr">
        <is>
          <t>Baba Yaga Art Of Chinese - By Posh Foods</t>
        </is>
      </c>
      <c r="F57" t="inlineStr">
        <is>
          <t>20037890</t>
        </is>
      </c>
      <c r="G57" t="inlineStr">
        <is>
          <t>Flat 20% off (2025-09-25 - 2031-01-01)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9</t>
        </is>
      </c>
      <c r="O57" t="n">
        <v>1000</v>
      </c>
      <c r="P57" t="n">
        <v>0</v>
      </c>
      <c r="Q57" t="n">
        <v>0</v>
      </c>
      <c r="R57" t="n">
        <v>200</v>
      </c>
      <c r="S57" t="n">
        <v>80</v>
      </c>
      <c r="T57" t="n">
        <v>0</v>
      </c>
      <c r="U57" t="n">
        <v>0</v>
      </c>
      <c r="V57" t="n">
        <v>36</v>
      </c>
      <c r="W57" t="n">
        <v>756</v>
      </c>
      <c r="X57" t="n">
        <v>720</v>
      </c>
      <c r="Y57" t="n">
        <v>0</v>
      </c>
      <c r="Z57" t="n">
        <v>0</v>
      </c>
      <c r="AA57" t="n">
        <v>720</v>
      </c>
      <c r="AB57" t="n">
        <v>23</v>
      </c>
      <c r="AC57" t="n">
        <v>165.6</v>
      </c>
      <c r="AD57" t="n">
        <v>2.58</v>
      </c>
      <c r="AE57" t="n">
        <v>0</v>
      </c>
      <c r="AF57" t="n">
        <v>0</v>
      </c>
      <c r="AG57" t="n">
        <v>0</v>
      </c>
      <c r="AH57" t="n">
        <v>13.91</v>
      </c>
      <c r="AI57" t="n">
        <v>179.51</v>
      </c>
      <c r="AJ57" t="n">
        <v>32.31</v>
      </c>
      <c r="AK57" t="n">
        <v>0</v>
      </c>
      <c r="AL57" t="n">
        <v>720</v>
      </c>
      <c r="AM57" t="n">
        <v>0</v>
      </c>
      <c r="AN57" t="n">
        <v>0</v>
      </c>
      <c r="AO57" t="n">
        <v>0.72</v>
      </c>
      <c r="AP57" t="n">
        <v>36</v>
      </c>
      <c r="AQ57" t="n">
        <v>0</v>
      </c>
      <c r="AR57" t="n">
        <v>69.03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248.54</v>
      </c>
      <c r="BC57" t="n">
        <v>0</v>
      </c>
      <c r="BD57" t="n">
        <v>507.46</v>
      </c>
      <c r="BE57" t="inlineStr">
        <is>
          <t>settled</t>
        </is>
      </c>
      <c r="BF57" t="inlineStr">
        <is>
          <t>2025-12-24 05:30:00</t>
        </is>
      </c>
      <c r="BG57" t="inlineStr">
        <is>
          <t>CITIN25674376566</t>
        </is>
      </c>
      <c r="BH57" t="n">
        <v>0</v>
      </c>
      <c r="BI57" t="inlineStr">
        <is>
          <t>4f40f959742e32f090a73ceb4b837d52477b2a780c2a7d671134977d2acf5693</t>
        </is>
      </c>
    </row>
    <row r="58">
      <c r="A58" t="inlineStr">
        <is>
          <t>53</t>
        </is>
      </c>
      <c r="B58" t="inlineStr">
        <is>
          <t>7597082483</t>
        </is>
      </c>
      <c r="C58" t="inlineStr">
        <is>
          <t>2025-12-19 22:06:47</t>
        </is>
      </c>
      <c r="D58" t="inlineStr">
        <is>
          <t>51</t>
        </is>
      </c>
      <c r="E58" t="inlineStr">
        <is>
          <t>Baba Yaga Art Of Chinese - By Posh Foods</t>
        </is>
      </c>
      <c r="F58" t="inlineStr">
        <is>
          <t>20037890</t>
        </is>
      </c>
      <c r="G58" t="inlineStr">
        <is>
          <t>Flat ₹100 off (2025-12-08 - 2031-01-01)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9</t>
        </is>
      </c>
      <c r="O58" t="n">
        <v>265</v>
      </c>
      <c r="P58" t="n">
        <v>0</v>
      </c>
      <c r="Q58" t="n">
        <v>0</v>
      </c>
      <c r="R58" t="n">
        <v>70</v>
      </c>
      <c r="S58" t="n">
        <v>0</v>
      </c>
      <c r="T58" t="n">
        <v>0</v>
      </c>
      <c r="U58" t="n">
        <v>0</v>
      </c>
      <c r="V58" t="n">
        <v>9.75</v>
      </c>
      <c r="W58" t="n">
        <v>204.75</v>
      </c>
      <c r="X58" t="n">
        <v>195</v>
      </c>
      <c r="Y58" t="n">
        <v>0</v>
      </c>
      <c r="Z58" t="n">
        <v>0</v>
      </c>
      <c r="AA58" t="n">
        <v>195</v>
      </c>
      <c r="AB58" t="n">
        <v>23</v>
      </c>
      <c r="AC58" t="n">
        <v>44.85</v>
      </c>
      <c r="AD58" t="n">
        <v>2.21</v>
      </c>
      <c r="AE58" t="n">
        <v>0</v>
      </c>
      <c r="AF58" t="n">
        <v>0</v>
      </c>
      <c r="AG58" t="n">
        <v>0</v>
      </c>
      <c r="AH58" t="n">
        <v>3.77</v>
      </c>
      <c r="AI58" t="n">
        <v>48.62</v>
      </c>
      <c r="AJ58" t="n">
        <v>8.75</v>
      </c>
      <c r="AK58" t="n">
        <v>0</v>
      </c>
      <c r="AL58" t="n">
        <v>195</v>
      </c>
      <c r="AM58" t="n">
        <v>0</v>
      </c>
      <c r="AN58" t="n">
        <v>0</v>
      </c>
      <c r="AO58" t="n">
        <v>0.2</v>
      </c>
      <c r="AP58" t="n">
        <v>9.75</v>
      </c>
      <c r="AQ58" t="n">
        <v>0</v>
      </c>
      <c r="AR58" t="n">
        <v>18.7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67.31999999999999</v>
      </c>
      <c r="BC58" t="n">
        <v>0</v>
      </c>
      <c r="BD58" t="n">
        <v>137.43</v>
      </c>
      <c r="BE58" t="inlineStr">
        <is>
          <t>settled</t>
        </is>
      </c>
      <c r="BF58" t="inlineStr">
        <is>
          <t>2025-12-24 05:30:00</t>
        </is>
      </c>
      <c r="BG58" t="inlineStr">
        <is>
          <t>CITIN25674376566</t>
        </is>
      </c>
      <c r="BH58" t="n">
        <v>0</v>
      </c>
      <c r="BI58" t="inlineStr">
        <is>
          <t>f5682be2dd0084f520e7eb4ebf4c7775cc9174edb77605149e660d7b72113dd6</t>
        </is>
      </c>
    </row>
    <row r="59">
      <c r="A59" t="inlineStr">
        <is>
          <t>54</t>
        </is>
      </c>
      <c r="B59" t="inlineStr">
        <is>
          <t>7600418335</t>
        </is>
      </c>
      <c r="C59" t="inlineStr">
        <is>
          <t>2025-12-19 22:16:32</t>
        </is>
      </c>
      <c r="D59" t="inlineStr">
        <is>
          <t>51</t>
        </is>
      </c>
      <c r="E59" t="inlineStr">
        <is>
          <t>Baba Yaga Art Of Chinese - By Posh Foods</t>
        </is>
      </c>
      <c r="F59" t="inlineStr">
        <is>
          <t>20037890</t>
        </is>
      </c>
      <c r="G59" t="inlineStr">
        <is>
          <t>Flat ₹125 off (2025-12-08 - 2031-01-01)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9</t>
        </is>
      </c>
      <c r="O59" t="n">
        <v>420</v>
      </c>
      <c r="P59" t="n">
        <v>0</v>
      </c>
      <c r="Q59" t="n">
        <v>0</v>
      </c>
      <c r="R59" t="n">
        <v>87</v>
      </c>
      <c r="S59" t="n">
        <v>29.5</v>
      </c>
      <c r="T59" t="n">
        <v>0</v>
      </c>
      <c r="U59" t="n">
        <v>0</v>
      </c>
      <c r="V59" t="n">
        <v>15.18</v>
      </c>
      <c r="W59" t="n">
        <v>318.68</v>
      </c>
      <c r="X59" t="n">
        <v>303.5</v>
      </c>
      <c r="Y59" t="n">
        <v>0</v>
      </c>
      <c r="Z59" t="n">
        <v>0</v>
      </c>
      <c r="AA59" t="n">
        <v>303.5</v>
      </c>
      <c r="AB59" t="n">
        <v>23</v>
      </c>
      <c r="AC59" t="n">
        <v>69.8</v>
      </c>
      <c r="AD59" t="n">
        <v>5.41</v>
      </c>
      <c r="AE59" t="n">
        <v>20</v>
      </c>
      <c r="AF59" t="n">
        <v>0</v>
      </c>
      <c r="AG59" t="n">
        <v>0</v>
      </c>
      <c r="AH59" t="n">
        <v>5.86</v>
      </c>
      <c r="AI59" t="n">
        <v>95.66</v>
      </c>
      <c r="AJ59" t="n">
        <v>17.21</v>
      </c>
      <c r="AK59" t="n">
        <v>0</v>
      </c>
      <c r="AL59" t="n">
        <v>303.5</v>
      </c>
      <c r="AM59" t="n">
        <v>0</v>
      </c>
      <c r="AN59" t="n">
        <v>0</v>
      </c>
      <c r="AO59" t="n">
        <v>0.3</v>
      </c>
      <c r="AP59" t="n">
        <v>15.18</v>
      </c>
      <c r="AQ59" t="n">
        <v>0</v>
      </c>
      <c r="AR59" t="n">
        <v>32.69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128.35</v>
      </c>
      <c r="BC59" t="n">
        <v>0</v>
      </c>
      <c r="BD59" t="n">
        <v>190.33</v>
      </c>
      <c r="BE59" t="inlineStr">
        <is>
          <t>settled</t>
        </is>
      </c>
      <c r="BF59" t="inlineStr">
        <is>
          <t>2025-12-24 05:30:00</t>
        </is>
      </c>
      <c r="BG59" t="inlineStr">
        <is>
          <t>CITIN25674376566</t>
        </is>
      </c>
      <c r="BH59" t="n">
        <v>0</v>
      </c>
      <c r="BI59" t="inlineStr">
        <is>
          <t>042cbf9981f9b6f6a79a31e9d71b1324a349784d8c4f38b161a6c059f6fca05b</t>
        </is>
      </c>
    </row>
    <row r="60">
      <c r="A60" t="inlineStr">
        <is>
          <t>55</t>
        </is>
      </c>
      <c r="B60" t="inlineStr">
        <is>
          <t>7598217344</t>
        </is>
      </c>
      <c r="C60" t="inlineStr">
        <is>
          <t>2025-12-19 23:45:58</t>
        </is>
      </c>
      <c r="D60" t="inlineStr">
        <is>
          <t>51</t>
        </is>
      </c>
      <c r="E60" t="inlineStr">
        <is>
          <t>Baba Yaga Art Of Chinese - By Posh Foods</t>
        </is>
      </c>
      <c r="F60" t="inlineStr">
        <is>
          <t>20037890</t>
        </is>
      </c>
      <c r="G60" t="inlineStr">
        <is>
          <t>Flat ₹80 off (2025-12-08 - 2031-01-01)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9</t>
        </is>
      </c>
      <c r="O60" t="n">
        <v>265</v>
      </c>
      <c r="P60" t="n">
        <v>0</v>
      </c>
      <c r="Q60" t="n">
        <v>0</v>
      </c>
      <c r="R60" t="n">
        <v>56</v>
      </c>
      <c r="S60" t="n">
        <v>0</v>
      </c>
      <c r="T60" t="n">
        <v>0</v>
      </c>
      <c r="U60" t="n">
        <v>0</v>
      </c>
      <c r="V60" t="n">
        <v>10.45</v>
      </c>
      <c r="W60" t="n">
        <v>219.45</v>
      </c>
      <c r="X60" t="n">
        <v>209</v>
      </c>
      <c r="Y60" t="n">
        <v>0</v>
      </c>
      <c r="Z60" t="n">
        <v>0</v>
      </c>
      <c r="AA60" t="n">
        <v>209</v>
      </c>
      <c r="AB60" t="n">
        <v>23</v>
      </c>
      <c r="AC60" t="n">
        <v>48.07</v>
      </c>
      <c r="AD60" t="n">
        <v>2.94</v>
      </c>
      <c r="AE60" t="n">
        <v>0</v>
      </c>
      <c r="AF60" t="n">
        <v>0</v>
      </c>
      <c r="AG60" t="n">
        <v>0</v>
      </c>
      <c r="AH60" t="n">
        <v>4.04</v>
      </c>
      <c r="AI60" t="n">
        <v>52.11</v>
      </c>
      <c r="AJ60" t="n">
        <v>9.380000000000001</v>
      </c>
      <c r="AK60" t="n">
        <v>0</v>
      </c>
      <c r="AL60" t="n">
        <v>209</v>
      </c>
      <c r="AM60" t="n">
        <v>0</v>
      </c>
      <c r="AN60" t="n">
        <v>0</v>
      </c>
      <c r="AO60" t="n">
        <v>0.21</v>
      </c>
      <c r="AP60" t="n">
        <v>10.45</v>
      </c>
      <c r="AQ60" t="n">
        <v>0</v>
      </c>
      <c r="AR60" t="n">
        <v>20.04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24.66</v>
      </c>
      <c r="AY60" t="n">
        <v>0</v>
      </c>
      <c r="AZ60" t="n">
        <v>0</v>
      </c>
      <c r="BA60" t="n">
        <v>24.66</v>
      </c>
      <c r="BB60" t="n">
        <v>96.81</v>
      </c>
      <c r="BC60" t="n">
        <v>0</v>
      </c>
      <c r="BD60" t="n">
        <v>122.64</v>
      </c>
      <c r="BE60" t="inlineStr">
        <is>
          <t>settled</t>
        </is>
      </c>
      <c r="BF60" t="inlineStr">
        <is>
          <t>2025-12-24 05:30:00</t>
        </is>
      </c>
      <c r="BG60" t="inlineStr">
        <is>
          <t>CITIN25674376566</t>
        </is>
      </c>
      <c r="BH60" t="n">
        <v>0</v>
      </c>
      <c r="BI60" t="inlineStr">
        <is>
          <t>d620331fc1d741722993c88e538c5d01820767733e9a4f34a8dc6e707abde7ce</t>
        </is>
      </c>
    </row>
    <row r="61">
      <c r="A61" t="inlineStr">
        <is>
          <t>56</t>
        </is>
      </c>
      <c r="B61" t="inlineStr">
        <is>
          <t>7597232063</t>
        </is>
      </c>
      <c r="C61" t="inlineStr">
        <is>
          <t>2025-12-20 12:28:36</t>
        </is>
      </c>
      <c r="D61" t="inlineStr">
        <is>
          <t>51</t>
        </is>
      </c>
      <c r="E61" t="inlineStr">
        <is>
          <t>Baba Yaga Art Of Chinese - By Posh Foods</t>
        </is>
      </c>
      <c r="F61" t="inlineStr">
        <is>
          <t>20037890</t>
        </is>
      </c>
      <c r="G61" t="inlineStr">
        <is>
          <t>Flat ₹100 off (2025-12-08 - 2031-01-01)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9</t>
        </is>
      </c>
      <c r="O61" t="n">
        <v>530</v>
      </c>
      <c r="P61" t="n">
        <v>0</v>
      </c>
      <c r="Q61" t="n">
        <v>0</v>
      </c>
      <c r="R61" t="n">
        <v>70</v>
      </c>
      <c r="S61" t="n">
        <v>43</v>
      </c>
      <c r="T61" t="n">
        <v>0</v>
      </c>
      <c r="U61" t="n">
        <v>0</v>
      </c>
      <c r="V61" t="n">
        <v>20.85</v>
      </c>
      <c r="W61" t="n">
        <v>437.85</v>
      </c>
      <c r="X61" t="n">
        <v>417</v>
      </c>
      <c r="Y61" t="n">
        <v>0</v>
      </c>
      <c r="Z61" t="n">
        <v>0</v>
      </c>
      <c r="AA61" t="n">
        <v>417</v>
      </c>
      <c r="AB61" t="n">
        <v>23</v>
      </c>
      <c r="AC61" t="n">
        <v>95.91</v>
      </c>
      <c r="AD61" t="n">
        <v>9.960000000000001</v>
      </c>
      <c r="AE61" t="n">
        <v>40</v>
      </c>
      <c r="AF61" t="n">
        <v>0</v>
      </c>
      <c r="AG61" t="n">
        <v>10.81</v>
      </c>
      <c r="AH61" t="n">
        <v>8.06</v>
      </c>
      <c r="AI61" t="n">
        <v>133.16</v>
      </c>
      <c r="AJ61" t="n">
        <v>23.96</v>
      </c>
      <c r="AK61" t="n">
        <v>0</v>
      </c>
      <c r="AL61" t="n">
        <v>417</v>
      </c>
      <c r="AM61" t="n">
        <v>0</v>
      </c>
      <c r="AN61" t="n">
        <v>0</v>
      </c>
      <c r="AO61" t="n">
        <v>0.42</v>
      </c>
      <c r="AP61" t="n">
        <v>20.85</v>
      </c>
      <c r="AQ61" t="n">
        <v>0</v>
      </c>
      <c r="AR61" t="n">
        <v>45.23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178.39</v>
      </c>
      <c r="BC61" t="n">
        <v>0</v>
      </c>
      <c r="BD61" t="n">
        <v>259.46</v>
      </c>
      <c r="BE61" t="inlineStr">
        <is>
          <t>settled</t>
        </is>
      </c>
      <c r="BF61" t="inlineStr">
        <is>
          <t>2025-12-24 05:30:00</t>
        </is>
      </c>
      <c r="BG61" t="inlineStr">
        <is>
          <t>CITIN25674376566</t>
        </is>
      </c>
      <c r="BH61" t="n">
        <v>0</v>
      </c>
      <c r="BI61" t="inlineStr">
        <is>
          <t>d4c4a9ff6c51e73bdcb982afecf0856ebaed97dba74e76fe29fd78fe0bcb1518</t>
        </is>
      </c>
    </row>
    <row r="62">
      <c r="A62" t="inlineStr">
        <is>
          <t>57</t>
        </is>
      </c>
      <c r="B62" t="inlineStr">
        <is>
          <t>7600222813</t>
        </is>
      </c>
      <c r="C62" t="inlineStr">
        <is>
          <t>2025-12-20 12:31:21</t>
        </is>
      </c>
      <c r="D62" t="inlineStr">
        <is>
          <t>51</t>
        </is>
      </c>
      <c r="E62" t="inlineStr">
        <is>
          <t>Baba Yaga Art Of Chinese - By Posh Foods</t>
        </is>
      </c>
      <c r="F62" t="inlineStr">
        <is>
          <t>20037890</t>
        </is>
      </c>
      <c r="G62" t="inlineStr">
        <is>
          <t>Flat ₹100 off (2025-12-05 - 2031-01-01)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9</t>
        </is>
      </c>
      <c r="O62" t="n">
        <v>315</v>
      </c>
      <c r="P62" t="n">
        <v>0</v>
      </c>
      <c r="Q62" t="n">
        <v>0</v>
      </c>
      <c r="R62" t="n">
        <v>100</v>
      </c>
      <c r="S62" t="n">
        <v>21.5</v>
      </c>
      <c r="T62" t="n">
        <v>0</v>
      </c>
      <c r="U62" t="n">
        <v>0</v>
      </c>
      <c r="V62" t="n">
        <v>9.68</v>
      </c>
      <c r="W62" t="n">
        <v>203.18</v>
      </c>
      <c r="X62" t="n">
        <v>193.5</v>
      </c>
      <c r="Y62" t="n">
        <v>0</v>
      </c>
      <c r="Z62" t="n">
        <v>0</v>
      </c>
      <c r="AA62" t="n">
        <v>193.5</v>
      </c>
      <c r="AB62" t="n">
        <v>23</v>
      </c>
      <c r="AC62" t="n">
        <v>44.5</v>
      </c>
      <c r="AD62" t="n">
        <v>4.9</v>
      </c>
      <c r="AE62" t="n">
        <v>20</v>
      </c>
      <c r="AF62" t="n">
        <v>0</v>
      </c>
      <c r="AG62" t="n">
        <v>6.45</v>
      </c>
      <c r="AH62" t="n">
        <v>3.74</v>
      </c>
      <c r="AI62" t="n">
        <v>61.79</v>
      </c>
      <c r="AJ62" t="n">
        <v>11.12</v>
      </c>
      <c r="AK62" t="n">
        <v>0</v>
      </c>
      <c r="AL62" t="n">
        <v>193.5</v>
      </c>
      <c r="AM62" t="n">
        <v>0</v>
      </c>
      <c r="AN62" t="n">
        <v>0</v>
      </c>
      <c r="AO62" t="n">
        <v>0.19</v>
      </c>
      <c r="AP62" t="n">
        <v>9.68</v>
      </c>
      <c r="AQ62" t="n">
        <v>0</v>
      </c>
      <c r="AR62" t="n">
        <v>20.99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82.78</v>
      </c>
      <c r="BC62" t="n">
        <v>0</v>
      </c>
      <c r="BD62" t="n">
        <v>120.4</v>
      </c>
      <c r="BE62" t="inlineStr">
        <is>
          <t>settled</t>
        </is>
      </c>
      <c r="BF62" t="inlineStr">
        <is>
          <t>2025-12-24 05:30:00</t>
        </is>
      </c>
      <c r="BG62" t="inlineStr">
        <is>
          <t>CITIN25674376566</t>
        </is>
      </c>
      <c r="BH62" t="n">
        <v>0</v>
      </c>
      <c r="BI62" t="inlineStr">
        <is>
          <t>ceff2a7877e961079ecf1204d415828e8a90fda8c46bff409abfb51a87b5be76</t>
        </is>
      </c>
    </row>
    <row r="63">
      <c r="A63" t="inlineStr">
        <is>
          <t>58</t>
        </is>
      </c>
      <c r="B63" t="inlineStr">
        <is>
          <t>7602914158</t>
        </is>
      </c>
      <c r="C63" t="inlineStr">
        <is>
          <t>2025-12-20 18:09:46</t>
        </is>
      </c>
      <c r="D63" t="inlineStr">
        <is>
          <t>51</t>
        </is>
      </c>
      <c r="E63" t="inlineStr">
        <is>
          <t>Baba Yaga Art Of Chinese - By Posh Foods</t>
        </is>
      </c>
      <c r="F63" t="inlineStr">
        <is>
          <t>20037890</t>
        </is>
      </c>
      <c r="G63" t="inlineStr">
        <is>
          <t>Flat ₹100 off (2025-12-05 - 2031-01-01)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9</t>
        </is>
      </c>
      <c r="O63" t="n">
        <v>365</v>
      </c>
      <c r="P63" t="n">
        <v>0</v>
      </c>
      <c r="Q63" t="n">
        <v>0</v>
      </c>
      <c r="R63" t="n">
        <v>100</v>
      </c>
      <c r="S63" t="n">
        <v>26.5</v>
      </c>
      <c r="T63" t="n">
        <v>0</v>
      </c>
      <c r="U63" t="n">
        <v>0</v>
      </c>
      <c r="V63" t="n">
        <v>11.93</v>
      </c>
      <c r="W63" t="n">
        <v>250.43</v>
      </c>
      <c r="X63" t="n">
        <v>238.5</v>
      </c>
      <c r="Y63" t="n">
        <v>0</v>
      </c>
      <c r="Z63" t="n">
        <v>0</v>
      </c>
      <c r="AA63" t="n">
        <v>238.5</v>
      </c>
      <c r="AB63" t="n">
        <v>23</v>
      </c>
      <c r="AC63" t="n">
        <v>54.86</v>
      </c>
      <c r="AD63" t="n">
        <v>3.05</v>
      </c>
      <c r="AE63" t="n">
        <v>0</v>
      </c>
      <c r="AF63" t="n">
        <v>0</v>
      </c>
      <c r="AG63" t="n">
        <v>0</v>
      </c>
      <c r="AH63" t="n">
        <v>4.61</v>
      </c>
      <c r="AI63" t="n">
        <v>59.47</v>
      </c>
      <c r="AJ63" t="n">
        <v>10.7</v>
      </c>
      <c r="AK63" t="n">
        <v>0</v>
      </c>
      <c r="AL63" t="n">
        <v>238.5</v>
      </c>
      <c r="AM63" t="n">
        <v>0</v>
      </c>
      <c r="AN63" t="n">
        <v>0</v>
      </c>
      <c r="AO63" t="n">
        <v>0.24</v>
      </c>
      <c r="AP63" t="n">
        <v>11.93</v>
      </c>
      <c r="AQ63" t="n">
        <v>0</v>
      </c>
      <c r="AR63" t="n">
        <v>22.87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82.34</v>
      </c>
      <c r="BC63" t="n">
        <v>0</v>
      </c>
      <c r="BD63" t="n">
        <v>168.09</v>
      </c>
      <c r="BE63" t="inlineStr">
        <is>
          <t>settled</t>
        </is>
      </c>
      <c r="BF63" t="inlineStr">
        <is>
          <t>2025-12-24 05:30:00</t>
        </is>
      </c>
      <c r="BG63" t="inlineStr">
        <is>
          <t>CITIN25674376566</t>
        </is>
      </c>
      <c r="BH63" t="n">
        <v>0</v>
      </c>
      <c r="BI63" t="inlineStr">
        <is>
          <t>b8ae946be4dc5a9e207e25d6001a42709ae89a6474fd2130b13ef9130dbd4939</t>
        </is>
      </c>
    </row>
    <row r="64">
      <c r="A64" t="inlineStr">
        <is>
          <t>59</t>
        </is>
      </c>
      <c r="B64" t="inlineStr">
        <is>
          <t>7597376579</t>
        </is>
      </c>
      <c r="C64" t="inlineStr">
        <is>
          <t>2025-12-20 19:12:02</t>
        </is>
      </c>
      <c r="D64" t="inlineStr">
        <is>
          <t>51</t>
        </is>
      </c>
      <c r="E64" t="inlineStr">
        <is>
          <t>Baba Yaga Art Of Chinese - By Posh Foods</t>
        </is>
      </c>
      <c r="F64" t="inlineStr">
        <is>
          <t>20037890</t>
        </is>
      </c>
      <c r="G64" t="inlineStr">
        <is>
          <t>NA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9</t>
        </is>
      </c>
      <c r="O64" t="n">
        <v>365</v>
      </c>
      <c r="P64" t="n">
        <v>0</v>
      </c>
      <c r="Q64" t="n">
        <v>0</v>
      </c>
      <c r="R64" t="n">
        <v>0</v>
      </c>
      <c r="S64" t="n">
        <v>36.5</v>
      </c>
      <c r="T64" t="n">
        <v>0</v>
      </c>
      <c r="U64" t="n">
        <v>0</v>
      </c>
      <c r="V64" t="n">
        <v>16.43</v>
      </c>
      <c r="W64" t="n">
        <v>344.93</v>
      </c>
      <c r="X64" t="n">
        <v>328.5</v>
      </c>
      <c r="Y64" t="n">
        <v>0</v>
      </c>
      <c r="Z64" t="n">
        <v>0</v>
      </c>
      <c r="AA64" t="n">
        <v>328.5</v>
      </c>
      <c r="AB64" t="n">
        <v>23</v>
      </c>
      <c r="AC64" t="n">
        <v>75.56</v>
      </c>
      <c r="AD64" t="n">
        <v>1.84</v>
      </c>
      <c r="AE64" t="n">
        <v>0</v>
      </c>
      <c r="AF64" t="n">
        <v>0</v>
      </c>
      <c r="AG64" t="n">
        <v>0</v>
      </c>
      <c r="AH64" t="n">
        <v>6.35</v>
      </c>
      <c r="AI64" t="n">
        <v>81.91</v>
      </c>
      <c r="AJ64" t="n">
        <v>14.74</v>
      </c>
      <c r="AK64" t="n">
        <v>0</v>
      </c>
      <c r="AL64" t="n">
        <v>328.5</v>
      </c>
      <c r="AM64" t="n">
        <v>0</v>
      </c>
      <c r="AN64" t="n">
        <v>0</v>
      </c>
      <c r="AO64" t="n">
        <v>0.33</v>
      </c>
      <c r="AP64" t="n">
        <v>16.43</v>
      </c>
      <c r="AQ64" t="n">
        <v>0</v>
      </c>
      <c r="AR64" t="n">
        <v>31.5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113.41</v>
      </c>
      <c r="BC64" t="n">
        <v>0</v>
      </c>
      <c r="BD64" t="n">
        <v>231.52</v>
      </c>
      <c r="BE64" t="inlineStr">
        <is>
          <t>settled</t>
        </is>
      </c>
      <c r="BF64" t="inlineStr">
        <is>
          <t>2025-12-24 05:30:00</t>
        </is>
      </c>
      <c r="BG64" t="inlineStr">
        <is>
          <t>CITIN25674376566</t>
        </is>
      </c>
      <c r="BH64" t="n">
        <v>0</v>
      </c>
      <c r="BI64" t="inlineStr">
        <is>
          <t>6c8e49881cce7f4a20b2f409ad64a05c24bdc0c97006689a788fec299b547577</t>
        </is>
      </c>
    </row>
    <row r="65">
      <c r="A65" t="inlineStr">
        <is>
          <t>60</t>
        </is>
      </c>
      <c r="B65" t="inlineStr">
        <is>
          <t>7599721888</t>
        </is>
      </c>
      <c r="C65" t="inlineStr">
        <is>
          <t>2025-12-20 19:18:52</t>
        </is>
      </c>
      <c r="D65" t="inlineStr">
        <is>
          <t>51</t>
        </is>
      </c>
      <c r="E65" t="inlineStr">
        <is>
          <t>Baba Yaga Art Of Chinese - By Posh Foods</t>
        </is>
      </c>
      <c r="F65" t="inlineStr">
        <is>
          <t>20037890</t>
        </is>
      </c>
      <c r="G65" t="inlineStr">
        <is>
          <t>Flat ₹150 off (2025-12-18 - 2031-01-01)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9</t>
        </is>
      </c>
      <c r="O65" t="n">
        <v>560</v>
      </c>
      <c r="P65" t="n">
        <v>0</v>
      </c>
      <c r="Q65" t="n">
        <v>0</v>
      </c>
      <c r="R65" t="n">
        <v>150</v>
      </c>
      <c r="S65" t="n">
        <v>41</v>
      </c>
      <c r="T65" t="n">
        <v>0</v>
      </c>
      <c r="U65" t="n">
        <v>0</v>
      </c>
      <c r="V65" t="n">
        <v>18.45</v>
      </c>
      <c r="W65" t="n">
        <v>387.45</v>
      </c>
      <c r="X65" t="n">
        <v>369</v>
      </c>
      <c r="Y65" t="n">
        <v>0</v>
      </c>
      <c r="Z65" t="n">
        <v>0</v>
      </c>
      <c r="AA65" t="n">
        <v>369</v>
      </c>
      <c r="AB65" t="n">
        <v>23</v>
      </c>
      <c r="AC65" t="n">
        <v>84.87</v>
      </c>
      <c r="AD65" t="n">
        <v>5.47</v>
      </c>
      <c r="AE65" t="n">
        <v>20</v>
      </c>
      <c r="AF65" t="n">
        <v>0</v>
      </c>
      <c r="AG65" t="n">
        <v>0</v>
      </c>
      <c r="AH65" t="n">
        <v>7.13</v>
      </c>
      <c r="AI65" t="n">
        <v>112</v>
      </c>
      <c r="AJ65" t="n">
        <v>20.16</v>
      </c>
      <c r="AK65" t="n">
        <v>0</v>
      </c>
      <c r="AL65" t="n">
        <v>369</v>
      </c>
      <c r="AM65" t="n">
        <v>0</v>
      </c>
      <c r="AN65" t="n">
        <v>0</v>
      </c>
      <c r="AO65" t="n">
        <v>0.37</v>
      </c>
      <c r="AP65" t="n">
        <v>18.45</v>
      </c>
      <c r="AQ65" t="n">
        <v>0</v>
      </c>
      <c r="AR65" t="n">
        <v>38.98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43.54</v>
      </c>
      <c r="AY65" t="n">
        <v>0</v>
      </c>
      <c r="AZ65" t="n">
        <v>0</v>
      </c>
      <c r="BA65" t="n">
        <v>43.54</v>
      </c>
      <c r="BB65" t="n">
        <v>194.52</v>
      </c>
      <c r="BC65" t="n">
        <v>0</v>
      </c>
      <c r="BD65" t="n">
        <v>192.93</v>
      </c>
      <c r="BE65" t="inlineStr">
        <is>
          <t>settled</t>
        </is>
      </c>
      <c r="BF65" t="inlineStr">
        <is>
          <t>2025-12-24 05:30:00</t>
        </is>
      </c>
      <c r="BG65" t="inlineStr">
        <is>
          <t>CITIN25674376566</t>
        </is>
      </c>
      <c r="BH65" t="n">
        <v>0</v>
      </c>
      <c r="BI65" t="inlineStr">
        <is>
          <t>917dfa7ceb68e29e6c4f789cb768b77c2fe1f3c3e7f6f5b40d419ef41f0286a1</t>
        </is>
      </c>
    </row>
    <row r="66">
      <c r="A66" t="inlineStr">
        <is>
          <t>61</t>
        </is>
      </c>
      <c r="B66" t="inlineStr">
        <is>
          <t>7595509242</t>
        </is>
      </c>
      <c r="C66" t="inlineStr">
        <is>
          <t>2025-12-20 21:23:57</t>
        </is>
      </c>
      <c r="D66" t="inlineStr">
        <is>
          <t>51</t>
        </is>
      </c>
      <c r="E66" t="inlineStr">
        <is>
          <t>Baba Yaga Art Of Chinese - By Posh Foods</t>
        </is>
      </c>
      <c r="F66" t="inlineStr">
        <is>
          <t>20037890</t>
        </is>
      </c>
      <c r="G66" t="inlineStr">
        <is>
          <t>Flat ₹80 off (2025-12-08 - 2031-01-01)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9</t>
        </is>
      </c>
      <c r="O66" t="n">
        <v>265</v>
      </c>
      <c r="P66" t="n">
        <v>0</v>
      </c>
      <c r="Q66" t="n">
        <v>0</v>
      </c>
      <c r="R66" t="n">
        <v>56</v>
      </c>
      <c r="S66" t="n">
        <v>0</v>
      </c>
      <c r="T66" t="n">
        <v>0</v>
      </c>
      <c r="U66" t="n">
        <v>0</v>
      </c>
      <c r="V66" t="n">
        <v>10.45</v>
      </c>
      <c r="W66" t="n">
        <v>219.45</v>
      </c>
      <c r="X66" t="n">
        <v>209</v>
      </c>
      <c r="Y66" t="n">
        <v>0</v>
      </c>
      <c r="Z66" t="n">
        <v>0</v>
      </c>
      <c r="AA66" t="n">
        <v>209</v>
      </c>
      <c r="AB66" t="n">
        <v>23</v>
      </c>
      <c r="AC66" t="n">
        <v>48.07</v>
      </c>
      <c r="AD66" t="n">
        <v>4.88</v>
      </c>
      <c r="AE66" t="n">
        <v>20</v>
      </c>
      <c r="AF66" t="n">
        <v>0</v>
      </c>
      <c r="AG66" t="n">
        <v>5.37</v>
      </c>
      <c r="AH66" t="n">
        <v>4.04</v>
      </c>
      <c r="AI66" t="n">
        <v>66.73999999999999</v>
      </c>
      <c r="AJ66" t="n">
        <v>12.01</v>
      </c>
      <c r="AK66" t="n">
        <v>0</v>
      </c>
      <c r="AL66" t="n">
        <v>209</v>
      </c>
      <c r="AM66" t="n">
        <v>0</v>
      </c>
      <c r="AN66" t="n">
        <v>0</v>
      </c>
      <c r="AO66" t="n">
        <v>0.21</v>
      </c>
      <c r="AP66" t="n">
        <v>10.45</v>
      </c>
      <c r="AQ66" t="n">
        <v>0</v>
      </c>
      <c r="AR66" t="n">
        <v>22.67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89.41</v>
      </c>
      <c r="BC66" t="n">
        <v>0</v>
      </c>
      <c r="BD66" t="n">
        <v>130.04</v>
      </c>
      <c r="BE66" t="inlineStr">
        <is>
          <t>settled</t>
        </is>
      </c>
      <c r="BF66" t="inlineStr">
        <is>
          <t>2025-12-24 05:30:00</t>
        </is>
      </c>
      <c r="BG66" t="inlineStr">
        <is>
          <t>CITIN25674376566</t>
        </is>
      </c>
      <c r="BH66" t="n">
        <v>0</v>
      </c>
      <c r="BI66" t="inlineStr">
        <is>
          <t>ad02f9f269c15b32b240789fa2bc30d9bbb7279465c03f6d825861521ab1efbb</t>
        </is>
      </c>
    </row>
    <row r="67">
      <c r="A67" t="inlineStr">
        <is>
          <t>62</t>
        </is>
      </c>
      <c r="B67" t="inlineStr">
        <is>
          <t>7601372312</t>
        </is>
      </c>
      <c r="C67" t="inlineStr">
        <is>
          <t>2025-12-20 22:39:17</t>
        </is>
      </c>
      <c r="D67" t="inlineStr">
        <is>
          <t>51</t>
        </is>
      </c>
      <c r="E67" t="inlineStr">
        <is>
          <t>Baba Yaga Art Of Chinese - By Posh Foods</t>
        </is>
      </c>
      <c r="F67" t="inlineStr">
        <is>
          <t>20037890</t>
        </is>
      </c>
      <c r="G67" t="inlineStr">
        <is>
          <t>Flat ₹150 off (2025-12-08 - 2031-01-01)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9</t>
        </is>
      </c>
      <c r="O67" t="n">
        <v>580</v>
      </c>
      <c r="P67" t="n">
        <v>0</v>
      </c>
      <c r="Q67" t="n">
        <v>0</v>
      </c>
      <c r="R67" t="n">
        <v>105</v>
      </c>
      <c r="S67" t="n">
        <v>43</v>
      </c>
      <c r="T67" t="n">
        <v>0</v>
      </c>
      <c r="U67" t="n">
        <v>0</v>
      </c>
      <c r="V67" t="n">
        <v>21.6</v>
      </c>
      <c r="W67" t="n">
        <v>453.6</v>
      </c>
      <c r="X67" t="n">
        <v>432</v>
      </c>
      <c r="Y67" t="n">
        <v>0</v>
      </c>
      <c r="Z67" t="n">
        <v>0</v>
      </c>
      <c r="AA67" t="n">
        <v>432</v>
      </c>
      <c r="AB67" t="n">
        <v>23</v>
      </c>
      <c r="AC67" t="n">
        <v>99.36</v>
      </c>
      <c r="AD67" t="n">
        <v>2.95</v>
      </c>
      <c r="AE67" t="n">
        <v>0</v>
      </c>
      <c r="AF67" t="n">
        <v>0</v>
      </c>
      <c r="AG67" t="n">
        <v>0</v>
      </c>
      <c r="AH67" t="n">
        <v>8.35</v>
      </c>
      <c r="AI67" t="n">
        <v>107.71</v>
      </c>
      <c r="AJ67" t="n">
        <v>19.38</v>
      </c>
      <c r="AK67" t="n">
        <v>0</v>
      </c>
      <c r="AL67" t="n">
        <v>432</v>
      </c>
      <c r="AM67" t="n">
        <v>0</v>
      </c>
      <c r="AN67" t="n">
        <v>0</v>
      </c>
      <c r="AO67" t="n">
        <v>0.43</v>
      </c>
      <c r="AP67" t="n">
        <v>21.6</v>
      </c>
      <c r="AQ67" t="n">
        <v>0</v>
      </c>
      <c r="AR67" t="n">
        <v>41.41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50.98</v>
      </c>
      <c r="AY67" t="n">
        <v>0</v>
      </c>
      <c r="AZ67" t="n">
        <v>0</v>
      </c>
      <c r="BA67" t="n">
        <v>50.98</v>
      </c>
      <c r="BB67" t="n">
        <v>200.1</v>
      </c>
      <c r="BC67" t="n">
        <v>0</v>
      </c>
      <c r="BD67" t="n">
        <v>253.5</v>
      </c>
      <c r="BE67" t="inlineStr">
        <is>
          <t>settled</t>
        </is>
      </c>
      <c r="BF67" t="inlineStr">
        <is>
          <t>2025-12-24 05:30:00</t>
        </is>
      </c>
      <c r="BG67" t="inlineStr">
        <is>
          <t>CITIN25674376566</t>
        </is>
      </c>
      <c r="BH67" t="n">
        <v>0</v>
      </c>
      <c r="BI67" t="inlineStr">
        <is>
          <t>5ea697cd4209dc3cdf82f1b41802a5f3be6e8d5c17a464476dc204d7874219cc</t>
        </is>
      </c>
    </row>
    <row r="68">
      <c r="A68" t="inlineStr">
        <is>
          <t>63</t>
        </is>
      </c>
      <c r="B68" t="inlineStr">
        <is>
          <t>7588828202</t>
        </is>
      </c>
      <c r="C68" t="inlineStr">
        <is>
          <t>2025-12-21 11:59:25</t>
        </is>
      </c>
      <c r="D68" t="inlineStr">
        <is>
          <t>51</t>
        </is>
      </c>
      <c r="E68" t="inlineStr">
        <is>
          <t>Baba Yaga Art Of Chinese - By Posh Foods</t>
        </is>
      </c>
      <c r="F68" t="inlineStr">
        <is>
          <t>20037890</t>
        </is>
      </c>
      <c r="G68" t="inlineStr">
        <is>
          <t>NA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9</t>
        </is>
      </c>
      <c r="O68" t="n">
        <v>319</v>
      </c>
      <c r="P68" t="n">
        <v>0</v>
      </c>
      <c r="Q68" t="n">
        <v>0</v>
      </c>
      <c r="R68" t="n">
        <v>0</v>
      </c>
      <c r="S68" t="n">
        <v>139.9</v>
      </c>
      <c r="T68" t="n">
        <v>0</v>
      </c>
      <c r="U68" t="n">
        <v>0</v>
      </c>
      <c r="V68" t="n">
        <v>8.960000000000001</v>
      </c>
      <c r="W68" t="n">
        <v>188.06</v>
      </c>
      <c r="X68" t="n">
        <v>179.1</v>
      </c>
      <c r="Y68" t="n">
        <v>0</v>
      </c>
      <c r="Z68" t="n">
        <v>0</v>
      </c>
      <c r="AA68" t="n">
        <v>179.1</v>
      </c>
      <c r="AB68" t="n">
        <v>23</v>
      </c>
      <c r="AC68" t="n">
        <v>41.19</v>
      </c>
      <c r="AD68" t="n">
        <v>8.27</v>
      </c>
      <c r="AE68" t="n">
        <v>40</v>
      </c>
      <c r="AF68" t="n">
        <v>0</v>
      </c>
      <c r="AG68" t="n">
        <v>27.46</v>
      </c>
      <c r="AH68" t="n">
        <v>3.46</v>
      </c>
      <c r="AI68" t="n">
        <v>57.19</v>
      </c>
      <c r="AJ68" t="n">
        <v>10.29</v>
      </c>
      <c r="AK68" t="n">
        <v>0</v>
      </c>
      <c r="AL68" t="n">
        <v>179.1</v>
      </c>
      <c r="AM68" t="n">
        <v>0</v>
      </c>
      <c r="AN68" t="n">
        <v>0</v>
      </c>
      <c r="AO68" t="n">
        <v>0.18</v>
      </c>
      <c r="AP68" t="n">
        <v>8.960000000000001</v>
      </c>
      <c r="AQ68" t="n">
        <v>0</v>
      </c>
      <c r="AR68" t="n">
        <v>19.43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76.62</v>
      </c>
      <c r="BC68" t="n">
        <v>0</v>
      </c>
      <c r="BD68" t="n">
        <v>111.44</v>
      </c>
      <c r="BE68" t="inlineStr">
        <is>
          <t>settled</t>
        </is>
      </c>
      <c r="BF68" t="inlineStr">
        <is>
          <t>2025-12-24 05:30:00</t>
        </is>
      </c>
      <c r="BG68" t="inlineStr">
        <is>
          <t>CITIN25674376566</t>
        </is>
      </c>
      <c r="BH68" t="n">
        <v>0</v>
      </c>
      <c r="BI68" t="inlineStr">
        <is>
          <t>9c0936a3611bac7b029d2971a2c55a3b4fcb3d563c595561520aa1ccdd3c684f</t>
        </is>
      </c>
    </row>
    <row r="69">
      <c r="A69" t="inlineStr">
        <is>
          <t>64</t>
        </is>
      </c>
      <c r="B69" t="inlineStr">
        <is>
          <t>7596047916</t>
        </is>
      </c>
      <c r="C69" t="inlineStr">
        <is>
          <t>2025-12-21 12:55:54</t>
        </is>
      </c>
      <c r="D69" t="inlineStr">
        <is>
          <t>51</t>
        </is>
      </c>
      <c r="E69" t="inlineStr">
        <is>
          <t>Baba Yaga Art Of Chinese - By Posh Foods</t>
        </is>
      </c>
      <c r="F69" t="inlineStr">
        <is>
          <t>20037890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9</t>
        </is>
      </c>
      <c r="O69" t="n">
        <v>280</v>
      </c>
      <c r="P69" t="n">
        <v>0</v>
      </c>
      <c r="Q69" t="n">
        <v>0</v>
      </c>
      <c r="R69" t="n">
        <v>0</v>
      </c>
      <c r="S69" t="n">
        <v>120</v>
      </c>
      <c r="T69" t="n">
        <v>0</v>
      </c>
      <c r="U69" t="n">
        <v>0</v>
      </c>
      <c r="V69" t="n">
        <v>8</v>
      </c>
      <c r="W69" t="n">
        <v>168</v>
      </c>
      <c r="X69" t="n">
        <v>160</v>
      </c>
      <c r="Y69" t="n">
        <v>0</v>
      </c>
      <c r="Z69" t="n">
        <v>0</v>
      </c>
      <c r="AA69" t="n">
        <v>160</v>
      </c>
      <c r="AB69" t="n">
        <v>23</v>
      </c>
      <c r="AC69" t="n">
        <v>36.8</v>
      </c>
      <c r="AD69" t="n">
        <v>5.02</v>
      </c>
      <c r="AE69" t="n">
        <v>20</v>
      </c>
      <c r="AF69" t="n">
        <v>0</v>
      </c>
      <c r="AG69" t="n">
        <v>8.800000000000001</v>
      </c>
      <c r="AH69" t="n">
        <v>3.09</v>
      </c>
      <c r="AI69" t="n">
        <v>51.09</v>
      </c>
      <c r="AJ69" t="n">
        <v>9.199999999999999</v>
      </c>
      <c r="AK69" t="n">
        <v>0</v>
      </c>
      <c r="AL69" t="n">
        <v>160</v>
      </c>
      <c r="AM69" t="n">
        <v>0</v>
      </c>
      <c r="AN69" t="n">
        <v>0</v>
      </c>
      <c r="AO69" t="n">
        <v>0.16</v>
      </c>
      <c r="AP69" t="n">
        <v>8</v>
      </c>
      <c r="AQ69" t="n">
        <v>0</v>
      </c>
      <c r="AR69" t="n">
        <v>17.36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68.45</v>
      </c>
      <c r="BC69" t="n">
        <v>0</v>
      </c>
      <c r="BD69" t="n">
        <v>99.55</v>
      </c>
      <c r="BE69" t="inlineStr">
        <is>
          <t>settled</t>
        </is>
      </c>
      <c r="BF69" t="inlineStr">
        <is>
          <t>2025-12-24 05:30:00</t>
        </is>
      </c>
      <c r="BG69" t="inlineStr">
        <is>
          <t>CITIN25674376566</t>
        </is>
      </c>
      <c r="BH69" t="n">
        <v>0</v>
      </c>
      <c r="BI69" t="inlineStr">
        <is>
          <t>67745788c1292743084554cd21a2f540cbb4ad12c1d43812dc9ec0579773422f</t>
        </is>
      </c>
    </row>
    <row r="70">
      <c r="A70" t="inlineStr">
        <is>
          <t>65</t>
        </is>
      </c>
      <c r="B70" t="inlineStr">
        <is>
          <t>7596617852</t>
        </is>
      </c>
      <c r="C70" t="inlineStr">
        <is>
          <t>2025-12-21 15:28:49</t>
        </is>
      </c>
      <c r="D70" t="inlineStr">
        <is>
          <t>51</t>
        </is>
      </c>
      <c r="E70" t="inlineStr">
        <is>
          <t>Baba Yaga Art Of Chinese - By Posh Foods</t>
        </is>
      </c>
      <c r="F70" t="inlineStr">
        <is>
          <t>20037890</t>
        </is>
      </c>
      <c r="G70" t="inlineStr">
        <is>
          <t>Flat ₹125 off (2025-12-21 - 2031-01-01)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9</t>
        </is>
      </c>
      <c r="O70" t="n">
        <v>375</v>
      </c>
      <c r="P70" t="n">
        <v>0</v>
      </c>
      <c r="Q70" t="n">
        <v>0</v>
      </c>
      <c r="R70" t="n">
        <v>87</v>
      </c>
      <c r="S70" t="n">
        <v>25</v>
      </c>
      <c r="T70" t="n">
        <v>0</v>
      </c>
      <c r="U70" t="n">
        <v>0</v>
      </c>
      <c r="V70" t="n">
        <v>13.15</v>
      </c>
      <c r="W70" t="n">
        <v>276.15</v>
      </c>
      <c r="X70" t="n">
        <v>263</v>
      </c>
      <c r="Y70" t="n">
        <v>0</v>
      </c>
      <c r="Z70" t="n">
        <v>0</v>
      </c>
      <c r="AA70" t="n">
        <v>263</v>
      </c>
      <c r="AB70" t="n">
        <v>23</v>
      </c>
      <c r="AC70" t="n">
        <v>60.49</v>
      </c>
      <c r="AD70" t="n">
        <v>2.27</v>
      </c>
      <c r="AE70" t="n">
        <v>0</v>
      </c>
      <c r="AF70" t="n">
        <v>0</v>
      </c>
      <c r="AG70" t="n">
        <v>0</v>
      </c>
      <c r="AH70" t="n">
        <v>5.08</v>
      </c>
      <c r="AI70" t="n">
        <v>65.56999999999999</v>
      </c>
      <c r="AJ70" t="n">
        <v>11.8</v>
      </c>
      <c r="AK70" t="n">
        <v>0</v>
      </c>
      <c r="AL70" t="n">
        <v>263</v>
      </c>
      <c r="AM70" t="n">
        <v>0</v>
      </c>
      <c r="AN70" t="n">
        <v>0</v>
      </c>
      <c r="AO70" t="n">
        <v>0.26</v>
      </c>
      <c r="AP70" t="n">
        <v>13.15</v>
      </c>
      <c r="AQ70" t="n">
        <v>0</v>
      </c>
      <c r="AR70" t="n">
        <v>25.21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90.78</v>
      </c>
      <c r="BC70" t="n">
        <v>0</v>
      </c>
      <c r="BD70" t="n">
        <v>185.37</v>
      </c>
      <c r="BE70" t="inlineStr">
        <is>
          <t>settled</t>
        </is>
      </c>
      <c r="BF70" t="inlineStr">
        <is>
          <t>2025-12-24 05:30:00</t>
        </is>
      </c>
      <c r="BG70" t="inlineStr">
        <is>
          <t>CITIN25674376566</t>
        </is>
      </c>
      <c r="BH70" t="n">
        <v>0</v>
      </c>
      <c r="BI70" t="inlineStr">
        <is>
          <t>4043d1275b434a1ad2a2287425bedf374ab15531b3a5099bdfe4323723e5562b</t>
        </is>
      </c>
    </row>
    <row r="71">
      <c r="A71" t="inlineStr">
        <is>
          <t>66</t>
        </is>
      </c>
      <c r="B71" t="inlineStr">
        <is>
          <t>7607162661</t>
        </is>
      </c>
      <c r="C71" t="inlineStr">
        <is>
          <t>2025-12-21 19:25:03</t>
        </is>
      </c>
      <c r="D71" t="inlineStr">
        <is>
          <t>51</t>
        </is>
      </c>
      <c r="E71" t="inlineStr">
        <is>
          <t>Baba Yaga Art Of Chinese - By Posh Foods</t>
        </is>
      </c>
      <c r="F71" t="inlineStr">
        <is>
          <t>20037890</t>
        </is>
      </c>
      <c r="G71" t="inlineStr">
        <is>
          <t>NA</t>
        </is>
      </c>
      <c r="H71" t="inlineStr">
        <is>
          <t>ONLINE</t>
        </is>
      </c>
      <c r="I71" t="inlineStr">
        <is>
          <t>CANCELLED</t>
        </is>
      </c>
      <c r="J71" t="inlineStr">
        <is>
          <t>100%</t>
        </is>
      </c>
      <c r="K71" t="inlineStr">
        <is>
          <t>Customer cancellation due to delay</t>
        </is>
      </c>
      <c r="L71" t="inlineStr">
        <is>
          <t>Order picked up by rider</t>
        </is>
      </c>
      <c r="M71" t="inlineStr">
        <is>
          <t>O2</t>
        </is>
      </c>
      <c r="N71" t="inlineStr">
        <is>
          <t>NA</t>
        </is>
      </c>
      <c r="O71" t="n">
        <v>545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545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345.69</v>
      </c>
      <c r="BD71" t="n">
        <v>345.69</v>
      </c>
      <c r="BE71" t="inlineStr">
        <is>
          <t>settled</t>
        </is>
      </c>
      <c r="BF71" t="inlineStr">
        <is>
          <t>2025-12-24 05:30:00</t>
        </is>
      </c>
      <c r="BG71" t="inlineStr">
        <is>
          <t>CITIN25674376566</t>
        </is>
      </c>
      <c r="BH71" t="n">
        <v>0</v>
      </c>
      <c r="BI71" t="inlineStr">
        <is>
          <t>NA</t>
        </is>
      </c>
    </row>
    <row r="72">
      <c r="A72" t="inlineStr">
        <is>
          <t>67</t>
        </is>
      </c>
      <c r="B72" t="inlineStr">
        <is>
          <t>7605308143</t>
        </is>
      </c>
      <c r="C72" t="inlineStr">
        <is>
          <t>2025-12-21 19:36:21</t>
        </is>
      </c>
      <c r="D72" t="inlineStr">
        <is>
          <t>51</t>
        </is>
      </c>
      <c r="E72" t="inlineStr">
        <is>
          <t>Baba Yaga Art Of Chinese - By Posh Foods</t>
        </is>
      </c>
      <c r="F72" t="inlineStr">
        <is>
          <t>20037890</t>
        </is>
      </c>
      <c r="G72" t="inlineStr">
        <is>
          <t>Flat ₹175 off (2025-12-21 - 2031-01-01)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9</t>
        </is>
      </c>
      <c r="O72" t="n">
        <v>754</v>
      </c>
      <c r="P72" t="n">
        <v>0</v>
      </c>
      <c r="Q72" t="n">
        <v>0</v>
      </c>
      <c r="R72" t="n">
        <v>175</v>
      </c>
      <c r="S72" t="n">
        <v>57.9</v>
      </c>
      <c r="T72" t="n">
        <v>0</v>
      </c>
      <c r="U72" t="n">
        <v>0</v>
      </c>
      <c r="V72" t="n">
        <v>26.06</v>
      </c>
      <c r="W72" t="n">
        <v>547.16</v>
      </c>
      <c r="X72" t="n">
        <v>521.1</v>
      </c>
      <c r="Y72" t="n">
        <v>0</v>
      </c>
      <c r="Z72" t="n">
        <v>0</v>
      </c>
      <c r="AA72" t="n">
        <v>521.1</v>
      </c>
      <c r="AB72" t="n">
        <v>23</v>
      </c>
      <c r="AC72" t="n">
        <v>119.85</v>
      </c>
      <c r="AD72" t="n">
        <v>3.49</v>
      </c>
      <c r="AE72" t="n">
        <v>0</v>
      </c>
      <c r="AF72" t="n">
        <v>0</v>
      </c>
      <c r="AG72" t="n">
        <v>0</v>
      </c>
      <c r="AH72" t="n">
        <v>10.07</v>
      </c>
      <c r="AI72" t="n">
        <v>129.92</v>
      </c>
      <c r="AJ72" t="n">
        <v>23.38</v>
      </c>
      <c r="AK72" t="n">
        <v>0</v>
      </c>
      <c r="AL72" t="n">
        <v>521.1</v>
      </c>
      <c r="AM72" t="n">
        <v>0</v>
      </c>
      <c r="AN72" t="n">
        <v>0</v>
      </c>
      <c r="AO72" t="n">
        <v>0.52</v>
      </c>
      <c r="AP72" t="n">
        <v>26.06</v>
      </c>
      <c r="AQ72" t="n">
        <v>0</v>
      </c>
      <c r="AR72" t="n">
        <v>49.96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179.88</v>
      </c>
      <c r="BC72" t="n">
        <v>0</v>
      </c>
      <c r="BD72" t="n">
        <v>367.28</v>
      </c>
      <c r="BE72" t="inlineStr">
        <is>
          <t>settled</t>
        </is>
      </c>
      <c r="BF72" t="inlineStr">
        <is>
          <t>2025-12-24 05:30:00</t>
        </is>
      </c>
      <c r="BG72" t="inlineStr">
        <is>
          <t>CITIN25674376566</t>
        </is>
      </c>
      <c r="BH72" t="n">
        <v>0</v>
      </c>
      <c r="BI72" t="inlineStr">
        <is>
          <t>f083efe56c6675ea4ea26f046a1299069c7c88b406bb2c72679d5ab063e2d899</t>
        </is>
      </c>
    </row>
    <row r="73">
      <c r="A73" t="inlineStr">
        <is>
          <t>68</t>
        </is>
      </c>
      <c r="B73" t="inlineStr">
        <is>
          <t>7607558434</t>
        </is>
      </c>
      <c r="C73" t="inlineStr">
        <is>
          <t>2025-12-21 20:19:26</t>
        </is>
      </c>
      <c r="D73" t="inlineStr">
        <is>
          <t>51</t>
        </is>
      </c>
      <c r="E73" t="inlineStr">
        <is>
          <t>Baba Yaga Art Of Chinese - By Posh Foods</t>
        </is>
      </c>
      <c r="F73" t="inlineStr">
        <is>
          <t>20037890</t>
        </is>
      </c>
      <c r="G73" t="inlineStr">
        <is>
          <t>Flat ₹100 off (2025-12-21 - 2031-01-01)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9</t>
        </is>
      </c>
      <c r="O73" t="n">
        <v>365</v>
      </c>
      <c r="P73" t="n">
        <v>0</v>
      </c>
      <c r="Q73" t="n">
        <v>0</v>
      </c>
      <c r="R73" t="n">
        <v>70</v>
      </c>
      <c r="S73" t="n">
        <v>26.5</v>
      </c>
      <c r="T73" t="n">
        <v>0</v>
      </c>
      <c r="U73" t="n">
        <v>0</v>
      </c>
      <c r="V73" t="n">
        <v>13.43</v>
      </c>
      <c r="W73" t="n">
        <v>281.93</v>
      </c>
      <c r="X73" t="n">
        <v>268.5</v>
      </c>
      <c r="Y73" t="n">
        <v>0</v>
      </c>
      <c r="Z73" t="n">
        <v>0</v>
      </c>
      <c r="AA73" t="n">
        <v>268.5</v>
      </c>
      <c r="AB73" t="n">
        <v>23</v>
      </c>
      <c r="AC73" t="n">
        <v>61.76</v>
      </c>
      <c r="AD73" t="n">
        <v>5.02</v>
      </c>
      <c r="AE73" t="n">
        <v>20</v>
      </c>
      <c r="AF73" t="n">
        <v>0</v>
      </c>
      <c r="AG73" t="n">
        <v>1.21</v>
      </c>
      <c r="AH73" t="n">
        <v>5.19</v>
      </c>
      <c r="AI73" t="n">
        <v>85.73999999999999</v>
      </c>
      <c r="AJ73" t="n">
        <v>15.43</v>
      </c>
      <c r="AK73" t="n">
        <v>0</v>
      </c>
      <c r="AL73" t="n">
        <v>268.5</v>
      </c>
      <c r="AM73" t="n">
        <v>0</v>
      </c>
      <c r="AN73" t="n">
        <v>0</v>
      </c>
      <c r="AO73" t="n">
        <v>0.27</v>
      </c>
      <c r="AP73" t="n">
        <v>13.43</v>
      </c>
      <c r="AQ73" t="n">
        <v>0</v>
      </c>
      <c r="AR73" t="n">
        <v>29.13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114.87</v>
      </c>
      <c r="BC73" t="n">
        <v>0</v>
      </c>
      <c r="BD73" t="n">
        <v>167.06</v>
      </c>
      <c r="BE73" t="inlineStr">
        <is>
          <t>settled</t>
        </is>
      </c>
      <c r="BF73" t="inlineStr">
        <is>
          <t>2025-12-24 05:30:00</t>
        </is>
      </c>
      <c r="BG73" t="inlineStr">
        <is>
          <t>CITIN25674376566</t>
        </is>
      </c>
      <c r="BH73" t="n">
        <v>0</v>
      </c>
      <c r="BI73" t="inlineStr">
        <is>
          <t>b8e5777dae90fee3a49fc7ee78dbd0dfdf4d14072a1fc29d5406d5f3a7d35d70</t>
        </is>
      </c>
    </row>
    <row r="74">
      <c r="A74" t="inlineStr">
        <is>
          <t>69</t>
        </is>
      </c>
      <c r="B74" t="inlineStr">
        <is>
          <t>7607585711</t>
        </is>
      </c>
      <c r="C74" t="inlineStr">
        <is>
          <t>2025-12-21 20:24:24</t>
        </is>
      </c>
      <c r="D74" t="inlineStr">
        <is>
          <t>51</t>
        </is>
      </c>
      <c r="E74" t="inlineStr">
        <is>
          <t>Baba Yaga Art Of Chinese - By Posh Foods</t>
        </is>
      </c>
      <c r="F74" t="inlineStr">
        <is>
          <t>20037890</t>
        </is>
      </c>
      <c r="G74" t="inlineStr">
        <is>
          <t>NA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RELISTING</t>
        </is>
      </c>
      <c r="N74" t="inlineStr">
        <is>
          <t>9</t>
        </is>
      </c>
      <c r="O74" t="n">
        <v>545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27.25</v>
      </c>
      <c r="W74" t="n">
        <v>572.25</v>
      </c>
      <c r="X74" t="n">
        <v>545</v>
      </c>
      <c r="Y74" t="n">
        <v>0</v>
      </c>
      <c r="Z74" t="n">
        <v>0</v>
      </c>
      <c r="AA74" t="n">
        <v>545</v>
      </c>
      <c r="AB74" t="n">
        <v>74.34</v>
      </c>
      <c r="AC74" t="n">
        <v>405.15</v>
      </c>
      <c r="AD74" t="n">
        <v>2.29</v>
      </c>
      <c r="AE74" t="n">
        <v>0</v>
      </c>
      <c r="AF74" t="n">
        <v>0</v>
      </c>
      <c r="AG74" t="n">
        <v>0</v>
      </c>
      <c r="AH74" t="n">
        <v>10.53</v>
      </c>
      <c r="AI74" t="n">
        <v>415.68</v>
      </c>
      <c r="AJ74" t="n">
        <v>74.83</v>
      </c>
      <c r="AK74" t="n">
        <v>0</v>
      </c>
      <c r="AL74" t="n">
        <v>545</v>
      </c>
      <c r="AM74" t="n">
        <v>0</v>
      </c>
      <c r="AN74" t="n">
        <v>0</v>
      </c>
      <c r="AO74" t="n">
        <v>0.54</v>
      </c>
      <c r="AP74" t="n">
        <v>27.25</v>
      </c>
      <c r="AQ74" t="n">
        <v>0</v>
      </c>
      <c r="AR74" t="n">
        <v>102.62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518.3</v>
      </c>
      <c r="BC74" t="n">
        <v>0</v>
      </c>
      <c r="BD74" t="n">
        <v>53.95</v>
      </c>
      <c r="BE74" t="inlineStr">
        <is>
          <t>settled</t>
        </is>
      </c>
      <c r="BF74" t="inlineStr">
        <is>
          <t>2025-12-24 05:30:00</t>
        </is>
      </c>
      <c r="BG74" t="inlineStr">
        <is>
          <t>CITIN25674376566</t>
        </is>
      </c>
      <c r="BH74" t="n">
        <v>0</v>
      </c>
      <c r="BI74" t="inlineStr">
        <is>
          <t>7e8e2276d78060eaab3ddd37376ac0f595862c3a42f760417c606692081b26c3</t>
        </is>
      </c>
    </row>
    <row r="75">
      <c r="A75" t="inlineStr">
        <is>
          <t>70</t>
        </is>
      </c>
      <c r="B75" t="inlineStr">
        <is>
          <t>7600107318</t>
        </is>
      </c>
      <c r="C75" t="inlineStr">
        <is>
          <t>2025-12-21 20:26:42</t>
        </is>
      </c>
      <c r="D75" t="inlineStr">
        <is>
          <t>51</t>
        </is>
      </c>
      <c r="E75" t="inlineStr">
        <is>
          <t>Baba Yaga Art Of Chinese - By Posh Foods</t>
        </is>
      </c>
      <c r="F75" t="inlineStr">
        <is>
          <t>20037890</t>
        </is>
      </c>
      <c r="G75" t="inlineStr">
        <is>
          <t>Flat ₹150 off (2025-12-21 - 2031-01-01)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9</t>
        </is>
      </c>
      <c r="O75" t="n">
        <v>715</v>
      </c>
      <c r="P75" t="n">
        <v>0</v>
      </c>
      <c r="Q75" t="n">
        <v>0</v>
      </c>
      <c r="R75" t="n">
        <v>150</v>
      </c>
      <c r="S75" t="n">
        <v>56.5</v>
      </c>
      <c r="T75" t="n">
        <v>0</v>
      </c>
      <c r="U75" t="n">
        <v>0</v>
      </c>
      <c r="V75" t="n">
        <v>25.43</v>
      </c>
      <c r="W75" t="n">
        <v>533.9299999999999</v>
      </c>
      <c r="X75" t="n">
        <v>508.5</v>
      </c>
      <c r="Y75" t="n">
        <v>0</v>
      </c>
      <c r="Z75" t="n">
        <v>0</v>
      </c>
      <c r="AA75" t="n">
        <v>508.5</v>
      </c>
      <c r="AB75" t="n">
        <v>23</v>
      </c>
      <c r="AC75" t="n">
        <v>116.96</v>
      </c>
      <c r="AD75" t="n">
        <v>3.04</v>
      </c>
      <c r="AE75" t="n">
        <v>0</v>
      </c>
      <c r="AF75" t="n">
        <v>0</v>
      </c>
      <c r="AG75" t="n">
        <v>0</v>
      </c>
      <c r="AH75" t="n">
        <v>9.82</v>
      </c>
      <c r="AI75" t="n">
        <v>126.78</v>
      </c>
      <c r="AJ75" t="n">
        <v>22.82</v>
      </c>
      <c r="AK75" t="n">
        <v>0</v>
      </c>
      <c r="AL75" t="n">
        <v>508.5</v>
      </c>
      <c r="AM75" t="n">
        <v>0</v>
      </c>
      <c r="AN75" t="n">
        <v>0</v>
      </c>
      <c r="AO75" t="n">
        <v>0.51</v>
      </c>
      <c r="AP75" t="n">
        <v>25.43</v>
      </c>
      <c r="AQ75" t="n">
        <v>0</v>
      </c>
      <c r="AR75" t="n">
        <v>48.76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175.54</v>
      </c>
      <c r="BC75" t="n">
        <v>0</v>
      </c>
      <c r="BD75" t="n">
        <v>358.39</v>
      </c>
      <c r="BE75" t="inlineStr">
        <is>
          <t>settled</t>
        </is>
      </c>
      <c r="BF75" t="inlineStr">
        <is>
          <t>2025-12-24 05:30:00</t>
        </is>
      </c>
      <c r="BG75" t="inlineStr">
        <is>
          <t>CITIN25674376566</t>
        </is>
      </c>
      <c r="BH75" t="n">
        <v>0</v>
      </c>
      <c r="BI75" t="inlineStr">
        <is>
          <t>404d9825da6be6313dbf7b258803f17c02ca551f9b87c3fc4a0b21e8fc54fc65</t>
        </is>
      </c>
    </row>
    <row r="76">
      <c r="A76" t="inlineStr">
        <is>
          <t>71</t>
        </is>
      </c>
      <c r="B76" t="inlineStr">
        <is>
          <t>7604340301</t>
        </is>
      </c>
      <c r="C76" t="inlineStr">
        <is>
          <t>2025-12-21 20:28:43</t>
        </is>
      </c>
      <c r="D76" t="inlineStr">
        <is>
          <t>51</t>
        </is>
      </c>
      <c r="E76" t="inlineStr">
        <is>
          <t>Baba Yaga Art Of Chinese - By Posh Foods</t>
        </is>
      </c>
      <c r="F76" t="inlineStr">
        <is>
          <t>20037890</t>
        </is>
      </c>
      <c r="G76" t="inlineStr">
        <is>
          <t>Flat ₹125 off (2025-12-21 - 2031-01-01)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9</t>
        </is>
      </c>
      <c r="O76" t="n">
        <v>415</v>
      </c>
      <c r="P76" t="n">
        <v>0</v>
      </c>
      <c r="Q76" t="n">
        <v>0</v>
      </c>
      <c r="R76" t="n">
        <v>125</v>
      </c>
      <c r="S76" t="n">
        <v>29</v>
      </c>
      <c r="T76" t="n">
        <v>0</v>
      </c>
      <c r="U76" t="n">
        <v>0</v>
      </c>
      <c r="V76" t="n">
        <v>13.05</v>
      </c>
      <c r="W76" t="n">
        <v>274.05</v>
      </c>
      <c r="X76" t="n">
        <v>261</v>
      </c>
      <c r="Y76" t="n">
        <v>0</v>
      </c>
      <c r="Z76" t="n">
        <v>0</v>
      </c>
      <c r="AA76" t="n">
        <v>261</v>
      </c>
      <c r="AB76" t="n">
        <v>23</v>
      </c>
      <c r="AC76" t="n">
        <v>60.03</v>
      </c>
      <c r="AD76" t="n">
        <v>4.13</v>
      </c>
      <c r="AE76" t="n">
        <v>20</v>
      </c>
      <c r="AF76" t="n">
        <v>0</v>
      </c>
      <c r="AG76" t="n">
        <v>1.73</v>
      </c>
      <c r="AH76" t="n">
        <v>5.04</v>
      </c>
      <c r="AI76" t="n">
        <v>83.34</v>
      </c>
      <c r="AJ76" t="n">
        <v>15.01</v>
      </c>
      <c r="AK76" t="n">
        <v>0</v>
      </c>
      <c r="AL76" t="n">
        <v>261</v>
      </c>
      <c r="AM76" t="n">
        <v>0</v>
      </c>
      <c r="AN76" t="n">
        <v>0</v>
      </c>
      <c r="AO76" t="n">
        <v>0.26</v>
      </c>
      <c r="AP76" t="n">
        <v>13.05</v>
      </c>
      <c r="AQ76" t="n">
        <v>0</v>
      </c>
      <c r="AR76" t="n">
        <v>28.32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111.66</v>
      </c>
      <c r="BC76" t="n">
        <v>0</v>
      </c>
      <c r="BD76" t="n">
        <v>162.39</v>
      </c>
      <c r="BE76" t="inlineStr">
        <is>
          <t>settled</t>
        </is>
      </c>
      <c r="BF76" t="inlineStr">
        <is>
          <t>2025-12-24 05:30:00</t>
        </is>
      </c>
      <c r="BG76" t="inlineStr">
        <is>
          <t>CITIN25674376566</t>
        </is>
      </c>
      <c r="BH76" t="n">
        <v>0</v>
      </c>
      <c r="BI76" t="inlineStr">
        <is>
          <t>253ce967e87a9cb04cfb2364a0cc798e3e0211b148a5cf9b436a18b72a08025f</t>
        </is>
      </c>
    </row>
    <row r="77">
      <c r="A77" t="inlineStr">
        <is>
          <t>72</t>
        </is>
      </c>
      <c r="B77" t="inlineStr">
        <is>
          <t>7607601826</t>
        </is>
      </c>
      <c r="C77" t="inlineStr">
        <is>
          <t>2025-12-21 20:30:03</t>
        </is>
      </c>
      <c r="D77" t="inlineStr">
        <is>
          <t>51</t>
        </is>
      </c>
      <c r="E77" t="inlineStr">
        <is>
          <t>Baba Yaga Art Of Chinese - By Posh Foods</t>
        </is>
      </c>
      <c r="F77" t="inlineStr">
        <is>
          <t>20037890</t>
        </is>
      </c>
      <c r="G77" t="inlineStr">
        <is>
          <t>Flat ₹80 off (2025-12-21 - 2031-01-01)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9</t>
        </is>
      </c>
      <c r="O77" t="n">
        <v>279</v>
      </c>
      <c r="P77" t="n">
        <v>0</v>
      </c>
      <c r="Q77" t="n">
        <v>0</v>
      </c>
      <c r="R77" t="n">
        <v>56</v>
      </c>
      <c r="S77" t="n">
        <v>0</v>
      </c>
      <c r="T77" t="n">
        <v>0</v>
      </c>
      <c r="U77" t="n">
        <v>0</v>
      </c>
      <c r="V77" t="n">
        <v>11.15</v>
      </c>
      <c r="W77" t="n">
        <v>234.15</v>
      </c>
      <c r="X77" t="n">
        <v>223</v>
      </c>
      <c r="Y77" t="n">
        <v>0</v>
      </c>
      <c r="Z77" t="n">
        <v>0</v>
      </c>
      <c r="AA77" t="n">
        <v>223</v>
      </c>
      <c r="AB77" t="n">
        <v>23</v>
      </c>
      <c r="AC77" t="n">
        <v>51.29</v>
      </c>
      <c r="AD77" t="n">
        <v>3.51</v>
      </c>
      <c r="AE77" t="n">
        <v>0</v>
      </c>
      <c r="AF77" t="n">
        <v>0</v>
      </c>
      <c r="AG77" t="n">
        <v>0</v>
      </c>
      <c r="AH77" t="n">
        <v>4.31</v>
      </c>
      <c r="AI77" t="n">
        <v>55.6</v>
      </c>
      <c r="AJ77" t="n">
        <v>10.01</v>
      </c>
      <c r="AK77" t="n">
        <v>0</v>
      </c>
      <c r="AL77" t="n">
        <v>223</v>
      </c>
      <c r="AM77" t="n">
        <v>0</v>
      </c>
      <c r="AN77" t="n">
        <v>0</v>
      </c>
      <c r="AO77" t="n">
        <v>0.22</v>
      </c>
      <c r="AP77" t="n">
        <v>11.15</v>
      </c>
      <c r="AQ77" t="n">
        <v>0</v>
      </c>
      <c r="AR77" t="n">
        <v>21.38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76.98</v>
      </c>
      <c r="BC77" t="n">
        <v>0</v>
      </c>
      <c r="BD77" t="n">
        <v>157.17</v>
      </c>
      <c r="BE77" t="inlineStr">
        <is>
          <t>settled</t>
        </is>
      </c>
      <c r="BF77" t="inlineStr">
        <is>
          <t>2025-12-24 05:30:00</t>
        </is>
      </c>
      <c r="BG77" t="inlineStr">
        <is>
          <t>CITIN25674376566</t>
        </is>
      </c>
      <c r="BH77" t="n">
        <v>0</v>
      </c>
      <c r="BI77" t="inlineStr">
        <is>
          <t>854ddb5c6e41b287271a21a01dff1bf3d408a58022ff6c81b57596d833d56886</t>
        </is>
      </c>
    </row>
    <row r="78">
      <c r="A78" t="inlineStr">
        <is>
          <t>73</t>
        </is>
      </c>
      <c r="B78" t="inlineStr">
        <is>
          <t>7602598600</t>
        </is>
      </c>
      <c r="C78" t="inlineStr">
        <is>
          <t>2025-12-21 20:40:08</t>
        </is>
      </c>
      <c r="D78" t="inlineStr">
        <is>
          <t>51</t>
        </is>
      </c>
      <c r="E78" t="inlineStr">
        <is>
          <t>Baba Yaga Art Of Chinese - By Posh Foods</t>
        </is>
      </c>
      <c r="F78" t="inlineStr">
        <is>
          <t>20037890</t>
        </is>
      </c>
      <c r="G78" t="inlineStr">
        <is>
          <t>Flat ₹175 off (2025-12-21 - 2031-01-01)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9</t>
        </is>
      </c>
      <c r="O78" t="n">
        <v>785</v>
      </c>
      <c r="P78" t="n">
        <v>0</v>
      </c>
      <c r="Q78" t="n">
        <v>0</v>
      </c>
      <c r="R78" t="n">
        <v>122</v>
      </c>
      <c r="S78" t="n">
        <v>61</v>
      </c>
      <c r="T78" t="n">
        <v>0</v>
      </c>
      <c r="U78" t="n">
        <v>0</v>
      </c>
      <c r="V78" t="n">
        <v>30.1</v>
      </c>
      <c r="W78" t="n">
        <v>632.1</v>
      </c>
      <c r="X78" t="n">
        <v>602</v>
      </c>
      <c r="Y78" t="n">
        <v>0</v>
      </c>
      <c r="Z78" t="n">
        <v>0</v>
      </c>
      <c r="AA78" t="n">
        <v>602</v>
      </c>
      <c r="AB78" t="n">
        <v>23</v>
      </c>
      <c r="AC78" t="n">
        <v>138.46</v>
      </c>
      <c r="AD78" t="n">
        <v>3.83</v>
      </c>
      <c r="AE78" t="n">
        <v>0</v>
      </c>
      <c r="AF78" t="n">
        <v>0</v>
      </c>
      <c r="AG78" t="n">
        <v>0</v>
      </c>
      <c r="AH78" t="n">
        <v>11.63</v>
      </c>
      <c r="AI78" t="n">
        <v>150.09</v>
      </c>
      <c r="AJ78" t="n">
        <v>27.01</v>
      </c>
      <c r="AK78" t="n">
        <v>0</v>
      </c>
      <c r="AL78" t="n">
        <v>602</v>
      </c>
      <c r="AM78" t="n">
        <v>0</v>
      </c>
      <c r="AN78" t="n">
        <v>0</v>
      </c>
      <c r="AO78" t="n">
        <v>0.6</v>
      </c>
      <c r="AP78" t="n">
        <v>30.1</v>
      </c>
      <c r="AQ78" t="n">
        <v>0</v>
      </c>
      <c r="AR78" t="n">
        <v>57.71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207.8</v>
      </c>
      <c r="BC78" t="n">
        <v>0</v>
      </c>
      <c r="BD78" t="n">
        <v>424.3</v>
      </c>
      <c r="BE78" t="inlineStr">
        <is>
          <t>settled</t>
        </is>
      </c>
      <c r="BF78" t="inlineStr">
        <is>
          <t>2025-12-24 05:30:00</t>
        </is>
      </c>
      <c r="BG78" t="inlineStr">
        <is>
          <t>CITIN25674376566</t>
        </is>
      </c>
      <c r="BH78" t="n">
        <v>0</v>
      </c>
      <c r="BI78" t="inlineStr">
        <is>
          <t>c8964f58b8f5fed434c41553debcf6c7fed3b3dc5ec3f2f6cbda1bfdc47df903</t>
        </is>
      </c>
    </row>
    <row r="79">
      <c r="A79" t="inlineStr">
        <is>
          <t>74</t>
        </is>
      </c>
      <c r="B79" t="inlineStr">
        <is>
          <t>7606341038</t>
        </is>
      </c>
      <c r="C79" t="inlineStr">
        <is>
          <t>2025-12-21 20:59:43</t>
        </is>
      </c>
      <c r="D79" t="inlineStr">
        <is>
          <t>51</t>
        </is>
      </c>
      <c r="E79" t="inlineStr">
        <is>
          <t>Baba Yaga Art Of Chinese - By Posh Foods</t>
        </is>
      </c>
      <c r="F79" t="inlineStr">
        <is>
          <t>20037890</t>
        </is>
      </c>
      <c r="G79" t="inlineStr">
        <is>
          <t>Flat ₹100 off (2025-12-21 - 2031-01-01)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9</t>
        </is>
      </c>
      <c r="O79" t="n">
        <v>365</v>
      </c>
      <c r="P79" t="n">
        <v>0</v>
      </c>
      <c r="Q79" t="n">
        <v>0</v>
      </c>
      <c r="R79" t="n">
        <v>70</v>
      </c>
      <c r="S79" t="n">
        <v>26.5</v>
      </c>
      <c r="T79" t="n">
        <v>0</v>
      </c>
      <c r="U79" t="n">
        <v>0</v>
      </c>
      <c r="V79" t="n">
        <v>13.43</v>
      </c>
      <c r="W79" t="n">
        <v>281.93</v>
      </c>
      <c r="X79" t="n">
        <v>268.5</v>
      </c>
      <c r="Y79" t="n">
        <v>0</v>
      </c>
      <c r="Z79" t="n">
        <v>0</v>
      </c>
      <c r="AA79" t="n">
        <v>268.5</v>
      </c>
      <c r="AB79" t="n">
        <v>23</v>
      </c>
      <c r="AC79" t="n">
        <v>61.76</v>
      </c>
      <c r="AD79" t="n">
        <v>2.53</v>
      </c>
      <c r="AE79" t="n">
        <v>0</v>
      </c>
      <c r="AF79" t="n">
        <v>0</v>
      </c>
      <c r="AG79" t="n">
        <v>0</v>
      </c>
      <c r="AH79" t="n">
        <v>5.19</v>
      </c>
      <c r="AI79" t="n">
        <v>66.95</v>
      </c>
      <c r="AJ79" t="n">
        <v>12.05</v>
      </c>
      <c r="AK79" t="n">
        <v>0</v>
      </c>
      <c r="AL79" t="n">
        <v>268.5</v>
      </c>
      <c r="AM79" t="n">
        <v>0</v>
      </c>
      <c r="AN79" t="n">
        <v>0</v>
      </c>
      <c r="AO79" t="n">
        <v>0.27</v>
      </c>
      <c r="AP79" t="n">
        <v>13.43</v>
      </c>
      <c r="AQ79" t="n">
        <v>0</v>
      </c>
      <c r="AR79" t="n">
        <v>25.75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31.68</v>
      </c>
      <c r="AY79" t="n">
        <v>0</v>
      </c>
      <c r="AZ79" t="n">
        <v>0</v>
      </c>
      <c r="BA79" t="n">
        <v>31.68</v>
      </c>
      <c r="BB79" t="n">
        <v>124.38</v>
      </c>
      <c r="BC79" t="n">
        <v>0</v>
      </c>
      <c r="BD79" t="n">
        <v>157.55</v>
      </c>
      <c r="BE79" t="inlineStr">
        <is>
          <t>settled</t>
        </is>
      </c>
      <c r="BF79" t="inlineStr">
        <is>
          <t>2025-12-24 05:30:00</t>
        </is>
      </c>
      <c r="BG79" t="inlineStr">
        <is>
          <t>CITIN25674376566</t>
        </is>
      </c>
      <c r="BH79" t="n">
        <v>0</v>
      </c>
      <c r="BI79" t="inlineStr">
        <is>
          <t>e4e1e7af2e7d3c4b77011c0b2a4653da40d468d48652dbd1ac3c0073c43106d3</t>
        </is>
      </c>
    </row>
    <row r="80">
      <c r="A80" t="inlineStr">
        <is>
          <t>75</t>
        </is>
      </c>
      <c r="B80" t="inlineStr">
        <is>
          <t>7608455976</t>
        </is>
      </c>
      <c r="C80" t="inlineStr">
        <is>
          <t>2025-12-21 21:41:21</t>
        </is>
      </c>
      <c r="D80" t="inlineStr">
        <is>
          <t>51</t>
        </is>
      </c>
      <c r="E80" t="inlineStr">
        <is>
          <t>Baba Yaga Art Of Chinese - By Posh Foods</t>
        </is>
      </c>
      <c r="F80" t="inlineStr">
        <is>
          <t>20037890</t>
        </is>
      </c>
      <c r="G80" t="inlineStr">
        <is>
          <t>Flat ₹175 off (2025-12-21 - 2031-01-01)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9</t>
        </is>
      </c>
      <c r="O80" t="n">
        <v>630</v>
      </c>
      <c r="P80" t="n">
        <v>0</v>
      </c>
      <c r="Q80" t="n">
        <v>0</v>
      </c>
      <c r="R80" t="n">
        <v>122</v>
      </c>
      <c r="S80" t="n">
        <v>45.5</v>
      </c>
      <c r="T80" t="n">
        <v>0</v>
      </c>
      <c r="U80" t="n">
        <v>0</v>
      </c>
      <c r="V80" t="n">
        <v>23.13</v>
      </c>
      <c r="W80" t="n">
        <v>485.63</v>
      </c>
      <c r="X80" t="n">
        <v>462.5</v>
      </c>
      <c r="Y80" t="n">
        <v>0</v>
      </c>
      <c r="Z80" t="n">
        <v>0</v>
      </c>
      <c r="AA80" t="n">
        <v>462.5</v>
      </c>
      <c r="AB80" t="n">
        <v>23</v>
      </c>
      <c r="AC80" t="n">
        <v>106.38</v>
      </c>
      <c r="AD80" t="n">
        <v>3.8</v>
      </c>
      <c r="AE80" t="n">
        <v>0</v>
      </c>
      <c r="AF80" t="n">
        <v>0</v>
      </c>
      <c r="AG80" t="n">
        <v>0</v>
      </c>
      <c r="AH80" t="n">
        <v>8.94</v>
      </c>
      <c r="AI80" t="n">
        <v>115.32</v>
      </c>
      <c r="AJ80" t="n">
        <v>20.76</v>
      </c>
      <c r="AK80" t="n">
        <v>0</v>
      </c>
      <c r="AL80" t="n">
        <v>462.5</v>
      </c>
      <c r="AM80" t="n">
        <v>0</v>
      </c>
      <c r="AN80" t="n">
        <v>0</v>
      </c>
      <c r="AO80" t="n">
        <v>0.46</v>
      </c>
      <c r="AP80" t="n">
        <v>23.13</v>
      </c>
      <c r="AQ80" t="n">
        <v>0</v>
      </c>
      <c r="AR80" t="n">
        <v>44.35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159.67</v>
      </c>
      <c r="BC80" t="n">
        <v>0</v>
      </c>
      <c r="BD80" t="n">
        <v>325.96</v>
      </c>
      <c r="BE80" t="inlineStr">
        <is>
          <t>settled</t>
        </is>
      </c>
      <c r="BF80" t="inlineStr">
        <is>
          <t>2025-12-24 05:30:00</t>
        </is>
      </c>
      <c r="BG80" t="inlineStr">
        <is>
          <t>CITIN25674376566</t>
        </is>
      </c>
      <c r="BH80" t="n">
        <v>0</v>
      </c>
      <c r="BI80" t="inlineStr">
        <is>
          <t>4fc73d552dd7e88e69ba57c16727de947c9c300857b98cf2a16a7dbb3cfa37ac</t>
        </is>
      </c>
    </row>
    <row r="81">
      <c r="A81" t="inlineStr">
        <is>
          <t>76</t>
        </is>
      </c>
      <c r="B81" t="inlineStr">
        <is>
          <t>7600753752</t>
        </is>
      </c>
      <c r="C81" t="inlineStr">
        <is>
          <t>2025-12-21 21:51:17</t>
        </is>
      </c>
      <c r="D81" t="inlineStr">
        <is>
          <t>51</t>
        </is>
      </c>
      <c r="E81" t="inlineStr">
        <is>
          <t>Baba Yaga Art Of Chinese - By Posh Foods</t>
        </is>
      </c>
      <c r="F81" t="inlineStr">
        <is>
          <t>20037890</t>
        </is>
      </c>
      <c r="G81" t="inlineStr">
        <is>
          <t>Flat ₹125 off (2025-12-21 - 2031-01-01)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9</t>
        </is>
      </c>
      <c r="O81" t="n">
        <v>365</v>
      </c>
      <c r="P81" t="n">
        <v>0</v>
      </c>
      <c r="Q81" t="n">
        <v>0</v>
      </c>
      <c r="R81" t="n">
        <v>87</v>
      </c>
      <c r="S81" t="n">
        <v>24</v>
      </c>
      <c r="T81" t="n">
        <v>0</v>
      </c>
      <c r="U81" t="n">
        <v>0</v>
      </c>
      <c r="V81" t="n">
        <v>12.7</v>
      </c>
      <c r="W81" t="n">
        <v>266.7</v>
      </c>
      <c r="X81" t="n">
        <v>254</v>
      </c>
      <c r="Y81" t="n">
        <v>0</v>
      </c>
      <c r="Z81" t="n">
        <v>0</v>
      </c>
      <c r="AA81" t="n">
        <v>254</v>
      </c>
      <c r="AB81" t="n">
        <v>23</v>
      </c>
      <c r="AC81" t="n">
        <v>58.42</v>
      </c>
      <c r="AD81" t="n">
        <v>3.55</v>
      </c>
      <c r="AE81" t="n">
        <v>0</v>
      </c>
      <c r="AF81" t="n">
        <v>0</v>
      </c>
      <c r="AG81" t="n">
        <v>0</v>
      </c>
      <c r="AH81" t="n">
        <v>4.91</v>
      </c>
      <c r="AI81" t="n">
        <v>63.33</v>
      </c>
      <c r="AJ81" t="n">
        <v>11.4</v>
      </c>
      <c r="AK81" t="n">
        <v>0</v>
      </c>
      <c r="AL81" t="n">
        <v>254</v>
      </c>
      <c r="AM81" t="n">
        <v>0</v>
      </c>
      <c r="AN81" t="n">
        <v>0</v>
      </c>
      <c r="AO81" t="n">
        <v>0.25</v>
      </c>
      <c r="AP81" t="n">
        <v>12.7</v>
      </c>
      <c r="AQ81" t="n">
        <v>0</v>
      </c>
      <c r="AR81" t="n">
        <v>24.35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29.97</v>
      </c>
      <c r="AY81" t="n">
        <v>0</v>
      </c>
      <c r="AZ81" t="n">
        <v>0</v>
      </c>
      <c r="BA81" t="n">
        <v>29.97</v>
      </c>
      <c r="BB81" t="n">
        <v>117.65</v>
      </c>
      <c r="BC81" t="n">
        <v>0</v>
      </c>
      <c r="BD81" t="n">
        <v>149.05</v>
      </c>
      <c r="BE81" t="inlineStr">
        <is>
          <t>settled</t>
        </is>
      </c>
      <c r="BF81" t="inlineStr">
        <is>
          <t>2025-12-24 05:30:00</t>
        </is>
      </c>
      <c r="BG81" t="inlineStr">
        <is>
          <t>CITIN25674376566</t>
        </is>
      </c>
      <c r="BH81" t="n">
        <v>0</v>
      </c>
      <c r="BI81" t="inlineStr">
        <is>
          <t>d54a15e375ac86abaa6d6ab411d58910ef8c5357b010bf846d02a5bb4427d032</t>
        </is>
      </c>
    </row>
    <row r="82">
      <c r="A82" t="inlineStr">
        <is>
          <t>77</t>
        </is>
      </c>
      <c r="B82" t="inlineStr">
        <is>
          <t>7608691286</t>
        </is>
      </c>
      <c r="C82" t="inlineStr">
        <is>
          <t>2025-12-21 22:59:37</t>
        </is>
      </c>
      <c r="D82" t="inlineStr">
        <is>
          <t>51</t>
        </is>
      </c>
      <c r="E82" t="inlineStr">
        <is>
          <t>Baba Yaga Art Of Chinese - By Posh Foods</t>
        </is>
      </c>
      <c r="F82" t="inlineStr">
        <is>
          <t>20037890</t>
        </is>
      </c>
      <c r="G82" t="inlineStr">
        <is>
          <t>Flat ₹125 off (2025-12-21 - 2031-01-01)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9</t>
        </is>
      </c>
      <c r="O82" t="n">
        <v>580</v>
      </c>
      <c r="P82" t="n">
        <v>0</v>
      </c>
      <c r="Q82" t="n">
        <v>0</v>
      </c>
      <c r="R82" t="n">
        <v>125</v>
      </c>
      <c r="S82" t="n">
        <v>45.5</v>
      </c>
      <c r="T82" t="n">
        <v>0</v>
      </c>
      <c r="U82" t="n">
        <v>0</v>
      </c>
      <c r="V82" t="n">
        <v>20.48</v>
      </c>
      <c r="W82" t="n">
        <v>429.98</v>
      </c>
      <c r="X82" t="n">
        <v>409.5</v>
      </c>
      <c r="Y82" t="n">
        <v>0</v>
      </c>
      <c r="Z82" t="n">
        <v>0</v>
      </c>
      <c r="AA82" t="n">
        <v>409.5</v>
      </c>
      <c r="AB82" t="n">
        <v>23</v>
      </c>
      <c r="AC82" t="n">
        <v>94.18000000000001</v>
      </c>
      <c r="AD82" t="n">
        <v>5.78</v>
      </c>
      <c r="AE82" t="n">
        <v>20</v>
      </c>
      <c r="AF82" t="n">
        <v>0</v>
      </c>
      <c r="AG82" t="n">
        <v>0</v>
      </c>
      <c r="AH82" t="n">
        <v>7.91</v>
      </c>
      <c r="AI82" t="n">
        <v>122.09</v>
      </c>
      <c r="AJ82" t="n">
        <v>21.97</v>
      </c>
      <c r="AK82" t="n">
        <v>0</v>
      </c>
      <c r="AL82" t="n">
        <v>409.5</v>
      </c>
      <c r="AM82" t="n">
        <v>0</v>
      </c>
      <c r="AN82" t="n">
        <v>0</v>
      </c>
      <c r="AO82" t="n">
        <v>0.41</v>
      </c>
      <c r="AP82" t="n">
        <v>20.47</v>
      </c>
      <c r="AQ82" t="n">
        <v>0.01</v>
      </c>
      <c r="AR82" t="n">
        <v>42.85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164.94</v>
      </c>
      <c r="BC82" t="n">
        <v>0</v>
      </c>
      <c r="BD82" t="n">
        <v>265.04</v>
      </c>
      <c r="BE82" t="inlineStr">
        <is>
          <t>settled</t>
        </is>
      </c>
      <c r="BF82" t="inlineStr">
        <is>
          <t>2025-12-24 05:30:00</t>
        </is>
      </c>
      <c r="BG82" t="inlineStr">
        <is>
          <t>CITIN25674376566</t>
        </is>
      </c>
      <c r="BH82" t="n">
        <v>0</v>
      </c>
      <c r="BI82" t="inlineStr">
        <is>
          <t>f76206e832014dcb313f38c9f47f38bac4d32c8bbbce297718bbafe9222c5bf8</t>
        </is>
      </c>
    </row>
    <row r="83">
      <c r="A83" t="inlineStr">
        <is>
          <t>78</t>
        </is>
      </c>
      <c r="B83" t="inlineStr">
        <is>
          <t>7608167514</t>
        </is>
      </c>
      <c r="C83" t="inlineStr">
        <is>
          <t>2025-12-21 23:14:10</t>
        </is>
      </c>
      <c r="D83" t="inlineStr">
        <is>
          <t>51</t>
        </is>
      </c>
      <c r="E83" t="inlineStr">
        <is>
          <t>Baba Yaga Art Of Chinese - By Posh Foods</t>
        </is>
      </c>
      <c r="F83" t="inlineStr">
        <is>
          <t>20037890</t>
        </is>
      </c>
      <c r="G83" t="inlineStr">
        <is>
          <t>Flat ₹125 off (2025-12-21 - 2031-01-01)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9</t>
        </is>
      </c>
      <c r="O83" t="n">
        <v>365</v>
      </c>
      <c r="P83" t="n">
        <v>0</v>
      </c>
      <c r="Q83" t="n">
        <v>0</v>
      </c>
      <c r="R83" t="n">
        <v>87</v>
      </c>
      <c r="S83" t="n">
        <v>24</v>
      </c>
      <c r="T83" t="n">
        <v>0</v>
      </c>
      <c r="U83" t="n">
        <v>0</v>
      </c>
      <c r="V83" t="n">
        <v>12.7</v>
      </c>
      <c r="W83" t="n">
        <v>266.7</v>
      </c>
      <c r="X83" t="n">
        <v>254</v>
      </c>
      <c r="Y83" t="n">
        <v>0</v>
      </c>
      <c r="Z83" t="n">
        <v>0</v>
      </c>
      <c r="AA83" t="n">
        <v>254</v>
      </c>
      <c r="AB83" t="n">
        <v>23</v>
      </c>
      <c r="AC83" t="n">
        <v>58.42</v>
      </c>
      <c r="AD83" t="n">
        <v>5.62</v>
      </c>
      <c r="AE83" t="n">
        <v>20</v>
      </c>
      <c r="AF83" t="n">
        <v>0</v>
      </c>
      <c r="AG83" t="n">
        <v>2.22</v>
      </c>
      <c r="AH83" t="n">
        <v>4.91</v>
      </c>
      <c r="AI83" t="n">
        <v>81.11</v>
      </c>
      <c r="AJ83" t="n">
        <v>14.6</v>
      </c>
      <c r="AK83" t="n">
        <v>0</v>
      </c>
      <c r="AL83" t="n">
        <v>254</v>
      </c>
      <c r="AM83" t="n">
        <v>0</v>
      </c>
      <c r="AN83" t="n">
        <v>0</v>
      </c>
      <c r="AO83" t="n">
        <v>0.25</v>
      </c>
      <c r="AP83" t="n">
        <v>12.7</v>
      </c>
      <c r="AQ83" t="n">
        <v>0</v>
      </c>
      <c r="AR83" t="n">
        <v>27.55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108.66</v>
      </c>
      <c r="BC83" t="n">
        <v>0</v>
      </c>
      <c r="BD83" t="n">
        <v>158.04</v>
      </c>
      <c r="BE83" t="inlineStr">
        <is>
          <t>settled</t>
        </is>
      </c>
      <c r="BF83" t="inlineStr">
        <is>
          <t>2025-12-24 05:30:00</t>
        </is>
      </c>
      <c r="BG83" t="inlineStr">
        <is>
          <t>CITIN25674376566</t>
        </is>
      </c>
      <c r="BH83" t="n">
        <v>0</v>
      </c>
      <c r="BI83" t="inlineStr">
        <is>
          <t>ee460f7f4645d70e8fb81fc8fd173964598d743c8d6d2c681acc70bff3bfa39a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ADS</t>
        </is>
      </c>
      <c r="C7" t="inlineStr"/>
      <c r="D7" t="inlineStr">
        <is>
          <t>31889184</t>
        </is>
      </c>
      <c r="E7" t="inlineStr">
        <is>
          <t>2025-12-24 05:30:00</t>
        </is>
      </c>
      <c r="F7" t="inlineStr">
        <is>
          <t>settled</t>
        </is>
      </c>
      <c r="G7" t="n">
        <v>1147.52</v>
      </c>
      <c r="H7" t="n">
        <v>1147.52</v>
      </c>
      <c r="I7" t="n">
        <v>0</v>
      </c>
    </row>
    <row r="8">
      <c r="B8" t="inlineStr">
        <is>
          <t>Total Additions</t>
        </is>
      </c>
      <c r="C8" t="inlineStr"/>
      <c r="D8" t="inlineStr"/>
      <c r="E8" t="inlineStr"/>
      <c r="F8" t="inlineStr"/>
      <c r="G8" t="n">
        <v>1147.52</v>
      </c>
      <c r="H8" t="n">
        <v>1147.52</v>
      </c>
      <c r="I8" t="n">
        <v>0</v>
      </c>
    </row>
    <row r="9"/>
    <row r="10"/>
    <row r="11">
      <c r="B11" t="inlineStr">
        <is>
          <t>Deduction Type</t>
        </is>
      </c>
    </row>
    <row r="12">
      <c r="B12" t="inlineStr">
        <is>
          <t>A) Investments in growth services</t>
        </is>
      </c>
    </row>
    <row r="13">
      <c r="B13" t="inlineStr">
        <is>
          <t>Type</t>
        </is>
      </c>
      <c r="C13" t="inlineStr">
        <is>
          <t>Res id for which deduction created</t>
        </is>
      </c>
      <c r="D13" t="inlineStr">
        <is>
          <t>Invoice No/Campaign id</t>
        </is>
      </c>
      <c r="E13" t="inlineStr">
        <is>
          <t>Deduction time period</t>
        </is>
      </c>
      <c r="F13" t="inlineStr">
        <is>
          <t>Settlement Status</t>
        </is>
      </c>
      <c r="G13" t="inlineStr">
        <is>
          <t>Total amount</t>
        </is>
      </c>
      <c r="H13" t="inlineStr">
        <is>
          <t>Adjusted amount</t>
        </is>
      </c>
      <c r="I13" t="inlineStr">
        <is>
          <t>Outstanding amount</t>
        </is>
      </c>
    </row>
    <row r="14">
      <c r="B14" t="inlineStr">
        <is>
          <t>ADS</t>
        </is>
      </c>
      <c r="C14" t="inlineStr">
        <is>
          <t>19428127</t>
        </is>
      </c>
      <c r="D14" t="inlineStr">
        <is>
          <t>31786453</t>
        </is>
      </c>
      <c r="E14" t="inlineStr">
        <is>
          <t>15 December 25 - 15 December 25</t>
        </is>
      </c>
      <c r="F14" t="inlineStr">
        <is>
          <t>settled</t>
        </is>
      </c>
      <c r="G14" t="n">
        <v>176.41</v>
      </c>
      <c r="H14" t="n">
        <v>176.41</v>
      </c>
      <c r="I14" t="n">
        <v>0</v>
      </c>
    </row>
    <row r="15">
      <c r="B15" t="inlineStr">
        <is>
          <t>ADS</t>
        </is>
      </c>
      <c r="C15" t="inlineStr">
        <is>
          <t>20037890</t>
        </is>
      </c>
      <c r="D15" t="inlineStr">
        <is>
          <t>32022906</t>
        </is>
      </c>
      <c r="E15" t="inlineStr">
        <is>
          <t>15 December 25 - 21 December 25</t>
        </is>
      </c>
      <c r="F15" t="inlineStr">
        <is>
          <t>settled</t>
        </is>
      </c>
      <c r="G15" t="n">
        <v>3568.32</v>
      </c>
      <c r="H15" t="n">
        <v>3568.32</v>
      </c>
      <c r="I15" t="n">
        <v>0</v>
      </c>
    </row>
    <row r="16">
      <c r="B16" t="inlineStr">
        <is>
          <t>ADS</t>
        </is>
      </c>
      <c r="C16" t="inlineStr">
        <is>
          <t>20037890</t>
        </is>
      </c>
      <c r="D16" t="inlineStr">
        <is>
          <t>31889184</t>
        </is>
      </c>
      <c r="E16" t="inlineStr">
        <is>
          <t>15 December 25 - 15 December 25</t>
        </is>
      </c>
      <c r="F16" t="inlineStr">
        <is>
          <t>settled</t>
        </is>
      </c>
      <c r="G16" t="n">
        <v>333.37</v>
      </c>
      <c r="H16" t="n">
        <v>333.37</v>
      </c>
      <c r="I16" t="n">
        <v>0</v>
      </c>
    </row>
    <row r="17">
      <c r="B17" t="inlineStr">
        <is>
          <t>ADS</t>
        </is>
      </c>
      <c r="C17" t="inlineStr">
        <is>
          <t>19428228</t>
        </is>
      </c>
      <c r="D17" t="inlineStr">
        <is>
          <t>31800222</t>
        </is>
      </c>
      <c r="E17" t="inlineStr">
        <is>
          <t>17 December 25 - 17 December 25</t>
        </is>
      </c>
      <c r="F17" t="inlineStr">
        <is>
          <t>settled</t>
        </is>
      </c>
      <c r="G17" t="n">
        <v>705.17</v>
      </c>
      <c r="H17" t="n">
        <v>705.17</v>
      </c>
      <c r="I17" t="n">
        <v>0</v>
      </c>
    </row>
    <row r="18">
      <c r="B18" t="inlineStr">
        <is>
          <t>ADS</t>
        </is>
      </c>
      <c r="C18" t="inlineStr">
        <is>
          <t>20037890</t>
        </is>
      </c>
      <c r="D18" t="inlineStr">
        <is>
          <t>31800113</t>
        </is>
      </c>
      <c r="E18" t="inlineStr">
        <is>
          <t>15 December 25 - 21 December 25</t>
        </is>
      </c>
      <c r="F18" t="inlineStr">
        <is>
          <t>settled</t>
        </is>
      </c>
      <c r="G18" t="n">
        <v>4380.75</v>
      </c>
      <c r="H18" t="n">
        <v>4380.75</v>
      </c>
      <c r="I18" t="n">
        <v>0</v>
      </c>
    </row>
    <row r="19">
      <c r="B19" t="inlineStr">
        <is>
          <t>Total Ads &amp; miscellaneous services</t>
        </is>
      </c>
      <c r="G19" t="n">
        <v>9164.02</v>
      </c>
      <c r="H19" t="n">
        <v>9164.02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B) Investments in Hyperpure</t>
        </is>
      </c>
    </row>
    <row r="22">
      <c r="B22" t="inlineStr">
        <is>
          <t>Type</t>
        </is>
      </c>
      <c r="C22" t="inlineStr">
        <is>
          <t>Res id for which deduction created</t>
        </is>
      </c>
      <c r="D22" t="inlineStr">
        <is>
          <t>OrderId</t>
        </is>
      </c>
      <c r="E22" t="inlineStr">
        <is>
          <t>Deduction time period</t>
        </is>
      </c>
      <c r="F22" t="inlineStr">
        <is>
          <t>Settlement Status</t>
        </is>
      </c>
      <c r="G22" t="inlineStr">
        <is>
          <t>Total amount</t>
        </is>
      </c>
      <c r="H22" t="inlineStr">
        <is>
          <t>Adjusted amount</t>
        </is>
      </c>
      <c r="I22" t="inlineStr">
        <is>
          <t>Outstanding amount</t>
        </is>
      </c>
    </row>
    <row r="23">
      <c r="B23" t="inlineStr">
        <is>
          <t>Total Hyperpure</t>
        </is>
      </c>
      <c r="G23" t="n">
        <v>0</v>
      </c>
      <c r="H23" t="n">
        <v>0</v>
      </c>
      <c r="I23" t="n">
        <v>0</v>
      </c>
    </row>
    <row r="24"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B25" t="inlineStr">
        <is>
          <t>C) Other deductions</t>
        </is>
      </c>
    </row>
    <row r="26">
      <c r="B26" t="inlineStr">
        <is>
          <t>D) Adjustments from previous weeks</t>
        </is>
      </c>
    </row>
    <row r="27">
      <c r="B27" t="inlineStr">
        <is>
          <t>Total Deductions (A) + (B) + (C)</t>
        </is>
      </c>
      <c r="C27" t="inlineStr"/>
      <c r="D27" t="inlineStr"/>
      <c r="E27" t="inlineStr"/>
      <c r="F27" t="inlineStr"/>
      <c r="G27" t="n">
        <v>9164.02</v>
      </c>
      <c r="H27" t="n">
        <v>9164.02</v>
      </c>
      <c r="I2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60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30315</v>
      </c>
      <c r="P2" t="n">
        <v>0</v>
      </c>
      <c r="Q2" t="n">
        <v>0</v>
      </c>
      <c r="R2" t="n">
        <v>6429</v>
      </c>
      <c r="S2" t="n">
        <v>1879.4</v>
      </c>
      <c r="T2" t="n">
        <v>0</v>
      </c>
      <c r="U2" t="n">
        <v>0</v>
      </c>
      <c r="V2" t="n">
        <v>1100.42</v>
      </c>
      <c r="W2" t="n">
        <v>23107.02</v>
      </c>
      <c r="X2" t="n">
        <v>22006.59999999999</v>
      </c>
      <c r="Y2" t="n">
        <v>0</v>
      </c>
      <c r="Z2" t="n">
        <v>0</v>
      </c>
      <c r="AA2" t="n">
        <v>22006.59999999999</v>
      </c>
      <c r="AB2" t="n">
        <v>1265</v>
      </c>
      <c r="AC2" t="n">
        <v>5061.479999999999</v>
      </c>
      <c r="AD2" t="n">
        <v>189.74</v>
      </c>
      <c r="AE2" t="n">
        <v>460</v>
      </c>
      <c r="AF2" t="n">
        <v>0</v>
      </c>
      <c r="AG2" t="n">
        <v>122.73</v>
      </c>
      <c r="AH2" t="n">
        <v>425.2399999999998</v>
      </c>
      <c r="AI2" t="n">
        <v>5823.990000000001</v>
      </c>
      <c r="AJ2" t="n">
        <v>1048.37</v>
      </c>
      <c r="AK2" t="n">
        <v>0</v>
      </c>
      <c r="AL2" t="n">
        <v>22006.59999999999</v>
      </c>
      <c r="AM2" t="n">
        <v>0</v>
      </c>
      <c r="AN2" t="n">
        <v>0</v>
      </c>
      <c r="AO2" t="n">
        <v>22.01</v>
      </c>
      <c r="AP2" t="n">
        <v>1100.4</v>
      </c>
      <c r="AQ2" t="n">
        <v>0.02</v>
      </c>
      <c r="AR2" t="n">
        <v>2170.78</v>
      </c>
      <c r="AS2" t="n">
        <v>35</v>
      </c>
      <c r="AT2" t="n">
        <v>0</v>
      </c>
      <c r="AU2" t="n">
        <v>0</v>
      </c>
      <c r="AV2" t="n">
        <v>0</v>
      </c>
      <c r="AW2" t="n">
        <v>0</v>
      </c>
      <c r="AX2" t="n">
        <v>262.61</v>
      </c>
      <c r="AY2" t="n">
        <v>0</v>
      </c>
      <c r="AZ2" t="n">
        <v>0</v>
      </c>
      <c r="BA2" t="n">
        <v>297.61</v>
      </c>
      <c r="BB2" t="n">
        <v>8292.379999999996</v>
      </c>
      <c r="BC2" t="n">
        <v>0</v>
      </c>
      <c r="BD2" t="n">
        <v>14814.64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35771.7</v>
      </c>
      <c r="P3" t="n">
        <v>0</v>
      </c>
      <c r="Q3" t="n">
        <v>0</v>
      </c>
      <c r="R3" t="n">
        <v>7586.219999999999</v>
      </c>
      <c r="S3" t="n">
        <v>2217.692</v>
      </c>
      <c r="T3" t="n">
        <v>0</v>
      </c>
      <c r="U3" t="n">
        <v>0</v>
      </c>
      <c r="V3" t="n">
        <v>1298.4956</v>
      </c>
      <c r="W3" t="n">
        <v>27266.2836</v>
      </c>
      <c r="X3" t="n">
        <v>25967.78799999999</v>
      </c>
      <c r="Y3" t="n">
        <v>0</v>
      </c>
      <c r="Z3" t="n">
        <v>0</v>
      </c>
      <c r="AA3" t="n">
        <v>25967.78799999999</v>
      </c>
      <c r="AB3" t="n">
        <v>1492.7</v>
      </c>
      <c r="AC3" t="n">
        <v>5972.546399999998</v>
      </c>
      <c r="AD3" t="n">
        <v>223.8932</v>
      </c>
      <c r="AE3" t="n">
        <v>542.8</v>
      </c>
      <c r="AF3" t="n">
        <v>0</v>
      </c>
      <c r="AG3" t="n">
        <v>144.8214</v>
      </c>
      <c r="AH3" t="n">
        <v>501.7831999999998</v>
      </c>
      <c r="AI3" t="n">
        <v>6872.3082</v>
      </c>
      <c r="AJ3" t="n">
        <v>1237.0766</v>
      </c>
      <c r="AK3" t="n">
        <v>0</v>
      </c>
      <c r="AL3" t="n">
        <v>25967.78799999999</v>
      </c>
      <c r="AM3" t="n">
        <v>0</v>
      </c>
      <c r="AN3" t="n">
        <v>0</v>
      </c>
      <c r="AO3" t="n">
        <v>25.97179999999999</v>
      </c>
      <c r="AP3" t="n">
        <v>1298.472</v>
      </c>
      <c r="AQ3" t="n">
        <v>0.0236</v>
      </c>
      <c r="AR3" t="n">
        <v>2561.520399999999</v>
      </c>
      <c r="AS3" t="n">
        <v>41.3</v>
      </c>
      <c r="AT3" t="n">
        <v>0</v>
      </c>
      <c r="AU3" t="n">
        <v>0</v>
      </c>
      <c r="AV3" t="n">
        <v>0</v>
      </c>
      <c r="AW3" t="n">
        <v>0</v>
      </c>
      <c r="AX3" t="n">
        <v>309.8798</v>
      </c>
      <c r="AY3" t="n">
        <v>0</v>
      </c>
      <c r="AZ3" t="n">
        <v>0</v>
      </c>
      <c r="BA3" t="n">
        <v>351.1797999999999</v>
      </c>
      <c r="BB3" t="n">
        <v>9785.008399999993</v>
      </c>
      <c r="BC3" t="n">
        <v>0</v>
      </c>
      <c r="BD3" t="n">
        <v>17481.2752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30315</v>
      </c>
      <c r="P4" t="n">
        <v>0</v>
      </c>
      <c r="Q4" t="n">
        <v>0</v>
      </c>
      <c r="R4" t="n">
        <v>6429</v>
      </c>
      <c r="S4" t="n">
        <v>1879.4</v>
      </c>
      <c r="T4" t="n">
        <v>0</v>
      </c>
      <c r="U4" t="n">
        <v>0</v>
      </c>
      <c r="V4" t="n">
        <v>1100.42</v>
      </c>
      <c r="W4" t="n">
        <v>23107.02</v>
      </c>
      <c r="X4" t="n">
        <v>22006.59999999999</v>
      </c>
      <c r="Y4" t="n">
        <v>0</v>
      </c>
      <c r="Z4" t="n">
        <v>0</v>
      </c>
      <c r="AA4" t="n">
        <v>22006.59999999999</v>
      </c>
      <c r="AB4" t="n">
        <v>1265</v>
      </c>
      <c r="AC4" t="n">
        <v>5061.479999999999</v>
      </c>
      <c r="AD4" t="n">
        <v>189.74</v>
      </c>
      <c r="AE4" t="n">
        <v>460</v>
      </c>
      <c r="AF4" t="n">
        <v>0</v>
      </c>
      <c r="AG4" t="n">
        <v>122.73</v>
      </c>
      <c r="AH4" t="n">
        <v>425.2399999999998</v>
      </c>
      <c r="AI4" t="n">
        <v>5823.990000000001</v>
      </c>
      <c r="AJ4" t="n">
        <v>1048.37</v>
      </c>
      <c r="AK4" t="n">
        <v>0</v>
      </c>
      <c r="AL4" t="n">
        <v>22006.59999999999</v>
      </c>
      <c r="AM4" t="n">
        <v>0</v>
      </c>
      <c r="AN4" t="n">
        <v>0</v>
      </c>
      <c r="AO4" t="n">
        <v>22.01</v>
      </c>
      <c r="AP4" t="n">
        <v>1100.4</v>
      </c>
      <c r="AQ4" t="n">
        <v>0.02</v>
      </c>
      <c r="AR4" t="n">
        <v>2170.78</v>
      </c>
      <c r="AS4" t="n">
        <v>35</v>
      </c>
      <c r="AT4" t="n">
        <v>0</v>
      </c>
      <c r="AU4" t="n">
        <v>0</v>
      </c>
      <c r="AV4" t="n">
        <v>0</v>
      </c>
      <c r="AW4" t="n">
        <v>0</v>
      </c>
      <c r="AX4" t="n">
        <v>262.61</v>
      </c>
      <c r="AY4" t="n">
        <v>0</v>
      </c>
      <c r="AZ4" t="n">
        <v>0</v>
      </c>
      <c r="BA4" t="n">
        <v>297.61</v>
      </c>
      <c r="BB4" t="n">
        <v>8292.379999999996</v>
      </c>
      <c r="BC4" t="n">
        <v>0</v>
      </c>
      <c r="BD4" t="n">
        <v>14814.64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7607397989</t>
        </is>
      </c>
      <c r="C6" t="inlineStr">
        <is>
          <t>2025-12-22 13:29:49</t>
        </is>
      </c>
      <c r="D6" t="inlineStr">
        <is>
          <t>52</t>
        </is>
      </c>
      <c r="E6" t="inlineStr">
        <is>
          <t>Baba Yaga Art Of Chinese - By Posh Foods</t>
        </is>
      </c>
      <c r="F6" t="inlineStr">
        <is>
          <t>20037890</t>
        </is>
      </c>
      <c r="G6" t="inlineStr">
        <is>
          <t>Flat ₹175 off (2025-12-21 - 2031-01-01)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9</t>
        </is>
      </c>
      <c r="O6" t="n">
        <v>819</v>
      </c>
      <c r="P6" t="n">
        <v>0</v>
      </c>
      <c r="Q6" t="n">
        <v>0</v>
      </c>
      <c r="R6" t="n">
        <v>122</v>
      </c>
      <c r="S6" t="n">
        <v>64.40000000000001</v>
      </c>
      <c r="T6" t="n">
        <v>0</v>
      </c>
      <c r="U6" t="n">
        <v>0</v>
      </c>
      <c r="V6" t="n">
        <v>31.63</v>
      </c>
      <c r="W6" t="n">
        <v>664.23</v>
      </c>
      <c r="X6" t="n">
        <v>632.6</v>
      </c>
      <c r="Y6" t="n">
        <v>0</v>
      </c>
      <c r="Z6" t="n">
        <v>0</v>
      </c>
      <c r="AA6" t="n">
        <v>632.6</v>
      </c>
      <c r="AB6" t="n">
        <v>23</v>
      </c>
      <c r="AC6" t="n">
        <v>145.5</v>
      </c>
      <c r="AD6" t="n">
        <v>0.49</v>
      </c>
      <c r="AE6" t="n">
        <v>0</v>
      </c>
      <c r="AF6" t="n">
        <v>0</v>
      </c>
      <c r="AG6" t="n">
        <v>0</v>
      </c>
      <c r="AH6" t="n">
        <v>12.22</v>
      </c>
      <c r="AI6" t="n">
        <v>157.72</v>
      </c>
      <c r="AJ6" t="n">
        <v>28.39</v>
      </c>
      <c r="AK6" t="n">
        <v>0</v>
      </c>
      <c r="AL6" t="n">
        <v>632.6</v>
      </c>
      <c r="AM6" t="n">
        <v>0</v>
      </c>
      <c r="AN6" t="n">
        <v>0</v>
      </c>
      <c r="AO6" t="n">
        <v>0.63</v>
      </c>
      <c r="AP6" t="n">
        <v>31.63</v>
      </c>
      <c r="AQ6" t="n">
        <v>0</v>
      </c>
      <c r="AR6" t="n">
        <v>60.65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218.37</v>
      </c>
      <c r="BC6" t="n">
        <v>0</v>
      </c>
      <c r="BD6" t="n">
        <v>445.86</v>
      </c>
      <c r="BE6" t="inlineStr">
        <is>
          <t>settled</t>
        </is>
      </c>
      <c r="BF6" t="inlineStr">
        <is>
          <t>2025-12-31 05:30:00</t>
        </is>
      </c>
      <c r="BG6" t="inlineStr">
        <is>
          <t>CITIN25679949578</t>
        </is>
      </c>
      <c r="BH6" t="n">
        <v>0</v>
      </c>
      <c r="BI6" t="inlineStr">
        <is>
          <t>61798389fa24be74590a44ab05d15a9ec5044d8fe54f1713529a5f2b2ac96069</t>
        </is>
      </c>
    </row>
    <row r="7">
      <c r="A7" t="inlineStr">
        <is>
          <t>2</t>
        </is>
      </c>
      <c r="B7" t="inlineStr">
        <is>
          <t>7609425845</t>
        </is>
      </c>
      <c r="C7" t="inlineStr">
        <is>
          <t>2025-12-22 17:54:00</t>
        </is>
      </c>
      <c r="D7" t="inlineStr">
        <is>
          <t>52</t>
        </is>
      </c>
      <c r="E7" t="inlineStr">
        <is>
          <t>Baba Yaga Art Of Chinese - By Posh Foods</t>
        </is>
      </c>
      <c r="F7" t="inlineStr">
        <is>
          <t>20037890</t>
        </is>
      </c>
      <c r="G7" t="inlineStr">
        <is>
          <t>Flat 20% off (2025-09-25 - 2031-01-01)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9</t>
        </is>
      </c>
      <c r="O7" t="n">
        <v>1060</v>
      </c>
      <c r="P7" t="n">
        <v>0</v>
      </c>
      <c r="Q7" t="n">
        <v>0</v>
      </c>
      <c r="R7" t="n">
        <v>212</v>
      </c>
      <c r="S7" t="n">
        <v>84.8</v>
      </c>
      <c r="T7" t="n">
        <v>0</v>
      </c>
      <c r="U7" t="n">
        <v>0</v>
      </c>
      <c r="V7" t="n">
        <v>38.16</v>
      </c>
      <c r="W7" t="n">
        <v>801.36</v>
      </c>
      <c r="X7" t="n">
        <v>763.2</v>
      </c>
      <c r="Y7" t="n">
        <v>0</v>
      </c>
      <c r="Z7" t="n">
        <v>0</v>
      </c>
      <c r="AA7" t="n">
        <v>763.2</v>
      </c>
      <c r="AB7" t="n">
        <v>23</v>
      </c>
      <c r="AC7" t="n">
        <v>175.54</v>
      </c>
      <c r="AD7" t="n">
        <v>4.86</v>
      </c>
      <c r="AE7" t="n">
        <v>20</v>
      </c>
      <c r="AF7" t="n">
        <v>0</v>
      </c>
      <c r="AG7" t="n">
        <v>0</v>
      </c>
      <c r="AH7" t="n">
        <v>14.75</v>
      </c>
      <c r="AI7" t="n">
        <v>210.29</v>
      </c>
      <c r="AJ7" t="n">
        <v>37.86</v>
      </c>
      <c r="AK7" t="n">
        <v>0</v>
      </c>
      <c r="AL7" t="n">
        <v>763.2</v>
      </c>
      <c r="AM7" t="n">
        <v>0</v>
      </c>
      <c r="AN7" t="n">
        <v>0</v>
      </c>
      <c r="AO7" t="n">
        <v>0.76</v>
      </c>
      <c r="AP7" t="n">
        <v>38.16</v>
      </c>
      <c r="AQ7" t="n">
        <v>0</v>
      </c>
      <c r="AR7" t="n">
        <v>76.78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287.07</v>
      </c>
      <c r="BC7" t="n">
        <v>0</v>
      </c>
      <c r="BD7" t="n">
        <v>514.29</v>
      </c>
      <c r="BE7" t="inlineStr">
        <is>
          <t>settled</t>
        </is>
      </c>
      <c r="BF7" t="inlineStr">
        <is>
          <t>2025-12-31 05:30:00</t>
        </is>
      </c>
      <c r="BG7" t="inlineStr">
        <is>
          <t>CITIN25679949578</t>
        </is>
      </c>
      <c r="BH7" t="n">
        <v>0</v>
      </c>
      <c r="BI7" t="inlineStr">
        <is>
          <t>8608f138115afc8df0c133d19f7b0a55cf5e9f875fe46537a6d15ab6081520e0</t>
        </is>
      </c>
    </row>
    <row r="8">
      <c r="A8" t="inlineStr">
        <is>
          <t>3</t>
        </is>
      </c>
      <c r="B8" t="inlineStr">
        <is>
          <t>7605357447</t>
        </is>
      </c>
      <c r="C8" t="inlineStr">
        <is>
          <t>2025-12-22 18:02:21</t>
        </is>
      </c>
      <c r="D8" t="inlineStr">
        <is>
          <t>52</t>
        </is>
      </c>
      <c r="E8" t="inlineStr">
        <is>
          <t>Baba Yaga Art Of Chinese - By Posh Foods</t>
        </is>
      </c>
      <c r="F8" t="inlineStr">
        <is>
          <t>20037890</t>
        </is>
      </c>
      <c r="G8" t="inlineStr">
        <is>
          <t>Flat ₹150 off (2025-12-21 - 2031-01-01)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9</t>
        </is>
      </c>
      <c r="O8" t="n">
        <v>645</v>
      </c>
      <c r="P8" t="n">
        <v>0</v>
      </c>
      <c r="Q8" t="n">
        <v>0</v>
      </c>
      <c r="R8" t="n">
        <v>150</v>
      </c>
      <c r="S8" t="n">
        <v>49.5</v>
      </c>
      <c r="T8" t="n">
        <v>0</v>
      </c>
      <c r="U8" t="n">
        <v>0</v>
      </c>
      <c r="V8" t="n">
        <v>22.28</v>
      </c>
      <c r="W8" t="n">
        <v>467.78</v>
      </c>
      <c r="X8" t="n">
        <v>445.5</v>
      </c>
      <c r="Y8" t="n">
        <v>0</v>
      </c>
      <c r="Z8" t="n">
        <v>0</v>
      </c>
      <c r="AA8" t="n">
        <v>445.5</v>
      </c>
      <c r="AB8" t="n">
        <v>23</v>
      </c>
      <c r="AC8" t="n">
        <v>102.46</v>
      </c>
      <c r="AD8" t="n">
        <v>3.56</v>
      </c>
      <c r="AE8" t="n">
        <v>0</v>
      </c>
      <c r="AF8" t="n">
        <v>0</v>
      </c>
      <c r="AG8" t="n">
        <v>0</v>
      </c>
      <c r="AH8" t="n">
        <v>8.609999999999999</v>
      </c>
      <c r="AI8" t="n">
        <v>111.07</v>
      </c>
      <c r="AJ8" t="n">
        <v>19.99</v>
      </c>
      <c r="AK8" t="n">
        <v>0</v>
      </c>
      <c r="AL8" t="n">
        <v>445.5</v>
      </c>
      <c r="AM8" t="n">
        <v>0</v>
      </c>
      <c r="AN8" t="n">
        <v>0</v>
      </c>
      <c r="AO8" t="n">
        <v>0.45</v>
      </c>
      <c r="AP8" t="n">
        <v>22.28</v>
      </c>
      <c r="AQ8" t="n">
        <v>0</v>
      </c>
      <c r="AR8" t="n">
        <v>42.72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153.79</v>
      </c>
      <c r="BC8" t="n">
        <v>0</v>
      </c>
      <c r="BD8" t="n">
        <v>313.99</v>
      </c>
      <c r="BE8" t="inlineStr">
        <is>
          <t>settled</t>
        </is>
      </c>
      <c r="BF8" t="inlineStr">
        <is>
          <t>2025-12-31 05:30:00</t>
        </is>
      </c>
      <c r="BG8" t="inlineStr">
        <is>
          <t>CITIN25679949578</t>
        </is>
      </c>
      <c r="BH8" t="n">
        <v>0</v>
      </c>
      <c r="BI8" t="inlineStr">
        <is>
          <t>d6407b42b3da0b4ae0c582205d8e03d3ca31c3d85ac81df259bcda95b15d0edf</t>
        </is>
      </c>
    </row>
    <row r="9">
      <c r="A9" t="inlineStr">
        <is>
          <t>4</t>
        </is>
      </c>
      <c r="B9" t="inlineStr">
        <is>
          <t>7611203234</t>
        </is>
      </c>
      <c r="C9" t="inlineStr">
        <is>
          <t>2025-12-22 21:06:38</t>
        </is>
      </c>
      <c r="D9" t="inlineStr">
        <is>
          <t>52</t>
        </is>
      </c>
      <c r="E9" t="inlineStr">
        <is>
          <t>Baba Yaga Art Of Chinese - By Posh Foods</t>
        </is>
      </c>
      <c r="F9" t="inlineStr">
        <is>
          <t>20037890</t>
        </is>
      </c>
      <c r="G9" t="inlineStr">
        <is>
          <t>Flat ₹150 off (2025-12-21 - 2031-01-01)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9</t>
        </is>
      </c>
      <c r="O9" t="n">
        <v>580</v>
      </c>
      <c r="P9" t="n">
        <v>0</v>
      </c>
      <c r="Q9" t="n">
        <v>0</v>
      </c>
      <c r="R9" t="n">
        <v>105</v>
      </c>
      <c r="S9" t="n">
        <v>43</v>
      </c>
      <c r="T9" t="n">
        <v>0</v>
      </c>
      <c r="U9" t="n">
        <v>0</v>
      </c>
      <c r="V9" t="n">
        <v>21.6</v>
      </c>
      <c r="W9" t="n">
        <v>453.6</v>
      </c>
      <c r="X9" t="n">
        <v>432</v>
      </c>
      <c r="Y9" t="n">
        <v>0</v>
      </c>
      <c r="Z9" t="n">
        <v>0</v>
      </c>
      <c r="AA9" t="n">
        <v>432</v>
      </c>
      <c r="AB9" t="n">
        <v>23</v>
      </c>
      <c r="AC9" t="n">
        <v>99.36</v>
      </c>
      <c r="AD9" t="n">
        <v>3.52</v>
      </c>
      <c r="AE9" t="n">
        <v>0</v>
      </c>
      <c r="AF9" t="n">
        <v>0</v>
      </c>
      <c r="AG9" t="n">
        <v>0</v>
      </c>
      <c r="AH9" t="n">
        <v>8.35</v>
      </c>
      <c r="AI9" t="n">
        <v>107.71</v>
      </c>
      <c r="AJ9" t="n">
        <v>19.38</v>
      </c>
      <c r="AK9" t="n">
        <v>0</v>
      </c>
      <c r="AL9" t="n">
        <v>432</v>
      </c>
      <c r="AM9" t="n">
        <v>0</v>
      </c>
      <c r="AN9" t="n">
        <v>0</v>
      </c>
      <c r="AO9" t="n">
        <v>0.43</v>
      </c>
      <c r="AP9" t="n">
        <v>21.6</v>
      </c>
      <c r="AQ9" t="n">
        <v>0</v>
      </c>
      <c r="AR9" t="n">
        <v>41.41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50.98</v>
      </c>
      <c r="AY9" t="n">
        <v>0</v>
      </c>
      <c r="AZ9" t="n">
        <v>0</v>
      </c>
      <c r="BA9" t="n">
        <v>50.98</v>
      </c>
      <c r="BB9" t="n">
        <v>200.1</v>
      </c>
      <c r="BC9" t="n">
        <v>0</v>
      </c>
      <c r="BD9" t="n">
        <v>253.5</v>
      </c>
      <c r="BE9" t="inlineStr">
        <is>
          <t>settled</t>
        </is>
      </c>
      <c r="BF9" t="inlineStr">
        <is>
          <t>2025-12-31 05:30:00</t>
        </is>
      </c>
      <c r="BG9" t="inlineStr">
        <is>
          <t>CITIN25679949578</t>
        </is>
      </c>
      <c r="BH9" t="n">
        <v>0</v>
      </c>
      <c r="BI9" t="inlineStr">
        <is>
          <t>e04edc0af335cd4dcd8ba474b8771ff306db51992068f53d09274ebd055cfcb2</t>
        </is>
      </c>
    </row>
    <row r="10">
      <c r="A10" t="inlineStr">
        <is>
          <t>5</t>
        </is>
      </c>
      <c r="B10" t="inlineStr">
        <is>
          <t>7603256347</t>
        </is>
      </c>
      <c r="C10" t="inlineStr">
        <is>
          <t>2025-12-22 21:53:12</t>
        </is>
      </c>
      <c r="D10" t="inlineStr">
        <is>
          <t>52</t>
        </is>
      </c>
      <c r="E10" t="inlineStr">
        <is>
          <t>Baba Yaga Art Of Chinese - By Posh Foods</t>
        </is>
      </c>
      <c r="F10" t="inlineStr">
        <is>
          <t>20037890</t>
        </is>
      </c>
      <c r="G10" t="inlineStr">
        <is>
          <t>Flat ₹350 off (2025-12-22 - 2031-01-01)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9</t>
        </is>
      </c>
      <c r="O10" t="n">
        <v>1229</v>
      </c>
      <c r="P10" t="n">
        <v>0</v>
      </c>
      <c r="Q10" t="n">
        <v>0</v>
      </c>
      <c r="R10" t="n">
        <v>280</v>
      </c>
      <c r="S10" t="n">
        <v>87.90000000000001</v>
      </c>
      <c r="T10" t="n">
        <v>0</v>
      </c>
      <c r="U10" t="n">
        <v>0</v>
      </c>
      <c r="V10" t="n">
        <v>43.06</v>
      </c>
      <c r="W10" t="n">
        <v>904.16</v>
      </c>
      <c r="X10" t="n">
        <v>861.1</v>
      </c>
      <c r="Y10" t="n">
        <v>0</v>
      </c>
      <c r="Z10" t="n">
        <v>0</v>
      </c>
      <c r="AA10" t="n">
        <v>861.1</v>
      </c>
      <c r="AB10" t="n">
        <v>23</v>
      </c>
      <c r="AC10" t="n">
        <v>198.05</v>
      </c>
      <c r="AD10" t="n">
        <v>2.9</v>
      </c>
      <c r="AE10" t="n">
        <v>0</v>
      </c>
      <c r="AF10" t="n">
        <v>0</v>
      </c>
      <c r="AG10" t="n">
        <v>0</v>
      </c>
      <c r="AH10" t="n">
        <v>16.64</v>
      </c>
      <c r="AI10" t="n">
        <v>214.69</v>
      </c>
      <c r="AJ10" t="n">
        <v>38.65</v>
      </c>
      <c r="AK10" t="n">
        <v>0</v>
      </c>
      <c r="AL10" t="n">
        <v>861.1</v>
      </c>
      <c r="AM10" t="n">
        <v>0</v>
      </c>
      <c r="AN10" t="n">
        <v>0</v>
      </c>
      <c r="AO10" t="n">
        <v>0.86</v>
      </c>
      <c r="AP10" t="n">
        <v>43.05</v>
      </c>
      <c r="AQ10" t="n">
        <v>0.01</v>
      </c>
      <c r="AR10" t="n">
        <v>82.56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297.25</v>
      </c>
      <c r="BC10" t="n">
        <v>0</v>
      </c>
      <c r="BD10" t="n">
        <v>606.91</v>
      </c>
      <c r="BE10" t="inlineStr">
        <is>
          <t>settled</t>
        </is>
      </c>
      <c r="BF10" t="inlineStr">
        <is>
          <t>2025-12-31 05:30:00</t>
        </is>
      </c>
      <c r="BG10" t="inlineStr">
        <is>
          <t>CITIN25679949578</t>
        </is>
      </c>
      <c r="BH10" t="n">
        <v>0</v>
      </c>
      <c r="BI10" t="inlineStr">
        <is>
          <t>f2525b07ae597e365cfb2584f0a61c1798690b173320072e1a564ed418bf4dfa</t>
        </is>
      </c>
    </row>
    <row r="11">
      <c r="A11" t="inlineStr">
        <is>
          <t>6</t>
        </is>
      </c>
      <c r="B11" t="inlineStr">
        <is>
          <t>7610267886</t>
        </is>
      </c>
      <c r="C11" t="inlineStr">
        <is>
          <t>2025-12-22 23:00:44</t>
        </is>
      </c>
      <c r="D11" t="inlineStr">
        <is>
          <t>52</t>
        </is>
      </c>
      <c r="E11" t="inlineStr">
        <is>
          <t>Baba Yaga Art Of Chinese - By Posh Foods</t>
        </is>
      </c>
      <c r="F11" t="inlineStr">
        <is>
          <t>20037890</t>
        </is>
      </c>
      <c r="G11" t="inlineStr">
        <is>
          <t>Flat ₹150 off (2025-12-18 - 2031-01-01)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9</t>
        </is>
      </c>
      <c r="O11" t="n">
        <v>580</v>
      </c>
      <c r="P11" t="n">
        <v>0</v>
      </c>
      <c r="Q11" t="n">
        <v>0</v>
      </c>
      <c r="R11" t="n">
        <v>150</v>
      </c>
      <c r="S11" t="n">
        <v>43</v>
      </c>
      <c r="T11" t="n">
        <v>0</v>
      </c>
      <c r="U11" t="n">
        <v>0</v>
      </c>
      <c r="V11" t="n">
        <v>19.35</v>
      </c>
      <c r="W11" t="n">
        <v>406.35</v>
      </c>
      <c r="X11" t="n">
        <v>387</v>
      </c>
      <c r="Y11" t="n">
        <v>0</v>
      </c>
      <c r="Z11" t="n">
        <v>0</v>
      </c>
      <c r="AA11" t="n">
        <v>387</v>
      </c>
      <c r="AB11" t="n">
        <v>23</v>
      </c>
      <c r="AC11" t="n">
        <v>89.01000000000001</v>
      </c>
      <c r="AD11" t="n">
        <v>4.81</v>
      </c>
      <c r="AE11" t="n">
        <v>20</v>
      </c>
      <c r="AF11" t="n">
        <v>0</v>
      </c>
      <c r="AG11" t="n">
        <v>0</v>
      </c>
      <c r="AH11" t="n">
        <v>7.48</v>
      </c>
      <c r="AI11" t="n">
        <v>116.49</v>
      </c>
      <c r="AJ11" t="n">
        <v>20.97</v>
      </c>
      <c r="AK11" t="n">
        <v>0</v>
      </c>
      <c r="AL11" t="n">
        <v>387</v>
      </c>
      <c r="AM11" t="n">
        <v>0</v>
      </c>
      <c r="AN11" t="n">
        <v>0</v>
      </c>
      <c r="AO11" t="n">
        <v>0.39</v>
      </c>
      <c r="AP11" t="n">
        <v>19.35</v>
      </c>
      <c r="AQ11" t="n">
        <v>0</v>
      </c>
      <c r="AR11" t="n">
        <v>40.71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45.67</v>
      </c>
      <c r="AY11" t="n">
        <v>0</v>
      </c>
      <c r="AZ11" t="n">
        <v>0</v>
      </c>
      <c r="BA11" t="n">
        <v>45.67</v>
      </c>
      <c r="BB11" t="n">
        <v>202.87</v>
      </c>
      <c r="BC11" t="n">
        <v>0</v>
      </c>
      <c r="BD11" t="n">
        <v>203.48</v>
      </c>
      <c r="BE11" t="inlineStr">
        <is>
          <t>settled</t>
        </is>
      </c>
      <c r="BF11" t="inlineStr">
        <is>
          <t>2025-12-31 05:30:00</t>
        </is>
      </c>
      <c r="BG11" t="inlineStr">
        <is>
          <t>CITIN25679949578</t>
        </is>
      </c>
      <c r="BH11" t="n">
        <v>0</v>
      </c>
      <c r="BI11" t="inlineStr">
        <is>
          <t>d8e5f5a3abf6ae6671283ffb38499478a1e36a5a54c1516a057a4725f37981be</t>
        </is>
      </c>
    </row>
    <row r="12">
      <c r="A12" t="inlineStr">
        <is>
          <t>7</t>
        </is>
      </c>
      <c r="B12" t="inlineStr">
        <is>
          <t>7598345081</t>
        </is>
      </c>
      <c r="C12" t="inlineStr">
        <is>
          <t>2025-12-22 23:50:54</t>
        </is>
      </c>
      <c r="D12" t="inlineStr">
        <is>
          <t>52</t>
        </is>
      </c>
      <c r="E12" t="inlineStr">
        <is>
          <t>Baba Yaga Art Of Chinese - By Posh Foods</t>
        </is>
      </c>
      <c r="F12" t="inlineStr">
        <is>
          <t>20037890</t>
        </is>
      </c>
      <c r="G12" t="inlineStr">
        <is>
          <t>Flat ₹100 off (2025-12-21 - 2031-01-01)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9</t>
        </is>
      </c>
      <c r="O12" t="n">
        <v>335</v>
      </c>
      <c r="P12" t="n">
        <v>0</v>
      </c>
      <c r="Q12" t="n">
        <v>0</v>
      </c>
      <c r="R12" t="n">
        <v>70</v>
      </c>
      <c r="S12" t="n">
        <v>23.5</v>
      </c>
      <c r="T12" t="n">
        <v>0</v>
      </c>
      <c r="U12" t="n">
        <v>0</v>
      </c>
      <c r="V12" t="n">
        <v>12.08</v>
      </c>
      <c r="W12" t="n">
        <v>253.58</v>
      </c>
      <c r="X12" t="n">
        <v>241.5</v>
      </c>
      <c r="Y12" t="n">
        <v>0</v>
      </c>
      <c r="Z12" t="n">
        <v>0</v>
      </c>
      <c r="AA12" t="n">
        <v>241.5</v>
      </c>
      <c r="AB12" t="n">
        <v>23</v>
      </c>
      <c r="AC12" t="n">
        <v>55.54</v>
      </c>
      <c r="AD12" t="n">
        <v>2.11</v>
      </c>
      <c r="AE12" t="n">
        <v>0</v>
      </c>
      <c r="AF12" t="n">
        <v>0</v>
      </c>
      <c r="AG12" t="n">
        <v>0</v>
      </c>
      <c r="AH12" t="n">
        <v>4.67</v>
      </c>
      <c r="AI12" t="n">
        <v>60.21</v>
      </c>
      <c r="AJ12" t="n">
        <v>10.84</v>
      </c>
      <c r="AK12" t="n">
        <v>0</v>
      </c>
      <c r="AL12" t="n">
        <v>241.5</v>
      </c>
      <c r="AM12" t="n">
        <v>0</v>
      </c>
      <c r="AN12" t="n">
        <v>0</v>
      </c>
      <c r="AO12" t="n">
        <v>0.24</v>
      </c>
      <c r="AP12" t="n">
        <v>12.08</v>
      </c>
      <c r="AQ12" t="n">
        <v>0</v>
      </c>
      <c r="AR12" t="n">
        <v>23.16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83.37</v>
      </c>
      <c r="BC12" t="n">
        <v>0</v>
      </c>
      <c r="BD12" t="n">
        <v>170.21</v>
      </c>
      <c r="BE12" t="inlineStr">
        <is>
          <t>settled</t>
        </is>
      </c>
      <c r="BF12" t="inlineStr">
        <is>
          <t>2025-12-31 05:30:00</t>
        </is>
      </c>
      <c r="BG12" t="inlineStr">
        <is>
          <t>CITIN25679949578</t>
        </is>
      </c>
      <c r="BH12" t="n">
        <v>0</v>
      </c>
      <c r="BI12" t="inlineStr">
        <is>
          <t>2854ec42f411dfc3d8af72f1963d05e791f9741c184036c87a582c65fb4a9028</t>
        </is>
      </c>
    </row>
    <row r="13">
      <c r="A13" t="inlineStr">
        <is>
          <t>8</t>
        </is>
      </c>
      <c r="B13" t="inlineStr">
        <is>
          <t>7611235498</t>
        </is>
      </c>
      <c r="C13" t="inlineStr">
        <is>
          <t>2025-12-23 13:52:46</t>
        </is>
      </c>
      <c r="D13" t="inlineStr">
        <is>
          <t>52</t>
        </is>
      </c>
      <c r="E13" t="inlineStr">
        <is>
          <t>Baba Yaga Art Of Chinese - By Posh Foods</t>
        </is>
      </c>
      <c r="F13" t="inlineStr">
        <is>
          <t>20037890</t>
        </is>
      </c>
      <c r="G13" t="inlineStr">
        <is>
          <t>Flat ₹100 off (2025-12-21 - 2031-01-01)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9</t>
        </is>
      </c>
      <c r="O13" t="n">
        <v>315</v>
      </c>
      <c r="P13" t="n">
        <v>0</v>
      </c>
      <c r="Q13" t="n">
        <v>0</v>
      </c>
      <c r="R13" t="n">
        <v>70</v>
      </c>
      <c r="S13" t="n">
        <v>21.5</v>
      </c>
      <c r="T13" t="n">
        <v>0</v>
      </c>
      <c r="U13" t="n">
        <v>0</v>
      </c>
      <c r="V13" t="n">
        <v>11.18</v>
      </c>
      <c r="W13" t="n">
        <v>234.68</v>
      </c>
      <c r="X13" t="n">
        <v>223.5</v>
      </c>
      <c r="Y13" t="n">
        <v>0</v>
      </c>
      <c r="Z13" t="n">
        <v>0</v>
      </c>
      <c r="AA13" t="n">
        <v>223.5</v>
      </c>
      <c r="AB13" t="n">
        <v>23</v>
      </c>
      <c r="AC13" t="n">
        <v>51.4</v>
      </c>
      <c r="AD13" t="n">
        <v>3.43</v>
      </c>
      <c r="AE13" t="n">
        <v>0</v>
      </c>
      <c r="AF13" t="n">
        <v>0</v>
      </c>
      <c r="AG13" t="n">
        <v>0</v>
      </c>
      <c r="AH13" t="n">
        <v>4.32</v>
      </c>
      <c r="AI13" t="n">
        <v>55.72</v>
      </c>
      <c r="AJ13" t="n">
        <v>10.03</v>
      </c>
      <c r="AK13" t="n">
        <v>0</v>
      </c>
      <c r="AL13" t="n">
        <v>223.5</v>
      </c>
      <c r="AM13" t="n">
        <v>0</v>
      </c>
      <c r="AN13" t="n">
        <v>0</v>
      </c>
      <c r="AO13" t="n">
        <v>0.22</v>
      </c>
      <c r="AP13" t="n">
        <v>11.18</v>
      </c>
      <c r="AQ13" t="n">
        <v>0</v>
      </c>
      <c r="AR13" t="n">
        <v>21.43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77.15000000000001</v>
      </c>
      <c r="BC13" t="n">
        <v>0</v>
      </c>
      <c r="BD13" t="n">
        <v>157.53</v>
      </c>
      <c r="BE13" t="inlineStr">
        <is>
          <t>settled</t>
        </is>
      </c>
      <c r="BF13" t="inlineStr">
        <is>
          <t>2025-12-31 05:30:00</t>
        </is>
      </c>
      <c r="BG13" t="inlineStr">
        <is>
          <t>CITIN25679949578</t>
        </is>
      </c>
      <c r="BH13" t="n">
        <v>0</v>
      </c>
      <c r="BI13" t="inlineStr">
        <is>
          <t>ecf076850defea185a1e846af4fc7c05772c2a297eb948fc0077db10a4bc5d35</t>
        </is>
      </c>
    </row>
    <row r="14">
      <c r="A14" t="inlineStr">
        <is>
          <t>9</t>
        </is>
      </c>
      <c r="B14" t="inlineStr">
        <is>
          <t>7611359674</t>
        </is>
      </c>
      <c r="C14" t="inlineStr">
        <is>
          <t>2025-12-23 14:37:18</t>
        </is>
      </c>
      <c r="D14" t="inlineStr">
        <is>
          <t>52</t>
        </is>
      </c>
      <c r="E14" t="inlineStr">
        <is>
          <t>Baba Yaga Art Of Chinese - By Posh Foods</t>
        </is>
      </c>
      <c r="F14" t="inlineStr">
        <is>
          <t>20037890</t>
        </is>
      </c>
      <c r="G14" t="inlineStr">
        <is>
          <t>Flat ₹150 off (2025-12-18 - 2031-01-01)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9</t>
        </is>
      </c>
      <c r="O14" t="n">
        <v>504</v>
      </c>
      <c r="P14" t="n">
        <v>0</v>
      </c>
      <c r="Q14" t="n">
        <v>0</v>
      </c>
      <c r="R14" t="n">
        <v>150</v>
      </c>
      <c r="S14" t="n">
        <v>35.4</v>
      </c>
      <c r="T14" t="n">
        <v>0</v>
      </c>
      <c r="U14" t="n">
        <v>0</v>
      </c>
      <c r="V14" t="n">
        <v>15.93</v>
      </c>
      <c r="W14" t="n">
        <v>334.53</v>
      </c>
      <c r="X14" t="n">
        <v>318.6</v>
      </c>
      <c r="Y14" t="n">
        <v>0</v>
      </c>
      <c r="Z14" t="n">
        <v>0</v>
      </c>
      <c r="AA14" t="n">
        <v>318.6</v>
      </c>
      <c r="AB14" t="n">
        <v>23</v>
      </c>
      <c r="AC14" t="n">
        <v>73.28</v>
      </c>
      <c r="AD14" t="n">
        <v>1.81</v>
      </c>
      <c r="AE14" t="n">
        <v>0</v>
      </c>
      <c r="AF14" t="n">
        <v>0</v>
      </c>
      <c r="AG14" t="n">
        <v>0</v>
      </c>
      <c r="AH14" t="n">
        <v>6.16</v>
      </c>
      <c r="AI14" t="n">
        <v>79.44</v>
      </c>
      <c r="AJ14" t="n">
        <v>14.3</v>
      </c>
      <c r="AK14" t="n">
        <v>0</v>
      </c>
      <c r="AL14" t="n">
        <v>318.6</v>
      </c>
      <c r="AM14" t="n">
        <v>0</v>
      </c>
      <c r="AN14" t="n">
        <v>0</v>
      </c>
      <c r="AO14" t="n">
        <v>0.32</v>
      </c>
      <c r="AP14" t="n">
        <v>15.93</v>
      </c>
      <c r="AQ14" t="n">
        <v>0</v>
      </c>
      <c r="AR14" t="n">
        <v>30.55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109.99</v>
      </c>
      <c r="BC14" t="n">
        <v>0</v>
      </c>
      <c r="BD14" t="n">
        <v>224.54</v>
      </c>
      <c r="BE14" t="inlineStr">
        <is>
          <t>settled</t>
        </is>
      </c>
      <c r="BF14" t="inlineStr">
        <is>
          <t>2025-12-31 05:30:00</t>
        </is>
      </c>
      <c r="BG14" t="inlineStr">
        <is>
          <t>CITIN25679949578</t>
        </is>
      </c>
      <c r="BH14" t="n">
        <v>0</v>
      </c>
      <c r="BI14" t="inlineStr">
        <is>
          <t>c0c0ef1318c1636a54ccd4230705c622aec4e99d9ba457840e0af52c759712ba</t>
        </is>
      </c>
    </row>
    <row r="15">
      <c r="A15" t="inlineStr">
        <is>
          <t>10</t>
        </is>
      </c>
      <c r="B15" t="inlineStr">
        <is>
          <t>7612091304</t>
        </is>
      </c>
      <c r="C15" t="inlineStr">
        <is>
          <t>2025-12-23 16:01:56</t>
        </is>
      </c>
      <c r="D15" t="inlineStr">
        <is>
          <t>52</t>
        </is>
      </c>
      <c r="E15" t="inlineStr">
        <is>
          <t>Baba Yaga Art Of Chinese - By Posh Foods</t>
        </is>
      </c>
      <c r="F15" t="inlineStr">
        <is>
          <t>20037890</t>
        </is>
      </c>
      <c r="G15" t="inlineStr">
        <is>
          <t>Flat ₹100 off (2025-12-21 - 2031-01-01)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9</t>
        </is>
      </c>
      <c r="O15" t="n">
        <v>315</v>
      </c>
      <c r="P15" t="n">
        <v>0</v>
      </c>
      <c r="Q15" t="n">
        <v>0</v>
      </c>
      <c r="R15" t="n">
        <v>70</v>
      </c>
      <c r="S15" t="n">
        <v>21.5</v>
      </c>
      <c r="T15" t="n">
        <v>0</v>
      </c>
      <c r="U15" t="n">
        <v>0</v>
      </c>
      <c r="V15" t="n">
        <v>11.18</v>
      </c>
      <c r="W15" t="n">
        <v>234.68</v>
      </c>
      <c r="X15" t="n">
        <v>223.5</v>
      </c>
      <c r="Y15" t="n">
        <v>0</v>
      </c>
      <c r="Z15" t="n">
        <v>0</v>
      </c>
      <c r="AA15" t="n">
        <v>223.5</v>
      </c>
      <c r="AB15" t="n">
        <v>23</v>
      </c>
      <c r="AC15" t="n">
        <v>51.4</v>
      </c>
      <c r="AD15" t="n">
        <v>6.63</v>
      </c>
      <c r="AE15" t="n">
        <v>40</v>
      </c>
      <c r="AF15" t="n">
        <v>0</v>
      </c>
      <c r="AG15" t="n">
        <v>24.35</v>
      </c>
      <c r="AH15" t="n">
        <v>4.32</v>
      </c>
      <c r="AI15" t="n">
        <v>71.37</v>
      </c>
      <c r="AJ15" t="n">
        <v>12.85</v>
      </c>
      <c r="AK15" t="n">
        <v>0</v>
      </c>
      <c r="AL15" t="n">
        <v>223.5</v>
      </c>
      <c r="AM15" t="n">
        <v>0</v>
      </c>
      <c r="AN15" t="n">
        <v>0</v>
      </c>
      <c r="AO15" t="n">
        <v>0.22</v>
      </c>
      <c r="AP15" t="n">
        <v>11.18</v>
      </c>
      <c r="AQ15" t="n">
        <v>0</v>
      </c>
      <c r="AR15" t="n">
        <v>24.25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95.62</v>
      </c>
      <c r="BC15" t="n">
        <v>0</v>
      </c>
      <c r="BD15" t="n">
        <v>139.06</v>
      </c>
      <c r="BE15" t="inlineStr">
        <is>
          <t>settled</t>
        </is>
      </c>
      <c r="BF15" t="inlineStr">
        <is>
          <t>2025-12-31 05:30:00</t>
        </is>
      </c>
      <c r="BG15" t="inlineStr">
        <is>
          <t>CITIN25679949578</t>
        </is>
      </c>
      <c r="BH15" t="n">
        <v>0</v>
      </c>
      <c r="BI15" t="inlineStr">
        <is>
          <t>6ee2302e7b46e53822eae93f80d244fd3e72478982bc0eacb6937a593a9de1d4</t>
        </is>
      </c>
    </row>
    <row r="16">
      <c r="A16" t="inlineStr">
        <is>
          <t>11</t>
        </is>
      </c>
      <c r="B16" t="inlineStr">
        <is>
          <t>7611866704</t>
        </is>
      </c>
      <c r="C16" t="inlineStr">
        <is>
          <t>2025-12-23 16:25:28</t>
        </is>
      </c>
      <c r="D16" t="inlineStr">
        <is>
          <t>52</t>
        </is>
      </c>
      <c r="E16" t="inlineStr">
        <is>
          <t>Baba Yaga Art Of Chinese - By Posh Foods</t>
        </is>
      </c>
      <c r="F16" t="inlineStr">
        <is>
          <t>20037890</t>
        </is>
      </c>
      <c r="G16" t="inlineStr">
        <is>
          <t>Flat ₹100 off (2025-12-21 - 2031-01-01)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9</t>
        </is>
      </c>
      <c r="O16" t="n">
        <v>239</v>
      </c>
      <c r="P16" t="n">
        <v>0</v>
      </c>
      <c r="Q16" t="n">
        <v>0</v>
      </c>
      <c r="R16" t="n">
        <v>70</v>
      </c>
      <c r="S16" t="n">
        <v>0</v>
      </c>
      <c r="T16" t="n">
        <v>0</v>
      </c>
      <c r="U16" t="n">
        <v>0</v>
      </c>
      <c r="V16" t="n">
        <v>8.449999999999999</v>
      </c>
      <c r="W16" t="n">
        <v>177.45</v>
      </c>
      <c r="X16" t="n">
        <v>169</v>
      </c>
      <c r="Y16" t="n">
        <v>0</v>
      </c>
      <c r="Z16" t="n">
        <v>0</v>
      </c>
      <c r="AA16" t="n">
        <v>169</v>
      </c>
      <c r="AB16" t="n">
        <v>23</v>
      </c>
      <c r="AC16" t="n">
        <v>38.87</v>
      </c>
      <c r="AD16" t="n">
        <v>0.6</v>
      </c>
      <c r="AE16" t="n">
        <v>0</v>
      </c>
      <c r="AF16" t="n">
        <v>0</v>
      </c>
      <c r="AG16" t="n">
        <v>0</v>
      </c>
      <c r="AH16" t="n">
        <v>3.27</v>
      </c>
      <c r="AI16" t="n">
        <v>42.14</v>
      </c>
      <c r="AJ16" t="n">
        <v>7.59</v>
      </c>
      <c r="AK16" t="n">
        <v>0</v>
      </c>
      <c r="AL16" t="n">
        <v>169</v>
      </c>
      <c r="AM16" t="n">
        <v>0</v>
      </c>
      <c r="AN16" t="n">
        <v>0</v>
      </c>
      <c r="AO16" t="n">
        <v>0.17</v>
      </c>
      <c r="AP16" t="n">
        <v>8.449999999999999</v>
      </c>
      <c r="AQ16" t="n">
        <v>0</v>
      </c>
      <c r="AR16" t="n">
        <v>16.21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58.35</v>
      </c>
      <c r="BC16" t="n">
        <v>0</v>
      </c>
      <c r="BD16" t="n">
        <v>119.1</v>
      </c>
      <c r="BE16" t="inlineStr">
        <is>
          <t>settled</t>
        </is>
      </c>
      <c r="BF16" t="inlineStr">
        <is>
          <t>2025-12-31 05:30:00</t>
        </is>
      </c>
      <c r="BG16" t="inlineStr">
        <is>
          <t>CITIN25679949578</t>
        </is>
      </c>
      <c r="BH16" t="n">
        <v>0</v>
      </c>
      <c r="BI16" t="inlineStr">
        <is>
          <t>ecdc8b1ae8877d79944a61db25d4a55e96ff95ab812f59729e08a9eeed9e5fcb</t>
        </is>
      </c>
    </row>
    <row r="17">
      <c r="A17" t="inlineStr">
        <is>
          <t>12</t>
        </is>
      </c>
      <c r="B17" t="inlineStr">
        <is>
          <t>7609319661</t>
        </is>
      </c>
      <c r="C17" t="inlineStr">
        <is>
          <t>2025-12-23 18:51:19</t>
        </is>
      </c>
      <c r="D17" t="inlineStr">
        <is>
          <t>52</t>
        </is>
      </c>
      <c r="E17" t="inlineStr">
        <is>
          <t>Baba Yaga Art Of Chinese - By Posh Foods</t>
        </is>
      </c>
      <c r="F17" t="inlineStr">
        <is>
          <t>20037890</t>
        </is>
      </c>
      <c r="G17" t="inlineStr">
        <is>
          <t>NA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9</t>
        </is>
      </c>
      <c r="O17" t="n">
        <v>239</v>
      </c>
      <c r="P17" t="n">
        <v>0</v>
      </c>
      <c r="Q17" t="n">
        <v>0</v>
      </c>
      <c r="R17" t="n">
        <v>0</v>
      </c>
      <c r="S17" t="n">
        <v>120</v>
      </c>
      <c r="T17" t="n">
        <v>0</v>
      </c>
      <c r="U17" t="n">
        <v>0</v>
      </c>
      <c r="V17" t="n">
        <v>5.95</v>
      </c>
      <c r="W17" t="n">
        <v>124.95</v>
      </c>
      <c r="X17" t="n">
        <v>119</v>
      </c>
      <c r="Y17" t="n">
        <v>0</v>
      </c>
      <c r="Z17" t="n">
        <v>0</v>
      </c>
      <c r="AA17" t="n">
        <v>119</v>
      </c>
      <c r="AB17" t="n">
        <v>23</v>
      </c>
      <c r="AC17" t="n">
        <v>27.37</v>
      </c>
      <c r="AD17" t="n">
        <v>5.92</v>
      </c>
      <c r="AE17" t="n">
        <v>0</v>
      </c>
      <c r="AF17" t="n">
        <v>0</v>
      </c>
      <c r="AG17" t="n">
        <v>0</v>
      </c>
      <c r="AH17" t="n">
        <v>2.3</v>
      </c>
      <c r="AI17" t="n">
        <v>29.67</v>
      </c>
      <c r="AJ17" t="n">
        <v>5.34</v>
      </c>
      <c r="AK17" t="n">
        <v>0</v>
      </c>
      <c r="AL17" t="n">
        <v>119</v>
      </c>
      <c r="AM17" t="n">
        <v>0</v>
      </c>
      <c r="AN17" t="n">
        <v>0</v>
      </c>
      <c r="AO17" t="n">
        <v>0.12</v>
      </c>
      <c r="AP17" t="n">
        <v>5.95</v>
      </c>
      <c r="AQ17" t="n">
        <v>0</v>
      </c>
      <c r="AR17" t="n">
        <v>11.41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14.04</v>
      </c>
      <c r="AY17" t="n">
        <v>0</v>
      </c>
      <c r="AZ17" t="n">
        <v>0</v>
      </c>
      <c r="BA17" t="n">
        <v>14.04</v>
      </c>
      <c r="BB17" t="n">
        <v>55.12</v>
      </c>
      <c r="BC17" t="n">
        <v>0</v>
      </c>
      <c r="BD17" t="n">
        <v>69.83</v>
      </c>
      <c r="BE17" t="inlineStr">
        <is>
          <t>settled</t>
        </is>
      </c>
      <c r="BF17" t="inlineStr">
        <is>
          <t>2025-12-31 05:30:00</t>
        </is>
      </c>
      <c r="BG17" t="inlineStr">
        <is>
          <t>CITIN25679949578</t>
        </is>
      </c>
      <c r="BH17" t="n">
        <v>0</v>
      </c>
      <c r="BI17" t="inlineStr">
        <is>
          <t>184132be74ad6a41c27bf6785f0222a266d70d99a03396b667dfab554a9eaed9</t>
        </is>
      </c>
    </row>
    <row r="18">
      <c r="A18" t="inlineStr">
        <is>
          <t>13</t>
        </is>
      </c>
      <c r="B18" t="inlineStr">
        <is>
          <t>7609290740</t>
        </is>
      </c>
      <c r="C18" t="inlineStr">
        <is>
          <t>2025-12-23 18:59:25</t>
        </is>
      </c>
      <c r="D18" t="inlineStr">
        <is>
          <t>52</t>
        </is>
      </c>
      <c r="E18" t="inlineStr">
        <is>
          <t>Baba Yaga Art Of Chinese - By Posh Foods</t>
        </is>
      </c>
      <c r="F18" t="inlineStr">
        <is>
          <t>20037890</t>
        </is>
      </c>
      <c r="G18" t="inlineStr">
        <is>
          <t>Flat ₹300 off (2025-12-22 - 2031-01-01)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9</t>
        </is>
      </c>
      <c r="O18" t="n">
        <v>700</v>
      </c>
      <c r="P18" t="n">
        <v>0</v>
      </c>
      <c r="Q18" t="n">
        <v>0</v>
      </c>
      <c r="R18" t="n">
        <v>240</v>
      </c>
      <c r="S18" t="n">
        <v>40</v>
      </c>
      <c r="T18" t="n">
        <v>0</v>
      </c>
      <c r="U18" t="n">
        <v>0</v>
      </c>
      <c r="V18" t="n">
        <v>21</v>
      </c>
      <c r="W18" t="n">
        <v>441</v>
      </c>
      <c r="X18" t="n">
        <v>420</v>
      </c>
      <c r="Y18" t="n">
        <v>0</v>
      </c>
      <c r="Z18" t="n">
        <v>0</v>
      </c>
      <c r="AA18" t="n">
        <v>420</v>
      </c>
      <c r="AB18" t="n">
        <v>23</v>
      </c>
      <c r="AC18" t="n">
        <v>96.59999999999999</v>
      </c>
      <c r="AD18" t="n">
        <v>2.5</v>
      </c>
      <c r="AE18" t="n">
        <v>0</v>
      </c>
      <c r="AF18" t="n">
        <v>0</v>
      </c>
      <c r="AG18" t="n">
        <v>0</v>
      </c>
      <c r="AH18" t="n">
        <v>8.109999999999999</v>
      </c>
      <c r="AI18" t="n">
        <v>104.71</v>
      </c>
      <c r="AJ18" t="n">
        <v>18.85</v>
      </c>
      <c r="AK18" t="n">
        <v>0</v>
      </c>
      <c r="AL18" t="n">
        <v>420</v>
      </c>
      <c r="AM18" t="n">
        <v>0</v>
      </c>
      <c r="AN18" t="n">
        <v>0</v>
      </c>
      <c r="AO18" t="n">
        <v>0.42</v>
      </c>
      <c r="AP18" t="n">
        <v>21</v>
      </c>
      <c r="AQ18" t="n">
        <v>0</v>
      </c>
      <c r="AR18" t="n">
        <v>40.27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144.98</v>
      </c>
      <c r="BC18" t="n">
        <v>0</v>
      </c>
      <c r="BD18" t="n">
        <v>296.02</v>
      </c>
      <c r="BE18" t="inlineStr">
        <is>
          <t>settled</t>
        </is>
      </c>
      <c r="BF18" t="inlineStr">
        <is>
          <t>2025-12-31 05:30:00</t>
        </is>
      </c>
      <c r="BG18" t="inlineStr">
        <is>
          <t>CITIN25679949578</t>
        </is>
      </c>
      <c r="BH18" t="n">
        <v>0</v>
      </c>
      <c r="BI18" t="inlineStr">
        <is>
          <t>9e08eb342cf95bab8213b13e147fabbefcfdee79a42c0e7cf21c8057ac3a44df</t>
        </is>
      </c>
    </row>
    <row r="19">
      <c r="A19" t="inlineStr">
        <is>
          <t>14</t>
        </is>
      </c>
      <c r="B19" t="inlineStr">
        <is>
          <t>7611928077</t>
        </is>
      </c>
      <c r="C19" t="inlineStr">
        <is>
          <t>2025-12-23 22:54:53</t>
        </is>
      </c>
      <c r="D19" t="inlineStr">
        <is>
          <t>52</t>
        </is>
      </c>
      <c r="E19" t="inlineStr">
        <is>
          <t>Baba Yaga Art Of Chinese - By Posh Foods</t>
        </is>
      </c>
      <c r="F19" t="inlineStr">
        <is>
          <t>20037890</t>
        </is>
      </c>
      <c r="G19" t="inlineStr">
        <is>
          <t>Flat ₹300 off (2025-12-22 - 2031-01-01)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9</t>
        </is>
      </c>
      <c r="O19" t="n">
        <v>700</v>
      </c>
      <c r="P19" t="n">
        <v>0</v>
      </c>
      <c r="Q19" t="n">
        <v>0</v>
      </c>
      <c r="R19" t="n">
        <v>240</v>
      </c>
      <c r="S19" t="n">
        <v>40</v>
      </c>
      <c r="T19" t="n">
        <v>0</v>
      </c>
      <c r="U19" t="n">
        <v>0</v>
      </c>
      <c r="V19" t="n">
        <v>21</v>
      </c>
      <c r="W19" t="n">
        <v>441</v>
      </c>
      <c r="X19" t="n">
        <v>420</v>
      </c>
      <c r="Y19" t="n">
        <v>0</v>
      </c>
      <c r="Z19" t="n">
        <v>0</v>
      </c>
      <c r="AA19" t="n">
        <v>420</v>
      </c>
      <c r="AB19" t="n">
        <v>23</v>
      </c>
      <c r="AC19" t="n">
        <v>96.59999999999999</v>
      </c>
      <c r="AD19" t="n">
        <v>2.53</v>
      </c>
      <c r="AE19" t="n">
        <v>0</v>
      </c>
      <c r="AF19" t="n">
        <v>0</v>
      </c>
      <c r="AG19" t="n">
        <v>0</v>
      </c>
      <c r="AH19" t="n">
        <v>8.109999999999999</v>
      </c>
      <c r="AI19" t="n">
        <v>104.71</v>
      </c>
      <c r="AJ19" t="n">
        <v>18.85</v>
      </c>
      <c r="AK19" t="n">
        <v>0</v>
      </c>
      <c r="AL19" t="n">
        <v>420</v>
      </c>
      <c r="AM19" t="n">
        <v>0</v>
      </c>
      <c r="AN19" t="n">
        <v>0</v>
      </c>
      <c r="AO19" t="n">
        <v>0.42</v>
      </c>
      <c r="AP19" t="n">
        <v>21</v>
      </c>
      <c r="AQ19" t="n">
        <v>0</v>
      </c>
      <c r="AR19" t="n">
        <v>40.27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49.56</v>
      </c>
      <c r="AY19" t="n">
        <v>0</v>
      </c>
      <c r="AZ19" t="n">
        <v>0</v>
      </c>
      <c r="BA19" t="n">
        <v>49.56</v>
      </c>
      <c r="BB19" t="n">
        <v>194.54</v>
      </c>
      <c r="BC19" t="n">
        <v>0</v>
      </c>
      <c r="BD19" t="n">
        <v>246.46</v>
      </c>
      <c r="BE19" t="inlineStr">
        <is>
          <t>settled</t>
        </is>
      </c>
      <c r="BF19" t="inlineStr">
        <is>
          <t>2025-12-31 05:30:00</t>
        </is>
      </c>
      <c r="BG19" t="inlineStr">
        <is>
          <t>CITIN25679949578</t>
        </is>
      </c>
      <c r="BH19" t="n">
        <v>0</v>
      </c>
      <c r="BI19" t="inlineStr">
        <is>
          <t>f569abd5939c1be148bbeceb4af79b1e4a15b4810e03e578f52f3cc5b0ab8790</t>
        </is>
      </c>
    </row>
    <row r="20">
      <c r="A20" t="inlineStr">
        <is>
          <t>15</t>
        </is>
      </c>
      <c r="B20" t="inlineStr">
        <is>
          <t>7609372328</t>
        </is>
      </c>
      <c r="C20" t="inlineStr">
        <is>
          <t>2025-12-23 23:21:59</t>
        </is>
      </c>
      <c r="D20" t="inlineStr">
        <is>
          <t>52</t>
        </is>
      </c>
      <c r="E20" t="inlineStr">
        <is>
          <t>Baba Yaga Art Of Chinese - By Posh Foods</t>
        </is>
      </c>
      <c r="F20" t="inlineStr">
        <is>
          <t>20037890</t>
        </is>
      </c>
      <c r="G20" t="inlineStr">
        <is>
          <t>Flat ₹100 off (2025-12-21 - 2031-01-01)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9</t>
        </is>
      </c>
      <c r="O20" t="n">
        <v>265</v>
      </c>
      <c r="P20" t="n">
        <v>0</v>
      </c>
      <c r="Q20" t="n">
        <v>0</v>
      </c>
      <c r="R20" t="n">
        <v>70</v>
      </c>
      <c r="S20" t="n">
        <v>0</v>
      </c>
      <c r="T20" t="n">
        <v>0</v>
      </c>
      <c r="U20" t="n">
        <v>0</v>
      </c>
      <c r="V20" t="n">
        <v>9.75</v>
      </c>
      <c r="W20" t="n">
        <v>204.75</v>
      </c>
      <c r="X20" t="n">
        <v>195</v>
      </c>
      <c r="Y20" t="n">
        <v>0</v>
      </c>
      <c r="Z20" t="n">
        <v>0</v>
      </c>
      <c r="AA20" t="n">
        <v>195</v>
      </c>
      <c r="AB20" t="n">
        <v>23</v>
      </c>
      <c r="AC20" t="n">
        <v>44.85</v>
      </c>
      <c r="AD20" t="n">
        <v>0.54</v>
      </c>
      <c r="AE20" t="n">
        <v>0</v>
      </c>
      <c r="AF20" t="n">
        <v>0</v>
      </c>
      <c r="AG20" t="n">
        <v>0</v>
      </c>
      <c r="AH20" t="n">
        <v>3.77</v>
      </c>
      <c r="AI20" t="n">
        <v>48.62</v>
      </c>
      <c r="AJ20" t="n">
        <v>8.75</v>
      </c>
      <c r="AK20" t="n">
        <v>0</v>
      </c>
      <c r="AL20" t="n">
        <v>195</v>
      </c>
      <c r="AM20" t="n">
        <v>0</v>
      </c>
      <c r="AN20" t="n">
        <v>0</v>
      </c>
      <c r="AO20" t="n">
        <v>0.2</v>
      </c>
      <c r="AP20" t="n">
        <v>9.75</v>
      </c>
      <c r="AQ20" t="n">
        <v>0</v>
      </c>
      <c r="AR20" t="n">
        <v>18.7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67.31999999999999</v>
      </c>
      <c r="BC20" t="n">
        <v>0</v>
      </c>
      <c r="BD20" t="n">
        <v>137.43</v>
      </c>
      <c r="BE20" t="inlineStr">
        <is>
          <t>settled</t>
        </is>
      </c>
      <c r="BF20" t="inlineStr">
        <is>
          <t>2025-12-31 05:30:00</t>
        </is>
      </c>
      <c r="BG20" t="inlineStr">
        <is>
          <t>CITIN25679949578</t>
        </is>
      </c>
      <c r="BH20" t="n">
        <v>0</v>
      </c>
      <c r="BI20" t="inlineStr">
        <is>
          <t>2c407e0bcb851c44dd751c5694002729c8783b122d4562c788f43fba6494cd8d</t>
        </is>
      </c>
    </row>
    <row r="21">
      <c r="A21" t="inlineStr">
        <is>
          <t>16</t>
        </is>
      </c>
      <c r="B21" t="inlineStr">
        <is>
          <t>7606871563</t>
        </is>
      </c>
      <c r="C21" t="inlineStr">
        <is>
          <t>2025-12-24 12:59:30</t>
        </is>
      </c>
      <c r="D21" t="inlineStr">
        <is>
          <t>52</t>
        </is>
      </c>
      <c r="E21" t="inlineStr">
        <is>
          <t>Baba Yaga Art Of Chinese - By Posh Foods</t>
        </is>
      </c>
      <c r="F21" t="inlineStr">
        <is>
          <t>20037890</t>
        </is>
      </c>
      <c r="G21" t="inlineStr">
        <is>
          <t>Flat ₹350 off (2025-12-22 - 2031-01-01)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9</t>
        </is>
      </c>
      <c r="O21" t="n">
        <v>1425</v>
      </c>
      <c r="P21" t="n">
        <v>0</v>
      </c>
      <c r="Q21" t="n">
        <v>0</v>
      </c>
      <c r="R21" t="n">
        <v>280</v>
      </c>
      <c r="S21" t="n">
        <v>0</v>
      </c>
      <c r="T21" t="n">
        <v>0</v>
      </c>
      <c r="U21" t="n">
        <v>0</v>
      </c>
      <c r="V21" t="n">
        <v>57.25</v>
      </c>
      <c r="W21" t="n">
        <v>1202.25</v>
      </c>
      <c r="X21" t="n">
        <v>1145</v>
      </c>
      <c r="Y21" t="n">
        <v>0</v>
      </c>
      <c r="Z21" t="n">
        <v>0</v>
      </c>
      <c r="AA21" t="n">
        <v>1145</v>
      </c>
      <c r="AB21" t="n">
        <v>23</v>
      </c>
      <c r="AC21" t="n">
        <v>263.35</v>
      </c>
      <c r="AD21" t="n">
        <v>2.38</v>
      </c>
      <c r="AE21" t="n">
        <v>0</v>
      </c>
      <c r="AF21" t="n">
        <v>0</v>
      </c>
      <c r="AG21" t="n">
        <v>0</v>
      </c>
      <c r="AH21" t="n">
        <v>22.12</v>
      </c>
      <c r="AI21" t="n">
        <v>285.47</v>
      </c>
      <c r="AJ21" t="n">
        <v>51.38</v>
      </c>
      <c r="AK21" t="n">
        <v>0</v>
      </c>
      <c r="AL21" t="n">
        <v>1145</v>
      </c>
      <c r="AM21" t="n">
        <v>0</v>
      </c>
      <c r="AN21" t="n">
        <v>0</v>
      </c>
      <c r="AO21" t="n">
        <v>1.14</v>
      </c>
      <c r="AP21" t="n">
        <v>57.25</v>
      </c>
      <c r="AQ21" t="n">
        <v>0</v>
      </c>
      <c r="AR21" t="n">
        <v>109.77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395.24</v>
      </c>
      <c r="BC21" t="n">
        <v>0</v>
      </c>
      <c r="BD21" t="n">
        <v>807.01</v>
      </c>
      <c r="BE21" t="inlineStr">
        <is>
          <t>settled</t>
        </is>
      </c>
      <c r="BF21" t="inlineStr">
        <is>
          <t>2025-12-31 05:30:00</t>
        </is>
      </c>
      <c r="BG21" t="inlineStr">
        <is>
          <t>CITIN25679949578</t>
        </is>
      </c>
      <c r="BH21" t="n">
        <v>0</v>
      </c>
      <c r="BI21" t="inlineStr">
        <is>
          <t>029ce6a1b3740c7b931790f78a627bbd4d82924dc27099b8d269d33ae30a27cc</t>
        </is>
      </c>
    </row>
    <row r="22">
      <c r="A22" t="inlineStr">
        <is>
          <t>17</t>
        </is>
      </c>
      <c r="B22" t="inlineStr">
        <is>
          <t>7612554519</t>
        </is>
      </c>
      <c r="C22" t="inlineStr">
        <is>
          <t>2025-12-24 17:03:28</t>
        </is>
      </c>
      <c r="D22" t="inlineStr">
        <is>
          <t>52</t>
        </is>
      </c>
      <c r="E22" t="inlineStr">
        <is>
          <t>Baba Yaga Art Of Chinese - By Posh Foods</t>
        </is>
      </c>
      <c r="F22" t="inlineStr">
        <is>
          <t>20037890</t>
        </is>
      </c>
      <c r="G22" t="inlineStr">
        <is>
          <t>Flat ₹150 off (2025-12-21 - 2031-01-01)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9</t>
        </is>
      </c>
      <c r="O22" t="n">
        <v>720</v>
      </c>
      <c r="P22" t="n">
        <v>0</v>
      </c>
      <c r="Q22" t="n">
        <v>0</v>
      </c>
      <c r="R22" t="n">
        <v>150</v>
      </c>
      <c r="S22" t="n">
        <v>57</v>
      </c>
      <c r="T22" t="n">
        <v>0</v>
      </c>
      <c r="U22" t="n">
        <v>0</v>
      </c>
      <c r="V22" t="n">
        <v>25.65</v>
      </c>
      <c r="W22" t="n">
        <v>538.65</v>
      </c>
      <c r="X22" t="n">
        <v>513</v>
      </c>
      <c r="Y22" t="n">
        <v>0</v>
      </c>
      <c r="Z22" t="n">
        <v>0</v>
      </c>
      <c r="AA22" t="n">
        <v>513</v>
      </c>
      <c r="AB22" t="n">
        <v>23</v>
      </c>
      <c r="AC22" t="n">
        <v>117.99</v>
      </c>
      <c r="AD22" t="n">
        <v>2.29</v>
      </c>
      <c r="AE22" t="n">
        <v>0</v>
      </c>
      <c r="AF22" t="n">
        <v>0</v>
      </c>
      <c r="AG22" t="n">
        <v>0</v>
      </c>
      <c r="AH22" t="n">
        <v>9.91</v>
      </c>
      <c r="AI22" t="n">
        <v>127.9</v>
      </c>
      <c r="AJ22" t="n">
        <v>23.02</v>
      </c>
      <c r="AK22" t="n">
        <v>0</v>
      </c>
      <c r="AL22" t="n">
        <v>513</v>
      </c>
      <c r="AM22" t="n">
        <v>0</v>
      </c>
      <c r="AN22" t="n">
        <v>0</v>
      </c>
      <c r="AO22" t="n">
        <v>0.51</v>
      </c>
      <c r="AP22" t="n">
        <v>25.65</v>
      </c>
      <c r="AQ22" t="n">
        <v>0</v>
      </c>
      <c r="AR22" t="n">
        <v>49.18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177.08</v>
      </c>
      <c r="BC22" t="n">
        <v>0</v>
      </c>
      <c r="BD22" t="n">
        <v>361.57</v>
      </c>
      <c r="BE22" t="inlineStr">
        <is>
          <t>settled</t>
        </is>
      </c>
      <c r="BF22" t="inlineStr">
        <is>
          <t>2025-12-31 05:30:00</t>
        </is>
      </c>
      <c r="BG22" t="inlineStr">
        <is>
          <t>CITIN25679949578</t>
        </is>
      </c>
      <c r="BH22" t="n">
        <v>0</v>
      </c>
      <c r="BI22" t="inlineStr">
        <is>
          <t>6a6ca68393a658973ffffe752f26af18404a34264468934da8b6c4e1742986a2</t>
        </is>
      </c>
    </row>
    <row r="23">
      <c r="A23" t="inlineStr">
        <is>
          <t>18</t>
        </is>
      </c>
      <c r="B23" t="inlineStr">
        <is>
          <t>7611735136</t>
        </is>
      </c>
      <c r="C23" t="inlineStr">
        <is>
          <t>2025-12-24 18:13:14</t>
        </is>
      </c>
      <c r="D23" t="inlineStr">
        <is>
          <t>52</t>
        </is>
      </c>
      <c r="E23" t="inlineStr">
        <is>
          <t>Baba Yaga Art Of Chinese - By Posh Foods</t>
        </is>
      </c>
      <c r="F23" t="inlineStr">
        <is>
          <t>20037890</t>
        </is>
      </c>
      <c r="G23" t="inlineStr">
        <is>
          <t>NA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9</t>
        </is>
      </c>
      <c r="O23" t="n">
        <v>449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22.45</v>
      </c>
      <c r="W23" t="n">
        <v>471.45</v>
      </c>
      <c r="X23" t="n">
        <v>449</v>
      </c>
      <c r="Y23" t="n">
        <v>0</v>
      </c>
      <c r="Z23" t="n">
        <v>0</v>
      </c>
      <c r="AA23" t="n">
        <v>449</v>
      </c>
      <c r="AB23" t="n">
        <v>23</v>
      </c>
      <c r="AC23" t="n">
        <v>103.27</v>
      </c>
      <c r="AD23" t="n">
        <v>2.11</v>
      </c>
      <c r="AE23" t="n">
        <v>0</v>
      </c>
      <c r="AF23" t="n">
        <v>0</v>
      </c>
      <c r="AG23" t="n">
        <v>0</v>
      </c>
      <c r="AH23" t="n">
        <v>8.67</v>
      </c>
      <c r="AI23" t="n">
        <v>111.94</v>
      </c>
      <c r="AJ23" t="n">
        <v>20.15</v>
      </c>
      <c r="AK23" t="n">
        <v>0</v>
      </c>
      <c r="AL23" t="n">
        <v>449</v>
      </c>
      <c r="AM23" t="n">
        <v>0</v>
      </c>
      <c r="AN23" t="n">
        <v>0</v>
      </c>
      <c r="AO23" t="n">
        <v>0.45</v>
      </c>
      <c r="AP23" t="n">
        <v>22.45</v>
      </c>
      <c r="AQ23" t="n">
        <v>0</v>
      </c>
      <c r="AR23" t="n">
        <v>43.05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154.99</v>
      </c>
      <c r="BC23" t="n">
        <v>0</v>
      </c>
      <c r="BD23" t="n">
        <v>316.46</v>
      </c>
      <c r="BE23" t="inlineStr">
        <is>
          <t>settled</t>
        </is>
      </c>
      <c r="BF23" t="inlineStr">
        <is>
          <t>2025-12-31 05:30:00</t>
        </is>
      </c>
      <c r="BG23" t="inlineStr">
        <is>
          <t>CITIN25679949578</t>
        </is>
      </c>
      <c r="BH23" t="n">
        <v>0</v>
      </c>
      <c r="BI23" t="inlineStr">
        <is>
          <t>1c742da6a8c39b8309b9da537dda65aef536a77e6fec149b87783b820e4887c6</t>
        </is>
      </c>
    </row>
    <row r="24">
      <c r="A24" t="inlineStr">
        <is>
          <t>19</t>
        </is>
      </c>
      <c r="B24" t="inlineStr">
        <is>
          <t>7611696971</t>
        </is>
      </c>
      <c r="C24" t="inlineStr">
        <is>
          <t>2025-12-24 18:15:29</t>
        </is>
      </c>
      <c r="D24" t="inlineStr">
        <is>
          <t>52</t>
        </is>
      </c>
      <c r="E24" t="inlineStr">
        <is>
          <t>Baba Yaga Art Of Chinese - By Posh Foods</t>
        </is>
      </c>
      <c r="F24" t="inlineStr">
        <is>
          <t>20037890</t>
        </is>
      </c>
      <c r="G24" t="inlineStr">
        <is>
          <t>Flat ₹100 off (2025-12-21 - 2031-01-01)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9</t>
        </is>
      </c>
      <c r="O24" t="n">
        <v>315</v>
      </c>
      <c r="P24" t="n">
        <v>0</v>
      </c>
      <c r="Q24" t="n">
        <v>0</v>
      </c>
      <c r="R24" t="n">
        <v>70</v>
      </c>
      <c r="S24" t="n">
        <v>21.5</v>
      </c>
      <c r="T24" t="n">
        <v>0</v>
      </c>
      <c r="U24" t="n">
        <v>0</v>
      </c>
      <c r="V24" t="n">
        <v>11.18</v>
      </c>
      <c r="W24" t="n">
        <v>234.68</v>
      </c>
      <c r="X24" t="n">
        <v>223.5</v>
      </c>
      <c r="Y24" t="n">
        <v>0</v>
      </c>
      <c r="Z24" t="n">
        <v>0</v>
      </c>
      <c r="AA24" t="n">
        <v>223.5</v>
      </c>
      <c r="AB24" t="n">
        <v>23</v>
      </c>
      <c r="AC24" t="n">
        <v>51.4</v>
      </c>
      <c r="AD24" t="n">
        <v>4.37</v>
      </c>
      <c r="AE24" t="n">
        <v>20</v>
      </c>
      <c r="AF24" t="n">
        <v>0</v>
      </c>
      <c r="AG24" t="n">
        <v>4.35</v>
      </c>
      <c r="AH24" t="n">
        <v>4.32</v>
      </c>
      <c r="AI24" t="n">
        <v>71.37</v>
      </c>
      <c r="AJ24" t="n">
        <v>12.85</v>
      </c>
      <c r="AK24" t="n">
        <v>0</v>
      </c>
      <c r="AL24" t="n">
        <v>223.5</v>
      </c>
      <c r="AM24" t="n">
        <v>0</v>
      </c>
      <c r="AN24" t="n">
        <v>0</v>
      </c>
      <c r="AO24" t="n">
        <v>0.22</v>
      </c>
      <c r="AP24" t="n">
        <v>11.18</v>
      </c>
      <c r="AQ24" t="n">
        <v>0</v>
      </c>
      <c r="AR24" t="n">
        <v>24.25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95.62</v>
      </c>
      <c r="BC24" t="n">
        <v>0</v>
      </c>
      <c r="BD24" t="n">
        <v>139.06</v>
      </c>
      <c r="BE24" t="inlineStr">
        <is>
          <t>settled</t>
        </is>
      </c>
      <c r="BF24" t="inlineStr">
        <is>
          <t>2025-12-31 05:30:00</t>
        </is>
      </c>
      <c r="BG24" t="inlineStr">
        <is>
          <t>CITIN25679949578</t>
        </is>
      </c>
      <c r="BH24" t="n">
        <v>0</v>
      </c>
      <c r="BI24" t="inlineStr">
        <is>
          <t>d4d15a3ec75a2fb175b0352b08c13f2f6e3383f482b191ffea25dbecfa208b17</t>
        </is>
      </c>
    </row>
    <row r="25">
      <c r="A25" t="inlineStr">
        <is>
          <t>20</t>
        </is>
      </c>
      <c r="B25" t="inlineStr">
        <is>
          <t>7608240733</t>
        </is>
      </c>
      <c r="C25" t="inlineStr">
        <is>
          <t>2025-12-24 18:25:04</t>
        </is>
      </c>
      <c r="D25" t="inlineStr">
        <is>
          <t>52</t>
        </is>
      </c>
      <c r="E25" t="inlineStr">
        <is>
          <t>Baba Yaga Art Of Chinese - By Posh Foods</t>
        </is>
      </c>
      <c r="F25" t="inlineStr">
        <is>
          <t>20037890</t>
        </is>
      </c>
      <c r="G25" t="inlineStr">
        <is>
          <t>Flat ₹100 off (2025-12-21 - 2031-01-01)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9</t>
        </is>
      </c>
      <c r="O25" t="n">
        <v>335</v>
      </c>
      <c r="P25" t="n">
        <v>0</v>
      </c>
      <c r="Q25" t="n">
        <v>0</v>
      </c>
      <c r="R25" t="n">
        <v>70</v>
      </c>
      <c r="S25" t="n">
        <v>23.5</v>
      </c>
      <c r="T25" t="n">
        <v>0</v>
      </c>
      <c r="U25" t="n">
        <v>0</v>
      </c>
      <c r="V25" t="n">
        <v>12.08</v>
      </c>
      <c r="W25" t="n">
        <v>253.58</v>
      </c>
      <c r="X25" t="n">
        <v>241.5</v>
      </c>
      <c r="Y25" t="n">
        <v>0</v>
      </c>
      <c r="Z25" t="n">
        <v>0</v>
      </c>
      <c r="AA25" t="n">
        <v>241.5</v>
      </c>
      <c r="AB25" t="n">
        <v>23</v>
      </c>
      <c r="AC25" t="n">
        <v>55.54</v>
      </c>
      <c r="AD25" t="n">
        <v>3.9</v>
      </c>
      <c r="AE25" t="n">
        <v>0</v>
      </c>
      <c r="AF25" t="n">
        <v>0</v>
      </c>
      <c r="AG25" t="n">
        <v>0</v>
      </c>
      <c r="AH25" t="n">
        <v>4.67</v>
      </c>
      <c r="AI25" t="n">
        <v>60.21</v>
      </c>
      <c r="AJ25" t="n">
        <v>10.84</v>
      </c>
      <c r="AK25" t="n">
        <v>0</v>
      </c>
      <c r="AL25" t="n">
        <v>241.5</v>
      </c>
      <c r="AM25" t="n">
        <v>0</v>
      </c>
      <c r="AN25" t="n">
        <v>0</v>
      </c>
      <c r="AO25" t="n">
        <v>0.24</v>
      </c>
      <c r="AP25" t="n">
        <v>12.08</v>
      </c>
      <c r="AQ25" t="n">
        <v>0</v>
      </c>
      <c r="AR25" t="n">
        <v>23.16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83.37</v>
      </c>
      <c r="BC25" t="n">
        <v>0</v>
      </c>
      <c r="BD25" t="n">
        <v>170.21</v>
      </c>
      <c r="BE25" t="inlineStr">
        <is>
          <t>settled</t>
        </is>
      </c>
      <c r="BF25" t="inlineStr">
        <is>
          <t>2025-12-31 05:30:00</t>
        </is>
      </c>
      <c r="BG25" t="inlineStr">
        <is>
          <t>CITIN25679949578</t>
        </is>
      </c>
      <c r="BH25" t="n">
        <v>0</v>
      </c>
      <c r="BI25" t="inlineStr">
        <is>
          <t>820e7b2e90570f20e4301dab93c2c6bc4f07dc7ff6cd08e98d9187dace7655d0</t>
        </is>
      </c>
    </row>
    <row r="26">
      <c r="A26" t="inlineStr">
        <is>
          <t>21</t>
        </is>
      </c>
      <c r="B26" t="inlineStr">
        <is>
          <t>7608847590</t>
        </is>
      </c>
      <c r="C26" t="inlineStr">
        <is>
          <t>2025-12-24 19:03:08</t>
        </is>
      </c>
      <c r="D26" t="inlineStr">
        <is>
          <t>52</t>
        </is>
      </c>
      <c r="E26" t="inlineStr">
        <is>
          <t>Baba Yaga Art Of Chinese - By Posh Foods</t>
        </is>
      </c>
      <c r="F26" t="inlineStr">
        <is>
          <t>20037890</t>
        </is>
      </c>
      <c r="G26" t="inlineStr">
        <is>
          <t>Flat ₹150 off (2025-12-21 - 2031-01-01)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9</t>
        </is>
      </c>
      <c r="O26" t="n">
        <v>715</v>
      </c>
      <c r="P26" t="n">
        <v>0</v>
      </c>
      <c r="Q26" t="n">
        <v>0</v>
      </c>
      <c r="R26" t="n">
        <v>150</v>
      </c>
      <c r="S26" t="n">
        <v>56.5</v>
      </c>
      <c r="T26" t="n">
        <v>0</v>
      </c>
      <c r="U26" t="n">
        <v>0</v>
      </c>
      <c r="V26" t="n">
        <v>25.43</v>
      </c>
      <c r="W26" t="n">
        <v>533.9299999999999</v>
      </c>
      <c r="X26" t="n">
        <v>508.5</v>
      </c>
      <c r="Y26" t="n">
        <v>0</v>
      </c>
      <c r="Z26" t="n">
        <v>0</v>
      </c>
      <c r="AA26" t="n">
        <v>508.5</v>
      </c>
      <c r="AB26" t="n">
        <v>23</v>
      </c>
      <c r="AC26" t="n">
        <v>116.96</v>
      </c>
      <c r="AD26" t="n">
        <v>1.48</v>
      </c>
      <c r="AE26" t="n">
        <v>0</v>
      </c>
      <c r="AF26" t="n">
        <v>0</v>
      </c>
      <c r="AG26" t="n">
        <v>0</v>
      </c>
      <c r="AH26" t="n">
        <v>9.82</v>
      </c>
      <c r="AI26" t="n">
        <v>126.78</v>
      </c>
      <c r="AJ26" t="n">
        <v>22.82</v>
      </c>
      <c r="AK26" t="n">
        <v>0</v>
      </c>
      <c r="AL26" t="n">
        <v>508.5</v>
      </c>
      <c r="AM26" t="n">
        <v>0</v>
      </c>
      <c r="AN26" t="n">
        <v>0</v>
      </c>
      <c r="AO26" t="n">
        <v>0.51</v>
      </c>
      <c r="AP26" t="n">
        <v>25.43</v>
      </c>
      <c r="AQ26" t="n">
        <v>0</v>
      </c>
      <c r="AR26" t="n">
        <v>48.76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175.54</v>
      </c>
      <c r="BC26" t="n">
        <v>0</v>
      </c>
      <c r="BD26" t="n">
        <v>358.39</v>
      </c>
      <c r="BE26" t="inlineStr">
        <is>
          <t>settled</t>
        </is>
      </c>
      <c r="BF26" t="inlineStr">
        <is>
          <t>2025-12-31 05:30:00</t>
        </is>
      </c>
      <c r="BG26" t="inlineStr">
        <is>
          <t>CITIN25679949578</t>
        </is>
      </c>
      <c r="BH26" t="n">
        <v>0</v>
      </c>
      <c r="BI26" t="inlineStr">
        <is>
          <t>1f259eed45f269ff903a70d9255f248873ac26bbaba0a042cfc44264b6334c26</t>
        </is>
      </c>
    </row>
    <row r="27">
      <c r="A27" t="inlineStr">
        <is>
          <t>22</t>
        </is>
      </c>
      <c r="B27" t="inlineStr">
        <is>
          <t>7611120442</t>
        </is>
      </c>
      <c r="C27" t="inlineStr">
        <is>
          <t>2025-12-24 19:19:54</t>
        </is>
      </c>
      <c r="D27" t="inlineStr">
        <is>
          <t>52</t>
        </is>
      </c>
      <c r="E27" t="inlineStr">
        <is>
          <t>Baba Yaga Art Of Chinese - By Posh Foods</t>
        </is>
      </c>
      <c r="F27" t="inlineStr">
        <is>
          <t>20037890</t>
        </is>
      </c>
      <c r="G27" t="inlineStr">
        <is>
          <t>Flat ₹100 off (2025-12-21 - 2031-01-01)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9</t>
        </is>
      </c>
      <c r="O27" t="n">
        <v>335</v>
      </c>
      <c r="P27" t="n">
        <v>0</v>
      </c>
      <c r="Q27" t="n">
        <v>0</v>
      </c>
      <c r="R27" t="n">
        <v>70</v>
      </c>
      <c r="S27" t="n">
        <v>23.5</v>
      </c>
      <c r="T27" t="n">
        <v>0</v>
      </c>
      <c r="U27" t="n">
        <v>0</v>
      </c>
      <c r="V27" t="n">
        <v>12.08</v>
      </c>
      <c r="W27" t="n">
        <v>253.58</v>
      </c>
      <c r="X27" t="n">
        <v>241.5</v>
      </c>
      <c r="Y27" t="n">
        <v>0</v>
      </c>
      <c r="Z27" t="n">
        <v>0</v>
      </c>
      <c r="AA27" t="n">
        <v>241.5</v>
      </c>
      <c r="AB27" t="n">
        <v>23</v>
      </c>
      <c r="AC27" t="n">
        <v>55.54</v>
      </c>
      <c r="AD27" t="n">
        <v>1.48</v>
      </c>
      <c r="AE27" t="n">
        <v>0</v>
      </c>
      <c r="AF27" t="n">
        <v>0</v>
      </c>
      <c r="AG27" t="n">
        <v>0</v>
      </c>
      <c r="AH27" t="n">
        <v>4.67</v>
      </c>
      <c r="AI27" t="n">
        <v>60.21</v>
      </c>
      <c r="AJ27" t="n">
        <v>10.84</v>
      </c>
      <c r="AK27" t="n">
        <v>0</v>
      </c>
      <c r="AL27" t="n">
        <v>241.5</v>
      </c>
      <c r="AM27" t="n">
        <v>0</v>
      </c>
      <c r="AN27" t="n">
        <v>0</v>
      </c>
      <c r="AO27" t="n">
        <v>0.24</v>
      </c>
      <c r="AP27" t="n">
        <v>12.08</v>
      </c>
      <c r="AQ27" t="n">
        <v>0</v>
      </c>
      <c r="AR27" t="n">
        <v>23.16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83.37</v>
      </c>
      <c r="BC27" t="n">
        <v>0</v>
      </c>
      <c r="BD27" t="n">
        <v>170.21</v>
      </c>
      <c r="BE27" t="inlineStr">
        <is>
          <t>settled</t>
        </is>
      </c>
      <c r="BF27" t="inlineStr">
        <is>
          <t>2025-12-31 05:30:00</t>
        </is>
      </c>
      <c r="BG27" t="inlineStr">
        <is>
          <t>CITIN25679949578</t>
        </is>
      </c>
      <c r="BH27" t="n">
        <v>0</v>
      </c>
      <c r="BI27" t="inlineStr">
        <is>
          <t>be320b779d2b6fdbffb8b51dd6b71a0623a8c6d61226e120602764681b8e32e9</t>
        </is>
      </c>
    </row>
    <row r="28">
      <c r="A28" t="inlineStr">
        <is>
          <t>23</t>
        </is>
      </c>
      <c r="B28" t="inlineStr">
        <is>
          <t>7611731925</t>
        </is>
      </c>
      <c r="C28" t="inlineStr">
        <is>
          <t>2025-12-24 23:19:08</t>
        </is>
      </c>
      <c r="D28" t="inlineStr">
        <is>
          <t>52</t>
        </is>
      </c>
      <c r="E28" t="inlineStr">
        <is>
          <t>Baba Yaga Art Of Chinese - By Posh Foods</t>
        </is>
      </c>
      <c r="F28" t="inlineStr">
        <is>
          <t>20037890</t>
        </is>
      </c>
      <c r="G28" t="inlineStr">
        <is>
          <t>Flat ₹125 off (2025-12-21 - 2031-01-01)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9</t>
        </is>
      </c>
      <c r="O28" t="n">
        <v>365</v>
      </c>
      <c r="P28" t="n">
        <v>0</v>
      </c>
      <c r="Q28" t="n">
        <v>0</v>
      </c>
      <c r="R28" t="n">
        <v>87</v>
      </c>
      <c r="S28" t="n">
        <v>24</v>
      </c>
      <c r="T28" t="n">
        <v>0</v>
      </c>
      <c r="U28" t="n">
        <v>0</v>
      </c>
      <c r="V28" t="n">
        <v>12.7</v>
      </c>
      <c r="W28" t="n">
        <v>266.7</v>
      </c>
      <c r="X28" t="n">
        <v>254</v>
      </c>
      <c r="Y28" t="n">
        <v>0</v>
      </c>
      <c r="Z28" t="n">
        <v>0</v>
      </c>
      <c r="AA28" t="n">
        <v>254</v>
      </c>
      <c r="AB28" t="n">
        <v>23</v>
      </c>
      <c r="AC28" t="n">
        <v>58.42</v>
      </c>
      <c r="AD28" t="n">
        <v>5.41</v>
      </c>
      <c r="AE28" t="n">
        <v>20</v>
      </c>
      <c r="AF28" t="n">
        <v>0</v>
      </c>
      <c r="AG28" t="n">
        <v>2.22</v>
      </c>
      <c r="AH28" t="n">
        <v>4.91</v>
      </c>
      <c r="AI28" t="n">
        <v>81.11</v>
      </c>
      <c r="AJ28" t="n">
        <v>14.6</v>
      </c>
      <c r="AK28" t="n">
        <v>0</v>
      </c>
      <c r="AL28" t="n">
        <v>254</v>
      </c>
      <c r="AM28" t="n">
        <v>0</v>
      </c>
      <c r="AN28" t="n">
        <v>0</v>
      </c>
      <c r="AO28" t="n">
        <v>0.25</v>
      </c>
      <c r="AP28" t="n">
        <v>12.7</v>
      </c>
      <c r="AQ28" t="n">
        <v>0</v>
      </c>
      <c r="AR28" t="n">
        <v>27.55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108.66</v>
      </c>
      <c r="BC28" t="n">
        <v>0</v>
      </c>
      <c r="BD28" t="n">
        <v>158.04</v>
      </c>
      <c r="BE28" t="inlineStr">
        <is>
          <t>settled</t>
        </is>
      </c>
      <c r="BF28" t="inlineStr">
        <is>
          <t>2025-12-31 05:30:00</t>
        </is>
      </c>
      <c r="BG28" t="inlineStr">
        <is>
          <t>CITIN25679949578</t>
        </is>
      </c>
      <c r="BH28" t="n">
        <v>0</v>
      </c>
      <c r="BI28" t="inlineStr">
        <is>
          <t>042cbf9981f9b6f6a79a31e9d71b1324a349784d8c4f38b161a6c059f6fca05b</t>
        </is>
      </c>
    </row>
    <row r="29">
      <c r="A29" t="inlineStr">
        <is>
          <t>24</t>
        </is>
      </c>
      <c r="B29" t="inlineStr">
        <is>
          <t>7617454454</t>
        </is>
      </c>
      <c r="C29" t="inlineStr">
        <is>
          <t>2025-12-25 12:30:58</t>
        </is>
      </c>
      <c r="D29" t="inlineStr">
        <is>
          <t>52</t>
        </is>
      </c>
      <c r="E29" t="inlineStr">
        <is>
          <t>Baba Yaga Art Of Chinese - By Posh Foods</t>
        </is>
      </c>
      <c r="F29" t="inlineStr">
        <is>
          <t>20037890</t>
        </is>
      </c>
      <c r="G29" t="inlineStr">
        <is>
          <t>Flat ₹100 off (2025-12-21 - 2031-01-01)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9</t>
        </is>
      </c>
      <c r="O29" t="n">
        <v>210</v>
      </c>
      <c r="P29" t="n">
        <v>0</v>
      </c>
      <c r="Q29" t="n">
        <v>0</v>
      </c>
      <c r="R29" t="n">
        <v>70</v>
      </c>
      <c r="S29" t="n">
        <v>0</v>
      </c>
      <c r="T29" t="n">
        <v>0</v>
      </c>
      <c r="U29" t="n">
        <v>0</v>
      </c>
      <c r="V29" t="n">
        <v>7</v>
      </c>
      <c r="W29" t="n">
        <v>147</v>
      </c>
      <c r="X29" t="n">
        <v>140</v>
      </c>
      <c r="Y29" t="n">
        <v>0</v>
      </c>
      <c r="Z29" t="n">
        <v>0</v>
      </c>
      <c r="AA29" t="n">
        <v>140</v>
      </c>
      <c r="AB29" t="n">
        <v>23</v>
      </c>
      <c r="AC29" t="n">
        <v>32.2</v>
      </c>
      <c r="AD29" t="n">
        <v>6.89</v>
      </c>
      <c r="AE29" t="n">
        <v>0</v>
      </c>
      <c r="AF29" t="n">
        <v>0</v>
      </c>
      <c r="AG29" t="n">
        <v>0</v>
      </c>
      <c r="AH29" t="n">
        <v>2.7</v>
      </c>
      <c r="AI29" t="n">
        <v>34.9</v>
      </c>
      <c r="AJ29" t="n">
        <v>6.29</v>
      </c>
      <c r="AK29" t="n">
        <v>0</v>
      </c>
      <c r="AL29" t="n">
        <v>140</v>
      </c>
      <c r="AM29" t="n">
        <v>0</v>
      </c>
      <c r="AN29" t="n">
        <v>0</v>
      </c>
      <c r="AO29" t="n">
        <v>0.14</v>
      </c>
      <c r="AP29" t="n">
        <v>7</v>
      </c>
      <c r="AQ29" t="n">
        <v>0</v>
      </c>
      <c r="AR29" t="n">
        <v>13.43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48.33</v>
      </c>
      <c r="BC29" t="n">
        <v>0</v>
      </c>
      <c r="BD29" t="n">
        <v>98.67</v>
      </c>
      <c r="BE29" t="inlineStr">
        <is>
          <t>settled</t>
        </is>
      </c>
      <c r="BF29" t="inlineStr">
        <is>
          <t>2025-12-31 05:30:00</t>
        </is>
      </c>
      <c r="BG29" t="inlineStr">
        <is>
          <t>CITIN25679949578</t>
        </is>
      </c>
      <c r="BH29" t="n">
        <v>0</v>
      </c>
      <c r="BI29" t="inlineStr">
        <is>
          <t>18083f487181a1137ca58dbeafcf39d2517cf9612fbb1c25cbd1f128c0d42f5d</t>
        </is>
      </c>
    </row>
    <row r="30">
      <c r="A30" t="inlineStr">
        <is>
          <t>25</t>
        </is>
      </c>
      <c r="B30" t="inlineStr">
        <is>
          <t>7617819412</t>
        </is>
      </c>
      <c r="C30" t="inlineStr">
        <is>
          <t>2025-12-25 14:41:12</t>
        </is>
      </c>
      <c r="D30" t="inlineStr">
        <is>
          <t>52</t>
        </is>
      </c>
      <c r="E30" t="inlineStr">
        <is>
          <t>Baba Yaga Art Of Chinese - By Posh Foods</t>
        </is>
      </c>
      <c r="F30" t="inlineStr">
        <is>
          <t>20037890</t>
        </is>
      </c>
      <c r="G30" t="inlineStr">
        <is>
          <t>Flat ₹100 off (2025-12-21 - 2031-01-01)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9</t>
        </is>
      </c>
      <c r="O30" t="n">
        <v>265</v>
      </c>
      <c r="P30" t="n">
        <v>0</v>
      </c>
      <c r="Q30" t="n">
        <v>0</v>
      </c>
      <c r="R30" t="n">
        <v>70</v>
      </c>
      <c r="S30" t="n">
        <v>0</v>
      </c>
      <c r="T30" t="n">
        <v>0</v>
      </c>
      <c r="U30" t="n">
        <v>0</v>
      </c>
      <c r="V30" t="n">
        <v>9.75</v>
      </c>
      <c r="W30" t="n">
        <v>204.75</v>
      </c>
      <c r="X30" t="n">
        <v>195</v>
      </c>
      <c r="Y30" t="n">
        <v>0</v>
      </c>
      <c r="Z30" t="n">
        <v>0</v>
      </c>
      <c r="AA30" t="n">
        <v>195</v>
      </c>
      <c r="AB30" t="n">
        <v>23</v>
      </c>
      <c r="AC30" t="n">
        <v>44.85</v>
      </c>
      <c r="AD30" t="n">
        <v>2.11</v>
      </c>
      <c r="AE30" t="n">
        <v>0</v>
      </c>
      <c r="AF30" t="n">
        <v>0</v>
      </c>
      <c r="AG30" t="n">
        <v>0</v>
      </c>
      <c r="AH30" t="n">
        <v>3.77</v>
      </c>
      <c r="AI30" t="n">
        <v>48.62</v>
      </c>
      <c r="AJ30" t="n">
        <v>8.75</v>
      </c>
      <c r="AK30" t="n">
        <v>0</v>
      </c>
      <c r="AL30" t="n">
        <v>195</v>
      </c>
      <c r="AM30" t="n">
        <v>0</v>
      </c>
      <c r="AN30" t="n">
        <v>0</v>
      </c>
      <c r="AO30" t="n">
        <v>0.2</v>
      </c>
      <c r="AP30" t="n">
        <v>9.75</v>
      </c>
      <c r="AQ30" t="n">
        <v>0</v>
      </c>
      <c r="AR30" t="n">
        <v>18.7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67.31999999999999</v>
      </c>
      <c r="BC30" t="n">
        <v>0</v>
      </c>
      <c r="BD30" t="n">
        <v>137.43</v>
      </c>
      <c r="BE30" t="inlineStr">
        <is>
          <t>settled</t>
        </is>
      </c>
      <c r="BF30" t="inlineStr">
        <is>
          <t>2025-12-31 05:30:00</t>
        </is>
      </c>
      <c r="BG30" t="inlineStr">
        <is>
          <t>CITIN25679949578</t>
        </is>
      </c>
      <c r="BH30" t="n">
        <v>0</v>
      </c>
      <c r="BI30" t="inlineStr">
        <is>
          <t>632a897b1e261d145a8d92d3bc94083d5ccd0c80ba11380613bafafd485049eb</t>
        </is>
      </c>
    </row>
    <row r="31">
      <c r="A31" t="inlineStr">
        <is>
          <t>26</t>
        </is>
      </c>
      <c r="B31" t="inlineStr">
        <is>
          <t>7611895261</t>
        </is>
      </c>
      <c r="C31" t="inlineStr">
        <is>
          <t>2025-12-25 15:47:05</t>
        </is>
      </c>
      <c r="D31" t="inlineStr">
        <is>
          <t>52</t>
        </is>
      </c>
      <c r="E31" t="inlineStr">
        <is>
          <t>Baba Yaga Art Of Chinese - By Posh Foods</t>
        </is>
      </c>
      <c r="F31" t="inlineStr">
        <is>
          <t>20037890</t>
        </is>
      </c>
      <c r="G31" t="inlineStr">
        <is>
          <t>Flat ₹100 off (2025-12-21 - 2031-01-01)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9</t>
        </is>
      </c>
      <c r="O31" t="n">
        <v>335</v>
      </c>
      <c r="P31" t="n">
        <v>0</v>
      </c>
      <c r="Q31" t="n">
        <v>0</v>
      </c>
      <c r="R31" t="n">
        <v>70</v>
      </c>
      <c r="S31" t="n">
        <v>23.5</v>
      </c>
      <c r="T31" t="n">
        <v>0</v>
      </c>
      <c r="U31" t="n">
        <v>0</v>
      </c>
      <c r="V31" t="n">
        <v>12.08</v>
      </c>
      <c r="W31" t="n">
        <v>253.58</v>
      </c>
      <c r="X31" t="n">
        <v>241.5</v>
      </c>
      <c r="Y31" t="n">
        <v>0</v>
      </c>
      <c r="Z31" t="n">
        <v>0</v>
      </c>
      <c r="AA31" t="n">
        <v>241.5</v>
      </c>
      <c r="AB31" t="n">
        <v>23</v>
      </c>
      <c r="AC31" t="n">
        <v>55.54</v>
      </c>
      <c r="AD31" t="n">
        <v>1.36</v>
      </c>
      <c r="AE31" t="n">
        <v>0</v>
      </c>
      <c r="AF31" t="n">
        <v>0</v>
      </c>
      <c r="AG31" t="n">
        <v>0</v>
      </c>
      <c r="AH31" t="n">
        <v>4.67</v>
      </c>
      <c r="AI31" t="n">
        <v>60.21</v>
      </c>
      <c r="AJ31" t="n">
        <v>10.84</v>
      </c>
      <c r="AK31" t="n">
        <v>0</v>
      </c>
      <c r="AL31" t="n">
        <v>241.5</v>
      </c>
      <c r="AM31" t="n">
        <v>0</v>
      </c>
      <c r="AN31" t="n">
        <v>0</v>
      </c>
      <c r="AO31" t="n">
        <v>0.24</v>
      </c>
      <c r="AP31" t="n">
        <v>12.08</v>
      </c>
      <c r="AQ31" t="n">
        <v>0</v>
      </c>
      <c r="AR31" t="n">
        <v>23.16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83.37</v>
      </c>
      <c r="BC31" t="n">
        <v>0</v>
      </c>
      <c r="BD31" t="n">
        <v>170.21</v>
      </c>
      <c r="BE31" t="inlineStr">
        <is>
          <t>settled</t>
        </is>
      </c>
      <c r="BF31" t="inlineStr">
        <is>
          <t>2025-12-31 05:30:00</t>
        </is>
      </c>
      <c r="BG31" t="inlineStr">
        <is>
          <t>CITIN25679949578</t>
        </is>
      </c>
      <c r="BH31" t="n">
        <v>0</v>
      </c>
      <c r="BI31" t="inlineStr">
        <is>
          <t>b5f1ecb7f592cafa7da3bddc7cefeb0ad18f38c5f942bfc90cb2c50bd2faafbd</t>
        </is>
      </c>
    </row>
    <row r="32">
      <c r="A32" t="inlineStr">
        <is>
          <t>27</t>
        </is>
      </c>
      <c r="B32" t="inlineStr">
        <is>
          <t>7613655907</t>
        </is>
      </c>
      <c r="C32" t="inlineStr">
        <is>
          <t>2025-12-25 18:08:01</t>
        </is>
      </c>
      <c r="D32" t="inlineStr">
        <is>
          <t>52</t>
        </is>
      </c>
      <c r="E32" t="inlineStr">
        <is>
          <t>Baba Yaga Art Of Chinese - By Posh Foods</t>
        </is>
      </c>
      <c r="F32" t="inlineStr">
        <is>
          <t>20037890</t>
        </is>
      </c>
      <c r="G32" t="inlineStr">
        <is>
          <t>Flat ₹100 off (2025-12-21 - 2031-01-01)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9</t>
        </is>
      </c>
      <c r="O32" t="n">
        <v>245</v>
      </c>
      <c r="P32" t="n">
        <v>0</v>
      </c>
      <c r="Q32" t="n">
        <v>0</v>
      </c>
      <c r="R32" t="n">
        <v>70</v>
      </c>
      <c r="S32" t="n">
        <v>0</v>
      </c>
      <c r="T32" t="n">
        <v>0</v>
      </c>
      <c r="U32" t="n">
        <v>0</v>
      </c>
      <c r="V32" t="n">
        <v>8.75</v>
      </c>
      <c r="W32" t="n">
        <v>183.75</v>
      </c>
      <c r="X32" t="n">
        <v>175</v>
      </c>
      <c r="Y32" t="n">
        <v>0</v>
      </c>
      <c r="Z32" t="n">
        <v>0</v>
      </c>
      <c r="AA32" t="n">
        <v>175</v>
      </c>
      <c r="AB32" t="n">
        <v>23</v>
      </c>
      <c r="AC32" t="n">
        <v>40.25</v>
      </c>
      <c r="AD32" t="n">
        <v>4.95</v>
      </c>
      <c r="AE32" t="n">
        <v>20</v>
      </c>
      <c r="AF32" t="n">
        <v>0</v>
      </c>
      <c r="AG32" t="n">
        <v>7.75</v>
      </c>
      <c r="AH32" t="n">
        <v>3.38</v>
      </c>
      <c r="AI32" t="n">
        <v>55.88</v>
      </c>
      <c r="AJ32" t="n">
        <v>10.05</v>
      </c>
      <c r="AK32" t="n">
        <v>0</v>
      </c>
      <c r="AL32" t="n">
        <v>175</v>
      </c>
      <c r="AM32" t="n">
        <v>0</v>
      </c>
      <c r="AN32" t="n">
        <v>0</v>
      </c>
      <c r="AO32" t="n">
        <v>0.18</v>
      </c>
      <c r="AP32" t="n">
        <v>8.75</v>
      </c>
      <c r="AQ32" t="n">
        <v>0</v>
      </c>
      <c r="AR32" t="n">
        <v>18.98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74.86</v>
      </c>
      <c r="BC32" t="n">
        <v>0</v>
      </c>
      <c r="BD32" t="n">
        <v>108.89</v>
      </c>
      <c r="BE32" t="inlineStr">
        <is>
          <t>settled</t>
        </is>
      </c>
      <c r="BF32" t="inlineStr">
        <is>
          <t>2025-12-31 05:30:00</t>
        </is>
      </c>
      <c r="BG32" t="inlineStr">
        <is>
          <t>CITIN25679949578</t>
        </is>
      </c>
      <c r="BH32" t="n">
        <v>0</v>
      </c>
      <c r="BI32" t="inlineStr">
        <is>
          <t>dbb90f7ccee4ce586e0f6def59c193ae1aeb2d753714829c06171671952c3b63</t>
        </is>
      </c>
    </row>
    <row r="33">
      <c r="A33" t="inlineStr">
        <is>
          <t>28</t>
        </is>
      </c>
      <c r="B33" t="inlineStr">
        <is>
          <t>7614330713</t>
        </is>
      </c>
      <c r="C33" t="inlineStr">
        <is>
          <t>2025-12-25 18:34:44</t>
        </is>
      </c>
      <c r="D33" t="inlineStr">
        <is>
          <t>52</t>
        </is>
      </c>
      <c r="E33" t="inlineStr">
        <is>
          <t>Baba Yaga Art Of Chinese - By Posh Foods</t>
        </is>
      </c>
      <c r="F33" t="inlineStr">
        <is>
          <t>20037890</t>
        </is>
      </c>
      <c r="G33" t="inlineStr">
        <is>
          <t>Flat ₹300 off (2025-12-22 - 2031-01-01)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9</t>
        </is>
      </c>
      <c r="O33" t="n">
        <v>1205</v>
      </c>
      <c r="P33" t="n">
        <v>0</v>
      </c>
      <c r="Q33" t="n">
        <v>0</v>
      </c>
      <c r="R33" t="n">
        <v>240</v>
      </c>
      <c r="S33" t="n">
        <v>90.5</v>
      </c>
      <c r="T33" t="n">
        <v>0</v>
      </c>
      <c r="U33" t="n">
        <v>0</v>
      </c>
      <c r="V33" t="n">
        <v>43.73</v>
      </c>
      <c r="W33" t="n">
        <v>918.23</v>
      </c>
      <c r="X33" t="n">
        <v>874.5</v>
      </c>
      <c r="Y33" t="n">
        <v>0</v>
      </c>
      <c r="Z33" t="n">
        <v>0</v>
      </c>
      <c r="AA33" t="n">
        <v>874.5</v>
      </c>
      <c r="AB33" t="n">
        <v>23</v>
      </c>
      <c r="AC33" t="n">
        <v>201.14</v>
      </c>
      <c r="AD33" t="n">
        <v>1.85</v>
      </c>
      <c r="AE33" t="n">
        <v>0</v>
      </c>
      <c r="AF33" t="n">
        <v>0</v>
      </c>
      <c r="AG33" t="n">
        <v>0</v>
      </c>
      <c r="AH33" t="n">
        <v>16.9</v>
      </c>
      <c r="AI33" t="n">
        <v>218.04</v>
      </c>
      <c r="AJ33" t="n">
        <v>39.25</v>
      </c>
      <c r="AK33" t="n">
        <v>0</v>
      </c>
      <c r="AL33" t="n">
        <v>874.5</v>
      </c>
      <c r="AM33" t="n">
        <v>0</v>
      </c>
      <c r="AN33" t="n">
        <v>0</v>
      </c>
      <c r="AO33" t="n">
        <v>0.87</v>
      </c>
      <c r="AP33" t="n">
        <v>43.72</v>
      </c>
      <c r="AQ33" t="n">
        <v>0.01</v>
      </c>
      <c r="AR33" t="n">
        <v>83.84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301.88</v>
      </c>
      <c r="BC33" t="n">
        <v>0</v>
      </c>
      <c r="BD33" t="n">
        <v>616.35</v>
      </c>
      <c r="BE33" t="inlineStr">
        <is>
          <t>settled</t>
        </is>
      </c>
      <c r="BF33" t="inlineStr">
        <is>
          <t>2025-12-31 05:30:00</t>
        </is>
      </c>
      <c r="BG33" t="inlineStr">
        <is>
          <t>CITIN25679949578</t>
        </is>
      </c>
      <c r="BH33" t="n">
        <v>0</v>
      </c>
      <c r="BI33" t="inlineStr">
        <is>
          <t>fc83341677a986d5d66706e6527f63150d1595b0b36c6b9e1c160bbf0ba4c5a7</t>
        </is>
      </c>
    </row>
    <row r="34">
      <c r="A34" t="inlineStr">
        <is>
          <t>29</t>
        </is>
      </c>
      <c r="B34" t="inlineStr">
        <is>
          <t>7617447800</t>
        </is>
      </c>
      <c r="C34" t="inlineStr">
        <is>
          <t>2025-12-25 18:47:30</t>
        </is>
      </c>
      <c r="D34" t="inlineStr">
        <is>
          <t>52</t>
        </is>
      </c>
      <c r="E34" t="inlineStr">
        <is>
          <t>Baba Yaga Art Of Chinese - By Posh Foods</t>
        </is>
      </c>
      <c r="F34" t="inlineStr">
        <is>
          <t>20037890</t>
        </is>
      </c>
      <c r="G34" t="inlineStr">
        <is>
          <t>Flat ₹300 off (2025-12-22 - 2031-01-01)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9</t>
        </is>
      </c>
      <c r="O34" t="n">
        <v>965</v>
      </c>
      <c r="P34" t="n">
        <v>0</v>
      </c>
      <c r="Q34" t="n">
        <v>0</v>
      </c>
      <c r="R34" t="n">
        <v>240</v>
      </c>
      <c r="S34" t="n">
        <v>66.5</v>
      </c>
      <c r="T34" t="n">
        <v>0</v>
      </c>
      <c r="U34" t="n">
        <v>0</v>
      </c>
      <c r="V34" t="n">
        <v>32.93</v>
      </c>
      <c r="W34" t="n">
        <v>691.4299999999999</v>
      </c>
      <c r="X34" t="n">
        <v>658.5</v>
      </c>
      <c r="Y34" t="n">
        <v>0</v>
      </c>
      <c r="Z34" t="n">
        <v>0</v>
      </c>
      <c r="AA34" t="n">
        <v>658.5</v>
      </c>
      <c r="AB34" t="n">
        <v>23</v>
      </c>
      <c r="AC34" t="n">
        <v>151.46</v>
      </c>
      <c r="AD34" t="n">
        <v>2.09</v>
      </c>
      <c r="AE34" t="n">
        <v>0</v>
      </c>
      <c r="AF34" t="n">
        <v>0</v>
      </c>
      <c r="AG34" t="n">
        <v>0</v>
      </c>
      <c r="AH34" t="n">
        <v>12.72</v>
      </c>
      <c r="AI34" t="n">
        <v>164.18</v>
      </c>
      <c r="AJ34" t="n">
        <v>29.55</v>
      </c>
      <c r="AK34" t="n">
        <v>0</v>
      </c>
      <c r="AL34" t="n">
        <v>658.5</v>
      </c>
      <c r="AM34" t="n">
        <v>0</v>
      </c>
      <c r="AN34" t="n">
        <v>0</v>
      </c>
      <c r="AO34" t="n">
        <v>0.66</v>
      </c>
      <c r="AP34" t="n">
        <v>32.93</v>
      </c>
      <c r="AQ34" t="n">
        <v>0</v>
      </c>
      <c r="AR34" t="n">
        <v>63.14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227.32</v>
      </c>
      <c r="BC34" t="n">
        <v>0</v>
      </c>
      <c r="BD34" t="n">
        <v>464.11</v>
      </c>
      <c r="BE34" t="inlineStr">
        <is>
          <t>settled</t>
        </is>
      </c>
      <c r="BF34" t="inlineStr">
        <is>
          <t>2025-12-31 05:30:00</t>
        </is>
      </c>
      <c r="BG34" t="inlineStr">
        <is>
          <t>CITIN25679949578</t>
        </is>
      </c>
      <c r="BH34" t="n">
        <v>0</v>
      </c>
      <c r="BI34" t="inlineStr">
        <is>
          <t>c550e9e43d047428dac17966bff8e66bc3b544761c1f2cc5e5ea16b988de8d3a</t>
        </is>
      </c>
    </row>
    <row r="35">
      <c r="A35" t="inlineStr">
        <is>
          <t>30</t>
        </is>
      </c>
      <c r="B35" t="inlineStr">
        <is>
          <t>7618331651</t>
        </is>
      </c>
      <c r="C35" t="inlineStr">
        <is>
          <t>2025-12-25 19:10:29</t>
        </is>
      </c>
      <c r="D35" t="inlineStr">
        <is>
          <t>52</t>
        </is>
      </c>
      <c r="E35" t="inlineStr">
        <is>
          <t>Baba Yaga Art Of Chinese - By Posh Foods</t>
        </is>
      </c>
      <c r="F35" t="inlineStr">
        <is>
          <t>20037890</t>
        </is>
      </c>
      <c r="G35" t="inlineStr">
        <is>
          <t>Flat ₹300 off (2025-12-22 - 2031-01-01)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9</t>
        </is>
      </c>
      <c r="O35" t="n">
        <v>875</v>
      </c>
      <c r="P35" t="n">
        <v>0</v>
      </c>
      <c r="Q35" t="n">
        <v>0</v>
      </c>
      <c r="R35" t="n">
        <v>240</v>
      </c>
      <c r="S35" t="n">
        <v>57.5</v>
      </c>
      <c r="T35" t="n">
        <v>0</v>
      </c>
      <c r="U35" t="n">
        <v>0</v>
      </c>
      <c r="V35" t="n">
        <v>28.88</v>
      </c>
      <c r="W35" t="n">
        <v>606.38</v>
      </c>
      <c r="X35" t="n">
        <v>577.5</v>
      </c>
      <c r="Y35" t="n">
        <v>0</v>
      </c>
      <c r="Z35" t="n">
        <v>0</v>
      </c>
      <c r="AA35" t="n">
        <v>577.5</v>
      </c>
      <c r="AB35" t="n">
        <v>23</v>
      </c>
      <c r="AC35" t="n">
        <v>132.82</v>
      </c>
      <c r="AD35" t="n">
        <v>1.69</v>
      </c>
      <c r="AE35" t="n">
        <v>0</v>
      </c>
      <c r="AF35" t="n">
        <v>0</v>
      </c>
      <c r="AG35" t="n">
        <v>0</v>
      </c>
      <c r="AH35" t="n">
        <v>11.16</v>
      </c>
      <c r="AI35" t="n">
        <v>143.98</v>
      </c>
      <c r="AJ35" t="n">
        <v>25.92</v>
      </c>
      <c r="AK35" t="n">
        <v>0</v>
      </c>
      <c r="AL35" t="n">
        <v>577.5</v>
      </c>
      <c r="AM35" t="n">
        <v>0</v>
      </c>
      <c r="AN35" t="n">
        <v>0</v>
      </c>
      <c r="AO35" t="n">
        <v>0.58</v>
      </c>
      <c r="AP35" t="n">
        <v>28.88</v>
      </c>
      <c r="AQ35" t="n">
        <v>0</v>
      </c>
      <c r="AR35" t="n">
        <v>55.38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199.36</v>
      </c>
      <c r="BC35" t="n">
        <v>0</v>
      </c>
      <c r="BD35" t="n">
        <v>407.02</v>
      </c>
      <c r="BE35" t="inlineStr">
        <is>
          <t>settled</t>
        </is>
      </c>
      <c r="BF35" t="inlineStr">
        <is>
          <t>2025-12-31 05:30:00</t>
        </is>
      </c>
      <c r="BG35" t="inlineStr">
        <is>
          <t>CITIN25679949578</t>
        </is>
      </c>
      <c r="BH35" t="n">
        <v>0</v>
      </c>
      <c r="BI35" t="inlineStr">
        <is>
          <t>376386093ee5115fba6e65514fc8c94820c19a401f7a33a3fdba3a29628f7cd3</t>
        </is>
      </c>
    </row>
    <row r="36">
      <c r="A36" t="inlineStr">
        <is>
          <t>31</t>
        </is>
      </c>
      <c r="B36" t="inlineStr">
        <is>
          <t>7619613940</t>
        </is>
      </c>
      <c r="C36" t="inlineStr">
        <is>
          <t>2025-12-25 19:45:01</t>
        </is>
      </c>
      <c r="D36" t="inlineStr">
        <is>
          <t>52</t>
        </is>
      </c>
      <c r="E36" t="inlineStr">
        <is>
          <t>Baba Yaga Art Of Chinese - By Posh Foods</t>
        </is>
      </c>
      <c r="F36" t="inlineStr">
        <is>
          <t>20037890</t>
        </is>
      </c>
      <c r="G36" t="inlineStr">
        <is>
          <t>Flat ₹100 off (2025-12-21 - 2031-01-01)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9</t>
        </is>
      </c>
      <c r="O36" t="n">
        <v>315</v>
      </c>
      <c r="P36" t="n">
        <v>0</v>
      </c>
      <c r="Q36" t="n">
        <v>0</v>
      </c>
      <c r="R36" t="n">
        <v>70</v>
      </c>
      <c r="S36" t="n">
        <v>21.5</v>
      </c>
      <c r="T36" t="n">
        <v>0</v>
      </c>
      <c r="U36" t="n">
        <v>0</v>
      </c>
      <c r="V36" t="n">
        <v>11.18</v>
      </c>
      <c r="W36" t="n">
        <v>234.68</v>
      </c>
      <c r="X36" t="n">
        <v>223.5</v>
      </c>
      <c r="Y36" t="n">
        <v>0</v>
      </c>
      <c r="Z36" t="n">
        <v>0</v>
      </c>
      <c r="AA36" t="n">
        <v>223.5</v>
      </c>
      <c r="AB36" t="n">
        <v>23</v>
      </c>
      <c r="AC36" t="n">
        <v>51.4</v>
      </c>
      <c r="AD36" t="n">
        <v>3.8</v>
      </c>
      <c r="AE36" t="n">
        <v>0</v>
      </c>
      <c r="AF36" t="n">
        <v>0</v>
      </c>
      <c r="AG36" t="n">
        <v>0</v>
      </c>
      <c r="AH36" t="n">
        <v>4.32</v>
      </c>
      <c r="AI36" t="n">
        <v>55.72</v>
      </c>
      <c r="AJ36" t="n">
        <v>10.03</v>
      </c>
      <c r="AK36" t="n">
        <v>0</v>
      </c>
      <c r="AL36" t="n">
        <v>223.5</v>
      </c>
      <c r="AM36" t="n">
        <v>0</v>
      </c>
      <c r="AN36" t="n">
        <v>0</v>
      </c>
      <c r="AO36" t="n">
        <v>0.22</v>
      </c>
      <c r="AP36" t="n">
        <v>11.18</v>
      </c>
      <c r="AQ36" t="n">
        <v>0</v>
      </c>
      <c r="AR36" t="n">
        <v>21.43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77.15000000000001</v>
      </c>
      <c r="BC36" t="n">
        <v>0</v>
      </c>
      <c r="BD36" t="n">
        <v>157.53</v>
      </c>
      <c r="BE36" t="inlineStr">
        <is>
          <t>settled</t>
        </is>
      </c>
      <c r="BF36" t="inlineStr">
        <is>
          <t>2025-12-31 05:30:00</t>
        </is>
      </c>
      <c r="BG36" t="inlineStr">
        <is>
          <t>CITIN25679949578</t>
        </is>
      </c>
      <c r="BH36" t="n">
        <v>0</v>
      </c>
      <c r="BI36" t="inlineStr">
        <is>
          <t>450a62fa72eba60db087bc9aefe02cac6ecf78d5b448452ee40c4eacb5ed4b60</t>
        </is>
      </c>
    </row>
    <row r="37">
      <c r="A37" t="inlineStr">
        <is>
          <t>32</t>
        </is>
      </c>
      <c r="B37" t="inlineStr">
        <is>
          <t>7615359017</t>
        </is>
      </c>
      <c r="C37" t="inlineStr">
        <is>
          <t>2025-12-25 20:47:14</t>
        </is>
      </c>
      <c r="D37" t="inlineStr">
        <is>
          <t>52</t>
        </is>
      </c>
      <c r="E37" t="inlineStr">
        <is>
          <t>Baba Yaga Art Of Chinese - By Posh Foods</t>
        </is>
      </c>
      <c r="F37" t="inlineStr">
        <is>
          <t>20037890</t>
        </is>
      </c>
      <c r="G37" t="inlineStr">
        <is>
          <t>Flat ₹80 off (2025-12-21 - 2031-01-01)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9</t>
        </is>
      </c>
      <c r="O37" t="n">
        <v>265</v>
      </c>
      <c r="P37" t="n">
        <v>0</v>
      </c>
      <c r="Q37" t="n">
        <v>0</v>
      </c>
      <c r="R37" t="n">
        <v>56</v>
      </c>
      <c r="S37" t="n">
        <v>0</v>
      </c>
      <c r="T37" t="n">
        <v>0</v>
      </c>
      <c r="U37" t="n">
        <v>0</v>
      </c>
      <c r="V37" t="n">
        <v>10.45</v>
      </c>
      <c r="W37" t="n">
        <v>219.45</v>
      </c>
      <c r="X37" t="n">
        <v>209</v>
      </c>
      <c r="Y37" t="n">
        <v>0</v>
      </c>
      <c r="Z37" t="n">
        <v>0</v>
      </c>
      <c r="AA37" t="n">
        <v>209</v>
      </c>
      <c r="AB37" t="n">
        <v>23</v>
      </c>
      <c r="AC37" t="n">
        <v>48.07</v>
      </c>
      <c r="AD37" t="n">
        <v>2.2</v>
      </c>
      <c r="AE37" t="n">
        <v>0</v>
      </c>
      <c r="AF37" t="n">
        <v>0</v>
      </c>
      <c r="AG37" t="n">
        <v>0</v>
      </c>
      <c r="AH37" t="n">
        <v>4.04</v>
      </c>
      <c r="AI37" t="n">
        <v>52.11</v>
      </c>
      <c r="AJ37" t="n">
        <v>9.380000000000001</v>
      </c>
      <c r="AK37" t="n">
        <v>0</v>
      </c>
      <c r="AL37" t="n">
        <v>209</v>
      </c>
      <c r="AM37" t="n">
        <v>0</v>
      </c>
      <c r="AN37" t="n">
        <v>0</v>
      </c>
      <c r="AO37" t="n">
        <v>0.21</v>
      </c>
      <c r="AP37" t="n">
        <v>10.45</v>
      </c>
      <c r="AQ37" t="n">
        <v>0</v>
      </c>
      <c r="AR37" t="n">
        <v>20.04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72.15000000000001</v>
      </c>
      <c r="BC37" t="n">
        <v>0</v>
      </c>
      <c r="BD37" t="n">
        <v>147.3</v>
      </c>
      <c r="BE37" t="inlineStr">
        <is>
          <t>settled</t>
        </is>
      </c>
      <c r="BF37" t="inlineStr">
        <is>
          <t>2025-12-31 05:30:00</t>
        </is>
      </c>
      <c r="BG37" t="inlineStr">
        <is>
          <t>CITIN25679949578</t>
        </is>
      </c>
      <c r="BH37" t="n">
        <v>0</v>
      </c>
      <c r="BI37" t="inlineStr">
        <is>
          <t>f5682be2dd0084f520e7eb4ebf4c7775cc9174edb77605149e660d7b72113dd6</t>
        </is>
      </c>
    </row>
    <row r="38">
      <c r="A38" t="inlineStr">
        <is>
          <t>33</t>
        </is>
      </c>
      <c r="B38" t="inlineStr">
        <is>
          <t>7620764248</t>
        </is>
      </c>
      <c r="C38" t="inlineStr">
        <is>
          <t>2025-12-25 21:11:06</t>
        </is>
      </c>
      <c r="D38" t="inlineStr">
        <is>
          <t>52</t>
        </is>
      </c>
      <c r="E38" t="inlineStr">
        <is>
          <t>Baba Yaga Art Of Chinese - By Posh Foods</t>
        </is>
      </c>
      <c r="F38" t="inlineStr">
        <is>
          <t>20037890</t>
        </is>
      </c>
      <c r="G38" t="inlineStr">
        <is>
          <t>NA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9</t>
        </is>
      </c>
      <c r="O38" t="n">
        <v>265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13.25</v>
      </c>
      <c r="W38" t="n">
        <v>278.25</v>
      </c>
      <c r="X38" t="n">
        <v>265</v>
      </c>
      <c r="Y38" t="n">
        <v>0</v>
      </c>
      <c r="Z38" t="n">
        <v>0</v>
      </c>
      <c r="AA38" t="n">
        <v>265</v>
      </c>
      <c r="AB38" t="n">
        <v>23</v>
      </c>
      <c r="AC38" t="n">
        <v>60.95</v>
      </c>
      <c r="AD38" t="n">
        <v>4.65</v>
      </c>
      <c r="AE38" t="n">
        <v>20</v>
      </c>
      <c r="AF38" t="n">
        <v>0</v>
      </c>
      <c r="AG38" t="n">
        <v>1.45</v>
      </c>
      <c r="AH38" t="n">
        <v>5.12</v>
      </c>
      <c r="AI38" t="n">
        <v>84.62</v>
      </c>
      <c r="AJ38" t="n">
        <v>15.23</v>
      </c>
      <c r="AK38" t="n">
        <v>0</v>
      </c>
      <c r="AL38" t="n">
        <v>265</v>
      </c>
      <c r="AM38" t="n">
        <v>0</v>
      </c>
      <c r="AN38" t="n">
        <v>0</v>
      </c>
      <c r="AO38" t="n">
        <v>0.26</v>
      </c>
      <c r="AP38" t="n">
        <v>13.25</v>
      </c>
      <c r="AQ38" t="n">
        <v>0</v>
      </c>
      <c r="AR38" t="n">
        <v>28.74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113.36</v>
      </c>
      <c r="BC38" t="n">
        <v>0</v>
      </c>
      <c r="BD38" t="n">
        <v>164.89</v>
      </c>
      <c r="BE38" t="inlineStr">
        <is>
          <t>settled</t>
        </is>
      </c>
      <c r="BF38" t="inlineStr">
        <is>
          <t>2025-12-31 05:30:00</t>
        </is>
      </c>
      <c r="BG38" t="inlineStr">
        <is>
          <t>CITIN25679949578</t>
        </is>
      </c>
      <c r="BH38" t="n">
        <v>0</v>
      </c>
      <c r="BI38" t="inlineStr">
        <is>
          <t>610e47bddcef7bc5ad794c002d37b9c836e837bbcaaea6d60115b71a3a437374</t>
        </is>
      </c>
    </row>
    <row r="39">
      <c r="A39" t="inlineStr">
        <is>
          <t>34</t>
        </is>
      </c>
      <c r="B39" t="inlineStr">
        <is>
          <t>7614623325</t>
        </is>
      </c>
      <c r="C39" t="inlineStr">
        <is>
          <t>2025-12-26 17:15:26</t>
        </is>
      </c>
      <c r="D39" t="inlineStr">
        <is>
          <t>52</t>
        </is>
      </c>
      <c r="E39" t="inlineStr">
        <is>
          <t>Baba Yaga Art Of Chinese - By Posh Foods</t>
        </is>
      </c>
      <c r="F39" t="inlineStr">
        <is>
          <t>20037890</t>
        </is>
      </c>
      <c r="G39" t="inlineStr">
        <is>
          <t>Flat ₹125 off (2025-12-21 - 2031-01-01)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9</t>
        </is>
      </c>
      <c r="O39" t="n">
        <v>365</v>
      </c>
      <c r="P39" t="n">
        <v>0</v>
      </c>
      <c r="Q39" t="n">
        <v>0</v>
      </c>
      <c r="R39" t="n">
        <v>87</v>
      </c>
      <c r="S39" t="n">
        <v>24</v>
      </c>
      <c r="T39" t="n">
        <v>0</v>
      </c>
      <c r="U39" t="n">
        <v>0</v>
      </c>
      <c r="V39" t="n">
        <v>12.7</v>
      </c>
      <c r="W39" t="n">
        <v>266.7</v>
      </c>
      <c r="X39" t="n">
        <v>254</v>
      </c>
      <c r="Y39" t="n">
        <v>0</v>
      </c>
      <c r="Z39" t="n">
        <v>0</v>
      </c>
      <c r="AA39" t="n">
        <v>254</v>
      </c>
      <c r="AB39" t="n">
        <v>23</v>
      </c>
      <c r="AC39" t="n">
        <v>58.42</v>
      </c>
      <c r="AD39" t="n">
        <v>5.41</v>
      </c>
      <c r="AE39" t="n">
        <v>20</v>
      </c>
      <c r="AF39" t="n">
        <v>0</v>
      </c>
      <c r="AG39" t="n">
        <v>2.22</v>
      </c>
      <c r="AH39" t="n">
        <v>4.91</v>
      </c>
      <c r="AI39" t="n">
        <v>81.11</v>
      </c>
      <c r="AJ39" t="n">
        <v>14.6</v>
      </c>
      <c r="AK39" t="n">
        <v>0</v>
      </c>
      <c r="AL39" t="n">
        <v>254</v>
      </c>
      <c r="AM39" t="n">
        <v>0</v>
      </c>
      <c r="AN39" t="n">
        <v>0</v>
      </c>
      <c r="AO39" t="n">
        <v>0.25</v>
      </c>
      <c r="AP39" t="n">
        <v>12.7</v>
      </c>
      <c r="AQ39" t="n">
        <v>0</v>
      </c>
      <c r="AR39" t="n">
        <v>27.55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29.97</v>
      </c>
      <c r="AY39" t="n">
        <v>0</v>
      </c>
      <c r="AZ39" t="n">
        <v>0</v>
      </c>
      <c r="BA39" t="n">
        <v>29.97</v>
      </c>
      <c r="BB39" t="n">
        <v>138.63</v>
      </c>
      <c r="BC39" t="n">
        <v>0</v>
      </c>
      <c r="BD39" t="n">
        <v>128.07</v>
      </c>
      <c r="BE39" t="inlineStr">
        <is>
          <t>settled</t>
        </is>
      </c>
      <c r="BF39" t="inlineStr">
        <is>
          <t>2025-12-31 05:30:00</t>
        </is>
      </c>
      <c r="BG39" t="inlineStr">
        <is>
          <t>CITIN25679949578</t>
        </is>
      </c>
      <c r="BH39" t="n">
        <v>0</v>
      </c>
      <c r="BI39" t="inlineStr">
        <is>
          <t>042cbf9981f9b6f6a79a31e9d71b1324a349784d8c4f38b161a6c059f6fca05b</t>
        </is>
      </c>
    </row>
    <row r="40">
      <c r="A40" t="inlineStr">
        <is>
          <t>35</t>
        </is>
      </c>
      <c r="B40" t="inlineStr">
        <is>
          <t>7620524273</t>
        </is>
      </c>
      <c r="C40" t="inlineStr">
        <is>
          <t>2025-12-26 18:46:09</t>
        </is>
      </c>
      <c r="D40" t="inlineStr">
        <is>
          <t>52</t>
        </is>
      </c>
      <c r="E40" t="inlineStr">
        <is>
          <t>Baba Yaga Art Of Chinese - By Posh Foods</t>
        </is>
      </c>
      <c r="F40" t="inlineStr">
        <is>
          <t>20037890</t>
        </is>
      </c>
      <c r="G40" t="inlineStr">
        <is>
          <t>Flat ₹300 off (2025-12-22 - 2031-01-01)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9</t>
        </is>
      </c>
      <c r="O40" t="n">
        <v>724</v>
      </c>
      <c r="P40" t="n">
        <v>0</v>
      </c>
      <c r="Q40" t="n">
        <v>0</v>
      </c>
      <c r="R40" t="n">
        <v>240</v>
      </c>
      <c r="S40" t="n">
        <v>42.4</v>
      </c>
      <c r="T40" t="n">
        <v>0</v>
      </c>
      <c r="U40" t="n">
        <v>0</v>
      </c>
      <c r="V40" t="n">
        <v>22.08</v>
      </c>
      <c r="W40" t="n">
        <v>463.68</v>
      </c>
      <c r="X40" t="n">
        <v>441.6</v>
      </c>
      <c r="Y40" t="n">
        <v>0</v>
      </c>
      <c r="Z40" t="n">
        <v>0</v>
      </c>
      <c r="AA40" t="n">
        <v>441.6</v>
      </c>
      <c r="AB40" t="n">
        <v>23</v>
      </c>
      <c r="AC40" t="n">
        <v>101.57</v>
      </c>
      <c r="AD40" t="n">
        <v>8.27</v>
      </c>
      <c r="AE40" t="n">
        <v>40</v>
      </c>
      <c r="AF40" t="n">
        <v>0</v>
      </c>
      <c r="AG40" t="n">
        <v>9.09</v>
      </c>
      <c r="AH40" t="n">
        <v>8.529999999999999</v>
      </c>
      <c r="AI40" t="n">
        <v>141.01</v>
      </c>
      <c r="AJ40" t="n">
        <v>25.38</v>
      </c>
      <c r="AK40" t="n">
        <v>0</v>
      </c>
      <c r="AL40" t="n">
        <v>441.6</v>
      </c>
      <c r="AM40" t="n">
        <v>0</v>
      </c>
      <c r="AN40" t="n">
        <v>0</v>
      </c>
      <c r="AO40" t="n">
        <v>0.44</v>
      </c>
      <c r="AP40" t="n">
        <v>22.08</v>
      </c>
      <c r="AQ40" t="n">
        <v>0</v>
      </c>
      <c r="AR40" t="n">
        <v>47.9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188.91</v>
      </c>
      <c r="BC40" t="n">
        <v>0</v>
      </c>
      <c r="BD40" t="n">
        <v>274.77</v>
      </c>
      <c r="BE40" t="inlineStr">
        <is>
          <t>settled</t>
        </is>
      </c>
      <c r="BF40" t="inlineStr">
        <is>
          <t>2025-12-31 05:30:00</t>
        </is>
      </c>
      <c r="BG40" t="inlineStr">
        <is>
          <t>CITIN25679949578</t>
        </is>
      </c>
      <c r="BH40" t="n">
        <v>0</v>
      </c>
      <c r="BI40" t="inlineStr">
        <is>
          <t>9c0936a3611bac7b029d2971a2c55a3b4fcb3d563c595561520aa1ccdd3c684f</t>
        </is>
      </c>
    </row>
    <row r="41">
      <c r="A41" t="inlineStr">
        <is>
          <t>36</t>
        </is>
      </c>
      <c r="B41" t="inlineStr">
        <is>
          <t>7623862647</t>
        </is>
      </c>
      <c r="C41" t="inlineStr">
        <is>
          <t>2025-12-26 19:58:01</t>
        </is>
      </c>
      <c r="D41" t="inlineStr">
        <is>
          <t>52</t>
        </is>
      </c>
      <c r="E41" t="inlineStr">
        <is>
          <t>Baba Yaga Art Of Chinese - By Posh Foods</t>
        </is>
      </c>
      <c r="F41" t="inlineStr">
        <is>
          <t>20037890</t>
        </is>
      </c>
      <c r="G41" t="inlineStr">
        <is>
          <t>Flat 20% off (2025-09-25 - 2031-01-01)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9</t>
        </is>
      </c>
      <c r="O41" t="n">
        <v>1050</v>
      </c>
      <c r="P41" t="n">
        <v>0</v>
      </c>
      <c r="Q41" t="n">
        <v>0</v>
      </c>
      <c r="R41" t="n">
        <v>210</v>
      </c>
      <c r="S41" t="n">
        <v>84</v>
      </c>
      <c r="T41" t="n">
        <v>0</v>
      </c>
      <c r="U41" t="n">
        <v>0</v>
      </c>
      <c r="V41" t="n">
        <v>37.8</v>
      </c>
      <c r="W41" t="n">
        <v>793.8</v>
      </c>
      <c r="X41" t="n">
        <v>756</v>
      </c>
      <c r="Y41" t="n">
        <v>0</v>
      </c>
      <c r="Z41" t="n">
        <v>0</v>
      </c>
      <c r="AA41" t="n">
        <v>756</v>
      </c>
      <c r="AB41" t="n">
        <v>23</v>
      </c>
      <c r="AC41" t="n">
        <v>173.88</v>
      </c>
      <c r="AD41" t="n">
        <v>4.3</v>
      </c>
      <c r="AE41" t="n">
        <v>20</v>
      </c>
      <c r="AF41" t="n">
        <v>0</v>
      </c>
      <c r="AG41" t="n">
        <v>0</v>
      </c>
      <c r="AH41" t="n">
        <v>14.61</v>
      </c>
      <c r="AI41" t="n">
        <v>208.49</v>
      </c>
      <c r="AJ41" t="n">
        <v>37.53</v>
      </c>
      <c r="AK41" t="n">
        <v>0</v>
      </c>
      <c r="AL41" t="n">
        <v>756</v>
      </c>
      <c r="AM41" t="n">
        <v>0</v>
      </c>
      <c r="AN41" t="n">
        <v>0</v>
      </c>
      <c r="AO41" t="n">
        <v>0.76</v>
      </c>
      <c r="AP41" t="n">
        <v>37.8</v>
      </c>
      <c r="AQ41" t="n">
        <v>0</v>
      </c>
      <c r="AR41" t="n">
        <v>76.09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284.58</v>
      </c>
      <c r="BC41" t="n">
        <v>0</v>
      </c>
      <c r="BD41" t="n">
        <v>509.22</v>
      </c>
      <c r="BE41" t="inlineStr">
        <is>
          <t>settled</t>
        </is>
      </c>
      <c r="BF41" t="inlineStr">
        <is>
          <t>2025-12-31 05:30:00</t>
        </is>
      </c>
      <c r="BG41" t="inlineStr">
        <is>
          <t>CITIN25679949578</t>
        </is>
      </c>
      <c r="BH41" t="n">
        <v>0</v>
      </c>
      <c r="BI41" t="inlineStr">
        <is>
          <t>d8a009641e29f01ea72737757dae9587bb5ee5a577137d3e50da92780c23fe82</t>
        </is>
      </c>
    </row>
    <row r="42">
      <c r="A42" t="inlineStr">
        <is>
          <t>37</t>
        </is>
      </c>
      <c r="B42" t="inlineStr">
        <is>
          <t>7605664767</t>
        </is>
      </c>
      <c r="C42" t="inlineStr">
        <is>
          <t>2025-12-26 22:12:44</t>
        </is>
      </c>
      <c r="D42" t="inlineStr">
        <is>
          <t>52</t>
        </is>
      </c>
      <c r="E42" t="inlineStr">
        <is>
          <t>Baba Yaga Art Of Chinese - By Posh Foods</t>
        </is>
      </c>
      <c r="F42" t="inlineStr">
        <is>
          <t>20037890</t>
        </is>
      </c>
      <c r="G42" t="inlineStr">
        <is>
          <t>Flat ₹100 off (2025-12-21 - 2031-01-01)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9</t>
        </is>
      </c>
      <c r="O42" t="n">
        <v>475</v>
      </c>
      <c r="P42" t="n">
        <v>0</v>
      </c>
      <c r="Q42" t="n">
        <v>0</v>
      </c>
      <c r="R42" t="n">
        <v>70</v>
      </c>
      <c r="S42" t="n">
        <v>0</v>
      </c>
      <c r="T42" t="n">
        <v>0</v>
      </c>
      <c r="U42" t="n">
        <v>0</v>
      </c>
      <c r="V42" t="n">
        <v>20.25</v>
      </c>
      <c r="W42" t="n">
        <v>425.25</v>
      </c>
      <c r="X42" t="n">
        <v>405</v>
      </c>
      <c r="Y42" t="n">
        <v>0</v>
      </c>
      <c r="Z42" t="n">
        <v>0</v>
      </c>
      <c r="AA42" t="n">
        <v>405</v>
      </c>
      <c r="AB42" t="n">
        <v>23</v>
      </c>
      <c r="AC42" t="n">
        <v>93.15000000000001</v>
      </c>
      <c r="AD42" t="n">
        <v>1.12</v>
      </c>
      <c r="AE42" t="n">
        <v>0</v>
      </c>
      <c r="AF42" t="n">
        <v>0</v>
      </c>
      <c r="AG42" t="n">
        <v>0</v>
      </c>
      <c r="AH42" t="n">
        <v>7.82</v>
      </c>
      <c r="AI42" t="n">
        <v>100.97</v>
      </c>
      <c r="AJ42" t="n">
        <v>18.18</v>
      </c>
      <c r="AK42" t="n">
        <v>0</v>
      </c>
      <c r="AL42" t="n">
        <v>405</v>
      </c>
      <c r="AM42" t="n">
        <v>0</v>
      </c>
      <c r="AN42" t="n">
        <v>0</v>
      </c>
      <c r="AO42" t="n">
        <v>0.4</v>
      </c>
      <c r="AP42" t="n">
        <v>20.25</v>
      </c>
      <c r="AQ42" t="n">
        <v>0</v>
      </c>
      <c r="AR42" t="n">
        <v>38.83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139.8</v>
      </c>
      <c r="BC42" t="n">
        <v>0</v>
      </c>
      <c r="BD42" t="n">
        <v>285.45</v>
      </c>
      <c r="BE42" t="inlineStr">
        <is>
          <t>settled</t>
        </is>
      </c>
      <c r="BF42" t="inlineStr">
        <is>
          <t>2025-12-31 05:30:00</t>
        </is>
      </c>
      <c r="BG42" t="inlineStr">
        <is>
          <t>CITIN25679949578</t>
        </is>
      </c>
      <c r="BH42" t="n">
        <v>0</v>
      </c>
      <c r="BI42" t="inlineStr">
        <is>
          <t>b40f1069d7ba53e10c9f72cdf69889681178bcb2fe11e6d8344d71649f958ec8</t>
        </is>
      </c>
    </row>
    <row r="43">
      <c r="A43" t="inlineStr">
        <is>
          <t>38</t>
        </is>
      </c>
      <c r="B43" t="inlineStr">
        <is>
          <t>7584390270</t>
        </is>
      </c>
      <c r="C43" t="inlineStr">
        <is>
          <t>2025-12-26 22:46:21</t>
        </is>
      </c>
      <c r="D43" t="inlineStr">
        <is>
          <t>52</t>
        </is>
      </c>
      <c r="E43" t="inlineStr">
        <is>
          <t>Baba Yaga Art Of Chinese - By Posh Foods</t>
        </is>
      </c>
      <c r="F43" t="inlineStr">
        <is>
          <t>20037890</t>
        </is>
      </c>
      <c r="G43" t="inlineStr">
        <is>
          <t>Flat ₹100 off (2025-12-21 - 2031-01-01)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9</t>
        </is>
      </c>
      <c r="O43" t="n">
        <v>350</v>
      </c>
      <c r="P43" t="n">
        <v>0</v>
      </c>
      <c r="Q43" t="n">
        <v>0</v>
      </c>
      <c r="R43" t="n">
        <v>70</v>
      </c>
      <c r="S43" t="n">
        <v>25</v>
      </c>
      <c r="T43" t="n">
        <v>0</v>
      </c>
      <c r="U43" t="n">
        <v>0</v>
      </c>
      <c r="V43" t="n">
        <v>12.75</v>
      </c>
      <c r="W43" t="n">
        <v>267.75</v>
      </c>
      <c r="X43" t="n">
        <v>255</v>
      </c>
      <c r="Y43" t="n">
        <v>0</v>
      </c>
      <c r="Z43" t="n">
        <v>0</v>
      </c>
      <c r="AA43" t="n">
        <v>255</v>
      </c>
      <c r="AB43" t="n">
        <v>23</v>
      </c>
      <c r="AC43" t="n">
        <v>58.65</v>
      </c>
      <c r="AD43" t="n">
        <v>4.35</v>
      </c>
      <c r="AE43" t="n">
        <v>20</v>
      </c>
      <c r="AF43" t="n">
        <v>0</v>
      </c>
      <c r="AG43" t="n">
        <v>2.15</v>
      </c>
      <c r="AH43" t="n">
        <v>4.93</v>
      </c>
      <c r="AI43" t="n">
        <v>81.43000000000001</v>
      </c>
      <c r="AJ43" t="n">
        <v>14.66</v>
      </c>
      <c r="AK43" t="n">
        <v>0</v>
      </c>
      <c r="AL43" t="n">
        <v>255</v>
      </c>
      <c r="AM43" t="n">
        <v>0</v>
      </c>
      <c r="AN43" t="n">
        <v>0</v>
      </c>
      <c r="AO43" t="n">
        <v>0.26</v>
      </c>
      <c r="AP43" t="n">
        <v>12.75</v>
      </c>
      <c r="AQ43" t="n">
        <v>0</v>
      </c>
      <c r="AR43" t="n">
        <v>27.67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109.1</v>
      </c>
      <c r="BC43" t="n">
        <v>0</v>
      </c>
      <c r="BD43" t="n">
        <v>158.65</v>
      </c>
      <c r="BE43" t="inlineStr">
        <is>
          <t>settled</t>
        </is>
      </c>
      <c r="BF43" t="inlineStr">
        <is>
          <t>2025-12-31 05:30:00</t>
        </is>
      </c>
      <c r="BG43" t="inlineStr">
        <is>
          <t>CITIN25679949578</t>
        </is>
      </c>
      <c r="BH43" t="n">
        <v>0</v>
      </c>
      <c r="BI43" t="inlineStr">
        <is>
          <t>d6952c91e736e4c3a668eda9df470654971e863ca2491fbdd145369f9e90dd72</t>
        </is>
      </c>
    </row>
    <row r="44">
      <c r="A44" t="inlineStr">
        <is>
          <t>39</t>
        </is>
      </c>
      <c r="B44" t="inlineStr">
        <is>
          <t>7603635186</t>
        </is>
      </c>
      <c r="C44" t="inlineStr">
        <is>
          <t>2025-12-26 22:51:33</t>
        </is>
      </c>
      <c r="D44" t="inlineStr">
        <is>
          <t>52</t>
        </is>
      </c>
      <c r="E44" t="inlineStr">
        <is>
          <t>Baba Yaga Art Of Chinese - By Posh Foods</t>
        </is>
      </c>
      <c r="F44" t="inlineStr">
        <is>
          <t>20037890</t>
        </is>
      </c>
      <c r="G44" t="inlineStr">
        <is>
          <t>Flat ₹100 off (2025-12-21 - 2031-01-01)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9</t>
        </is>
      </c>
      <c r="O44" t="n">
        <v>265</v>
      </c>
      <c r="P44" t="n">
        <v>0</v>
      </c>
      <c r="Q44" t="n">
        <v>0</v>
      </c>
      <c r="R44" t="n">
        <v>70</v>
      </c>
      <c r="S44" t="n">
        <v>0</v>
      </c>
      <c r="T44" t="n">
        <v>0</v>
      </c>
      <c r="U44" t="n">
        <v>0</v>
      </c>
      <c r="V44" t="n">
        <v>9.75</v>
      </c>
      <c r="W44" t="n">
        <v>204.75</v>
      </c>
      <c r="X44" t="n">
        <v>195</v>
      </c>
      <c r="Y44" t="n">
        <v>0</v>
      </c>
      <c r="Z44" t="n">
        <v>0</v>
      </c>
      <c r="AA44" t="n">
        <v>195</v>
      </c>
      <c r="AB44" t="n">
        <v>23</v>
      </c>
      <c r="AC44" t="n">
        <v>44.85</v>
      </c>
      <c r="AD44" t="n">
        <v>7.17</v>
      </c>
      <c r="AE44" t="n">
        <v>40</v>
      </c>
      <c r="AF44" t="n">
        <v>0</v>
      </c>
      <c r="AG44" t="n">
        <v>26.35</v>
      </c>
      <c r="AH44" t="n">
        <v>3.77</v>
      </c>
      <c r="AI44" t="n">
        <v>62.27</v>
      </c>
      <c r="AJ44" t="n">
        <v>11.21</v>
      </c>
      <c r="AK44" t="n">
        <v>0</v>
      </c>
      <c r="AL44" t="n">
        <v>195</v>
      </c>
      <c r="AM44" t="n">
        <v>0</v>
      </c>
      <c r="AN44" t="n">
        <v>0</v>
      </c>
      <c r="AO44" t="n">
        <v>0.2</v>
      </c>
      <c r="AP44" t="n">
        <v>9.75</v>
      </c>
      <c r="AQ44" t="n">
        <v>0</v>
      </c>
      <c r="AR44" t="n">
        <v>21.16</v>
      </c>
      <c r="AS44" t="n">
        <v>35</v>
      </c>
      <c r="AT44" t="n">
        <v>0</v>
      </c>
      <c r="AU44" t="n">
        <v>0</v>
      </c>
      <c r="AV44" t="n">
        <v>0</v>
      </c>
      <c r="AW44" t="n">
        <v>0</v>
      </c>
      <c r="AX44" t="n">
        <v>23.01</v>
      </c>
      <c r="AY44" t="n">
        <v>0</v>
      </c>
      <c r="AZ44" t="n">
        <v>0</v>
      </c>
      <c r="BA44" t="n">
        <v>58.01</v>
      </c>
      <c r="BB44" t="n">
        <v>141.44</v>
      </c>
      <c r="BC44" t="n">
        <v>0</v>
      </c>
      <c r="BD44" t="n">
        <v>63.31</v>
      </c>
      <c r="BE44" t="inlineStr">
        <is>
          <t>settled</t>
        </is>
      </c>
      <c r="BF44" t="inlineStr">
        <is>
          <t>2025-12-31 05:30:00</t>
        </is>
      </c>
      <c r="BG44" t="inlineStr">
        <is>
          <t>CITIN25679949578</t>
        </is>
      </c>
      <c r="BH44" t="n">
        <v>0</v>
      </c>
      <c r="BI44" t="inlineStr">
        <is>
          <t>883c80dd4bd3818d056d7ce227e5186b9e8235425993c811d8d193a41f5fe60c</t>
        </is>
      </c>
    </row>
    <row r="45">
      <c r="A45" t="inlineStr">
        <is>
          <t>40</t>
        </is>
      </c>
      <c r="B45" t="inlineStr">
        <is>
          <t>7614091970</t>
        </is>
      </c>
      <c r="C45" t="inlineStr">
        <is>
          <t>2025-12-27 19:20:03</t>
        </is>
      </c>
      <c r="D45" t="inlineStr">
        <is>
          <t>52</t>
        </is>
      </c>
      <c r="E45" t="inlineStr">
        <is>
          <t>Baba Yaga Art Of Chinese - By Posh Foods</t>
        </is>
      </c>
      <c r="F45" t="inlineStr">
        <is>
          <t>20037890</t>
        </is>
      </c>
      <c r="G45" t="inlineStr">
        <is>
          <t>Flat ₹100 off (2025-12-21 - 2031-01-01)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9</t>
        </is>
      </c>
      <c r="O45" t="n">
        <v>315</v>
      </c>
      <c r="P45" t="n">
        <v>0</v>
      </c>
      <c r="Q45" t="n">
        <v>0</v>
      </c>
      <c r="R45" t="n">
        <v>70</v>
      </c>
      <c r="S45" t="n">
        <v>21.5</v>
      </c>
      <c r="T45" t="n">
        <v>0</v>
      </c>
      <c r="U45" t="n">
        <v>0</v>
      </c>
      <c r="V45" t="n">
        <v>11.18</v>
      </c>
      <c r="W45" t="n">
        <v>234.68</v>
      </c>
      <c r="X45" t="n">
        <v>223.5</v>
      </c>
      <c r="Y45" t="n">
        <v>0</v>
      </c>
      <c r="Z45" t="n">
        <v>0</v>
      </c>
      <c r="AA45" t="n">
        <v>223.5</v>
      </c>
      <c r="AB45" t="n">
        <v>23</v>
      </c>
      <c r="AC45" t="n">
        <v>51.4</v>
      </c>
      <c r="AD45" t="n">
        <v>2.99</v>
      </c>
      <c r="AE45" t="n">
        <v>0</v>
      </c>
      <c r="AF45" t="n">
        <v>0</v>
      </c>
      <c r="AG45" t="n">
        <v>0</v>
      </c>
      <c r="AH45" t="n">
        <v>4.32</v>
      </c>
      <c r="AI45" t="n">
        <v>55.72</v>
      </c>
      <c r="AJ45" t="n">
        <v>10.03</v>
      </c>
      <c r="AK45" t="n">
        <v>0</v>
      </c>
      <c r="AL45" t="n">
        <v>223.5</v>
      </c>
      <c r="AM45" t="n">
        <v>0</v>
      </c>
      <c r="AN45" t="n">
        <v>0</v>
      </c>
      <c r="AO45" t="n">
        <v>0.22</v>
      </c>
      <c r="AP45" t="n">
        <v>11.18</v>
      </c>
      <c r="AQ45" t="n">
        <v>0</v>
      </c>
      <c r="AR45" t="n">
        <v>21.43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77.15000000000001</v>
      </c>
      <c r="BC45" t="n">
        <v>0</v>
      </c>
      <c r="BD45" t="n">
        <v>157.53</v>
      </c>
      <c r="BE45" t="inlineStr">
        <is>
          <t>settled</t>
        </is>
      </c>
      <c r="BF45" t="inlineStr">
        <is>
          <t>2025-12-31 05:30:00</t>
        </is>
      </c>
      <c r="BG45" t="inlineStr">
        <is>
          <t>CITIN25679949578</t>
        </is>
      </c>
      <c r="BH45" t="n">
        <v>0</v>
      </c>
      <c r="BI45" t="inlineStr">
        <is>
          <t>0382db891e99c108d4d5b6dbaa85d2b7fdd6fefbf9f53746263f5e37cd36a3ce</t>
        </is>
      </c>
    </row>
    <row r="46">
      <c r="A46" t="inlineStr">
        <is>
          <t>41</t>
        </is>
      </c>
      <c r="B46" t="inlineStr">
        <is>
          <t>7619695056</t>
        </is>
      </c>
      <c r="C46" t="inlineStr">
        <is>
          <t>2025-12-27 19:50:39</t>
        </is>
      </c>
      <c r="D46" t="inlineStr">
        <is>
          <t>52</t>
        </is>
      </c>
      <c r="E46" t="inlineStr">
        <is>
          <t>Baba Yaga Art Of Chinese - By Posh Foods</t>
        </is>
      </c>
      <c r="F46" t="inlineStr">
        <is>
          <t>20037890</t>
        </is>
      </c>
      <c r="G46" t="inlineStr">
        <is>
          <t>Flat ₹100 off (2025-12-21 - 2031-01-01)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9</t>
        </is>
      </c>
      <c r="O46" t="n">
        <v>245</v>
      </c>
      <c r="P46" t="n">
        <v>0</v>
      </c>
      <c r="Q46" t="n">
        <v>0</v>
      </c>
      <c r="R46" t="n">
        <v>70</v>
      </c>
      <c r="S46" t="n">
        <v>0</v>
      </c>
      <c r="T46" t="n">
        <v>0</v>
      </c>
      <c r="U46" t="n">
        <v>0</v>
      </c>
      <c r="V46" t="n">
        <v>8.75</v>
      </c>
      <c r="W46" t="n">
        <v>183.75</v>
      </c>
      <c r="X46" t="n">
        <v>175</v>
      </c>
      <c r="Y46" t="n">
        <v>0</v>
      </c>
      <c r="Z46" t="n">
        <v>0</v>
      </c>
      <c r="AA46" t="n">
        <v>175</v>
      </c>
      <c r="AB46" t="n">
        <v>23</v>
      </c>
      <c r="AC46" t="n">
        <v>40.25</v>
      </c>
      <c r="AD46" t="n">
        <v>4.8</v>
      </c>
      <c r="AE46" t="n">
        <v>20</v>
      </c>
      <c r="AF46" t="n">
        <v>0</v>
      </c>
      <c r="AG46" t="n">
        <v>7.75</v>
      </c>
      <c r="AH46" t="n">
        <v>3.38</v>
      </c>
      <c r="AI46" t="n">
        <v>55.88</v>
      </c>
      <c r="AJ46" t="n">
        <v>10.05</v>
      </c>
      <c r="AK46" t="n">
        <v>0</v>
      </c>
      <c r="AL46" t="n">
        <v>175</v>
      </c>
      <c r="AM46" t="n">
        <v>0</v>
      </c>
      <c r="AN46" t="n">
        <v>0</v>
      </c>
      <c r="AO46" t="n">
        <v>0.18</v>
      </c>
      <c r="AP46" t="n">
        <v>8.75</v>
      </c>
      <c r="AQ46" t="n">
        <v>0</v>
      </c>
      <c r="AR46" t="n">
        <v>18.98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74.86</v>
      </c>
      <c r="BC46" t="n">
        <v>0</v>
      </c>
      <c r="BD46" t="n">
        <v>108.89</v>
      </c>
      <c r="BE46" t="inlineStr">
        <is>
          <t>settled</t>
        </is>
      </c>
      <c r="BF46" t="inlineStr">
        <is>
          <t>2025-12-31 05:30:00</t>
        </is>
      </c>
      <c r="BG46" t="inlineStr">
        <is>
          <t>CITIN25679949578</t>
        </is>
      </c>
      <c r="BH46" t="n">
        <v>0</v>
      </c>
      <c r="BI46" t="inlineStr">
        <is>
          <t>b3f0547d035675f246ae21d2e9a0146d98e6aa46e5eb2dff9609bfb4b3099162</t>
        </is>
      </c>
    </row>
    <row r="47">
      <c r="A47" t="inlineStr">
        <is>
          <t>42</t>
        </is>
      </c>
      <c r="B47" t="inlineStr">
        <is>
          <t>7624242714</t>
        </is>
      </c>
      <c r="C47" t="inlineStr">
        <is>
          <t>2025-12-27 20:02:34</t>
        </is>
      </c>
      <c r="D47" t="inlineStr">
        <is>
          <t>52</t>
        </is>
      </c>
      <c r="E47" t="inlineStr">
        <is>
          <t>Baba Yaga Art Of Chinese - By Posh Foods</t>
        </is>
      </c>
      <c r="F47" t="inlineStr">
        <is>
          <t>20037890</t>
        </is>
      </c>
      <c r="G47" t="inlineStr">
        <is>
          <t>NA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9</t>
        </is>
      </c>
      <c r="O47" t="n">
        <v>1210</v>
      </c>
      <c r="P47" t="n">
        <v>0</v>
      </c>
      <c r="Q47" t="n">
        <v>0</v>
      </c>
      <c r="R47" t="n">
        <v>0</v>
      </c>
      <c r="S47" t="n">
        <v>121</v>
      </c>
      <c r="T47" t="n">
        <v>0</v>
      </c>
      <c r="U47" t="n">
        <v>0</v>
      </c>
      <c r="V47" t="n">
        <v>54.45</v>
      </c>
      <c r="W47" t="n">
        <v>1143.45</v>
      </c>
      <c r="X47" t="n">
        <v>1089</v>
      </c>
      <c r="Y47" t="n">
        <v>0</v>
      </c>
      <c r="Z47" t="n">
        <v>0</v>
      </c>
      <c r="AA47" t="n">
        <v>1089</v>
      </c>
      <c r="AB47" t="n">
        <v>23</v>
      </c>
      <c r="AC47" t="n">
        <v>250.47</v>
      </c>
      <c r="AD47" t="n">
        <v>4.55</v>
      </c>
      <c r="AE47" t="n">
        <v>20</v>
      </c>
      <c r="AF47" t="n">
        <v>0</v>
      </c>
      <c r="AG47" t="n">
        <v>0</v>
      </c>
      <c r="AH47" t="n">
        <v>21.04</v>
      </c>
      <c r="AI47" t="n">
        <v>291.51</v>
      </c>
      <c r="AJ47" t="n">
        <v>52.47</v>
      </c>
      <c r="AK47" t="n">
        <v>0</v>
      </c>
      <c r="AL47" t="n">
        <v>1089</v>
      </c>
      <c r="AM47" t="n">
        <v>0</v>
      </c>
      <c r="AN47" t="n">
        <v>0</v>
      </c>
      <c r="AO47" t="n">
        <v>1.09</v>
      </c>
      <c r="AP47" t="n">
        <v>54.45</v>
      </c>
      <c r="AQ47" t="n">
        <v>0</v>
      </c>
      <c r="AR47" t="n">
        <v>108.01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399.52</v>
      </c>
      <c r="BC47" t="n">
        <v>0</v>
      </c>
      <c r="BD47" t="n">
        <v>743.9299999999999</v>
      </c>
      <c r="BE47" t="inlineStr">
        <is>
          <t>settled</t>
        </is>
      </c>
      <c r="BF47" t="inlineStr">
        <is>
          <t>2025-12-31 05:30:00</t>
        </is>
      </c>
      <c r="BG47" t="inlineStr">
        <is>
          <t>CITIN25679949578</t>
        </is>
      </c>
      <c r="BH47" t="n">
        <v>0</v>
      </c>
      <c r="BI47" t="inlineStr">
        <is>
          <t>c9547d3f5dee188aa5483e592d585d49fb362034577e388a145d61a536a97cb7</t>
        </is>
      </c>
    </row>
    <row r="48">
      <c r="A48" t="inlineStr">
        <is>
          <t>43</t>
        </is>
      </c>
      <c r="B48" t="inlineStr">
        <is>
          <t>7625386890</t>
        </is>
      </c>
      <c r="C48" t="inlineStr">
        <is>
          <t>2025-12-27 20:51:41</t>
        </is>
      </c>
      <c r="D48" t="inlineStr">
        <is>
          <t>52</t>
        </is>
      </c>
      <c r="E48" t="inlineStr">
        <is>
          <t>Baba Yaga Art Of Chinese - By Posh Foods</t>
        </is>
      </c>
      <c r="F48" t="inlineStr">
        <is>
          <t>20037890</t>
        </is>
      </c>
      <c r="G48" t="inlineStr">
        <is>
          <t>Flat ₹300 off (2025-12-22 - 2031-01-01)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9</t>
        </is>
      </c>
      <c r="O48" t="n">
        <v>714</v>
      </c>
      <c r="P48" t="n">
        <v>0</v>
      </c>
      <c r="Q48" t="n">
        <v>0</v>
      </c>
      <c r="R48" t="n">
        <v>240</v>
      </c>
      <c r="S48" t="n">
        <v>0</v>
      </c>
      <c r="T48" t="n">
        <v>0</v>
      </c>
      <c r="U48" t="n">
        <v>0</v>
      </c>
      <c r="V48" t="n">
        <v>23.7</v>
      </c>
      <c r="W48" t="n">
        <v>497.7</v>
      </c>
      <c r="X48" t="n">
        <v>474</v>
      </c>
      <c r="Y48" t="n">
        <v>0</v>
      </c>
      <c r="Z48" t="n">
        <v>0</v>
      </c>
      <c r="AA48" t="n">
        <v>474</v>
      </c>
      <c r="AB48" t="n">
        <v>23</v>
      </c>
      <c r="AC48" t="n">
        <v>109.02</v>
      </c>
      <c r="AD48" t="n">
        <v>2</v>
      </c>
      <c r="AE48" t="n">
        <v>0</v>
      </c>
      <c r="AF48" t="n">
        <v>0</v>
      </c>
      <c r="AG48" t="n">
        <v>0</v>
      </c>
      <c r="AH48" t="n">
        <v>9.16</v>
      </c>
      <c r="AI48" t="n">
        <v>118.18</v>
      </c>
      <c r="AJ48" t="n">
        <v>21.27</v>
      </c>
      <c r="AK48" t="n">
        <v>0</v>
      </c>
      <c r="AL48" t="n">
        <v>474</v>
      </c>
      <c r="AM48" t="n">
        <v>0</v>
      </c>
      <c r="AN48" t="n">
        <v>0</v>
      </c>
      <c r="AO48" t="n">
        <v>0.47</v>
      </c>
      <c r="AP48" t="n">
        <v>23.7</v>
      </c>
      <c r="AQ48" t="n">
        <v>0</v>
      </c>
      <c r="AR48" t="n">
        <v>45.44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163.62</v>
      </c>
      <c r="BC48" t="n">
        <v>0</v>
      </c>
      <c r="BD48" t="n">
        <v>334.08</v>
      </c>
      <c r="BE48" t="inlineStr">
        <is>
          <t>settled</t>
        </is>
      </c>
      <c r="BF48" t="inlineStr">
        <is>
          <t>2025-12-31 05:30:00</t>
        </is>
      </c>
      <c r="BG48" t="inlineStr">
        <is>
          <t>CITIN25679949578</t>
        </is>
      </c>
      <c r="BH48" t="n">
        <v>0</v>
      </c>
      <c r="BI48" t="inlineStr">
        <is>
          <t>3e3b0963448c0826b59bde86166dfb92f344994a085f5d39e675dc2082fdc03b</t>
        </is>
      </c>
    </row>
    <row r="49">
      <c r="A49" t="inlineStr">
        <is>
          <t>44</t>
        </is>
      </c>
      <c r="B49" t="inlineStr">
        <is>
          <t>7620392419</t>
        </is>
      </c>
      <c r="C49" t="inlineStr">
        <is>
          <t>2025-12-27 22:17:05</t>
        </is>
      </c>
      <c r="D49" t="inlineStr">
        <is>
          <t>52</t>
        </is>
      </c>
      <c r="E49" t="inlineStr">
        <is>
          <t>Baba Yaga Art Of Chinese - By Posh Foods</t>
        </is>
      </c>
      <c r="F49" t="inlineStr">
        <is>
          <t>20037890</t>
        </is>
      </c>
      <c r="G49" t="inlineStr">
        <is>
          <t>Flat ₹350 off (2025-12-22 - 2031-01-01)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9</t>
        </is>
      </c>
      <c r="O49" t="n">
        <v>1454</v>
      </c>
      <c r="P49" t="n">
        <v>0</v>
      </c>
      <c r="Q49" t="n">
        <v>0</v>
      </c>
      <c r="R49" t="n">
        <v>280</v>
      </c>
      <c r="S49" t="n">
        <v>110.4</v>
      </c>
      <c r="T49" t="n">
        <v>0</v>
      </c>
      <c r="U49" t="n">
        <v>0</v>
      </c>
      <c r="V49" t="n">
        <v>53.18</v>
      </c>
      <c r="W49" t="n">
        <v>1116.78</v>
      </c>
      <c r="X49" t="n">
        <v>1063.6</v>
      </c>
      <c r="Y49" t="n">
        <v>0</v>
      </c>
      <c r="Z49" t="n">
        <v>0</v>
      </c>
      <c r="AA49" t="n">
        <v>1063.6</v>
      </c>
      <c r="AB49" t="n">
        <v>23</v>
      </c>
      <c r="AC49" t="n">
        <v>244.63</v>
      </c>
      <c r="AD49" t="n">
        <v>2.72</v>
      </c>
      <c r="AE49" t="n">
        <v>0</v>
      </c>
      <c r="AF49" t="n">
        <v>0</v>
      </c>
      <c r="AG49" t="n">
        <v>0</v>
      </c>
      <c r="AH49" t="n">
        <v>20.55</v>
      </c>
      <c r="AI49" t="n">
        <v>265.18</v>
      </c>
      <c r="AJ49" t="n">
        <v>47.73</v>
      </c>
      <c r="AK49" t="n">
        <v>0</v>
      </c>
      <c r="AL49" t="n">
        <v>1063.6</v>
      </c>
      <c r="AM49" t="n">
        <v>0</v>
      </c>
      <c r="AN49" t="n">
        <v>0</v>
      </c>
      <c r="AO49" t="n">
        <v>1.06</v>
      </c>
      <c r="AP49" t="n">
        <v>53.18</v>
      </c>
      <c r="AQ49" t="n">
        <v>0</v>
      </c>
      <c r="AR49" t="n">
        <v>101.97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367.15</v>
      </c>
      <c r="BC49" t="n">
        <v>0</v>
      </c>
      <c r="BD49" t="n">
        <v>749.63</v>
      </c>
      <c r="BE49" t="inlineStr">
        <is>
          <t>settled</t>
        </is>
      </c>
      <c r="BF49" t="inlineStr">
        <is>
          <t>2025-12-31 05:30:00</t>
        </is>
      </c>
      <c r="BG49" t="inlineStr">
        <is>
          <t>CITIN25679949578</t>
        </is>
      </c>
      <c r="BH49" t="n">
        <v>0</v>
      </c>
      <c r="BI49" t="inlineStr">
        <is>
          <t>914d8d33b7303f6f30a465a42b78a3b18a59e63858d7f579fa375922b20285c4</t>
        </is>
      </c>
    </row>
    <row r="50">
      <c r="A50" t="inlineStr">
        <is>
          <t>45</t>
        </is>
      </c>
      <c r="B50" t="inlineStr">
        <is>
          <t>7623286911</t>
        </is>
      </c>
      <c r="C50" t="inlineStr">
        <is>
          <t>2025-12-27 22:25:41</t>
        </is>
      </c>
      <c r="D50" t="inlineStr">
        <is>
          <t>52</t>
        </is>
      </c>
      <c r="E50" t="inlineStr">
        <is>
          <t>Baba Yaga Art Of Chinese - By Posh Foods</t>
        </is>
      </c>
      <c r="F50" t="inlineStr">
        <is>
          <t>20037890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9</t>
        </is>
      </c>
      <c r="O50" t="n">
        <v>684</v>
      </c>
      <c r="P50" t="n">
        <v>0</v>
      </c>
      <c r="Q50" t="n">
        <v>0</v>
      </c>
      <c r="R50" t="n">
        <v>0</v>
      </c>
      <c r="S50" t="n">
        <v>68.40000000000001</v>
      </c>
      <c r="T50" t="n">
        <v>0</v>
      </c>
      <c r="U50" t="n">
        <v>0</v>
      </c>
      <c r="V50" t="n">
        <v>30.78</v>
      </c>
      <c r="W50" t="n">
        <v>646.38</v>
      </c>
      <c r="X50" t="n">
        <v>615.6</v>
      </c>
      <c r="Y50" t="n">
        <v>0</v>
      </c>
      <c r="Z50" t="n">
        <v>0</v>
      </c>
      <c r="AA50" t="n">
        <v>615.6</v>
      </c>
      <c r="AB50" t="n">
        <v>23</v>
      </c>
      <c r="AC50" t="n">
        <v>141.59</v>
      </c>
      <c r="AD50" t="n">
        <v>2.72</v>
      </c>
      <c r="AE50" t="n">
        <v>0</v>
      </c>
      <c r="AF50" t="n">
        <v>0</v>
      </c>
      <c r="AG50" t="n">
        <v>0</v>
      </c>
      <c r="AH50" t="n">
        <v>11.89</v>
      </c>
      <c r="AI50" t="n">
        <v>153.48</v>
      </c>
      <c r="AJ50" t="n">
        <v>27.63</v>
      </c>
      <c r="AK50" t="n">
        <v>0</v>
      </c>
      <c r="AL50" t="n">
        <v>615.6</v>
      </c>
      <c r="AM50" t="n">
        <v>0</v>
      </c>
      <c r="AN50" t="n">
        <v>0</v>
      </c>
      <c r="AO50" t="n">
        <v>0.62</v>
      </c>
      <c r="AP50" t="n">
        <v>30.78</v>
      </c>
      <c r="AQ50" t="n">
        <v>0</v>
      </c>
      <c r="AR50" t="n">
        <v>59.03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212.51</v>
      </c>
      <c r="BC50" t="n">
        <v>0</v>
      </c>
      <c r="BD50" t="n">
        <v>433.87</v>
      </c>
      <c r="BE50" t="inlineStr">
        <is>
          <t>settled</t>
        </is>
      </c>
      <c r="BF50" t="inlineStr">
        <is>
          <t>2025-12-31 05:30:00</t>
        </is>
      </c>
      <c r="BG50" t="inlineStr">
        <is>
          <t>CITIN25679949578</t>
        </is>
      </c>
      <c r="BH50" t="n">
        <v>0</v>
      </c>
      <c r="BI50" t="inlineStr">
        <is>
          <t>914d8d33b7303f6f30a465a42b78a3b18a59e63858d7f579fa375922b20285c4</t>
        </is>
      </c>
    </row>
    <row r="51">
      <c r="A51" t="inlineStr">
        <is>
          <t>46</t>
        </is>
      </c>
      <c r="B51" t="inlineStr">
        <is>
          <t>7627079067</t>
        </is>
      </c>
      <c r="C51" t="inlineStr">
        <is>
          <t>2025-12-28 14:14:13</t>
        </is>
      </c>
      <c r="D51" t="inlineStr">
        <is>
          <t>52</t>
        </is>
      </c>
      <c r="E51" t="inlineStr">
        <is>
          <t>Baba Yaga Art Of Chinese - By Posh Foods</t>
        </is>
      </c>
      <c r="F51" t="inlineStr">
        <is>
          <t>20037890</t>
        </is>
      </c>
      <c r="G51" t="inlineStr">
        <is>
          <t>Flat ₹100 off (2025-12-21 - 2031-01-01)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9</t>
        </is>
      </c>
      <c r="O51" t="n">
        <v>239</v>
      </c>
      <c r="P51" t="n">
        <v>0</v>
      </c>
      <c r="Q51" t="n">
        <v>0</v>
      </c>
      <c r="R51" t="n">
        <v>70</v>
      </c>
      <c r="S51" t="n">
        <v>0</v>
      </c>
      <c r="T51" t="n">
        <v>0</v>
      </c>
      <c r="U51" t="n">
        <v>0</v>
      </c>
      <c r="V51" t="n">
        <v>8.449999999999999</v>
      </c>
      <c r="W51" t="n">
        <v>177.45</v>
      </c>
      <c r="X51" t="n">
        <v>169</v>
      </c>
      <c r="Y51" t="n">
        <v>0</v>
      </c>
      <c r="Z51" t="n">
        <v>0</v>
      </c>
      <c r="AA51" t="n">
        <v>169</v>
      </c>
      <c r="AB51" t="n">
        <v>23</v>
      </c>
      <c r="AC51" t="n">
        <v>38.87</v>
      </c>
      <c r="AD51" t="n">
        <v>2.32</v>
      </c>
      <c r="AE51" t="n">
        <v>0</v>
      </c>
      <c r="AF51" t="n">
        <v>0</v>
      </c>
      <c r="AG51" t="n">
        <v>0</v>
      </c>
      <c r="AH51" t="n">
        <v>3.27</v>
      </c>
      <c r="AI51" t="n">
        <v>42.14</v>
      </c>
      <c r="AJ51" t="n">
        <v>7.59</v>
      </c>
      <c r="AK51" t="n">
        <v>0</v>
      </c>
      <c r="AL51" t="n">
        <v>169</v>
      </c>
      <c r="AM51" t="n">
        <v>0</v>
      </c>
      <c r="AN51" t="n">
        <v>0</v>
      </c>
      <c r="AO51" t="n">
        <v>0.17</v>
      </c>
      <c r="AP51" t="n">
        <v>8.449999999999999</v>
      </c>
      <c r="AQ51" t="n">
        <v>0</v>
      </c>
      <c r="AR51" t="n">
        <v>16.21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58.35</v>
      </c>
      <c r="BC51" t="n">
        <v>0</v>
      </c>
      <c r="BD51" t="n">
        <v>119.1</v>
      </c>
      <c r="BE51" t="inlineStr">
        <is>
          <t>settled</t>
        </is>
      </c>
      <c r="BF51" t="inlineStr">
        <is>
          <t>2025-12-31 05:30:00</t>
        </is>
      </c>
      <c r="BG51" t="inlineStr">
        <is>
          <t>CITIN25679949578</t>
        </is>
      </c>
      <c r="BH51" t="n">
        <v>0</v>
      </c>
      <c r="BI51" t="inlineStr">
        <is>
          <t>95d8e1c78428851fc08f1120bd4b639a1d252e331dd579bed316dcae228bb2ca</t>
        </is>
      </c>
    </row>
    <row r="52">
      <c r="A52" t="inlineStr">
        <is>
          <t>47</t>
        </is>
      </c>
      <c r="B52" t="inlineStr">
        <is>
          <t>7621065767</t>
        </is>
      </c>
      <c r="C52" t="inlineStr">
        <is>
          <t>2025-12-28 16:48:41</t>
        </is>
      </c>
      <c r="D52" t="inlineStr">
        <is>
          <t>52</t>
        </is>
      </c>
      <c r="E52" t="inlineStr">
        <is>
          <t>Baba Yaga Art Of Chinese - By Posh Foods</t>
        </is>
      </c>
      <c r="F52" t="inlineStr">
        <is>
          <t>20037890</t>
        </is>
      </c>
      <c r="G52" t="inlineStr">
        <is>
          <t>Flat ₹150 off (2025-12-18 - 2031-01-01)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9</t>
        </is>
      </c>
      <c r="O52" t="n">
        <v>560</v>
      </c>
      <c r="P52" t="n">
        <v>0</v>
      </c>
      <c r="Q52" t="n">
        <v>0</v>
      </c>
      <c r="R52" t="n">
        <v>150</v>
      </c>
      <c r="S52" t="n">
        <v>41</v>
      </c>
      <c r="T52" t="n">
        <v>0</v>
      </c>
      <c r="U52" t="n">
        <v>0</v>
      </c>
      <c r="V52" t="n">
        <v>18.45</v>
      </c>
      <c r="W52" t="n">
        <v>387.45</v>
      </c>
      <c r="X52" t="n">
        <v>369</v>
      </c>
      <c r="Y52" t="n">
        <v>0</v>
      </c>
      <c r="Z52" t="n">
        <v>0</v>
      </c>
      <c r="AA52" t="n">
        <v>369</v>
      </c>
      <c r="AB52" t="n">
        <v>23</v>
      </c>
      <c r="AC52" t="n">
        <v>84.87</v>
      </c>
      <c r="AD52" t="n">
        <v>1.7</v>
      </c>
      <c r="AE52" t="n">
        <v>0</v>
      </c>
      <c r="AF52" t="n">
        <v>0</v>
      </c>
      <c r="AG52" t="n">
        <v>0</v>
      </c>
      <c r="AH52" t="n">
        <v>7.13</v>
      </c>
      <c r="AI52" t="n">
        <v>92</v>
      </c>
      <c r="AJ52" t="n">
        <v>16.56</v>
      </c>
      <c r="AK52" t="n">
        <v>0</v>
      </c>
      <c r="AL52" t="n">
        <v>369</v>
      </c>
      <c r="AM52" t="n">
        <v>0</v>
      </c>
      <c r="AN52" t="n">
        <v>0</v>
      </c>
      <c r="AO52" t="n">
        <v>0.37</v>
      </c>
      <c r="AP52" t="n">
        <v>18.45</v>
      </c>
      <c r="AQ52" t="n">
        <v>0</v>
      </c>
      <c r="AR52" t="n">
        <v>35.38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127.38</v>
      </c>
      <c r="BC52" t="n">
        <v>0</v>
      </c>
      <c r="BD52" t="n">
        <v>260.07</v>
      </c>
      <c r="BE52" t="inlineStr">
        <is>
          <t>settled</t>
        </is>
      </c>
      <c r="BF52" t="inlineStr">
        <is>
          <t>2025-12-31 05:30:00</t>
        </is>
      </c>
      <c r="BG52" t="inlineStr">
        <is>
          <t>CITIN25679949578</t>
        </is>
      </c>
      <c r="BH52" t="n">
        <v>0</v>
      </c>
      <c r="BI52" t="inlineStr">
        <is>
          <t>376386093ee5115fba6e65514fc8c94820c19a401f7a33a3fdba3a29628f7cd3</t>
        </is>
      </c>
    </row>
    <row r="53">
      <c r="A53" t="inlineStr">
        <is>
          <t>48</t>
        </is>
      </c>
      <c r="B53" t="inlineStr">
        <is>
          <t>7629157353</t>
        </is>
      </c>
      <c r="C53" t="inlineStr">
        <is>
          <t>2025-12-28 17:06:41</t>
        </is>
      </c>
      <c r="D53" t="inlineStr">
        <is>
          <t>52</t>
        </is>
      </c>
      <c r="E53" t="inlineStr">
        <is>
          <t>Baba Yaga Art Of Chinese - By Posh Foods</t>
        </is>
      </c>
      <c r="F53" t="inlineStr">
        <is>
          <t>20037890</t>
        </is>
      </c>
      <c r="G53" t="inlineStr">
        <is>
          <t>Flat ₹350 off (2025-12-22 - 2031-01-01)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9</t>
        </is>
      </c>
      <c r="O53" t="n">
        <v>1468</v>
      </c>
      <c r="P53" t="n">
        <v>0</v>
      </c>
      <c r="Q53" t="n">
        <v>0</v>
      </c>
      <c r="R53" t="n">
        <v>280</v>
      </c>
      <c r="S53" t="n">
        <v>111.8</v>
      </c>
      <c r="T53" t="n">
        <v>0</v>
      </c>
      <c r="U53" t="n">
        <v>0</v>
      </c>
      <c r="V53" t="n">
        <v>53.81</v>
      </c>
      <c r="W53" t="n">
        <v>1130.01</v>
      </c>
      <c r="X53" t="n">
        <v>1076.2</v>
      </c>
      <c r="Y53" t="n">
        <v>0</v>
      </c>
      <c r="Z53" t="n">
        <v>0</v>
      </c>
      <c r="AA53" t="n">
        <v>1076.2</v>
      </c>
      <c r="AB53" t="n">
        <v>23</v>
      </c>
      <c r="AC53" t="n">
        <v>247.53</v>
      </c>
      <c r="AD53" t="n">
        <v>6.84</v>
      </c>
      <c r="AE53" t="n">
        <v>40</v>
      </c>
      <c r="AF53" t="n">
        <v>0</v>
      </c>
      <c r="AG53" t="n">
        <v>0</v>
      </c>
      <c r="AH53" t="n">
        <v>20.79</v>
      </c>
      <c r="AI53" t="n">
        <v>308.32</v>
      </c>
      <c r="AJ53" t="n">
        <v>55.5</v>
      </c>
      <c r="AK53" t="n">
        <v>0</v>
      </c>
      <c r="AL53" t="n">
        <v>1076.2</v>
      </c>
      <c r="AM53" t="n">
        <v>0</v>
      </c>
      <c r="AN53" t="n">
        <v>0</v>
      </c>
      <c r="AO53" t="n">
        <v>1.08</v>
      </c>
      <c r="AP53" t="n">
        <v>53.81</v>
      </c>
      <c r="AQ53" t="n">
        <v>0</v>
      </c>
      <c r="AR53" t="n">
        <v>110.39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418.71</v>
      </c>
      <c r="BC53" t="n">
        <v>0</v>
      </c>
      <c r="BD53" t="n">
        <v>711.3</v>
      </c>
      <c r="BE53" t="inlineStr">
        <is>
          <t>settled</t>
        </is>
      </c>
      <c r="BF53" t="inlineStr">
        <is>
          <t>2025-12-31 05:30:00</t>
        </is>
      </c>
      <c r="BG53" t="inlineStr">
        <is>
          <t>CITIN25679949578</t>
        </is>
      </c>
      <c r="BH53" t="n">
        <v>0</v>
      </c>
      <c r="BI53" t="inlineStr">
        <is>
          <t>ea9ec53091b5885c2caa03c944fc9281d5ed3198cb060496102a78ee49da3159</t>
        </is>
      </c>
    </row>
    <row r="54">
      <c r="A54" t="inlineStr">
        <is>
          <t>49</t>
        </is>
      </c>
      <c r="B54" t="inlineStr">
        <is>
          <t>7626253806</t>
        </is>
      </c>
      <c r="C54" t="inlineStr">
        <is>
          <t>2025-12-28 17:09:57</t>
        </is>
      </c>
      <c r="D54" t="inlineStr">
        <is>
          <t>52</t>
        </is>
      </c>
      <c r="E54" t="inlineStr">
        <is>
          <t>Baba Yaga Art Of Chinese - By Posh Foods</t>
        </is>
      </c>
      <c r="F54" t="inlineStr">
        <is>
          <t>20037890</t>
        </is>
      </c>
      <c r="G54" t="inlineStr">
        <is>
          <t>Flat ₹100 off (2025-12-21 - 2031-01-01)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9</t>
        </is>
      </c>
      <c r="O54" t="n">
        <v>315</v>
      </c>
      <c r="P54" t="n">
        <v>0</v>
      </c>
      <c r="Q54" t="n">
        <v>0</v>
      </c>
      <c r="R54" t="n">
        <v>70</v>
      </c>
      <c r="S54" t="n">
        <v>21.5</v>
      </c>
      <c r="T54" t="n">
        <v>0</v>
      </c>
      <c r="U54" t="n">
        <v>0</v>
      </c>
      <c r="V54" t="n">
        <v>11.18</v>
      </c>
      <c r="W54" t="n">
        <v>234.68</v>
      </c>
      <c r="X54" t="n">
        <v>223.5</v>
      </c>
      <c r="Y54" t="n">
        <v>0</v>
      </c>
      <c r="Z54" t="n">
        <v>0</v>
      </c>
      <c r="AA54" t="n">
        <v>223.5</v>
      </c>
      <c r="AB54" t="n">
        <v>23</v>
      </c>
      <c r="AC54" t="n">
        <v>51.4</v>
      </c>
      <c r="AD54" t="n">
        <v>5.27</v>
      </c>
      <c r="AE54" t="n">
        <v>20</v>
      </c>
      <c r="AF54" t="n">
        <v>0</v>
      </c>
      <c r="AG54" t="n">
        <v>4.35</v>
      </c>
      <c r="AH54" t="n">
        <v>4.32</v>
      </c>
      <c r="AI54" t="n">
        <v>71.37</v>
      </c>
      <c r="AJ54" t="n">
        <v>12.85</v>
      </c>
      <c r="AK54" t="n">
        <v>0</v>
      </c>
      <c r="AL54" t="n">
        <v>223.5</v>
      </c>
      <c r="AM54" t="n">
        <v>0</v>
      </c>
      <c r="AN54" t="n">
        <v>0</v>
      </c>
      <c r="AO54" t="n">
        <v>0.22</v>
      </c>
      <c r="AP54" t="n">
        <v>11.18</v>
      </c>
      <c r="AQ54" t="n">
        <v>0</v>
      </c>
      <c r="AR54" t="n">
        <v>24.25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26.37</v>
      </c>
      <c r="AY54" t="n">
        <v>0</v>
      </c>
      <c r="AZ54" t="n">
        <v>0</v>
      </c>
      <c r="BA54" t="n">
        <v>26.37</v>
      </c>
      <c r="BB54" t="n">
        <v>121.99</v>
      </c>
      <c r="BC54" t="n">
        <v>0</v>
      </c>
      <c r="BD54" t="n">
        <v>112.69</v>
      </c>
      <c r="BE54" t="inlineStr">
        <is>
          <t>settled</t>
        </is>
      </c>
      <c r="BF54" t="inlineStr">
        <is>
          <t>2025-12-31 05:30:00</t>
        </is>
      </c>
      <c r="BG54" t="inlineStr">
        <is>
          <t>CITIN25679949578</t>
        </is>
      </c>
      <c r="BH54" t="n">
        <v>0</v>
      </c>
      <c r="BI54" t="inlineStr">
        <is>
          <t>9c2f52751881f448de5f456e27be137f7fa9bc42aa1fbfdd0546a0aec875364e</t>
        </is>
      </c>
    </row>
    <row r="55">
      <c r="A55" t="inlineStr">
        <is>
          <t>50</t>
        </is>
      </c>
      <c r="B55" t="inlineStr">
        <is>
          <t>7630524681</t>
        </is>
      </c>
      <c r="C55" t="inlineStr">
        <is>
          <t>2025-12-28 18:08:59</t>
        </is>
      </c>
      <c r="D55" t="inlineStr">
        <is>
          <t>52</t>
        </is>
      </c>
      <c r="E55" t="inlineStr">
        <is>
          <t>Baba Yaga Art Of Chinese - By Posh Foods</t>
        </is>
      </c>
      <c r="F55" t="inlineStr">
        <is>
          <t>20037890</t>
        </is>
      </c>
      <c r="G55" t="inlineStr">
        <is>
          <t>Flat ₹100 off (2025-12-21 - 2031-01-01)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9</t>
        </is>
      </c>
      <c r="O55" t="n">
        <v>350</v>
      </c>
      <c r="P55" t="n">
        <v>0</v>
      </c>
      <c r="Q55" t="n">
        <v>0</v>
      </c>
      <c r="R55" t="n">
        <v>70</v>
      </c>
      <c r="S55" t="n">
        <v>25</v>
      </c>
      <c r="T55" t="n">
        <v>0</v>
      </c>
      <c r="U55" t="n">
        <v>0</v>
      </c>
      <c r="V55" t="n">
        <v>12.75</v>
      </c>
      <c r="W55" t="n">
        <v>267.75</v>
      </c>
      <c r="X55" t="n">
        <v>255</v>
      </c>
      <c r="Y55" t="n">
        <v>0</v>
      </c>
      <c r="Z55" t="n">
        <v>0</v>
      </c>
      <c r="AA55" t="n">
        <v>255</v>
      </c>
      <c r="AB55" t="n">
        <v>23</v>
      </c>
      <c r="AC55" t="n">
        <v>58.65</v>
      </c>
      <c r="AD55" t="n">
        <v>3.22</v>
      </c>
      <c r="AE55" t="n">
        <v>0</v>
      </c>
      <c r="AF55" t="n">
        <v>0</v>
      </c>
      <c r="AG55" t="n">
        <v>0</v>
      </c>
      <c r="AH55" t="n">
        <v>4.93</v>
      </c>
      <c r="AI55" t="n">
        <v>63.58</v>
      </c>
      <c r="AJ55" t="n">
        <v>11.45</v>
      </c>
      <c r="AK55" t="n">
        <v>0</v>
      </c>
      <c r="AL55" t="n">
        <v>255</v>
      </c>
      <c r="AM55" t="n">
        <v>0</v>
      </c>
      <c r="AN55" t="n">
        <v>0</v>
      </c>
      <c r="AO55" t="n">
        <v>0.26</v>
      </c>
      <c r="AP55" t="n">
        <v>12.75</v>
      </c>
      <c r="AQ55" t="n">
        <v>0</v>
      </c>
      <c r="AR55" t="n">
        <v>24.46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88.04000000000001</v>
      </c>
      <c r="BC55" t="n">
        <v>0</v>
      </c>
      <c r="BD55" t="n">
        <v>179.71</v>
      </c>
      <c r="BE55" t="inlineStr">
        <is>
          <t>settled</t>
        </is>
      </c>
      <c r="BF55" t="inlineStr">
        <is>
          <t>2025-12-31 05:30:00</t>
        </is>
      </c>
      <c r="BG55" t="inlineStr">
        <is>
          <t>CITIN25679949578</t>
        </is>
      </c>
      <c r="BH55" t="n">
        <v>0</v>
      </c>
      <c r="BI55" t="inlineStr">
        <is>
          <t>ea03115cb079b43f30fe9f74b99bfcfebe3ad989f24e4fe702a0d9c80a675c02</t>
        </is>
      </c>
    </row>
    <row r="56">
      <c r="A56" t="inlineStr">
        <is>
          <t>51</t>
        </is>
      </c>
      <c r="B56" t="inlineStr">
        <is>
          <t>7629378666</t>
        </is>
      </c>
      <c r="C56" t="inlineStr">
        <is>
          <t>2025-12-28 18:44:32</t>
        </is>
      </c>
      <c r="D56" t="inlineStr">
        <is>
          <t>52</t>
        </is>
      </c>
      <c r="E56" t="inlineStr">
        <is>
          <t>Baba Yaga Art Of Chinese - By Posh Foods</t>
        </is>
      </c>
      <c r="F56" t="inlineStr">
        <is>
          <t>20037890</t>
        </is>
      </c>
      <c r="G56" t="inlineStr">
        <is>
          <t>Flat ₹100 off (2025-12-21 - 2031-01-01)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9</t>
        </is>
      </c>
      <c r="O56" t="n">
        <v>265</v>
      </c>
      <c r="P56" t="n">
        <v>0</v>
      </c>
      <c r="Q56" t="n">
        <v>0</v>
      </c>
      <c r="R56" t="n">
        <v>70</v>
      </c>
      <c r="S56" t="n">
        <v>0</v>
      </c>
      <c r="T56" t="n">
        <v>0</v>
      </c>
      <c r="U56" t="n">
        <v>0</v>
      </c>
      <c r="V56" t="n">
        <v>9.75</v>
      </c>
      <c r="W56" t="n">
        <v>204.75</v>
      </c>
      <c r="X56" t="n">
        <v>195</v>
      </c>
      <c r="Y56" t="n">
        <v>0</v>
      </c>
      <c r="Z56" t="n">
        <v>0</v>
      </c>
      <c r="AA56" t="n">
        <v>195</v>
      </c>
      <c r="AB56" t="n">
        <v>23</v>
      </c>
      <c r="AC56" t="n">
        <v>44.85</v>
      </c>
      <c r="AD56" t="n">
        <v>5.16</v>
      </c>
      <c r="AE56" t="n">
        <v>20</v>
      </c>
      <c r="AF56" t="n">
        <v>0</v>
      </c>
      <c r="AG56" t="n">
        <v>6.35</v>
      </c>
      <c r="AH56" t="n">
        <v>3.77</v>
      </c>
      <c r="AI56" t="n">
        <v>62.27</v>
      </c>
      <c r="AJ56" t="n">
        <v>11.21</v>
      </c>
      <c r="AK56" t="n">
        <v>0</v>
      </c>
      <c r="AL56" t="n">
        <v>195</v>
      </c>
      <c r="AM56" t="n">
        <v>0</v>
      </c>
      <c r="AN56" t="n">
        <v>0</v>
      </c>
      <c r="AO56" t="n">
        <v>0.2</v>
      </c>
      <c r="AP56" t="n">
        <v>9.75</v>
      </c>
      <c r="AQ56" t="n">
        <v>0</v>
      </c>
      <c r="AR56" t="n">
        <v>21.16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23.01</v>
      </c>
      <c r="AY56" t="n">
        <v>0</v>
      </c>
      <c r="AZ56" t="n">
        <v>0</v>
      </c>
      <c r="BA56" t="n">
        <v>23.01</v>
      </c>
      <c r="BB56" t="n">
        <v>106.44</v>
      </c>
      <c r="BC56" t="n">
        <v>0</v>
      </c>
      <c r="BD56" t="n">
        <v>98.31</v>
      </c>
      <c r="BE56" t="inlineStr">
        <is>
          <t>settled</t>
        </is>
      </c>
      <c r="BF56" t="inlineStr">
        <is>
          <t>2025-12-31 05:30:00</t>
        </is>
      </c>
      <c r="BG56" t="inlineStr">
        <is>
          <t>CITIN25679949578</t>
        </is>
      </c>
      <c r="BH56" t="n">
        <v>0</v>
      </c>
      <c r="BI56" t="inlineStr">
        <is>
          <t>594bf66d3b8d721eb26d97de1dd1e5043562b2645997936bd3b4ca41a848cb57</t>
        </is>
      </c>
    </row>
    <row r="57">
      <c r="A57" t="inlineStr">
        <is>
          <t>52</t>
        </is>
      </c>
      <c r="B57" t="inlineStr">
        <is>
          <t>7630015159</t>
        </is>
      </c>
      <c r="C57" t="inlineStr">
        <is>
          <t>2025-12-28 19:39:44</t>
        </is>
      </c>
      <c r="D57" t="inlineStr">
        <is>
          <t>52</t>
        </is>
      </c>
      <c r="E57" t="inlineStr">
        <is>
          <t>Baba Yaga Art Of Chinese - By Posh Foods</t>
        </is>
      </c>
      <c r="F57" t="inlineStr">
        <is>
          <t>20037890</t>
        </is>
      </c>
      <c r="G57" t="inlineStr">
        <is>
          <t>Flat ₹100 off (2025-12-21 - 2031-01-01)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9</t>
        </is>
      </c>
      <c r="O57" t="n">
        <v>315</v>
      </c>
      <c r="P57" t="n">
        <v>0</v>
      </c>
      <c r="Q57" t="n">
        <v>0</v>
      </c>
      <c r="R57" t="n">
        <v>70</v>
      </c>
      <c r="S57" t="n">
        <v>21.5</v>
      </c>
      <c r="T57" t="n">
        <v>0</v>
      </c>
      <c r="U57" t="n">
        <v>0</v>
      </c>
      <c r="V57" t="n">
        <v>11.18</v>
      </c>
      <c r="W57" t="n">
        <v>234.68</v>
      </c>
      <c r="X57" t="n">
        <v>223.5</v>
      </c>
      <c r="Y57" t="n">
        <v>0</v>
      </c>
      <c r="Z57" t="n">
        <v>0</v>
      </c>
      <c r="AA57" t="n">
        <v>223.5</v>
      </c>
      <c r="AB57" t="n">
        <v>23</v>
      </c>
      <c r="AC57" t="n">
        <v>51.4</v>
      </c>
      <c r="AD57" t="n">
        <v>6.08</v>
      </c>
      <c r="AE57" t="n">
        <v>40</v>
      </c>
      <c r="AF57" t="n">
        <v>0</v>
      </c>
      <c r="AG57" t="n">
        <v>24.35</v>
      </c>
      <c r="AH57" t="n">
        <v>4.32</v>
      </c>
      <c r="AI57" t="n">
        <v>71.37</v>
      </c>
      <c r="AJ57" t="n">
        <v>12.85</v>
      </c>
      <c r="AK57" t="n">
        <v>0</v>
      </c>
      <c r="AL57" t="n">
        <v>223.5</v>
      </c>
      <c r="AM57" t="n">
        <v>0</v>
      </c>
      <c r="AN57" t="n">
        <v>0</v>
      </c>
      <c r="AO57" t="n">
        <v>0.22</v>
      </c>
      <c r="AP57" t="n">
        <v>11.18</v>
      </c>
      <c r="AQ57" t="n">
        <v>0</v>
      </c>
      <c r="AR57" t="n">
        <v>24.25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95.62</v>
      </c>
      <c r="BC57" t="n">
        <v>0</v>
      </c>
      <c r="BD57" t="n">
        <v>139.06</v>
      </c>
      <c r="BE57" t="inlineStr">
        <is>
          <t>settled</t>
        </is>
      </c>
      <c r="BF57" t="inlineStr">
        <is>
          <t>2025-12-31 05:30:00</t>
        </is>
      </c>
      <c r="BG57" t="inlineStr">
        <is>
          <t>CITIN25679949578</t>
        </is>
      </c>
      <c r="BH57" t="n">
        <v>0</v>
      </c>
      <c r="BI57" t="inlineStr">
        <is>
          <t>e98497efc37e6081bf1d7a104f8e10e0ca01bdb25dc69ae24c4d3ac6dc8812c1</t>
        </is>
      </c>
    </row>
    <row r="58">
      <c r="A58" t="inlineStr">
        <is>
          <t>53</t>
        </is>
      </c>
      <c r="B58" t="inlineStr">
        <is>
          <t>7630452006</t>
        </is>
      </c>
      <c r="C58" t="inlineStr">
        <is>
          <t>2025-12-28 20:31:12</t>
        </is>
      </c>
      <c r="D58" t="inlineStr">
        <is>
          <t>52</t>
        </is>
      </c>
      <c r="E58" t="inlineStr">
        <is>
          <t>Baba Yaga Art Of Chinese - By Posh Foods</t>
        </is>
      </c>
      <c r="F58" t="inlineStr">
        <is>
          <t>20037890</t>
        </is>
      </c>
      <c r="G58" t="inlineStr">
        <is>
          <t>Flat ₹100 off (2025-12-21 - 2031-01-01)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9</t>
        </is>
      </c>
      <c r="O58" t="n">
        <v>239</v>
      </c>
      <c r="P58" t="n">
        <v>0</v>
      </c>
      <c r="Q58" t="n">
        <v>0</v>
      </c>
      <c r="R58" t="n">
        <v>70</v>
      </c>
      <c r="S58" t="n">
        <v>0</v>
      </c>
      <c r="T58" t="n">
        <v>0</v>
      </c>
      <c r="U58" t="n">
        <v>0</v>
      </c>
      <c r="V58" t="n">
        <v>8.449999999999999</v>
      </c>
      <c r="W58" t="n">
        <v>177.45</v>
      </c>
      <c r="X58" t="n">
        <v>169</v>
      </c>
      <c r="Y58" t="n">
        <v>0</v>
      </c>
      <c r="Z58" t="n">
        <v>0</v>
      </c>
      <c r="AA58" t="n">
        <v>169</v>
      </c>
      <c r="AB58" t="n">
        <v>23</v>
      </c>
      <c r="AC58" t="n">
        <v>38.87</v>
      </c>
      <c r="AD58" t="n">
        <v>2.11</v>
      </c>
      <c r="AE58" t="n">
        <v>0</v>
      </c>
      <c r="AF58" t="n">
        <v>0</v>
      </c>
      <c r="AG58" t="n">
        <v>0</v>
      </c>
      <c r="AH58" t="n">
        <v>3.27</v>
      </c>
      <c r="AI58" t="n">
        <v>42.14</v>
      </c>
      <c r="AJ58" t="n">
        <v>7.59</v>
      </c>
      <c r="AK58" t="n">
        <v>0</v>
      </c>
      <c r="AL58" t="n">
        <v>169</v>
      </c>
      <c r="AM58" t="n">
        <v>0</v>
      </c>
      <c r="AN58" t="n">
        <v>0</v>
      </c>
      <c r="AO58" t="n">
        <v>0.17</v>
      </c>
      <c r="AP58" t="n">
        <v>8.449999999999999</v>
      </c>
      <c r="AQ58" t="n">
        <v>0</v>
      </c>
      <c r="AR58" t="n">
        <v>16.21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58.35</v>
      </c>
      <c r="BC58" t="n">
        <v>0</v>
      </c>
      <c r="BD58" t="n">
        <v>119.1</v>
      </c>
      <c r="BE58" t="inlineStr">
        <is>
          <t>settled</t>
        </is>
      </c>
      <c r="BF58" t="inlineStr">
        <is>
          <t>2025-12-31 05:30:00</t>
        </is>
      </c>
      <c r="BG58" t="inlineStr">
        <is>
          <t>CITIN25679949578</t>
        </is>
      </c>
      <c r="BH58" t="n">
        <v>0</v>
      </c>
      <c r="BI58" t="inlineStr">
        <is>
          <t>b1a2e5891f4526b21c104619f46dcab92694252807d96228559e20333c292624</t>
        </is>
      </c>
    </row>
    <row r="59">
      <c r="A59" t="inlineStr">
        <is>
          <t>54</t>
        </is>
      </c>
      <c r="B59" t="inlineStr">
        <is>
          <t>7628879800</t>
        </is>
      </c>
      <c r="C59" t="inlineStr">
        <is>
          <t>2025-12-28 20:53:04</t>
        </is>
      </c>
      <c r="D59" t="inlineStr">
        <is>
          <t>52</t>
        </is>
      </c>
      <c r="E59" t="inlineStr">
        <is>
          <t>Baba Yaga Art Of Chinese - By Posh Foods</t>
        </is>
      </c>
      <c r="F59" t="inlineStr">
        <is>
          <t>20037890</t>
        </is>
      </c>
      <c r="G59" t="inlineStr">
        <is>
          <t>Flat ₹100 off (2025-12-05 - 2031-01-01)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9</t>
        </is>
      </c>
      <c r="O59" t="n">
        <v>319</v>
      </c>
      <c r="P59" t="n">
        <v>0</v>
      </c>
      <c r="Q59" t="n">
        <v>0</v>
      </c>
      <c r="R59" t="n">
        <v>100</v>
      </c>
      <c r="S59" t="n">
        <v>21.9</v>
      </c>
      <c r="T59" t="n">
        <v>0</v>
      </c>
      <c r="U59" t="n">
        <v>0</v>
      </c>
      <c r="V59" t="n">
        <v>9.859999999999999</v>
      </c>
      <c r="W59" t="n">
        <v>206.96</v>
      </c>
      <c r="X59" t="n">
        <v>197.1</v>
      </c>
      <c r="Y59" t="n">
        <v>0</v>
      </c>
      <c r="Z59" t="n">
        <v>0</v>
      </c>
      <c r="AA59" t="n">
        <v>197.1</v>
      </c>
      <c r="AB59" t="n">
        <v>23</v>
      </c>
      <c r="AC59" t="n">
        <v>45.33</v>
      </c>
      <c r="AD59" t="n">
        <v>1.68</v>
      </c>
      <c r="AE59" t="n">
        <v>0</v>
      </c>
      <c r="AF59" t="n">
        <v>0</v>
      </c>
      <c r="AG59" t="n">
        <v>0</v>
      </c>
      <c r="AH59" t="n">
        <v>3.81</v>
      </c>
      <c r="AI59" t="n">
        <v>49.14</v>
      </c>
      <c r="AJ59" t="n">
        <v>8.85</v>
      </c>
      <c r="AK59" t="n">
        <v>0</v>
      </c>
      <c r="AL59" t="n">
        <v>197.1</v>
      </c>
      <c r="AM59" t="n">
        <v>0</v>
      </c>
      <c r="AN59" t="n">
        <v>0</v>
      </c>
      <c r="AO59" t="n">
        <v>0.2</v>
      </c>
      <c r="AP59" t="n">
        <v>9.859999999999999</v>
      </c>
      <c r="AQ59" t="n">
        <v>0</v>
      </c>
      <c r="AR59" t="n">
        <v>18.91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68.05</v>
      </c>
      <c r="BC59" t="n">
        <v>0</v>
      </c>
      <c r="BD59" t="n">
        <v>138.91</v>
      </c>
      <c r="BE59" t="inlineStr">
        <is>
          <t>settled</t>
        </is>
      </c>
      <c r="BF59" t="inlineStr">
        <is>
          <t>2025-12-31 05:30:00</t>
        </is>
      </c>
      <c r="BG59" t="inlineStr">
        <is>
          <t>CITIN25679949578</t>
        </is>
      </c>
      <c r="BH59" t="n">
        <v>0</v>
      </c>
      <c r="BI59" t="inlineStr">
        <is>
          <t>66a6314a463e7b4af221617d953a8f9865edad5ff267abf258447b95a637b781</t>
        </is>
      </c>
    </row>
    <row r="60">
      <c r="A60" t="inlineStr">
        <is>
          <t>55</t>
        </is>
      </c>
      <c r="B60" t="inlineStr">
        <is>
          <t>7628872962</t>
        </is>
      </c>
      <c r="C60" t="inlineStr">
        <is>
          <t>2025-12-28 21:55:04</t>
        </is>
      </c>
      <c r="D60" t="inlineStr">
        <is>
          <t>52</t>
        </is>
      </c>
      <c r="E60" t="inlineStr">
        <is>
          <t>Baba Yaga Art Of Chinese - By Posh Foods</t>
        </is>
      </c>
      <c r="F60" t="inlineStr">
        <is>
          <t>20037890</t>
        </is>
      </c>
      <c r="G60" t="inlineStr">
        <is>
          <t>Flat ₹100 off (2025-12-21 - 2031-01-01)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9</t>
        </is>
      </c>
      <c r="O60" t="n">
        <v>265</v>
      </c>
      <c r="P60" t="n">
        <v>0</v>
      </c>
      <c r="Q60" t="n">
        <v>0</v>
      </c>
      <c r="R60" t="n">
        <v>70</v>
      </c>
      <c r="S60" t="n">
        <v>0</v>
      </c>
      <c r="T60" t="n">
        <v>0</v>
      </c>
      <c r="U60" t="n">
        <v>0</v>
      </c>
      <c r="V60" t="n">
        <v>9.75</v>
      </c>
      <c r="W60" t="n">
        <v>204.75</v>
      </c>
      <c r="X60" t="n">
        <v>195</v>
      </c>
      <c r="Y60" t="n">
        <v>0</v>
      </c>
      <c r="Z60" t="n">
        <v>0</v>
      </c>
      <c r="AA60" t="n">
        <v>195</v>
      </c>
      <c r="AB60" t="n">
        <v>23</v>
      </c>
      <c r="AC60" t="n">
        <v>44.85</v>
      </c>
      <c r="AD60" t="n">
        <v>3.74</v>
      </c>
      <c r="AE60" t="n">
        <v>0</v>
      </c>
      <c r="AF60" t="n">
        <v>0</v>
      </c>
      <c r="AG60" t="n">
        <v>0</v>
      </c>
      <c r="AH60" t="n">
        <v>3.77</v>
      </c>
      <c r="AI60" t="n">
        <v>48.62</v>
      </c>
      <c r="AJ60" t="n">
        <v>8.75</v>
      </c>
      <c r="AK60" t="n">
        <v>0</v>
      </c>
      <c r="AL60" t="n">
        <v>195</v>
      </c>
      <c r="AM60" t="n">
        <v>0</v>
      </c>
      <c r="AN60" t="n">
        <v>0</v>
      </c>
      <c r="AO60" t="n">
        <v>0.2</v>
      </c>
      <c r="AP60" t="n">
        <v>9.75</v>
      </c>
      <c r="AQ60" t="n">
        <v>0</v>
      </c>
      <c r="AR60" t="n">
        <v>18.7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67.31999999999999</v>
      </c>
      <c r="BC60" t="n">
        <v>0</v>
      </c>
      <c r="BD60" t="n">
        <v>137.43</v>
      </c>
      <c r="BE60" t="inlineStr">
        <is>
          <t>settled</t>
        </is>
      </c>
      <c r="BF60" t="inlineStr">
        <is>
          <t>2025-12-31 05:30:00</t>
        </is>
      </c>
      <c r="BG60" t="inlineStr">
        <is>
          <t>CITIN25679949578</t>
        </is>
      </c>
      <c r="BH60" t="n">
        <v>0</v>
      </c>
      <c r="BI60" t="inlineStr">
        <is>
          <t>cfcc4680690e2ba5d40e6be820323a7c7b6e976f05d99a1516e3dd53c827821e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ADS</t>
        </is>
      </c>
      <c r="C7" t="inlineStr"/>
      <c r="D7" t="inlineStr">
        <is>
          <t>31889184</t>
        </is>
      </c>
      <c r="E7" t="inlineStr">
        <is>
          <t>2025-12-31 05:30:00,2025-12-31 05:30:00</t>
        </is>
      </c>
      <c r="F7" t="inlineStr">
        <is>
          <t>settled</t>
        </is>
      </c>
      <c r="G7" t="n">
        <v>262.33</v>
      </c>
      <c r="H7" t="n">
        <v>262.33</v>
      </c>
      <c r="I7" t="n">
        <v>0</v>
      </c>
    </row>
    <row r="8">
      <c r="B8" t="inlineStr">
        <is>
          <t>Total Additions</t>
        </is>
      </c>
      <c r="C8" t="inlineStr"/>
      <c r="D8" t="inlineStr"/>
      <c r="E8" t="inlineStr"/>
      <c r="F8" t="inlineStr"/>
      <c r="G8" t="n">
        <v>262.33</v>
      </c>
      <c r="H8" t="n">
        <v>262.33</v>
      </c>
      <c r="I8" t="n">
        <v>0</v>
      </c>
    </row>
    <row r="9"/>
    <row r="10"/>
    <row r="11">
      <c r="B11" t="inlineStr">
        <is>
          <t>Deduction Type</t>
        </is>
      </c>
    </row>
    <row r="12">
      <c r="B12" t="inlineStr">
        <is>
          <t>A) Investments in growth services</t>
        </is>
      </c>
    </row>
    <row r="13">
      <c r="B13" t="inlineStr">
        <is>
          <t>Type</t>
        </is>
      </c>
      <c r="C13" t="inlineStr">
        <is>
          <t>Res id for which deduction created</t>
        </is>
      </c>
      <c r="D13" t="inlineStr">
        <is>
          <t>Invoice No/Campaign id</t>
        </is>
      </c>
      <c r="E13" t="inlineStr">
        <is>
          <t>Deduction time period</t>
        </is>
      </c>
      <c r="F13" t="inlineStr">
        <is>
          <t>Settlement Status</t>
        </is>
      </c>
      <c r="G13" t="inlineStr">
        <is>
          <t>Total amount</t>
        </is>
      </c>
      <c r="H13" t="inlineStr">
        <is>
          <t>Adjusted amount</t>
        </is>
      </c>
      <c r="I13" t="inlineStr">
        <is>
          <t>Outstanding amount</t>
        </is>
      </c>
    </row>
    <row r="14">
      <c r="B14" t="inlineStr">
        <is>
          <t>ADS</t>
        </is>
      </c>
      <c r="C14" t="inlineStr">
        <is>
          <t>20037890</t>
        </is>
      </c>
      <c r="D14" t="inlineStr">
        <is>
          <t>32022906</t>
        </is>
      </c>
      <c r="E14" t="inlineStr">
        <is>
          <t>22 December 25 - 28 December 25</t>
        </is>
      </c>
      <c r="F14" t="inlineStr">
        <is>
          <t>settled</t>
        </is>
      </c>
      <c r="G14" t="n">
        <v>3520.53</v>
      </c>
      <c r="H14" t="n">
        <v>3520.53</v>
      </c>
      <c r="I14" t="n">
        <v>0</v>
      </c>
    </row>
    <row r="15">
      <c r="B15" t="inlineStr">
        <is>
          <t>ADS</t>
        </is>
      </c>
      <c r="C15" t="inlineStr">
        <is>
          <t>19428127</t>
        </is>
      </c>
      <c r="D15" t="inlineStr">
        <is>
          <t>31786453</t>
        </is>
      </c>
      <c r="E15" t="inlineStr">
        <is>
          <t>27 December 25 - 27 December 25</t>
        </is>
      </c>
      <c r="F15" t="inlineStr">
        <is>
          <t>settled</t>
        </is>
      </c>
      <c r="G15" t="n">
        <v>43.62</v>
      </c>
      <c r="H15" t="n">
        <v>43.62</v>
      </c>
      <c r="I15" t="n">
        <v>0</v>
      </c>
    </row>
    <row r="16">
      <c r="B16" t="inlineStr">
        <is>
          <t>ADS</t>
        </is>
      </c>
      <c r="C16" t="inlineStr">
        <is>
          <t>20037890</t>
        </is>
      </c>
      <c r="D16" t="inlineStr">
        <is>
          <t>32794593</t>
        </is>
      </c>
      <c r="E16" t="inlineStr">
        <is>
          <t>27 December 25 - 28 December 25</t>
        </is>
      </c>
      <c r="F16" t="inlineStr">
        <is>
          <t>settled</t>
        </is>
      </c>
      <c r="G16" t="n">
        <v>1162.89</v>
      </c>
      <c r="H16" t="n">
        <v>1162.89</v>
      </c>
      <c r="I16" t="n">
        <v>0</v>
      </c>
    </row>
    <row r="17">
      <c r="B17" t="inlineStr">
        <is>
          <t>ADS</t>
        </is>
      </c>
      <c r="C17" t="inlineStr">
        <is>
          <t>20037890</t>
        </is>
      </c>
      <c r="D17" t="inlineStr">
        <is>
          <t>31800113</t>
        </is>
      </c>
      <c r="E17" t="inlineStr">
        <is>
          <t>22 December 25 - 26 December 25</t>
        </is>
      </c>
      <c r="F17" t="inlineStr">
        <is>
          <t>settled</t>
        </is>
      </c>
      <c r="G17" t="n">
        <v>2485.08</v>
      </c>
      <c r="H17" t="n">
        <v>2485.08</v>
      </c>
      <c r="I17" t="n">
        <v>0</v>
      </c>
    </row>
    <row r="18">
      <c r="B18" t="inlineStr">
        <is>
          <t>ADS</t>
        </is>
      </c>
      <c r="C18" t="inlineStr">
        <is>
          <t>21552679</t>
        </is>
      </c>
      <c r="D18" t="inlineStr">
        <is>
          <t>31786480</t>
        </is>
      </c>
      <c r="E18" t="inlineStr">
        <is>
          <t>25 December 25 - 25 December 25</t>
        </is>
      </c>
      <c r="F18" t="inlineStr">
        <is>
          <t>settled</t>
        </is>
      </c>
      <c r="G18" t="n">
        <v>10.62</v>
      </c>
      <c r="H18" t="n">
        <v>10.62</v>
      </c>
      <c r="I18" t="n">
        <v>0</v>
      </c>
    </row>
    <row r="19">
      <c r="B19" t="inlineStr">
        <is>
          <t>ADS</t>
        </is>
      </c>
      <c r="C19" t="inlineStr">
        <is>
          <t>19435527</t>
        </is>
      </c>
      <c r="D19" t="inlineStr">
        <is>
          <t>31800060</t>
        </is>
      </c>
      <c r="E19" t="inlineStr">
        <is>
          <t>22 December 25 - 22 December 25</t>
        </is>
      </c>
      <c r="F19" t="inlineStr">
        <is>
          <t>settled</t>
        </is>
      </c>
      <c r="G19" t="n">
        <v>174.4</v>
      </c>
      <c r="H19" t="n">
        <v>174.4</v>
      </c>
      <c r="I19" t="n">
        <v>0</v>
      </c>
    </row>
    <row r="20">
      <c r="B20" t="inlineStr">
        <is>
          <t>Total Ads &amp; miscellaneous services</t>
        </is>
      </c>
      <c r="G20" t="n">
        <v>7397.14</v>
      </c>
      <c r="H20" t="n">
        <v>7397.14</v>
      </c>
      <c r="I20" t="n">
        <v>0</v>
      </c>
    </row>
    <row r="21"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B22" t="inlineStr">
        <is>
          <t>B) Investments in Hyperpure</t>
        </is>
      </c>
    </row>
    <row r="23">
      <c r="B23" t="inlineStr">
        <is>
          <t>Type</t>
        </is>
      </c>
      <c r="C23" t="inlineStr">
        <is>
          <t>Res id for which deduction created</t>
        </is>
      </c>
      <c r="D23" t="inlineStr">
        <is>
          <t>OrderId</t>
        </is>
      </c>
      <c r="E23" t="inlineStr">
        <is>
          <t>Deduction time period</t>
        </is>
      </c>
      <c r="F23" t="inlineStr">
        <is>
          <t>Settlement Status</t>
        </is>
      </c>
      <c r="G23" t="inlineStr">
        <is>
          <t>Total amount</t>
        </is>
      </c>
      <c r="H23" t="inlineStr">
        <is>
          <t>Adjusted amount</t>
        </is>
      </c>
      <c r="I23" t="inlineStr">
        <is>
          <t>Outstanding amount</t>
        </is>
      </c>
    </row>
    <row r="24">
      <c r="B24" t="inlineStr">
        <is>
          <t>Total Hyperpure</t>
        </is>
      </c>
      <c r="G24" t="n">
        <v>0</v>
      </c>
      <c r="H24" t="n">
        <v>0</v>
      </c>
      <c r="I24" t="n">
        <v>0</v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B26" t="inlineStr">
        <is>
          <t>C) Other deductions</t>
        </is>
      </c>
    </row>
    <row r="27">
      <c r="B27" t="inlineStr">
        <is>
          <t>D) Adjustments from previous weeks</t>
        </is>
      </c>
    </row>
    <row r="28">
      <c r="B28" t="inlineStr">
        <is>
          <t>Total Deductions (A) + (B) + (C)</t>
        </is>
      </c>
      <c r="C28" t="inlineStr"/>
      <c r="D28" t="inlineStr"/>
      <c r="E28" t="inlineStr"/>
      <c r="F28" t="inlineStr"/>
      <c r="G28" t="n">
        <v>7397.14</v>
      </c>
      <c r="H28" t="n">
        <v>7397.14</v>
      </c>
      <c r="I2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22047</v>
      </c>
      <c r="P2" t="n">
        <v>0</v>
      </c>
      <c r="Q2" t="n">
        <v>0</v>
      </c>
      <c r="R2" t="n">
        <v>4689</v>
      </c>
      <c r="S2" t="n">
        <v>1419.9</v>
      </c>
      <c r="T2" t="n">
        <v>0</v>
      </c>
      <c r="U2" t="n">
        <v>0</v>
      </c>
      <c r="V2" t="n">
        <v>796.9899999999999</v>
      </c>
      <c r="W2" t="n">
        <v>16735.09</v>
      </c>
      <c r="X2" t="n">
        <v>15938.1</v>
      </c>
      <c r="Y2" t="n">
        <v>0</v>
      </c>
      <c r="Z2" t="n">
        <v>0</v>
      </c>
      <c r="AA2" t="n">
        <v>15938.1</v>
      </c>
      <c r="AB2" t="n">
        <v>828</v>
      </c>
      <c r="AC2" t="n">
        <v>3665.73</v>
      </c>
      <c r="AD2" t="n">
        <v>122.56</v>
      </c>
      <c r="AE2" t="n">
        <v>280</v>
      </c>
      <c r="AF2" t="n">
        <v>0</v>
      </c>
      <c r="AG2" t="n">
        <v>73.7</v>
      </c>
      <c r="AH2" t="n">
        <v>307.9400000000001</v>
      </c>
      <c r="AI2" t="n">
        <v>4179.969999999999</v>
      </c>
      <c r="AJ2" t="n">
        <v>752.4000000000002</v>
      </c>
      <c r="AK2" t="n">
        <v>0</v>
      </c>
      <c r="AL2" t="n">
        <v>15938.1</v>
      </c>
      <c r="AM2" t="n">
        <v>0</v>
      </c>
      <c r="AN2" t="n">
        <v>0</v>
      </c>
      <c r="AO2" t="n">
        <v>15.96</v>
      </c>
      <c r="AP2" t="n">
        <v>796.9399999999999</v>
      </c>
      <c r="AQ2" t="n">
        <v>0.05</v>
      </c>
      <c r="AR2" t="n">
        <v>1565.3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706.1199999999999</v>
      </c>
      <c r="AY2" t="n">
        <v>0</v>
      </c>
      <c r="AZ2" t="n">
        <v>0</v>
      </c>
      <c r="BA2" t="n">
        <v>706.1199999999999</v>
      </c>
      <c r="BB2" t="n">
        <v>6451.389999999999</v>
      </c>
      <c r="BC2" t="n">
        <v>0</v>
      </c>
      <c r="BD2" t="n">
        <v>10283.7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26015.46</v>
      </c>
      <c r="P3" t="n">
        <v>0</v>
      </c>
      <c r="Q3" t="n">
        <v>0</v>
      </c>
      <c r="R3" t="n">
        <v>5533.02</v>
      </c>
      <c r="S3" t="n">
        <v>1675.482</v>
      </c>
      <c r="T3" t="n">
        <v>0</v>
      </c>
      <c r="U3" t="n">
        <v>0</v>
      </c>
      <c r="V3" t="n">
        <v>940.4481999999998</v>
      </c>
      <c r="W3" t="n">
        <v>19747.40619999999</v>
      </c>
      <c r="X3" t="n">
        <v>18806.958</v>
      </c>
      <c r="Y3" t="n">
        <v>0</v>
      </c>
      <c r="Z3" t="n">
        <v>0</v>
      </c>
      <c r="AA3" t="n">
        <v>18806.958</v>
      </c>
      <c r="AB3" t="n">
        <v>977.04</v>
      </c>
      <c r="AC3" t="n">
        <v>4325.561400000001</v>
      </c>
      <c r="AD3" t="n">
        <v>144.6208</v>
      </c>
      <c r="AE3" t="n">
        <v>330.4</v>
      </c>
      <c r="AF3" t="n">
        <v>0</v>
      </c>
      <c r="AG3" t="n">
        <v>86.96599999999999</v>
      </c>
      <c r="AH3" t="n">
        <v>363.3692</v>
      </c>
      <c r="AI3" t="n">
        <v>4932.364599999999</v>
      </c>
      <c r="AJ3" t="n">
        <v>887.8320000000002</v>
      </c>
      <c r="AK3" t="n">
        <v>0</v>
      </c>
      <c r="AL3" t="n">
        <v>18806.958</v>
      </c>
      <c r="AM3" t="n">
        <v>0</v>
      </c>
      <c r="AN3" t="n">
        <v>0</v>
      </c>
      <c r="AO3" t="n">
        <v>18.8328</v>
      </c>
      <c r="AP3" t="n">
        <v>940.3891999999998</v>
      </c>
      <c r="AQ3" t="n">
        <v>0.059</v>
      </c>
      <c r="AR3" t="n">
        <v>1847.054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833.2215999999999</v>
      </c>
      <c r="AY3" t="n">
        <v>0</v>
      </c>
      <c r="AZ3" t="n">
        <v>0</v>
      </c>
      <c r="BA3" t="n">
        <v>833.2215999999999</v>
      </c>
      <c r="BB3" t="n">
        <v>7612.640199999999</v>
      </c>
      <c r="BC3" t="n">
        <v>0</v>
      </c>
      <c r="BD3" t="n">
        <v>12134.766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22047</v>
      </c>
      <c r="P4" t="n">
        <v>0</v>
      </c>
      <c r="Q4" t="n">
        <v>0</v>
      </c>
      <c r="R4" t="n">
        <v>4689</v>
      </c>
      <c r="S4" t="n">
        <v>1419.9</v>
      </c>
      <c r="T4" t="n">
        <v>0</v>
      </c>
      <c r="U4" t="n">
        <v>0</v>
      </c>
      <c r="V4" t="n">
        <v>796.9899999999999</v>
      </c>
      <c r="W4" t="n">
        <v>16735.09</v>
      </c>
      <c r="X4" t="n">
        <v>15938.1</v>
      </c>
      <c r="Y4" t="n">
        <v>0</v>
      </c>
      <c r="Z4" t="n">
        <v>0</v>
      </c>
      <c r="AA4" t="n">
        <v>15938.1</v>
      </c>
      <c r="AB4" t="n">
        <v>828</v>
      </c>
      <c r="AC4" t="n">
        <v>3665.73</v>
      </c>
      <c r="AD4" t="n">
        <v>122.56</v>
      </c>
      <c r="AE4" t="n">
        <v>280</v>
      </c>
      <c r="AF4" t="n">
        <v>0</v>
      </c>
      <c r="AG4" t="n">
        <v>73.7</v>
      </c>
      <c r="AH4" t="n">
        <v>307.9400000000001</v>
      </c>
      <c r="AI4" t="n">
        <v>4179.969999999999</v>
      </c>
      <c r="AJ4" t="n">
        <v>752.4000000000002</v>
      </c>
      <c r="AK4" t="n">
        <v>0</v>
      </c>
      <c r="AL4" t="n">
        <v>15938.1</v>
      </c>
      <c r="AM4" t="n">
        <v>0</v>
      </c>
      <c r="AN4" t="n">
        <v>0</v>
      </c>
      <c r="AO4" t="n">
        <v>15.96</v>
      </c>
      <c r="AP4" t="n">
        <v>796.9399999999999</v>
      </c>
      <c r="AQ4" t="n">
        <v>0.05</v>
      </c>
      <c r="AR4" t="n">
        <v>1565.3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706.1199999999999</v>
      </c>
      <c r="AY4" t="n">
        <v>0</v>
      </c>
      <c r="AZ4" t="n">
        <v>0</v>
      </c>
      <c r="BA4" t="n">
        <v>706.1199999999999</v>
      </c>
      <c r="BB4" t="n">
        <v>6451.389999999999</v>
      </c>
      <c r="BC4" t="n">
        <v>0</v>
      </c>
      <c r="BD4" t="n">
        <v>10283.7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7633410695</t>
        </is>
      </c>
      <c r="C6" t="inlineStr">
        <is>
          <t>2025-12-29 20:15:23</t>
        </is>
      </c>
      <c r="D6" t="inlineStr">
        <is>
          <t>1</t>
        </is>
      </c>
      <c r="E6" t="inlineStr">
        <is>
          <t>Baba Yaga Art Of Chinese - By Posh Foods</t>
        </is>
      </c>
      <c r="F6" t="inlineStr">
        <is>
          <t>20037890</t>
        </is>
      </c>
      <c r="G6" t="inlineStr">
        <is>
          <t>NA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9</t>
        </is>
      </c>
      <c r="O6" t="n">
        <v>315</v>
      </c>
      <c r="P6" t="n">
        <v>0</v>
      </c>
      <c r="Q6" t="n">
        <v>0</v>
      </c>
      <c r="R6" t="n">
        <v>0</v>
      </c>
      <c r="S6" t="n">
        <v>31.5</v>
      </c>
      <c r="T6" t="n">
        <v>0</v>
      </c>
      <c r="U6" t="n">
        <v>0</v>
      </c>
      <c r="V6" t="n">
        <v>14.18</v>
      </c>
      <c r="W6" t="n">
        <v>297.68</v>
      </c>
      <c r="X6" t="n">
        <v>283.5</v>
      </c>
      <c r="Y6" t="n">
        <v>0</v>
      </c>
      <c r="Z6" t="n">
        <v>0</v>
      </c>
      <c r="AA6" t="n">
        <v>283.5</v>
      </c>
      <c r="AB6" t="n">
        <v>23</v>
      </c>
      <c r="AC6" t="n">
        <v>65.2</v>
      </c>
      <c r="AD6" t="n">
        <v>6.37</v>
      </c>
      <c r="AE6" t="n">
        <v>40</v>
      </c>
      <c r="AF6" t="n">
        <v>0</v>
      </c>
      <c r="AG6" t="n">
        <v>20.15</v>
      </c>
      <c r="AH6" t="n">
        <v>5.48</v>
      </c>
      <c r="AI6" t="n">
        <v>90.53</v>
      </c>
      <c r="AJ6" t="n">
        <v>16.3</v>
      </c>
      <c r="AK6" t="n">
        <v>0</v>
      </c>
      <c r="AL6" t="n">
        <v>283.5</v>
      </c>
      <c r="AM6" t="n">
        <v>0</v>
      </c>
      <c r="AN6" t="n">
        <v>0</v>
      </c>
      <c r="AO6" t="n">
        <v>0.28</v>
      </c>
      <c r="AP6" t="n">
        <v>14.18</v>
      </c>
      <c r="AQ6" t="n">
        <v>0</v>
      </c>
      <c r="AR6" t="n">
        <v>30.76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121.29</v>
      </c>
      <c r="BC6" t="n">
        <v>0</v>
      </c>
      <c r="BD6" t="n">
        <v>176.39</v>
      </c>
      <c r="BE6" t="inlineStr">
        <is>
          <t>settled</t>
        </is>
      </c>
      <c r="BF6" t="inlineStr">
        <is>
          <t>2026-01-07 05:30:00</t>
        </is>
      </c>
      <c r="BG6" t="inlineStr">
        <is>
          <t>CITIN26602517885</t>
        </is>
      </c>
      <c r="BH6" t="n">
        <v>0</v>
      </c>
      <c r="BI6" t="inlineStr">
        <is>
          <t>ec2e8de8a505621dd47bd6e71df50ae338512bae742e6fe00598e3cdddb67dcf</t>
        </is>
      </c>
    </row>
    <row r="7">
      <c r="A7" t="inlineStr">
        <is>
          <t>2</t>
        </is>
      </c>
      <c r="B7" t="inlineStr">
        <is>
          <t>7625300945</t>
        </is>
      </c>
      <c r="C7" t="inlineStr">
        <is>
          <t>2025-12-29 20:32:15</t>
        </is>
      </c>
      <c r="D7" t="inlineStr">
        <is>
          <t>1</t>
        </is>
      </c>
      <c r="E7" t="inlineStr">
        <is>
          <t>Baba Yaga Art Of Chinese - By Posh Foods</t>
        </is>
      </c>
      <c r="F7" t="inlineStr">
        <is>
          <t>20037890</t>
        </is>
      </c>
      <c r="G7" t="inlineStr">
        <is>
          <t>Flat ₹150 off (2025-12-21 - 2031-01-01)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9</t>
        </is>
      </c>
      <c r="O7" t="n">
        <v>734</v>
      </c>
      <c r="P7" t="n">
        <v>0</v>
      </c>
      <c r="Q7" t="n">
        <v>0</v>
      </c>
      <c r="R7" t="n">
        <v>150</v>
      </c>
      <c r="S7" t="n">
        <v>58.4</v>
      </c>
      <c r="T7" t="n">
        <v>0</v>
      </c>
      <c r="U7" t="n">
        <v>0</v>
      </c>
      <c r="V7" t="n">
        <v>26.28</v>
      </c>
      <c r="W7" t="n">
        <v>551.88</v>
      </c>
      <c r="X7" t="n">
        <v>525.6</v>
      </c>
      <c r="Y7" t="n">
        <v>0</v>
      </c>
      <c r="Z7" t="n">
        <v>0</v>
      </c>
      <c r="AA7" t="n">
        <v>525.6</v>
      </c>
      <c r="AB7" t="n">
        <v>23</v>
      </c>
      <c r="AC7" t="n">
        <v>120.89</v>
      </c>
      <c r="AD7" t="n">
        <v>1.77</v>
      </c>
      <c r="AE7" t="n">
        <v>0</v>
      </c>
      <c r="AF7" t="n">
        <v>0</v>
      </c>
      <c r="AG7" t="n">
        <v>0</v>
      </c>
      <c r="AH7" t="n">
        <v>10.15</v>
      </c>
      <c r="AI7" t="n">
        <v>131.04</v>
      </c>
      <c r="AJ7" t="n">
        <v>23.59</v>
      </c>
      <c r="AK7" t="n">
        <v>0</v>
      </c>
      <c r="AL7" t="n">
        <v>525.6</v>
      </c>
      <c r="AM7" t="n">
        <v>0</v>
      </c>
      <c r="AN7" t="n">
        <v>0</v>
      </c>
      <c r="AO7" t="n">
        <v>0.53</v>
      </c>
      <c r="AP7" t="n">
        <v>26.28</v>
      </c>
      <c r="AQ7" t="n">
        <v>0</v>
      </c>
      <c r="AR7" t="n">
        <v>50.4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181.44</v>
      </c>
      <c r="BC7" t="n">
        <v>0</v>
      </c>
      <c r="BD7" t="n">
        <v>370.44</v>
      </c>
      <c r="BE7" t="inlineStr">
        <is>
          <t>settled</t>
        </is>
      </c>
      <c r="BF7" t="inlineStr">
        <is>
          <t>2026-01-07 05:30:00</t>
        </is>
      </c>
      <c r="BG7" t="inlineStr">
        <is>
          <t>CITIN26602517885</t>
        </is>
      </c>
      <c r="BH7" t="n">
        <v>0</v>
      </c>
      <c r="BI7" t="inlineStr">
        <is>
          <t>bc4653378f5d667ad666b77055357bacff3756d61f48c8403dc5951ccf699ee8</t>
        </is>
      </c>
    </row>
    <row r="8">
      <c r="A8" t="inlineStr">
        <is>
          <t>3</t>
        </is>
      </c>
      <c r="B8" t="inlineStr">
        <is>
          <t>7632524169</t>
        </is>
      </c>
      <c r="C8" t="inlineStr">
        <is>
          <t>2025-12-29 20:58:21</t>
        </is>
      </c>
      <c r="D8" t="inlineStr">
        <is>
          <t>1</t>
        </is>
      </c>
      <c r="E8" t="inlineStr">
        <is>
          <t>Baba Yaga Art Of Chinese - By Posh Foods</t>
        </is>
      </c>
      <c r="F8" t="inlineStr">
        <is>
          <t>20037890</t>
        </is>
      </c>
      <c r="G8" t="inlineStr">
        <is>
          <t>Flat ₹100 off (2025-12-21 - 2031-01-01)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9</t>
        </is>
      </c>
      <c r="O8" t="n">
        <v>365</v>
      </c>
      <c r="P8" t="n">
        <v>0</v>
      </c>
      <c r="Q8" t="n">
        <v>0</v>
      </c>
      <c r="R8" t="n">
        <v>70</v>
      </c>
      <c r="S8" t="n">
        <v>26.5</v>
      </c>
      <c r="T8" t="n">
        <v>0</v>
      </c>
      <c r="U8" t="n">
        <v>0</v>
      </c>
      <c r="V8" t="n">
        <v>13.43</v>
      </c>
      <c r="W8" t="n">
        <v>281.93</v>
      </c>
      <c r="X8" t="n">
        <v>268.5</v>
      </c>
      <c r="Y8" t="n">
        <v>0</v>
      </c>
      <c r="Z8" t="n">
        <v>0</v>
      </c>
      <c r="AA8" t="n">
        <v>268.5</v>
      </c>
      <c r="AB8" t="n">
        <v>23</v>
      </c>
      <c r="AC8" t="n">
        <v>61.76</v>
      </c>
      <c r="AD8" t="n">
        <v>5.03</v>
      </c>
      <c r="AE8" t="n">
        <v>20</v>
      </c>
      <c r="AF8" t="n">
        <v>0</v>
      </c>
      <c r="AG8" t="n">
        <v>1.21</v>
      </c>
      <c r="AH8" t="n">
        <v>5.19</v>
      </c>
      <c r="AI8" t="n">
        <v>85.73999999999999</v>
      </c>
      <c r="AJ8" t="n">
        <v>15.43</v>
      </c>
      <c r="AK8" t="n">
        <v>0</v>
      </c>
      <c r="AL8" t="n">
        <v>268.5</v>
      </c>
      <c r="AM8" t="n">
        <v>0</v>
      </c>
      <c r="AN8" t="n">
        <v>0</v>
      </c>
      <c r="AO8" t="n">
        <v>0.27</v>
      </c>
      <c r="AP8" t="n">
        <v>13.43</v>
      </c>
      <c r="AQ8" t="n">
        <v>0</v>
      </c>
      <c r="AR8" t="n">
        <v>29.13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114.87</v>
      </c>
      <c r="BC8" t="n">
        <v>0</v>
      </c>
      <c r="BD8" t="n">
        <v>167.06</v>
      </c>
      <c r="BE8" t="inlineStr">
        <is>
          <t>settled</t>
        </is>
      </c>
      <c r="BF8" t="inlineStr">
        <is>
          <t>2026-01-07 05:30:00</t>
        </is>
      </c>
      <c r="BG8" t="inlineStr">
        <is>
          <t>CITIN26602517885</t>
        </is>
      </c>
      <c r="BH8" t="n">
        <v>0</v>
      </c>
      <c r="BI8" t="inlineStr">
        <is>
          <t>c057c9ec17a768eaf55a7830d5fe9aafe9ddd3fdf1e70eaf0d2104d11960e318</t>
        </is>
      </c>
    </row>
    <row r="9">
      <c r="A9" t="inlineStr">
        <is>
          <t>4</t>
        </is>
      </c>
      <c r="B9" t="inlineStr">
        <is>
          <t>7625984783</t>
        </is>
      </c>
      <c r="C9" t="inlineStr">
        <is>
          <t>2025-12-29 21:48:58</t>
        </is>
      </c>
      <c r="D9" t="inlineStr">
        <is>
          <t>1</t>
        </is>
      </c>
      <c r="E9" t="inlineStr">
        <is>
          <t>Baba Yaga Art Of Chinese - By Posh Foods</t>
        </is>
      </c>
      <c r="F9" t="inlineStr">
        <is>
          <t>20037890</t>
        </is>
      </c>
      <c r="G9" t="inlineStr">
        <is>
          <t>Flat ₹300 off (2025-12-22 - 2031-01-01)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9</t>
        </is>
      </c>
      <c r="O9" t="n">
        <v>1209</v>
      </c>
      <c r="P9" t="n">
        <v>0</v>
      </c>
      <c r="Q9" t="n">
        <v>0</v>
      </c>
      <c r="R9" t="n">
        <v>240</v>
      </c>
      <c r="S9" t="n">
        <v>90.90000000000001</v>
      </c>
      <c r="T9" t="n">
        <v>0</v>
      </c>
      <c r="U9" t="n">
        <v>0</v>
      </c>
      <c r="V9" t="n">
        <v>43.91</v>
      </c>
      <c r="W9" t="n">
        <v>922.01</v>
      </c>
      <c r="X9" t="n">
        <v>878.1</v>
      </c>
      <c r="Y9" t="n">
        <v>0</v>
      </c>
      <c r="Z9" t="n">
        <v>0</v>
      </c>
      <c r="AA9" t="n">
        <v>878.1</v>
      </c>
      <c r="AB9" t="n">
        <v>23</v>
      </c>
      <c r="AC9" t="n">
        <v>201.96</v>
      </c>
      <c r="AD9" t="n">
        <v>3.43</v>
      </c>
      <c r="AE9" t="n">
        <v>0</v>
      </c>
      <c r="AF9" t="n">
        <v>0</v>
      </c>
      <c r="AG9" t="n">
        <v>0</v>
      </c>
      <c r="AH9" t="n">
        <v>16.96</v>
      </c>
      <c r="AI9" t="n">
        <v>218.92</v>
      </c>
      <c r="AJ9" t="n">
        <v>39.4</v>
      </c>
      <c r="AK9" t="n">
        <v>0</v>
      </c>
      <c r="AL9" t="n">
        <v>878.1</v>
      </c>
      <c r="AM9" t="n">
        <v>0</v>
      </c>
      <c r="AN9" t="n">
        <v>0</v>
      </c>
      <c r="AO9" t="n">
        <v>0.88</v>
      </c>
      <c r="AP9" t="n">
        <v>43.91</v>
      </c>
      <c r="AQ9" t="n">
        <v>0</v>
      </c>
      <c r="AR9" t="n">
        <v>84.19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303.11</v>
      </c>
      <c r="BC9" t="n">
        <v>0</v>
      </c>
      <c r="BD9" t="n">
        <v>618.9</v>
      </c>
      <c r="BE9" t="inlineStr">
        <is>
          <t>settled</t>
        </is>
      </c>
      <c r="BF9" t="inlineStr">
        <is>
          <t>2026-01-07 05:30:00</t>
        </is>
      </c>
      <c r="BG9" t="inlineStr">
        <is>
          <t>CITIN26602517885</t>
        </is>
      </c>
      <c r="BH9" t="n">
        <v>0</v>
      </c>
      <c r="BI9" t="inlineStr">
        <is>
          <t>d4f21ec7b77568086b9f98cdab8b44009998a6f78682e55c60ff2c10b5009691</t>
        </is>
      </c>
    </row>
    <row r="10">
      <c r="A10" t="inlineStr">
        <is>
          <t>5</t>
        </is>
      </c>
      <c r="B10" t="inlineStr">
        <is>
          <t>7634608830</t>
        </is>
      </c>
      <c r="C10" t="inlineStr">
        <is>
          <t>2025-12-29 22:31:36</t>
        </is>
      </c>
      <c r="D10" t="inlineStr">
        <is>
          <t>1</t>
        </is>
      </c>
      <c r="E10" t="inlineStr">
        <is>
          <t>Baba Yaga Art Of Chinese - By Posh Foods</t>
        </is>
      </c>
      <c r="F10" t="inlineStr">
        <is>
          <t>20037890</t>
        </is>
      </c>
      <c r="G10" t="inlineStr">
        <is>
          <t>Flat ₹100 off (2025-12-21 - 2031-01-01)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9</t>
        </is>
      </c>
      <c r="O10" t="n">
        <v>335</v>
      </c>
      <c r="P10" t="n">
        <v>0</v>
      </c>
      <c r="Q10" t="n">
        <v>0</v>
      </c>
      <c r="R10" t="n">
        <v>70</v>
      </c>
      <c r="S10" t="n">
        <v>23.5</v>
      </c>
      <c r="T10" t="n">
        <v>0</v>
      </c>
      <c r="U10" t="n">
        <v>0</v>
      </c>
      <c r="V10" t="n">
        <v>12.08</v>
      </c>
      <c r="W10" t="n">
        <v>253.58</v>
      </c>
      <c r="X10" t="n">
        <v>241.5</v>
      </c>
      <c r="Y10" t="n">
        <v>0</v>
      </c>
      <c r="Z10" t="n">
        <v>0</v>
      </c>
      <c r="AA10" t="n">
        <v>241.5</v>
      </c>
      <c r="AB10" t="n">
        <v>23</v>
      </c>
      <c r="AC10" t="n">
        <v>55.54</v>
      </c>
      <c r="AD10" t="n">
        <v>2.62</v>
      </c>
      <c r="AE10" t="n">
        <v>0</v>
      </c>
      <c r="AF10" t="n">
        <v>0</v>
      </c>
      <c r="AG10" t="n">
        <v>0</v>
      </c>
      <c r="AH10" t="n">
        <v>4.67</v>
      </c>
      <c r="AI10" t="n">
        <v>60.21</v>
      </c>
      <c r="AJ10" t="n">
        <v>10.84</v>
      </c>
      <c r="AK10" t="n">
        <v>0</v>
      </c>
      <c r="AL10" t="n">
        <v>241.5</v>
      </c>
      <c r="AM10" t="n">
        <v>0</v>
      </c>
      <c r="AN10" t="n">
        <v>0</v>
      </c>
      <c r="AO10" t="n">
        <v>0.24</v>
      </c>
      <c r="AP10" t="n">
        <v>12.08</v>
      </c>
      <c r="AQ10" t="n">
        <v>0</v>
      </c>
      <c r="AR10" t="n">
        <v>23.16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83.37</v>
      </c>
      <c r="BC10" t="n">
        <v>0</v>
      </c>
      <c r="BD10" t="n">
        <v>170.21</v>
      </c>
      <c r="BE10" t="inlineStr">
        <is>
          <t>settled</t>
        </is>
      </c>
      <c r="BF10" t="inlineStr">
        <is>
          <t>2026-01-07 05:30:00</t>
        </is>
      </c>
      <c r="BG10" t="inlineStr">
        <is>
          <t>CITIN26602517885</t>
        </is>
      </c>
      <c r="BH10" t="n">
        <v>0</v>
      </c>
      <c r="BI10" t="inlineStr">
        <is>
          <t>756a3fff085a1a50265dec8d94166fbadd612dbab6386553c62ca8575261d3d1</t>
        </is>
      </c>
    </row>
    <row r="11">
      <c r="A11" t="inlineStr">
        <is>
          <t>6</t>
        </is>
      </c>
      <c r="B11" t="inlineStr">
        <is>
          <t>7634372023</t>
        </is>
      </c>
      <c r="C11" t="inlineStr">
        <is>
          <t>2025-12-29 23:12:29</t>
        </is>
      </c>
      <c r="D11" t="inlineStr">
        <is>
          <t>1</t>
        </is>
      </c>
      <c r="E11" t="inlineStr">
        <is>
          <t>Baba Yaga Art Of Chinese - By Posh Foods</t>
        </is>
      </c>
      <c r="F11" t="inlineStr">
        <is>
          <t>20037890</t>
        </is>
      </c>
      <c r="G11" t="inlineStr">
        <is>
          <t>Flat ₹125 off (2025-12-21 - 2031-01-01)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9</t>
        </is>
      </c>
      <c r="O11" t="n">
        <v>580</v>
      </c>
      <c r="P11" t="n">
        <v>0</v>
      </c>
      <c r="Q11" t="n">
        <v>0</v>
      </c>
      <c r="R11" t="n">
        <v>125</v>
      </c>
      <c r="S11" t="n">
        <v>45.5</v>
      </c>
      <c r="T11" t="n">
        <v>0</v>
      </c>
      <c r="U11" t="n">
        <v>0</v>
      </c>
      <c r="V11" t="n">
        <v>20.48</v>
      </c>
      <c r="W11" t="n">
        <v>429.98</v>
      </c>
      <c r="X11" t="n">
        <v>409.5</v>
      </c>
      <c r="Y11" t="n">
        <v>0</v>
      </c>
      <c r="Z11" t="n">
        <v>0</v>
      </c>
      <c r="AA11" t="n">
        <v>409.5</v>
      </c>
      <c r="AB11" t="n">
        <v>23</v>
      </c>
      <c r="AC11" t="n">
        <v>94.18000000000001</v>
      </c>
      <c r="AD11" t="n">
        <v>2.48</v>
      </c>
      <c r="AE11" t="n">
        <v>0</v>
      </c>
      <c r="AF11" t="n">
        <v>0</v>
      </c>
      <c r="AG11" t="n">
        <v>0</v>
      </c>
      <c r="AH11" t="n">
        <v>7.91</v>
      </c>
      <c r="AI11" t="n">
        <v>102.09</v>
      </c>
      <c r="AJ11" t="n">
        <v>18.37</v>
      </c>
      <c r="AK11" t="n">
        <v>0</v>
      </c>
      <c r="AL11" t="n">
        <v>409.5</v>
      </c>
      <c r="AM11" t="n">
        <v>0</v>
      </c>
      <c r="AN11" t="n">
        <v>0</v>
      </c>
      <c r="AO11" t="n">
        <v>0.41</v>
      </c>
      <c r="AP11" t="n">
        <v>20.47</v>
      </c>
      <c r="AQ11" t="n">
        <v>0.01</v>
      </c>
      <c r="AR11" t="n">
        <v>39.25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141.34</v>
      </c>
      <c r="BC11" t="n">
        <v>0</v>
      </c>
      <c r="BD11" t="n">
        <v>288.64</v>
      </c>
      <c r="BE11" t="inlineStr">
        <is>
          <t>settled</t>
        </is>
      </c>
      <c r="BF11" t="inlineStr">
        <is>
          <t>2026-01-07 05:30:00</t>
        </is>
      </c>
      <c r="BG11" t="inlineStr">
        <is>
          <t>CITIN26602517885</t>
        </is>
      </c>
      <c r="BH11" t="n">
        <v>0</v>
      </c>
      <c r="BI11" t="inlineStr">
        <is>
          <t>c960c59fd8cc493fada191fd7a5cb863e4788661a67c59165b2fc2aad2bef5f9</t>
        </is>
      </c>
    </row>
    <row r="12">
      <c r="A12" t="inlineStr">
        <is>
          <t>7</t>
        </is>
      </c>
      <c r="B12" t="inlineStr">
        <is>
          <t>7630294839</t>
        </is>
      </c>
      <c r="C12" t="inlineStr">
        <is>
          <t>2025-12-30 11:18:12</t>
        </is>
      </c>
      <c r="D12" t="inlineStr">
        <is>
          <t>1</t>
        </is>
      </c>
      <c r="E12" t="inlineStr">
        <is>
          <t>Baba Yaga Art Of Chinese - By Posh Foods</t>
        </is>
      </c>
      <c r="F12" t="inlineStr">
        <is>
          <t>20037890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9</t>
        </is>
      </c>
      <c r="O12" t="n">
        <v>315</v>
      </c>
      <c r="P12" t="n">
        <v>0</v>
      </c>
      <c r="Q12" t="n">
        <v>0</v>
      </c>
      <c r="R12" t="n">
        <v>0</v>
      </c>
      <c r="S12" t="n">
        <v>31.5</v>
      </c>
      <c r="T12" t="n">
        <v>0</v>
      </c>
      <c r="U12" t="n">
        <v>0</v>
      </c>
      <c r="V12" t="n">
        <v>14.18</v>
      </c>
      <c r="W12" t="n">
        <v>297.68</v>
      </c>
      <c r="X12" t="n">
        <v>283.5</v>
      </c>
      <c r="Y12" t="n">
        <v>0</v>
      </c>
      <c r="Z12" t="n">
        <v>0</v>
      </c>
      <c r="AA12" t="n">
        <v>283.5</v>
      </c>
      <c r="AB12" t="n">
        <v>23</v>
      </c>
      <c r="AC12" t="n">
        <v>65.2</v>
      </c>
      <c r="AD12" t="n">
        <v>9.289999999999999</v>
      </c>
      <c r="AE12" t="n">
        <v>40</v>
      </c>
      <c r="AF12" t="n">
        <v>0</v>
      </c>
      <c r="AG12" t="n">
        <v>20.15</v>
      </c>
      <c r="AH12" t="n">
        <v>5.48</v>
      </c>
      <c r="AI12" t="n">
        <v>90.53</v>
      </c>
      <c r="AJ12" t="n">
        <v>16.3</v>
      </c>
      <c r="AK12" t="n">
        <v>0</v>
      </c>
      <c r="AL12" t="n">
        <v>283.5</v>
      </c>
      <c r="AM12" t="n">
        <v>0</v>
      </c>
      <c r="AN12" t="n">
        <v>0</v>
      </c>
      <c r="AO12" t="n">
        <v>0.28</v>
      </c>
      <c r="AP12" t="n">
        <v>14.18</v>
      </c>
      <c r="AQ12" t="n">
        <v>0</v>
      </c>
      <c r="AR12" t="n">
        <v>30.76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121.29</v>
      </c>
      <c r="BC12" t="n">
        <v>0</v>
      </c>
      <c r="BD12" t="n">
        <v>176.39</v>
      </c>
      <c r="BE12" t="inlineStr">
        <is>
          <t>settled</t>
        </is>
      </c>
      <c r="BF12" t="inlineStr">
        <is>
          <t>2026-01-07 05:30:00</t>
        </is>
      </c>
      <c r="BG12" t="inlineStr">
        <is>
          <t>CITIN26602517885</t>
        </is>
      </c>
      <c r="BH12" t="n">
        <v>0</v>
      </c>
      <c r="BI12" t="inlineStr">
        <is>
          <t>98d562e360e2bc85f4e034368679daafba9d3e3d328f3929f65d10781673853d</t>
        </is>
      </c>
    </row>
    <row r="13">
      <c r="A13" t="inlineStr">
        <is>
          <t>8</t>
        </is>
      </c>
      <c r="B13" t="inlineStr">
        <is>
          <t>7629270878</t>
        </is>
      </c>
      <c r="C13" t="inlineStr">
        <is>
          <t>2025-12-30 15:37:00</t>
        </is>
      </c>
      <c r="D13" t="inlineStr">
        <is>
          <t>1</t>
        </is>
      </c>
      <c r="E13" t="inlineStr">
        <is>
          <t>Baba Yaga Art Of Chinese - By Posh Foods</t>
        </is>
      </c>
      <c r="F13" t="inlineStr">
        <is>
          <t>20037890</t>
        </is>
      </c>
      <c r="G13" t="inlineStr">
        <is>
          <t>Flat ₹100 off (2025-12-21 - 2031-01-01)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9</t>
        </is>
      </c>
      <c r="O13" t="n">
        <v>265</v>
      </c>
      <c r="P13" t="n">
        <v>0</v>
      </c>
      <c r="Q13" t="n">
        <v>0</v>
      </c>
      <c r="R13" t="n">
        <v>70</v>
      </c>
      <c r="S13" t="n">
        <v>0</v>
      </c>
      <c r="T13" t="n">
        <v>0</v>
      </c>
      <c r="U13" t="n">
        <v>0</v>
      </c>
      <c r="V13" t="n">
        <v>9.75</v>
      </c>
      <c r="W13" t="n">
        <v>204.75</v>
      </c>
      <c r="X13" t="n">
        <v>195</v>
      </c>
      <c r="Y13" t="n">
        <v>0</v>
      </c>
      <c r="Z13" t="n">
        <v>0</v>
      </c>
      <c r="AA13" t="n">
        <v>195</v>
      </c>
      <c r="AB13" t="n">
        <v>23</v>
      </c>
      <c r="AC13" t="n">
        <v>44.85</v>
      </c>
      <c r="AD13" t="n">
        <v>4.91</v>
      </c>
      <c r="AE13" t="n">
        <v>20</v>
      </c>
      <c r="AF13" t="n">
        <v>0</v>
      </c>
      <c r="AG13" t="n">
        <v>6.35</v>
      </c>
      <c r="AH13" t="n">
        <v>3.77</v>
      </c>
      <c r="AI13" t="n">
        <v>62.27</v>
      </c>
      <c r="AJ13" t="n">
        <v>11.21</v>
      </c>
      <c r="AK13" t="n">
        <v>0</v>
      </c>
      <c r="AL13" t="n">
        <v>195</v>
      </c>
      <c r="AM13" t="n">
        <v>0</v>
      </c>
      <c r="AN13" t="n">
        <v>0</v>
      </c>
      <c r="AO13" t="n">
        <v>0.2</v>
      </c>
      <c r="AP13" t="n">
        <v>9.75</v>
      </c>
      <c r="AQ13" t="n">
        <v>0</v>
      </c>
      <c r="AR13" t="n">
        <v>21.16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83.43000000000001</v>
      </c>
      <c r="BC13" t="n">
        <v>0</v>
      </c>
      <c r="BD13" t="n">
        <v>121.32</v>
      </c>
      <c r="BE13" t="inlineStr">
        <is>
          <t>settled</t>
        </is>
      </c>
      <c r="BF13" t="inlineStr">
        <is>
          <t>2026-01-07 05:30:00</t>
        </is>
      </c>
      <c r="BG13" t="inlineStr">
        <is>
          <t>CITIN26602517885</t>
        </is>
      </c>
      <c r="BH13" t="n">
        <v>0</v>
      </c>
      <c r="BI13" t="inlineStr">
        <is>
          <t>65beb189627b7cd72a7ccea761d5bdf846c938184eeebe00e0c29d1d95c783a5</t>
        </is>
      </c>
    </row>
    <row r="14">
      <c r="A14" t="inlineStr">
        <is>
          <t>9</t>
        </is>
      </c>
      <c r="B14" t="inlineStr">
        <is>
          <t>7625463358</t>
        </is>
      </c>
      <c r="C14" t="inlineStr">
        <is>
          <t>2025-12-30 19:48:46</t>
        </is>
      </c>
      <c r="D14" t="inlineStr">
        <is>
          <t>1</t>
        </is>
      </c>
      <c r="E14" t="inlineStr">
        <is>
          <t>Baba Yaga Art Of Chinese - By Posh Foods</t>
        </is>
      </c>
      <c r="F14" t="inlineStr">
        <is>
          <t>20037890</t>
        </is>
      </c>
      <c r="G14" t="inlineStr">
        <is>
          <t>Flat ₹100 off (2025-12-05 - 2031-01-01)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9</t>
        </is>
      </c>
      <c r="O14" t="n">
        <v>350</v>
      </c>
      <c r="P14" t="n">
        <v>0</v>
      </c>
      <c r="Q14" t="n">
        <v>0</v>
      </c>
      <c r="R14" t="n">
        <v>100</v>
      </c>
      <c r="S14" t="n">
        <v>25</v>
      </c>
      <c r="T14" t="n">
        <v>0</v>
      </c>
      <c r="U14" t="n">
        <v>0</v>
      </c>
      <c r="V14" t="n">
        <v>11.25</v>
      </c>
      <c r="W14" t="n">
        <v>236.25</v>
      </c>
      <c r="X14" t="n">
        <v>225</v>
      </c>
      <c r="Y14" t="n">
        <v>0</v>
      </c>
      <c r="Z14" t="n">
        <v>0</v>
      </c>
      <c r="AA14" t="n">
        <v>225</v>
      </c>
      <c r="AB14" t="n">
        <v>23</v>
      </c>
      <c r="AC14" t="n">
        <v>51.75</v>
      </c>
      <c r="AD14" t="n">
        <v>6.08</v>
      </c>
      <c r="AE14" t="n">
        <v>40</v>
      </c>
      <c r="AF14" t="n">
        <v>0</v>
      </c>
      <c r="AG14" t="n">
        <v>24.25</v>
      </c>
      <c r="AH14" t="n">
        <v>4.35</v>
      </c>
      <c r="AI14" t="n">
        <v>71.84999999999999</v>
      </c>
      <c r="AJ14" t="n">
        <v>12.94</v>
      </c>
      <c r="AK14" t="n">
        <v>0</v>
      </c>
      <c r="AL14" t="n">
        <v>225</v>
      </c>
      <c r="AM14" t="n">
        <v>0</v>
      </c>
      <c r="AN14" t="n">
        <v>0</v>
      </c>
      <c r="AO14" t="n">
        <v>0.22</v>
      </c>
      <c r="AP14" t="n">
        <v>11.25</v>
      </c>
      <c r="AQ14" t="n">
        <v>0</v>
      </c>
      <c r="AR14" t="n">
        <v>24.41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96.26000000000001</v>
      </c>
      <c r="BC14" t="n">
        <v>0</v>
      </c>
      <c r="BD14" t="n">
        <v>139.99</v>
      </c>
      <c r="BE14" t="inlineStr">
        <is>
          <t>settled</t>
        </is>
      </c>
      <c r="BF14" t="inlineStr">
        <is>
          <t>2026-01-07 05:30:00</t>
        </is>
      </c>
      <c r="BG14" t="inlineStr">
        <is>
          <t>CITIN26602517885</t>
        </is>
      </c>
      <c r="BH14" t="n">
        <v>0</v>
      </c>
      <c r="BI14" t="inlineStr">
        <is>
          <t>053edb2df07e01acd78b8e86312ef41fe77c9bd03e95c3bf4630a60f18d20af3</t>
        </is>
      </c>
    </row>
    <row r="15">
      <c r="A15" t="inlineStr">
        <is>
          <t>10</t>
        </is>
      </c>
      <c r="B15" t="inlineStr">
        <is>
          <t>7636294566</t>
        </is>
      </c>
      <c r="C15" t="inlineStr">
        <is>
          <t>2025-12-30 20:22:09</t>
        </is>
      </c>
      <c r="D15" t="inlineStr">
        <is>
          <t>1</t>
        </is>
      </c>
      <c r="E15" t="inlineStr">
        <is>
          <t>Baba Yaga Art Of Chinese - By Posh Foods</t>
        </is>
      </c>
      <c r="F15" t="inlineStr">
        <is>
          <t>20037890</t>
        </is>
      </c>
      <c r="G15" t="inlineStr">
        <is>
          <t>Flat ₹150 off (2025-12-21 - 2031-01-01)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9</t>
        </is>
      </c>
      <c r="O15" t="n">
        <v>714</v>
      </c>
      <c r="P15" t="n">
        <v>0</v>
      </c>
      <c r="Q15" t="n">
        <v>0</v>
      </c>
      <c r="R15" t="n">
        <v>150</v>
      </c>
      <c r="S15" t="n">
        <v>56.4</v>
      </c>
      <c r="T15" t="n">
        <v>0</v>
      </c>
      <c r="U15" t="n">
        <v>0</v>
      </c>
      <c r="V15" t="n">
        <v>25.38</v>
      </c>
      <c r="W15" t="n">
        <v>532.98</v>
      </c>
      <c r="X15" t="n">
        <v>507.6</v>
      </c>
      <c r="Y15" t="n">
        <v>0</v>
      </c>
      <c r="Z15" t="n">
        <v>0</v>
      </c>
      <c r="AA15" t="n">
        <v>507.6</v>
      </c>
      <c r="AB15" t="n">
        <v>23</v>
      </c>
      <c r="AC15" t="n">
        <v>116.75</v>
      </c>
      <c r="AD15" t="n">
        <v>2.03</v>
      </c>
      <c r="AE15" t="n">
        <v>0</v>
      </c>
      <c r="AF15" t="n">
        <v>0</v>
      </c>
      <c r="AG15" t="n">
        <v>0</v>
      </c>
      <c r="AH15" t="n">
        <v>9.81</v>
      </c>
      <c r="AI15" t="n">
        <v>126.56</v>
      </c>
      <c r="AJ15" t="n">
        <v>22.79</v>
      </c>
      <c r="AK15" t="n">
        <v>0</v>
      </c>
      <c r="AL15" t="n">
        <v>507.6</v>
      </c>
      <c r="AM15" t="n">
        <v>0</v>
      </c>
      <c r="AN15" t="n">
        <v>0</v>
      </c>
      <c r="AO15" t="n">
        <v>0.51</v>
      </c>
      <c r="AP15" t="n">
        <v>25.38</v>
      </c>
      <c r="AQ15" t="n">
        <v>0</v>
      </c>
      <c r="AR15" t="n">
        <v>48.68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175.24</v>
      </c>
      <c r="BC15" t="n">
        <v>0</v>
      </c>
      <c r="BD15" t="n">
        <v>357.74</v>
      </c>
      <c r="BE15" t="inlineStr">
        <is>
          <t>settled</t>
        </is>
      </c>
      <c r="BF15" t="inlineStr">
        <is>
          <t>2026-01-07 05:30:00</t>
        </is>
      </c>
      <c r="BG15" t="inlineStr">
        <is>
          <t>CITIN26602517885</t>
        </is>
      </c>
      <c r="BH15" t="n">
        <v>0</v>
      </c>
      <c r="BI15" t="inlineStr">
        <is>
          <t>0b32da85f05f79f97078b7826bbe30dc254c53f2fe6801fc5c111cadd982aa08</t>
        </is>
      </c>
    </row>
    <row r="16">
      <c r="A16" t="inlineStr">
        <is>
          <t>11</t>
        </is>
      </c>
      <c r="B16" t="inlineStr">
        <is>
          <t>7637145856</t>
        </is>
      </c>
      <c r="C16" t="inlineStr">
        <is>
          <t>2025-12-30 20:30:32</t>
        </is>
      </c>
      <c r="D16" t="inlineStr">
        <is>
          <t>1</t>
        </is>
      </c>
      <c r="E16" t="inlineStr">
        <is>
          <t>Baba Yaga Art Of Chinese - By Posh Foods</t>
        </is>
      </c>
      <c r="F16" t="inlineStr">
        <is>
          <t>20037890</t>
        </is>
      </c>
      <c r="G16" t="inlineStr">
        <is>
          <t>Flat ₹125 off (2025-12-21 - 2031-01-01)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9</t>
        </is>
      </c>
      <c r="O16" t="n">
        <v>545</v>
      </c>
      <c r="P16" t="n">
        <v>0</v>
      </c>
      <c r="Q16" t="n">
        <v>0</v>
      </c>
      <c r="R16" t="n">
        <v>125</v>
      </c>
      <c r="S16" t="n">
        <v>42</v>
      </c>
      <c r="T16" t="n">
        <v>0</v>
      </c>
      <c r="U16" t="n">
        <v>0</v>
      </c>
      <c r="V16" t="n">
        <v>18.9</v>
      </c>
      <c r="W16" t="n">
        <v>396.9</v>
      </c>
      <c r="X16" t="n">
        <v>378</v>
      </c>
      <c r="Y16" t="n">
        <v>0</v>
      </c>
      <c r="Z16" t="n">
        <v>0</v>
      </c>
      <c r="AA16" t="n">
        <v>378</v>
      </c>
      <c r="AB16" t="n">
        <v>23</v>
      </c>
      <c r="AC16" t="n">
        <v>86.94</v>
      </c>
      <c r="AD16" t="n">
        <v>2.99</v>
      </c>
      <c r="AE16" t="n">
        <v>0</v>
      </c>
      <c r="AF16" t="n">
        <v>0</v>
      </c>
      <c r="AG16" t="n">
        <v>0</v>
      </c>
      <c r="AH16" t="n">
        <v>7.3</v>
      </c>
      <c r="AI16" t="n">
        <v>94.23999999999999</v>
      </c>
      <c r="AJ16" t="n">
        <v>16.96</v>
      </c>
      <c r="AK16" t="n">
        <v>0</v>
      </c>
      <c r="AL16" t="n">
        <v>378</v>
      </c>
      <c r="AM16" t="n">
        <v>0</v>
      </c>
      <c r="AN16" t="n">
        <v>0</v>
      </c>
      <c r="AO16" t="n">
        <v>0.38</v>
      </c>
      <c r="AP16" t="n">
        <v>18.9</v>
      </c>
      <c r="AQ16" t="n">
        <v>0</v>
      </c>
      <c r="AR16" t="n">
        <v>36.24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130.48</v>
      </c>
      <c r="BC16" t="n">
        <v>0</v>
      </c>
      <c r="BD16" t="n">
        <v>266.42</v>
      </c>
      <c r="BE16" t="inlineStr">
        <is>
          <t>settled</t>
        </is>
      </c>
      <c r="BF16" t="inlineStr">
        <is>
          <t>2026-01-07 05:30:00</t>
        </is>
      </c>
      <c r="BG16" t="inlineStr">
        <is>
          <t>CITIN26602517885</t>
        </is>
      </c>
      <c r="BH16" t="n">
        <v>0</v>
      </c>
      <c r="BI16" t="inlineStr">
        <is>
          <t>5c063eab70753fe33faf1697f75dbe0be0caf3406922b53a51c8c13a073fdb15</t>
        </is>
      </c>
    </row>
    <row r="17">
      <c r="A17" t="inlineStr">
        <is>
          <t>12</t>
        </is>
      </c>
      <c r="B17" t="inlineStr">
        <is>
          <t>7636132667</t>
        </is>
      </c>
      <c r="C17" t="inlineStr">
        <is>
          <t>2025-12-30 22:14:47</t>
        </is>
      </c>
      <c r="D17" t="inlineStr">
        <is>
          <t>1</t>
        </is>
      </c>
      <c r="E17" t="inlineStr">
        <is>
          <t>Baba Yaga Art Of Chinese - By Posh Foods</t>
        </is>
      </c>
      <c r="F17" t="inlineStr">
        <is>
          <t>20037890</t>
        </is>
      </c>
      <c r="G17" t="inlineStr">
        <is>
          <t>Flat ₹125 off (2025-12-21 - 2031-01-01)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9</t>
        </is>
      </c>
      <c r="O17" t="n">
        <v>580</v>
      </c>
      <c r="P17" t="n">
        <v>0</v>
      </c>
      <c r="Q17" t="n">
        <v>0</v>
      </c>
      <c r="R17" t="n">
        <v>125</v>
      </c>
      <c r="S17" t="n">
        <v>45.5</v>
      </c>
      <c r="T17" t="n">
        <v>0</v>
      </c>
      <c r="U17" t="n">
        <v>0</v>
      </c>
      <c r="V17" t="n">
        <v>20.48</v>
      </c>
      <c r="W17" t="n">
        <v>429.98</v>
      </c>
      <c r="X17" t="n">
        <v>409.5</v>
      </c>
      <c r="Y17" t="n">
        <v>0</v>
      </c>
      <c r="Z17" t="n">
        <v>0</v>
      </c>
      <c r="AA17" t="n">
        <v>409.5</v>
      </c>
      <c r="AB17" t="n">
        <v>23</v>
      </c>
      <c r="AC17" t="n">
        <v>94.18000000000001</v>
      </c>
      <c r="AD17" t="n">
        <v>1.28</v>
      </c>
      <c r="AE17" t="n">
        <v>0</v>
      </c>
      <c r="AF17" t="n">
        <v>0</v>
      </c>
      <c r="AG17" t="n">
        <v>0</v>
      </c>
      <c r="AH17" t="n">
        <v>7.91</v>
      </c>
      <c r="AI17" t="n">
        <v>102.09</v>
      </c>
      <c r="AJ17" t="n">
        <v>18.37</v>
      </c>
      <c r="AK17" t="n">
        <v>0</v>
      </c>
      <c r="AL17" t="n">
        <v>409.5</v>
      </c>
      <c r="AM17" t="n">
        <v>0</v>
      </c>
      <c r="AN17" t="n">
        <v>0</v>
      </c>
      <c r="AO17" t="n">
        <v>0.41</v>
      </c>
      <c r="AP17" t="n">
        <v>20.47</v>
      </c>
      <c r="AQ17" t="n">
        <v>0.01</v>
      </c>
      <c r="AR17" t="n">
        <v>39.25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141.34</v>
      </c>
      <c r="BC17" t="n">
        <v>0</v>
      </c>
      <c r="BD17" t="n">
        <v>288.64</v>
      </c>
      <c r="BE17" t="inlineStr">
        <is>
          <t>settled</t>
        </is>
      </c>
      <c r="BF17" t="inlineStr">
        <is>
          <t>2026-01-07 05:30:00</t>
        </is>
      </c>
      <c r="BG17" t="inlineStr">
        <is>
          <t>CITIN26602517885</t>
        </is>
      </c>
      <c r="BH17" t="n">
        <v>0</v>
      </c>
      <c r="BI17" t="inlineStr">
        <is>
          <t>a61ab57b964e31bf7c4f8384b4fa631a2efff54e3fed494a2a6c0bbb42795478</t>
        </is>
      </c>
    </row>
    <row r="18">
      <c r="A18" t="inlineStr">
        <is>
          <t>13</t>
        </is>
      </c>
      <c r="B18" t="inlineStr">
        <is>
          <t>7631099345</t>
        </is>
      </c>
      <c r="C18" t="inlineStr">
        <is>
          <t>2025-12-30 22:25:13</t>
        </is>
      </c>
      <c r="D18" t="inlineStr">
        <is>
          <t>1</t>
        </is>
      </c>
      <c r="E18" t="inlineStr">
        <is>
          <t>Baba Yaga Art Of Chinese - By Posh Foods</t>
        </is>
      </c>
      <c r="F18" t="inlineStr">
        <is>
          <t>20037890</t>
        </is>
      </c>
      <c r="G18" t="inlineStr">
        <is>
          <t>Flat ₹200 off (2025-12-23 - 2031-01-01)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9</t>
        </is>
      </c>
      <c r="O18" t="n">
        <v>610</v>
      </c>
      <c r="P18" t="n">
        <v>0</v>
      </c>
      <c r="Q18" t="n">
        <v>0</v>
      </c>
      <c r="R18" t="n">
        <v>160</v>
      </c>
      <c r="S18" t="n">
        <v>41</v>
      </c>
      <c r="T18" t="n">
        <v>0</v>
      </c>
      <c r="U18" t="n">
        <v>0</v>
      </c>
      <c r="V18" t="n">
        <v>20.45</v>
      </c>
      <c r="W18" t="n">
        <v>429.45</v>
      </c>
      <c r="X18" t="n">
        <v>409</v>
      </c>
      <c r="Y18" t="n">
        <v>0</v>
      </c>
      <c r="Z18" t="n">
        <v>0</v>
      </c>
      <c r="AA18" t="n">
        <v>409</v>
      </c>
      <c r="AB18" t="n">
        <v>23</v>
      </c>
      <c r="AC18" t="n">
        <v>94.06999999999999</v>
      </c>
      <c r="AD18" t="n">
        <v>3.22</v>
      </c>
      <c r="AE18" t="n">
        <v>0</v>
      </c>
      <c r="AF18" t="n">
        <v>0</v>
      </c>
      <c r="AG18" t="n">
        <v>0</v>
      </c>
      <c r="AH18" t="n">
        <v>7.9</v>
      </c>
      <c r="AI18" t="n">
        <v>101.97</v>
      </c>
      <c r="AJ18" t="n">
        <v>18.35</v>
      </c>
      <c r="AK18" t="n">
        <v>0</v>
      </c>
      <c r="AL18" t="n">
        <v>409</v>
      </c>
      <c r="AM18" t="n">
        <v>0</v>
      </c>
      <c r="AN18" t="n">
        <v>0</v>
      </c>
      <c r="AO18" t="n">
        <v>0.41</v>
      </c>
      <c r="AP18" t="n">
        <v>20.45</v>
      </c>
      <c r="AQ18" t="n">
        <v>0</v>
      </c>
      <c r="AR18" t="n">
        <v>39.21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141.18</v>
      </c>
      <c r="BC18" t="n">
        <v>0</v>
      </c>
      <c r="BD18" t="n">
        <v>288.27</v>
      </c>
      <c r="BE18" t="inlineStr">
        <is>
          <t>settled</t>
        </is>
      </c>
      <c r="BF18" t="inlineStr">
        <is>
          <t>2026-01-07 05:30:00</t>
        </is>
      </c>
      <c r="BG18" t="inlineStr">
        <is>
          <t>CITIN26602517885</t>
        </is>
      </c>
      <c r="BH18" t="n">
        <v>0</v>
      </c>
      <c r="BI18" t="inlineStr">
        <is>
          <t>bf4388e9fcf0f5e4ddd0a71dffcca81956191d6783dcbd356fc970b78ecd4c49</t>
        </is>
      </c>
    </row>
    <row r="19">
      <c r="A19" t="inlineStr">
        <is>
          <t>14</t>
        </is>
      </c>
      <c r="B19" t="inlineStr">
        <is>
          <t>7635014466</t>
        </is>
      </c>
      <c r="C19" t="inlineStr">
        <is>
          <t>2025-12-30 23:07:01</t>
        </is>
      </c>
      <c r="D19" t="inlineStr">
        <is>
          <t>1</t>
        </is>
      </c>
      <c r="E19" t="inlineStr">
        <is>
          <t>Baba Yaga Art Of Chinese - By Posh Foods</t>
        </is>
      </c>
      <c r="F19" t="inlineStr">
        <is>
          <t>20037890</t>
        </is>
      </c>
      <c r="G19" t="inlineStr">
        <is>
          <t>Flat ₹125 off (2025-12-21 - 2031-01-01)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9</t>
        </is>
      </c>
      <c r="O19" t="n">
        <v>504</v>
      </c>
      <c r="P19" t="n">
        <v>0</v>
      </c>
      <c r="Q19" t="n">
        <v>0</v>
      </c>
      <c r="R19" t="n">
        <v>125</v>
      </c>
      <c r="S19" t="n">
        <v>37.9</v>
      </c>
      <c r="T19" t="n">
        <v>0</v>
      </c>
      <c r="U19" t="n">
        <v>0</v>
      </c>
      <c r="V19" t="n">
        <v>17.06</v>
      </c>
      <c r="W19" t="n">
        <v>358.16</v>
      </c>
      <c r="X19" t="n">
        <v>341.1</v>
      </c>
      <c r="Y19" t="n">
        <v>0</v>
      </c>
      <c r="Z19" t="n">
        <v>0</v>
      </c>
      <c r="AA19" t="n">
        <v>341.1</v>
      </c>
      <c r="AB19" t="n">
        <v>23</v>
      </c>
      <c r="AC19" t="n">
        <v>78.45</v>
      </c>
      <c r="AD19" t="n">
        <v>4.82</v>
      </c>
      <c r="AE19" t="n">
        <v>20</v>
      </c>
      <c r="AF19" t="n">
        <v>0</v>
      </c>
      <c r="AG19" t="n">
        <v>0</v>
      </c>
      <c r="AH19" t="n">
        <v>6.59</v>
      </c>
      <c r="AI19" t="n">
        <v>105.04</v>
      </c>
      <c r="AJ19" t="n">
        <v>18.91</v>
      </c>
      <c r="AK19" t="n">
        <v>0</v>
      </c>
      <c r="AL19" t="n">
        <v>341.1</v>
      </c>
      <c r="AM19" t="n">
        <v>0</v>
      </c>
      <c r="AN19" t="n">
        <v>0</v>
      </c>
      <c r="AO19" t="n">
        <v>0.34</v>
      </c>
      <c r="AP19" t="n">
        <v>17.06</v>
      </c>
      <c r="AQ19" t="n">
        <v>0</v>
      </c>
      <c r="AR19" t="n">
        <v>36.31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141.35</v>
      </c>
      <c r="BC19" t="n">
        <v>0</v>
      </c>
      <c r="BD19" t="n">
        <v>216.81</v>
      </c>
      <c r="BE19" t="inlineStr">
        <is>
          <t>settled</t>
        </is>
      </c>
      <c r="BF19" t="inlineStr">
        <is>
          <t>2026-01-07 05:30:00</t>
        </is>
      </c>
      <c r="BG19" t="inlineStr">
        <is>
          <t>CITIN26602517885</t>
        </is>
      </c>
      <c r="BH19" t="n">
        <v>0</v>
      </c>
      <c r="BI19" t="inlineStr">
        <is>
          <t>589c973849dde52f7be15fcbde1c9be168230581fa48a4f24412678bbef41263</t>
        </is>
      </c>
    </row>
    <row r="20">
      <c r="A20" t="inlineStr">
        <is>
          <t>15</t>
        </is>
      </c>
      <c r="B20" t="inlineStr">
        <is>
          <t>7637537553</t>
        </is>
      </c>
      <c r="C20" t="inlineStr">
        <is>
          <t>2025-12-31 16:25:24</t>
        </is>
      </c>
      <c r="D20" t="inlineStr">
        <is>
          <t>1</t>
        </is>
      </c>
      <c r="E20" t="inlineStr">
        <is>
          <t>Baba Yaga Art Of Chinese - By Posh Foods</t>
        </is>
      </c>
      <c r="F20" t="inlineStr">
        <is>
          <t>20037890</t>
        </is>
      </c>
      <c r="G20" t="inlineStr">
        <is>
          <t>Flat ₹125 off (2025-12-21 - 2031-01-01)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9</t>
        </is>
      </c>
      <c r="O20" t="n">
        <v>350</v>
      </c>
      <c r="P20" t="n">
        <v>0</v>
      </c>
      <c r="Q20" t="n">
        <v>0</v>
      </c>
      <c r="R20" t="n">
        <v>87</v>
      </c>
      <c r="S20" t="n">
        <v>0</v>
      </c>
      <c r="T20" t="n">
        <v>0</v>
      </c>
      <c r="U20" t="n">
        <v>0</v>
      </c>
      <c r="V20" t="n">
        <v>13.15</v>
      </c>
      <c r="W20" t="n">
        <v>276.15</v>
      </c>
      <c r="X20" t="n">
        <v>263</v>
      </c>
      <c r="Y20" t="n">
        <v>0</v>
      </c>
      <c r="Z20" t="n">
        <v>0</v>
      </c>
      <c r="AA20" t="n">
        <v>263</v>
      </c>
      <c r="AB20" t="n">
        <v>23</v>
      </c>
      <c r="AC20" t="n">
        <v>60.49</v>
      </c>
      <c r="AD20" t="n">
        <v>4.84</v>
      </c>
      <c r="AE20" t="n">
        <v>20</v>
      </c>
      <c r="AF20" t="n">
        <v>0</v>
      </c>
      <c r="AG20" t="n">
        <v>1.59</v>
      </c>
      <c r="AH20" t="n">
        <v>5.08</v>
      </c>
      <c r="AI20" t="n">
        <v>83.98</v>
      </c>
      <c r="AJ20" t="n">
        <v>15.11</v>
      </c>
      <c r="AK20" t="n">
        <v>0</v>
      </c>
      <c r="AL20" t="n">
        <v>263</v>
      </c>
      <c r="AM20" t="n">
        <v>0</v>
      </c>
      <c r="AN20" t="n">
        <v>0</v>
      </c>
      <c r="AO20" t="n">
        <v>0.26</v>
      </c>
      <c r="AP20" t="n">
        <v>13.15</v>
      </c>
      <c r="AQ20" t="n">
        <v>0</v>
      </c>
      <c r="AR20" t="n">
        <v>28.52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112.5</v>
      </c>
      <c r="BC20" t="n">
        <v>0</v>
      </c>
      <c r="BD20" t="n">
        <v>163.65</v>
      </c>
      <c r="BE20" t="inlineStr">
        <is>
          <t>settled</t>
        </is>
      </c>
      <c r="BF20" t="inlineStr">
        <is>
          <t>2026-01-07 05:30:00</t>
        </is>
      </c>
      <c r="BG20" t="inlineStr">
        <is>
          <t>CITIN26602517885</t>
        </is>
      </c>
      <c r="BH20" t="n">
        <v>0</v>
      </c>
      <c r="BI20" t="inlineStr">
        <is>
          <t>7203abbc7fe2f943c5b9083e6ea1db591880d7deae96768a70ac52ad3a1d65be</t>
        </is>
      </c>
    </row>
    <row r="21">
      <c r="A21" t="inlineStr">
        <is>
          <t>16</t>
        </is>
      </c>
      <c r="B21" t="inlineStr">
        <is>
          <t>7639200516</t>
        </is>
      </c>
      <c r="C21" t="inlineStr">
        <is>
          <t>2025-12-31 16:28:50</t>
        </is>
      </c>
      <c r="D21" t="inlineStr">
        <is>
          <t>1</t>
        </is>
      </c>
      <c r="E21" t="inlineStr">
        <is>
          <t>Baba Yaga Art Of Chinese - By Posh Foods</t>
        </is>
      </c>
      <c r="F21" t="inlineStr">
        <is>
          <t>20037890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9</t>
        </is>
      </c>
      <c r="O21" t="n">
        <v>475</v>
      </c>
      <c r="P21" t="n">
        <v>0</v>
      </c>
      <c r="Q21" t="n">
        <v>0</v>
      </c>
      <c r="R21" t="n">
        <v>0</v>
      </c>
      <c r="S21" t="n">
        <v>47.5</v>
      </c>
      <c r="T21" t="n">
        <v>0</v>
      </c>
      <c r="U21" t="n">
        <v>0</v>
      </c>
      <c r="V21" t="n">
        <v>21.38</v>
      </c>
      <c r="W21" t="n">
        <v>448.88</v>
      </c>
      <c r="X21" t="n">
        <v>427.5</v>
      </c>
      <c r="Y21" t="n">
        <v>0</v>
      </c>
      <c r="Z21" t="n">
        <v>0</v>
      </c>
      <c r="AA21" t="n">
        <v>427.5</v>
      </c>
      <c r="AB21" t="n">
        <v>23</v>
      </c>
      <c r="AC21" t="n">
        <v>98.31999999999999</v>
      </c>
      <c r="AD21" t="n">
        <v>5.1</v>
      </c>
      <c r="AE21" t="n">
        <v>20</v>
      </c>
      <c r="AF21" t="n">
        <v>0</v>
      </c>
      <c r="AG21" t="n">
        <v>0</v>
      </c>
      <c r="AH21" t="n">
        <v>8.26</v>
      </c>
      <c r="AI21" t="n">
        <v>126.58</v>
      </c>
      <c r="AJ21" t="n">
        <v>22.79</v>
      </c>
      <c r="AK21" t="n">
        <v>0</v>
      </c>
      <c r="AL21" t="n">
        <v>427.5</v>
      </c>
      <c r="AM21" t="n">
        <v>0</v>
      </c>
      <c r="AN21" t="n">
        <v>0</v>
      </c>
      <c r="AO21" t="n">
        <v>0.43</v>
      </c>
      <c r="AP21" t="n">
        <v>21.38</v>
      </c>
      <c r="AQ21" t="n">
        <v>0</v>
      </c>
      <c r="AR21" t="n">
        <v>44.6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171.18</v>
      </c>
      <c r="BC21" t="n">
        <v>0</v>
      </c>
      <c r="BD21" t="n">
        <v>277.7</v>
      </c>
      <c r="BE21" t="inlineStr">
        <is>
          <t>settled</t>
        </is>
      </c>
      <c r="BF21" t="inlineStr">
        <is>
          <t>2026-01-07 05:30:00</t>
        </is>
      </c>
      <c r="BG21" t="inlineStr">
        <is>
          <t>CITIN26602517885</t>
        </is>
      </c>
      <c r="BH21" t="n">
        <v>0</v>
      </c>
      <c r="BI21" t="inlineStr">
        <is>
          <t>6c0c825d877a309b57e5d1a90b54463f11caf62e8433bbf65cd296dc9c24096c</t>
        </is>
      </c>
    </row>
    <row r="22">
      <c r="A22" t="inlineStr">
        <is>
          <t>17</t>
        </is>
      </c>
      <c r="B22" t="inlineStr">
        <is>
          <t>7618335798</t>
        </is>
      </c>
      <c r="C22" t="inlineStr">
        <is>
          <t>2025-12-31 16:41:35</t>
        </is>
      </c>
      <c r="D22" t="inlineStr">
        <is>
          <t>1</t>
        </is>
      </c>
      <c r="E22" t="inlineStr">
        <is>
          <t>Baba Yaga Art Of Chinese - By Posh Foods</t>
        </is>
      </c>
      <c r="F22" t="inlineStr">
        <is>
          <t>20037890</t>
        </is>
      </c>
      <c r="G22" t="inlineStr">
        <is>
          <t>Flat ₹150 off (2025-12-21 - 2031-01-01)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9</t>
        </is>
      </c>
      <c r="O22" t="n">
        <v>690</v>
      </c>
      <c r="P22" t="n">
        <v>0</v>
      </c>
      <c r="Q22" t="n">
        <v>0</v>
      </c>
      <c r="R22" t="n">
        <v>150</v>
      </c>
      <c r="S22" t="n">
        <v>54</v>
      </c>
      <c r="T22" t="n">
        <v>0</v>
      </c>
      <c r="U22" t="n">
        <v>0</v>
      </c>
      <c r="V22" t="n">
        <v>24.3</v>
      </c>
      <c r="W22" t="n">
        <v>510.3</v>
      </c>
      <c r="X22" t="n">
        <v>486</v>
      </c>
      <c r="Y22" t="n">
        <v>0</v>
      </c>
      <c r="Z22" t="n">
        <v>0</v>
      </c>
      <c r="AA22" t="n">
        <v>486</v>
      </c>
      <c r="AB22" t="n">
        <v>23</v>
      </c>
      <c r="AC22" t="n">
        <v>111.78</v>
      </c>
      <c r="AD22" t="n">
        <v>4.13</v>
      </c>
      <c r="AE22" t="n">
        <v>20</v>
      </c>
      <c r="AF22" t="n">
        <v>0</v>
      </c>
      <c r="AG22" t="n">
        <v>0</v>
      </c>
      <c r="AH22" t="n">
        <v>9.390000000000001</v>
      </c>
      <c r="AI22" t="n">
        <v>141.17</v>
      </c>
      <c r="AJ22" t="n">
        <v>25.41</v>
      </c>
      <c r="AK22" t="n">
        <v>0</v>
      </c>
      <c r="AL22" t="n">
        <v>486</v>
      </c>
      <c r="AM22" t="n">
        <v>0</v>
      </c>
      <c r="AN22" t="n">
        <v>0</v>
      </c>
      <c r="AO22" t="n">
        <v>0.49</v>
      </c>
      <c r="AP22" t="n">
        <v>24.3</v>
      </c>
      <c r="AQ22" t="n">
        <v>0</v>
      </c>
      <c r="AR22" t="n">
        <v>50.2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191.37</v>
      </c>
      <c r="BC22" t="n">
        <v>0</v>
      </c>
      <c r="BD22" t="n">
        <v>318.93</v>
      </c>
      <c r="BE22" t="inlineStr">
        <is>
          <t>settled</t>
        </is>
      </c>
      <c r="BF22" t="inlineStr">
        <is>
          <t>2026-01-07 05:30:00</t>
        </is>
      </c>
      <c r="BG22" t="inlineStr">
        <is>
          <t>CITIN26602517885</t>
        </is>
      </c>
      <c r="BH22" t="n">
        <v>0</v>
      </c>
      <c r="BI22" t="inlineStr">
        <is>
          <t>3f9e1a275203db0d9fa571baeeff8b7098a4d0a0b0c105c6aac69c05f30a1e99</t>
        </is>
      </c>
    </row>
    <row r="23">
      <c r="A23" t="inlineStr">
        <is>
          <t>18</t>
        </is>
      </c>
      <c r="B23" t="inlineStr">
        <is>
          <t>7626645775</t>
        </is>
      </c>
      <c r="C23" t="inlineStr">
        <is>
          <t>2025-12-31 17:50:11</t>
        </is>
      </c>
      <c r="D23" t="inlineStr">
        <is>
          <t>1</t>
        </is>
      </c>
      <c r="E23" t="inlineStr">
        <is>
          <t>Baba Yaga Art Of Chinese - By Posh Foods</t>
        </is>
      </c>
      <c r="F23" t="inlineStr">
        <is>
          <t>20037890</t>
        </is>
      </c>
      <c r="G23" t="inlineStr">
        <is>
          <t>Flat ₹300 off (2025-12-22 - 2031-01-01)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9</t>
        </is>
      </c>
      <c r="O23" t="n">
        <v>1029</v>
      </c>
      <c r="P23" t="n">
        <v>0</v>
      </c>
      <c r="Q23" t="n">
        <v>0</v>
      </c>
      <c r="R23" t="n">
        <v>240</v>
      </c>
      <c r="S23" t="n">
        <v>72.90000000000001</v>
      </c>
      <c r="T23" t="n">
        <v>0</v>
      </c>
      <c r="U23" t="n">
        <v>0</v>
      </c>
      <c r="V23" t="n">
        <v>35.81</v>
      </c>
      <c r="W23" t="n">
        <v>751.91</v>
      </c>
      <c r="X23" t="n">
        <v>716.1</v>
      </c>
      <c r="Y23" t="n">
        <v>0</v>
      </c>
      <c r="Z23" t="n">
        <v>0</v>
      </c>
      <c r="AA23" t="n">
        <v>716.1</v>
      </c>
      <c r="AB23" t="n">
        <v>23</v>
      </c>
      <c r="AC23" t="n">
        <v>164.7</v>
      </c>
      <c r="AD23" t="n">
        <v>0.42</v>
      </c>
      <c r="AE23" t="n">
        <v>0</v>
      </c>
      <c r="AF23" t="n">
        <v>0</v>
      </c>
      <c r="AG23" t="n">
        <v>0</v>
      </c>
      <c r="AH23" t="n">
        <v>13.84</v>
      </c>
      <c r="AI23" t="n">
        <v>178.54</v>
      </c>
      <c r="AJ23" t="n">
        <v>32.14</v>
      </c>
      <c r="AK23" t="n">
        <v>0</v>
      </c>
      <c r="AL23" t="n">
        <v>716.1</v>
      </c>
      <c r="AM23" t="n">
        <v>0</v>
      </c>
      <c r="AN23" t="n">
        <v>0</v>
      </c>
      <c r="AO23" t="n">
        <v>0.72</v>
      </c>
      <c r="AP23" t="n">
        <v>35.81</v>
      </c>
      <c r="AQ23" t="n">
        <v>0</v>
      </c>
      <c r="AR23" t="n">
        <v>68.67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84.5</v>
      </c>
      <c r="AY23" t="n">
        <v>0</v>
      </c>
      <c r="AZ23" t="n">
        <v>0</v>
      </c>
      <c r="BA23" t="n">
        <v>84.5</v>
      </c>
      <c r="BB23" t="n">
        <v>331.71</v>
      </c>
      <c r="BC23" t="n">
        <v>0</v>
      </c>
      <c r="BD23" t="n">
        <v>420.2</v>
      </c>
      <c r="BE23" t="inlineStr">
        <is>
          <t>settled</t>
        </is>
      </c>
      <c r="BF23" t="inlineStr">
        <is>
          <t>2026-01-07 05:30:00</t>
        </is>
      </c>
      <c r="BG23" t="inlineStr">
        <is>
          <t>CITIN26602517885</t>
        </is>
      </c>
      <c r="BH23" t="n">
        <v>0</v>
      </c>
      <c r="BI23" t="inlineStr">
        <is>
          <t>56a163bb792b4d0de92a2d8846179e521a005fec1a7e0fec89e7fbb6b345ee26</t>
        </is>
      </c>
    </row>
    <row r="24">
      <c r="A24" t="inlineStr">
        <is>
          <t>19</t>
        </is>
      </c>
      <c r="B24" t="inlineStr">
        <is>
          <t>7637096431</t>
        </is>
      </c>
      <c r="C24" t="inlineStr">
        <is>
          <t>2025-12-31 17:57:03</t>
        </is>
      </c>
      <c r="D24" t="inlineStr">
        <is>
          <t>1</t>
        </is>
      </c>
      <c r="E24" t="inlineStr">
        <is>
          <t>Baba Yaga Art Of Chinese - By Posh Foods</t>
        </is>
      </c>
      <c r="F24" t="inlineStr">
        <is>
          <t>20037890</t>
        </is>
      </c>
      <c r="G24" t="inlineStr">
        <is>
          <t>Flat ₹150 off (2025-12-18 - 2031-01-01)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9</t>
        </is>
      </c>
      <c r="O24" t="n">
        <v>504</v>
      </c>
      <c r="P24" t="n">
        <v>0</v>
      </c>
      <c r="Q24" t="n">
        <v>0</v>
      </c>
      <c r="R24" t="n">
        <v>150</v>
      </c>
      <c r="S24" t="n">
        <v>35.4</v>
      </c>
      <c r="T24" t="n">
        <v>0</v>
      </c>
      <c r="U24" t="n">
        <v>0</v>
      </c>
      <c r="V24" t="n">
        <v>15.93</v>
      </c>
      <c r="W24" t="n">
        <v>334.53</v>
      </c>
      <c r="X24" t="n">
        <v>318.6</v>
      </c>
      <c r="Y24" t="n">
        <v>0</v>
      </c>
      <c r="Z24" t="n">
        <v>0</v>
      </c>
      <c r="AA24" t="n">
        <v>318.6</v>
      </c>
      <c r="AB24" t="n">
        <v>23</v>
      </c>
      <c r="AC24" t="n">
        <v>73.28</v>
      </c>
      <c r="AD24" t="n">
        <v>3.58</v>
      </c>
      <c r="AE24" t="n">
        <v>0</v>
      </c>
      <c r="AF24" t="n">
        <v>0</v>
      </c>
      <c r="AG24" t="n">
        <v>0</v>
      </c>
      <c r="AH24" t="n">
        <v>6.16</v>
      </c>
      <c r="AI24" t="n">
        <v>79.44</v>
      </c>
      <c r="AJ24" t="n">
        <v>14.3</v>
      </c>
      <c r="AK24" t="n">
        <v>0</v>
      </c>
      <c r="AL24" t="n">
        <v>318.6</v>
      </c>
      <c r="AM24" t="n">
        <v>0</v>
      </c>
      <c r="AN24" t="n">
        <v>0</v>
      </c>
      <c r="AO24" t="n">
        <v>0.32</v>
      </c>
      <c r="AP24" t="n">
        <v>15.93</v>
      </c>
      <c r="AQ24" t="n">
        <v>0</v>
      </c>
      <c r="AR24" t="n">
        <v>30.55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37.59</v>
      </c>
      <c r="AY24" t="n">
        <v>0</v>
      </c>
      <c r="AZ24" t="n">
        <v>0</v>
      </c>
      <c r="BA24" t="n">
        <v>37.59</v>
      </c>
      <c r="BB24" t="n">
        <v>147.58</v>
      </c>
      <c r="BC24" t="n">
        <v>0</v>
      </c>
      <c r="BD24" t="n">
        <v>186.95</v>
      </c>
      <c r="BE24" t="inlineStr">
        <is>
          <t>settled</t>
        </is>
      </c>
      <c r="BF24" t="inlineStr">
        <is>
          <t>2026-01-07 05:30:00</t>
        </is>
      </c>
      <c r="BG24" t="inlineStr">
        <is>
          <t>CITIN26602517885</t>
        </is>
      </c>
      <c r="BH24" t="n">
        <v>0</v>
      </c>
      <c r="BI24" t="inlineStr">
        <is>
          <t>4c6e6c5cc5d3d67e742c3b8378b19861611e8826aed391ef2deb1dd1018dd8d9</t>
        </is>
      </c>
    </row>
    <row r="25">
      <c r="A25" t="inlineStr">
        <is>
          <t>20</t>
        </is>
      </c>
      <c r="B25" t="inlineStr">
        <is>
          <t>7640254186</t>
        </is>
      </c>
      <c r="C25" t="inlineStr">
        <is>
          <t>2025-12-31 18:25:12</t>
        </is>
      </c>
      <c r="D25" t="inlineStr">
        <is>
          <t>1</t>
        </is>
      </c>
      <c r="E25" t="inlineStr">
        <is>
          <t>Baba Yaga Art Of Chinese - By Posh Foods</t>
        </is>
      </c>
      <c r="F25" t="inlineStr">
        <is>
          <t>20037890</t>
        </is>
      </c>
      <c r="G25" t="inlineStr">
        <is>
          <t>Flat ₹300 off (2025-12-22 - 2031-01-01)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9</t>
        </is>
      </c>
      <c r="O25" t="n">
        <v>830</v>
      </c>
      <c r="P25" t="n">
        <v>0</v>
      </c>
      <c r="Q25" t="n">
        <v>0</v>
      </c>
      <c r="R25" t="n">
        <v>240</v>
      </c>
      <c r="S25" t="n">
        <v>0</v>
      </c>
      <c r="T25" t="n">
        <v>0</v>
      </c>
      <c r="U25" t="n">
        <v>0</v>
      </c>
      <c r="V25" t="n">
        <v>29.5</v>
      </c>
      <c r="W25" t="n">
        <v>619.5</v>
      </c>
      <c r="X25" t="n">
        <v>590</v>
      </c>
      <c r="Y25" t="n">
        <v>0</v>
      </c>
      <c r="Z25" t="n">
        <v>0</v>
      </c>
      <c r="AA25" t="n">
        <v>590</v>
      </c>
      <c r="AB25" t="n">
        <v>23</v>
      </c>
      <c r="AC25" t="n">
        <v>135.7</v>
      </c>
      <c r="AD25" t="n">
        <v>2.22</v>
      </c>
      <c r="AE25" t="n">
        <v>0</v>
      </c>
      <c r="AF25" t="n">
        <v>0</v>
      </c>
      <c r="AG25" t="n">
        <v>0</v>
      </c>
      <c r="AH25" t="n">
        <v>11.4</v>
      </c>
      <c r="AI25" t="n">
        <v>147.1</v>
      </c>
      <c r="AJ25" t="n">
        <v>26.48</v>
      </c>
      <c r="AK25" t="n">
        <v>0</v>
      </c>
      <c r="AL25" t="n">
        <v>590</v>
      </c>
      <c r="AM25" t="n">
        <v>0</v>
      </c>
      <c r="AN25" t="n">
        <v>0</v>
      </c>
      <c r="AO25" t="n">
        <v>0.59</v>
      </c>
      <c r="AP25" t="n">
        <v>29.5</v>
      </c>
      <c r="AQ25" t="n">
        <v>0</v>
      </c>
      <c r="AR25" t="n">
        <v>56.57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203.67</v>
      </c>
      <c r="BC25" t="n">
        <v>0</v>
      </c>
      <c r="BD25" t="n">
        <v>415.83</v>
      </c>
      <c r="BE25" t="inlineStr">
        <is>
          <t>settled</t>
        </is>
      </c>
      <c r="BF25" t="inlineStr">
        <is>
          <t>2026-01-07 05:30:00</t>
        </is>
      </c>
      <c r="BG25" t="inlineStr">
        <is>
          <t>CITIN26602517885</t>
        </is>
      </c>
      <c r="BH25" t="n">
        <v>0</v>
      </c>
      <c r="BI25" t="inlineStr">
        <is>
          <t>29e1567ae2a078e35ca206eadc5575ee14d75c21db8f16af78ef4cb0dc6283d9</t>
        </is>
      </c>
    </row>
    <row r="26">
      <c r="A26" t="inlineStr">
        <is>
          <t>21</t>
        </is>
      </c>
      <c r="B26" t="inlineStr">
        <is>
          <t>7640347462</t>
        </is>
      </c>
      <c r="C26" t="inlineStr">
        <is>
          <t>2025-12-31 19:05:14</t>
        </is>
      </c>
      <c r="D26" t="inlineStr">
        <is>
          <t>1</t>
        </is>
      </c>
      <c r="E26" t="inlineStr">
        <is>
          <t>Baba Yaga Art Of Chinese - By Posh Foods</t>
        </is>
      </c>
      <c r="F26" t="inlineStr">
        <is>
          <t>20037890</t>
        </is>
      </c>
      <c r="G26" t="inlineStr">
        <is>
          <t>Flat ₹100 off (2025-12-21 - 2031-01-01)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9</t>
        </is>
      </c>
      <c r="O26" t="n">
        <v>210</v>
      </c>
      <c r="P26" t="n">
        <v>0</v>
      </c>
      <c r="Q26" t="n">
        <v>0</v>
      </c>
      <c r="R26" t="n">
        <v>70</v>
      </c>
      <c r="S26" t="n">
        <v>0</v>
      </c>
      <c r="T26" t="n">
        <v>0</v>
      </c>
      <c r="U26" t="n">
        <v>0</v>
      </c>
      <c r="V26" t="n">
        <v>7</v>
      </c>
      <c r="W26" t="n">
        <v>147</v>
      </c>
      <c r="X26" t="n">
        <v>140</v>
      </c>
      <c r="Y26" t="n">
        <v>0</v>
      </c>
      <c r="Z26" t="n">
        <v>0</v>
      </c>
      <c r="AA26" t="n">
        <v>140</v>
      </c>
      <c r="AB26" t="n">
        <v>23</v>
      </c>
      <c r="AC26" t="n">
        <v>32.2</v>
      </c>
      <c r="AD26" t="n">
        <v>1.42</v>
      </c>
      <c r="AE26" t="n">
        <v>0</v>
      </c>
      <c r="AF26" t="n">
        <v>0</v>
      </c>
      <c r="AG26" t="n">
        <v>0</v>
      </c>
      <c r="AH26" t="n">
        <v>2.7</v>
      </c>
      <c r="AI26" t="n">
        <v>34.9</v>
      </c>
      <c r="AJ26" t="n">
        <v>6.29</v>
      </c>
      <c r="AK26" t="n">
        <v>0</v>
      </c>
      <c r="AL26" t="n">
        <v>140</v>
      </c>
      <c r="AM26" t="n">
        <v>0</v>
      </c>
      <c r="AN26" t="n">
        <v>0</v>
      </c>
      <c r="AO26" t="n">
        <v>0.14</v>
      </c>
      <c r="AP26" t="n">
        <v>7</v>
      </c>
      <c r="AQ26" t="n">
        <v>0</v>
      </c>
      <c r="AR26" t="n">
        <v>13.43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16.52</v>
      </c>
      <c r="AY26" t="n">
        <v>0</v>
      </c>
      <c r="AZ26" t="n">
        <v>0</v>
      </c>
      <c r="BA26" t="n">
        <v>16.52</v>
      </c>
      <c r="BB26" t="n">
        <v>64.84999999999999</v>
      </c>
      <c r="BC26" t="n">
        <v>0</v>
      </c>
      <c r="BD26" t="n">
        <v>82.15000000000001</v>
      </c>
      <c r="BE26" t="inlineStr">
        <is>
          <t>settled</t>
        </is>
      </c>
      <c r="BF26" t="inlineStr">
        <is>
          <t>2026-01-07 05:30:00</t>
        </is>
      </c>
      <c r="BG26" t="inlineStr">
        <is>
          <t>CITIN26602517885</t>
        </is>
      </c>
      <c r="BH26" t="n">
        <v>0</v>
      </c>
      <c r="BI26" t="inlineStr">
        <is>
          <t>0b48bde3844e8a74804e483474cd4ec134761c1cbb67d704898787e158e8c316</t>
        </is>
      </c>
    </row>
    <row r="27">
      <c r="A27" t="inlineStr">
        <is>
          <t>22</t>
        </is>
      </c>
      <c r="B27" t="inlineStr">
        <is>
          <t>7640717507</t>
        </is>
      </c>
      <c r="C27" t="inlineStr">
        <is>
          <t>2025-12-31 19:27:15</t>
        </is>
      </c>
      <c r="D27" t="inlineStr">
        <is>
          <t>1</t>
        </is>
      </c>
      <c r="E27" t="inlineStr">
        <is>
          <t>Baba Yaga Art Of Chinese - By Posh Foods</t>
        </is>
      </c>
      <c r="F27" t="inlineStr">
        <is>
          <t>20037890</t>
        </is>
      </c>
      <c r="G27" t="inlineStr">
        <is>
          <t>Flat ₹200 off (2025-12-23 - 2031-01-01)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9</t>
        </is>
      </c>
      <c r="O27" t="n">
        <v>965</v>
      </c>
      <c r="P27" t="n">
        <v>0</v>
      </c>
      <c r="Q27" t="n">
        <v>0</v>
      </c>
      <c r="R27" t="n">
        <v>160</v>
      </c>
      <c r="S27" t="n">
        <v>76.5</v>
      </c>
      <c r="T27" t="n">
        <v>0</v>
      </c>
      <c r="U27" t="n">
        <v>0</v>
      </c>
      <c r="V27" t="n">
        <v>36.43</v>
      </c>
      <c r="W27" t="n">
        <v>764.9299999999999</v>
      </c>
      <c r="X27" t="n">
        <v>728.5</v>
      </c>
      <c r="Y27" t="n">
        <v>0</v>
      </c>
      <c r="Z27" t="n">
        <v>0</v>
      </c>
      <c r="AA27" t="n">
        <v>728.5</v>
      </c>
      <c r="AB27" t="n">
        <v>23</v>
      </c>
      <c r="AC27" t="n">
        <v>167.56</v>
      </c>
      <c r="AD27" t="n">
        <v>3.82</v>
      </c>
      <c r="AE27" t="n">
        <v>0</v>
      </c>
      <c r="AF27" t="n">
        <v>0</v>
      </c>
      <c r="AG27" t="n">
        <v>0</v>
      </c>
      <c r="AH27" t="n">
        <v>14.07</v>
      </c>
      <c r="AI27" t="n">
        <v>181.63</v>
      </c>
      <c r="AJ27" t="n">
        <v>32.69</v>
      </c>
      <c r="AK27" t="n">
        <v>0</v>
      </c>
      <c r="AL27" t="n">
        <v>728.5</v>
      </c>
      <c r="AM27" t="n">
        <v>0</v>
      </c>
      <c r="AN27" t="n">
        <v>0</v>
      </c>
      <c r="AO27" t="n">
        <v>0.73</v>
      </c>
      <c r="AP27" t="n">
        <v>36.42</v>
      </c>
      <c r="AQ27" t="n">
        <v>0.01</v>
      </c>
      <c r="AR27" t="n">
        <v>69.84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85.95999999999999</v>
      </c>
      <c r="AY27" t="n">
        <v>0</v>
      </c>
      <c r="AZ27" t="n">
        <v>0</v>
      </c>
      <c r="BA27" t="n">
        <v>85.95999999999999</v>
      </c>
      <c r="BB27" t="n">
        <v>337.43</v>
      </c>
      <c r="BC27" t="n">
        <v>0</v>
      </c>
      <c r="BD27" t="n">
        <v>427.5</v>
      </c>
      <c r="BE27" t="inlineStr">
        <is>
          <t>settled</t>
        </is>
      </c>
      <c r="BF27" t="inlineStr">
        <is>
          <t>2026-01-07 05:30:00</t>
        </is>
      </c>
      <c r="BG27" t="inlineStr">
        <is>
          <t>CITIN26602517885</t>
        </is>
      </c>
      <c r="BH27" t="n">
        <v>0</v>
      </c>
      <c r="BI27" t="inlineStr">
        <is>
          <t>9f059a7e53b0c7e06bd7edce86af190916cad0362d9c2e9517086e8744700141</t>
        </is>
      </c>
    </row>
    <row r="28">
      <c r="A28" t="inlineStr">
        <is>
          <t>23</t>
        </is>
      </c>
      <c r="B28" t="inlineStr">
        <is>
          <t>7638541739</t>
        </is>
      </c>
      <c r="C28" t="inlineStr">
        <is>
          <t>2025-12-31 19:53:00</t>
        </is>
      </c>
      <c r="D28" t="inlineStr">
        <is>
          <t>1</t>
        </is>
      </c>
      <c r="E28" t="inlineStr">
        <is>
          <t>Baba Yaga Art Of Chinese - By Posh Foods</t>
        </is>
      </c>
      <c r="F28" t="inlineStr">
        <is>
          <t>20037890</t>
        </is>
      </c>
      <c r="G28" t="inlineStr">
        <is>
          <t>Flat ₹150 off (2025-12-21 - 2031-01-01)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9</t>
        </is>
      </c>
      <c r="O28" t="n">
        <v>704</v>
      </c>
      <c r="P28" t="n">
        <v>0</v>
      </c>
      <c r="Q28" t="n">
        <v>0</v>
      </c>
      <c r="R28" t="n">
        <v>150</v>
      </c>
      <c r="S28" t="n">
        <v>55.4</v>
      </c>
      <c r="T28" t="n">
        <v>0</v>
      </c>
      <c r="U28" t="n">
        <v>0</v>
      </c>
      <c r="V28" t="n">
        <v>24.93</v>
      </c>
      <c r="W28" t="n">
        <v>523.53</v>
      </c>
      <c r="X28" t="n">
        <v>498.6</v>
      </c>
      <c r="Y28" t="n">
        <v>0</v>
      </c>
      <c r="Z28" t="n">
        <v>0</v>
      </c>
      <c r="AA28" t="n">
        <v>498.6</v>
      </c>
      <c r="AB28" t="n">
        <v>23</v>
      </c>
      <c r="AC28" t="n">
        <v>114.68</v>
      </c>
      <c r="AD28" t="n">
        <v>3.76</v>
      </c>
      <c r="AE28" t="n">
        <v>0</v>
      </c>
      <c r="AF28" t="n">
        <v>0</v>
      </c>
      <c r="AG28" t="n">
        <v>0</v>
      </c>
      <c r="AH28" t="n">
        <v>9.630000000000001</v>
      </c>
      <c r="AI28" t="n">
        <v>124.31</v>
      </c>
      <c r="AJ28" t="n">
        <v>22.37</v>
      </c>
      <c r="AK28" t="n">
        <v>0</v>
      </c>
      <c r="AL28" t="n">
        <v>498.6</v>
      </c>
      <c r="AM28" t="n">
        <v>0</v>
      </c>
      <c r="AN28" t="n">
        <v>0</v>
      </c>
      <c r="AO28" t="n">
        <v>0.5</v>
      </c>
      <c r="AP28" t="n">
        <v>24.93</v>
      </c>
      <c r="AQ28" t="n">
        <v>0</v>
      </c>
      <c r="AR28" t="n">
        <v>47.8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172.11</v>
      </c>
      <c r="BC28" t="n">
        <v>0</v>
      </c>
      <c r="BD28" t="n">
        <v>351.42</v>
      </c>
      <c r="BE28" t="inlineStr">
        <is>
          <t>settled</t>
        </is>
      </c>
      <c r="BF28" t="inlineStr">
        <is>
          <t>2026-01-07 05:30:00</t>
        </is>
      </c>
      <c r="BG28" t="inlineStr">
        <is>
          <t>CITIN26602517885</t>
        </is>
      </c>
      <c r="BH28" t="n">
        <v>0</v>
      </c>
      <c r="BI28" t="inlineStr">
        <is>
          <t>0fdb76e1208415c9cfd8c7a80f68480e9e327d3235a2e9411b75a656a9839a06</t>
        </is>
      </c>
    </row>
    <row r="29">
      <c r="A29" t="inlineStr">
        <is>
          <t>24</t>
        </is>
      </c>
      <c r="B29" t="inlineStr">
        <is>
          <t>7639912740</t>
        </is>
      </c>
      <c r="C29" t="inlineStr">
        <is>
          <t>2025-12-31 20:02:07</t>
        </is>
      </c>
      <c r="D29" t="inlineStr">
        <is>
          <t>1</t>
        </is>
      </c>
      <c r="E29" t="inlineStr">
        <is>
          <t>Baba Yaga Art Of Chinese - By Posh Foods</t>
        </is>
      </c>
      <c r="F29" t="inlineStr">
        <is>
          <t>20037890</t>
        </is>
      </c>
      <c r="G29" t="inlineStr">
        <is>
          <t>Flat ₹100 off (2025-12-31 - 2031-01-01)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9</t>
        </is>
      </c>
      <c r="O29" t="n">
        <v>335</v>
      </c>
      <c r="P29" t="n">
        <v>0</v>
      </c>
      <c r="Q29" t="n">
        <v>0</v>
      </c>
      <c r="R29" t="n">
        <v>80</v>
      </c>
      <c r="S29" t="n">
        <v>23.5</v>
      </c>
      <c r="T29" t="n">
        <v>0</v>
      </c>
      <c r="U29" t="n">
        <v>0</v>
      </c>
      <c r="V29" t="n">
        <v>11.58</v>
      </c>
      <c r="W29" t="n">
        <v>243.08</v>
      </c>
      <c r="X29" t="n">
        <v>231.5</v>
      </c>
      <c r="Y29" t="n">
        <v>0</v>
      </c>
      <c r="Z29" t="n">
        <v>0</v>
      </c>
      <c r="AA29" t="n">
        <v>231.5</v>
      </c>
      <c r="AB29" t="n">
        <v>23</v>
      </c>
      <c r="AC29" t="n">
        <v>53.24</v>
      </c>
      <c r="AD29" t="n">
        <v>3.61</v>
      </c>
      <c r="AE29" t="n">
        <v>0</v>
      </c>
      <c r="AF29" t="n">
        <v>0</v>
      </c>
      <c r="AG29" t="n">
        <v>0</v>
      </c>
      <c r="AH29" t="n">
        <v>4.47</v>
      </c>
      <c r="AI29" t="n">
        <v>57.71</v>
      </c>
      <c r="AJ29" t="n">
        <v>10.38</v>
      </c>
      <c r="AK29" t="n">
        <v>0</v>
      </c>
      <c r="AL29" t="n">
        <v>231.5</v>
      </c>
      <c r="AM29" t="n">
        <v>0</v>
      </c>
      <c r="AN29" t="n">
        <v>0</v>
      </c>
      <c r="AO29" t="n">
        <v>0.23</v>
      </c>
      <c r="AP29" t="n">
        <v>11.58</v>
      </c>
      <c r="AQ29" t="n">
        <v>0</v>
      </c>
      <c r="AR29" t="n">
        <v>22.19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79.90000000000001</v>
      </c>
      <c r="BC29" t="n">
        <v>0</v>
      </c>
      <c r="BD29" t="n">
        <v>163.18</v>
      </c>
      <c r="BE29" t="inlineStr">
        <is>
          <t>settled</t>
        </is>
      </c>
      <c r="BF29" t="inlineStr">
        <is>
          <t>2026-01-07 05:30:00</t>
        </is>
      </c>
      <c r="BG29" t="inlineStr">
        <is>
          <t>CITIN26602517885</t>
        </is>
      </c>
      <c r="BH29" t="n">
        <v>0</v>
      </c>
      <c r="BI29" t="inlineStr">
        <is>
          <t>3b059402297c994f6b66d759cca23856386649f2323c3128e5c079a558f3e4af</t>
        </is>
      </c>
    </row>
    <row r="30">
      <c r="A30" t="inlineStr">
        <is>
          <t>25</t>
        </is>
      </c>
      <c r="B30" t="inlineStr">
        <is>
          <t>7639791142</t>
        </is>
      </c>
      <c r="C30" t="inlineStr">
        <is>
          <t>2025-12-31 20:44:17</t>
        </is>
      </c>
      <c r="D30" t="inlineStr">
        <is>
          <t>1</t>
        </is>
      </c>
      <c r="E30" t="inlineStr">
        <is>
          <t>Baba Yaga Art Of Chinese - By Posh Foods</t>
        </is>
      </c>
      <c r="F30" t="inlineStr">
        <is>
          <t>20037890</t>
        </is>
      </c>
      <c r="G30" t="inlineStr">
        <is>
          <t>Flat ₹350 off (2025-12-22 - 2031-01-01)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9</t>
        </is>
      </c>
      <c r="O30" t="n">
        <v>1213</v>
      </c>
      <c r="P30" t="n">
        <v>0</v>
      </c>
      <c r="Q30" t="n">
        <v>0</v>
      </c>
      <c r="R30" t="n">
        <v>280</v>
      </c>
      <c r="S30" t="n">
        <v>0</v>
      </c>
      <c r="T30" t="n">
        <v>0</v>
      </c>
      <c r="U30" t="n">
        <v>0</v>
      </c>
      <c r="V30" t="n">
        <v>46.65</v>
      </c>
      <c r="W30" t="n">
        <v>979.65</v>
      </c>
      <c r="X30" t="n">
        <v>933</v>
      </c>
      <c r="Y30" t="n">
        <v>0</v>
      </c>
      <c r="Z30" t="n">
        <v>0</v>
      </c>
      <c r="AA30" t="n">
        <v>933</v>
      </c>
      <c r="AB30" t="n">
        <v>23</v>
      </c>
      <c r="AC30" t="n">
        <v>214.59</v>
      </c>
      <c r="AD30" t="n">
        <v>4.38</v>
      </c>
      <c r="AE30" t="n">
        <v>20</v>
      </c>
      <c r="AF30" t="n">
        <v>0</v>
      </c>
      <c r="AG30" t="n">
        <v>0</v>
      </c>
      <c r="AH30" t="n">
        <v>18.03</v>
      </c>
      <c r="AI30" t="n">
        <v>252.62</v>
      </c>
      <c r="AJ30" t="n">
        <v>45.48</v>
      </c>
      <c r="AK30" t="n">
        <v>0</v>
      </c>
      <c r="AL30" t="n">
        <v>933</v>
      </c>
      <c r="AM30" t="n">
        <v>0</v>
      </c>
      <c r="AN30" t="n">
        <v>0</v>
      </c>
      <c r="AO30" t="n">
        <v>0.93</v>
      </c>
      <c r="AP30" t="n">
        <v>46.65</v>
      </c>
      <c r="AQ30" t="n">
        <v>0</v>
      </c>
      <c r="AR30" t="n">
        <v>93.06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345.68</v>
      </c>
      <c r="BC30" t="n">
        <v>0</v>
      </c>
      <c r="BD30" t="n">
        <v>633.97</v>
      </c>
      <c r="BE30" t="inlineStr">
        <is>
          <t>settled</t>
        </is>
      </c>
      <c r="BF30" t="inlineStr">
        <is>
          <t>2026-01-07 05:30:00</t>
        </is>
      </c>
      <c r="BG30" t="inlineStr">
        <is>
          <t>CITIN26602517885</t>
        </is>
      </c>
      <c r="BH30" t="n">
        <v>0</v>
      </c>
      <c r="BI30" t="inlineStr">
        <is>
          <t>bf9c0c132cb2240fe31db2541d32e5e288dd330ab5ac4d4c84d9509c6314502e</t>
        </is>
      </c>
    </row>
    <row r="31">
      <c r="A31" t="inlineStr">
        <is>
          <t>26</t>
        </is>
      </c>
      <c r="B31" t="inlineStr">
        <is>
          <t>7640563388</t>
        </is>
      </c>
      <c r="C31" t="inlineStr">
        <is>
          <t>2025-12-31 20:49:07</t>
        </is>
      </c>
      <c r="D31" t="inlineStr">
        <is>
          <t>1</t>
        </is>
      </c>
      <c r="E31" t="inlineStr">
        <is>
          <t>Baba Yaga Art Of Chinese - By Posh Foods</t>
        </is>
      </c>
      <c r="F31" t="inlineStr">
        <is>
          <t>20037890</t>
        </is>
      </c>
      <c r="G31" t="inlineStr">
        <is>
          <t>Flat ₹125 off (2025-12-21 - 2031-01-01)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9</t>
        </is>
      </c>
      <c r="O31" t="n">
        <v>530</v>
      </c>
      <c r="P31" t="n">
        <v>0</v>
      </c>
      <c r="Q31" t="n">
        <v>0</v>
      </c>
      <c r="R31" t="n">
        <v>125</v>
      </c>
      <c r="S31" t="n">
        <v>40.5</v>
      </c>
      <c r="T31" t="n">
        <v>0</v>
      </c>
      <c r="U31" t="n">
        <v>0</v>
      </c>
      <c r="V31" t="n">
        <v>18.23</v>
      </c>
      <c r="W31" t="n">
        <v>382.73</v>
      </c>
      <c r="X31" t="n">
        <v>364.5</v>
      </c>
      <c r="Y31" t="n">
        <v>0</v>
      </c>
      <c r="Z31" t="n">
        <v>0</v>
      </c>
      <c r="AA31" t="n">
        <v>364.5</v>
      </c>
      <c r="AB31" t="n">
        <v>23</v>
      </c>
      <c r="AC31" t="n">
        <v>83.84</v>
      </c>
      <c r="AD31" t="n">
        <v>0.27</v>
      </c>
      <c r="AE31" t="n">
        <v>0</v>
      </c>
      <c r="AF31" t="n">
        <v>0</v>
      </c>
      <c r="AG31" t="n">
        <v>0</v>
      </c>
      <c r="AH31" t="n">
        <v>7.04</v>
      </c>
      <c r="AI31" t="n">
        <v>90.88</v>
      </c>
      <c r="AJ31" t="n">
        <v>16.36</v>
      </c>
      <c r="AK31" t="n">
        <v>0</v>
      </c>
      <c r="AL31" t="n">
        <v>364.5</v>
      </c>
      <c r="AM31" t="n">
        <v>0</v>
      </c>
      <c r="AN31" t="n">
        <v>0</v>
      </c>
      <c r="AO31" t="n">
        <v>0.36</v>
      </c>
      <c r="AP31" t="n">
        <v>18.22</v>
      </c>
      <c r="AQ31" t="n">
        <v>0.01</v>
      </c>
      <c r="AR31" t="n">
        <v>34.94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125.82</v>
      </c>
      <c r="BC31" t="n">
        <v>0</v>
      </c>
      <c r="BD31" t="n">
        <v>256.91</v>
      </c>
      <c r="BE31" t="inlineStr">
        <is>
          <t>settled</t>
        </is>
      </c>
      <c r="BF31" t="inlineStr">
        <is>
          <t>2026-01-07 05:30:00</t>
        </is>
      </c>
      <c r="BG31" t="inlineStr">
        <is>
          <t>CITIN26602517885</t>
        </is>
      </c>
      <c r="BH31" t="n">
        <v>0</v>
      </c>
      <c r="BI31" t="inlineStr">
        <is>
          <t>d90b6c9da17233c1926a231675ab7830baaf5c6de2c78e3540bd722a0a1b4f0b</t>
        </is>
      </c>
    </row>
    <row r="32">
      <c r="A32" t="inlineStr">
        <is>
          <t>27</t>
        </is>
      </c>
      <c r="B32" t="inlineStr">
        <is>
          <t>7642142303</t>
        </is>
      </c>
      <c r="C32" t="inlineStr">
        <is>
          <t>2025-12-31 21:23:12</t>
        </is>
      </c>
      <c r="D32" t="inlineStr">
        <is>
          <t>1</t>
        </is>
      </c>
      <c r="E32" t="inlineStr">
        <is>
          <t>Baba Yaga Art Of Chinese - By Posh Foods</t>
        </is>
      </c>
      <c r="F32" t="inlineStr">
        <is>
          <t>20037890</t>
        </is>
      </c>
      <c r="G32" t="inlineStr">
        <is>
          <t>Flat ₹100 off (2025-12-21 - 2031-01-01)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9</t>
        </is>
      </c>
      <c r="O32" t="n">
        <v>405</v>
      </c>
      <c r="P32" t="n">
        <v>0</v>
      </c>
      <c r="Q32" t="n">
        <v>0</v>
      </c>
      <c r="R32" t="n">
        <v>70</v>
      </c>
      <c r="S32" t="n">
        <v>25.5</v>
      </c>
      <c r="T32" t="n">
        <v>0</v>
      </c>
      <c r="U32" t="n">
        <v>0</v>
      </c>
      <c r="V32" t="n">
        <v>15.48</v>
      </c>
      <c r="W32" t="n">
        <v>324.98</v>
      </c>
      <c r="X32" t="n">
        <v>309.5</v>
      </c>
      <c r="Y32" t="n">
        <v>0</v>
      </c>
      <c r="Z32" t="n">
        <v>0</v>
      </c>
      <c r="AA32" t="n">
        <v>309.5</v>
      </c>
      <c r="AB32" t="n">
        <v>23</v>
      </c>
      <c r="AC32" t="n">
        <v>71.18000000000001</v>
      </c>
      <c r="AD32" t="n">
        <v>0.54</v>
      </c>
      <c r="AE32" t="n">
        <v>0</v>
      </c>
      <c r="AF32" t="n">
        <v>0</v>
      </c>
      <c r="AG32" t="n">
        <v>0</v>
      </c>
      <c r="AH32" t="n">
        <v>5.98</v>
      </c>
      <c r="AI32" t="n">
        <v>77.16</v>
      </c>
      <c r="AJ32" t="n">
        <v>13.89</v>
      </c>
      <c r="AK32" t="n">
        <v>0</v>
      </c>
      <c r="AL32" t="n">
        <v>309.5</v>
      </c>
      <c r="AM32" t="n">
        <v>0</v>
      </c>
      <c r="AN32" t="n">
        <v>0</v>
      </c>
      <c r="AO32" t="n">
        <v>0.31</v>
      </c>
      <c r="AP32" t="n">
        <v>15.48</v>
      </c>
      <c r="AQ32" t="n">
        <v>0</v>
      </c>
      <c r="AR32" t="n">
        <v>29.68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36.52</v>
      </c>
      <c r="AY32" t="n">
        <v>0</v>
      </c>
      <c r="AZ32" t="n">
        <v>0</v>
      </c>
      <c r="BA32" t="n">
        <v>36.52</v>
      </c>
      <c r="BB32" t="n">
        <v>143.36</v>
      </c>
      <c r="BC32" t="n">
        <v>0</v>
      </c>
      <c r="BD32" t="n">
        <v>181.62</v>
      </c>
      <c r="BE32" t="inlineStr">
        <is>
          <t>settled</t>
        </is>
      </c>
      <c r="BF32" t="inlineStr">
        <is>
          <t>2026-01-07 05:30:00</t>
        </is>
      </c>
      <c r="BG32" t="inlineStr">
        <is>
          <t>CITIN26602517885</t>
        </is>
      </c>
      <c r="BH32" t="n">
        <v>0</v>
      </c>
      <c r="BI32" t="inlineStr">
        <is>
          <t>2d5964a6155347c07b620f783fdee754b5cce2cf9d2a90b45024c1d9b8dce177</t>
        </is>
      </c>
    </row>
    <row r="33">
      <c r="A33" t="inlineStr">
        <is>
          <t>28</t>
        </is>
      </c>
      <c r="B33" t="inlineStr">
        <is>
          <t>7642039556</t>
        </is>
      </c>
      <c r="C33" t="inlineStr">
        <is>
          <t>2025-12-31 21:26:58</t>
        </is>
      </c>
      <c r="D33" t="inlineStr">
        <is>
          <t>1</t>
        </is>
      </c>
      <c r="E33" t="inlineStr">
        <is>
          <t>Baba Yaga Art Of Chinese - By Posh Foods</t>
        </is>
      </c>
      <c r="F33" t="inlineStr">
        <is>
          <t>20037890</t>
        </is>
      </c>
      <c r="G33" t="inlineStr">
        <is>
          <t>Flat ₹350 off (2025-12-22 - 2031-01-01)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9</t>
        </is>
      </c>
      <c r="O33" t="n">
        <v>1584</v>
      </c>
      <c r="P33" t="n">
        <v>0</v>
      </c>
      <c r="Q33" t="n">
        <v>0</v>
      </c>
      <c r="R33" t="n">
        <v>280</v>
      </c>
      <c r="S33" t="n">
        <v>123.4</v>
      </c>
      <c r="T33" t="n">
        <v>0</v>
      </c>
      <c r="U33" t="n">
        <v>0</v>
      </c>
      <c r="V33" t="n">
        <v>59.03</v>
      </c>
      <c r="W33" t="n">
        <v>1239.63</v>
      </c>
      <c r="X33" t="n">
        <v>1180.6</v>
      </c>
      <c r="Y33" t="n">
        <v>0</v>
      </c>
      <c r="Z33" t="n">
        <v>0</v>
      </c>
      <c r="AA33" t="n">
        <v>1180.6</v>
      </c>
      <c r="AB33" t="n">
        <v>23</v>
      </c>
      <c r="AC33" t="n">
        <v>271.54</v>
      </c>
      <c r="AD33" t="n">
        <v>3.55</v>
      </c>
      <c r="AE33" t="n">
        <v>0</v>
      </c>
      <c r="AF33" t="n">
        <v>0</v>
      </c>
      <c r="AG33" t="n">
        <v>0</v>
      </c>
      <c r="AH33" t="n">
        <v>22.81</v>
      </c>
      <c r="AI33" t="n">
        <v>294.35</v>
      </c>
      <c r="AJ33" t="n">
        <v>52.99</v>
      </c>
      <c r="AK33" t="n">
        <v>0</v>
      </c>
      <c r="AL33" t="n">
        <v>1180.6</v>
      </c>
      <c r="AM33" t="n">
        <v>0</v>
      </c>
      <c r="AN33" t="n">
        <v>0</v>
      </c>
      <c r="AO33" t="n">
        <v>1.18</v>
      </c>
      <c r="AP33" t="n">
        <v>59.03</v>
      </c>
      <c r="AQ33" t="n">
        <v>0</v>
      </c>
      <c r="AR33" t="n">
        <v>113.2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139.31</v>
      </c>
      <c r="AY33" t="n">
        <v>0</v>
      </c>
      <c r="AZ33" t="n">
        <v>0</v>
      </c>
      <c r="BA33" t="n">
        <v>139.31</v>
      </c>
      <c r="BB33" t="n">
        <v>546.86</v>
      </c>
      <c r="BC33" t="n">
        <v>0</v>
      </c>
      <c r="BD33" t="n">
        <v>692.77</v>
      </c>
      <c r="BE33" t="inlineStr">
        <is>
          <t>settled</t>
        </is>
      </c>
      <c r="BF33" t="inlineStr">
        <is>
          <t>2026-01-07 05:30:00</t>
        </is>
      </c>
      <c r="BG33" t="inlineStr">
        <is>
          <t>CITIN26602517885</t>
        </is>
      </c>
      <c r="BH33" t="n">
        <v>0</v>
      </c>
      <c r="BI33" t="inlineStr">
        <is>
          <t>77b324e392a2ca407fd2f6f4278124af52932965d9a9ab3e8611e0875718e562</t>
        </is>
      </c>
    </row>
    <row r="34">
      <c r="A34" t="inlineStr">
        <is>
          <t>29</t>
        </is>
      </c>
      <c r="B34" t="inlineStr">
        <is>
          <t>7637766507</t>
        </is>
      </c>
      <c r="C34" t="inlineStr">
        <is>
          <t>2025-12-31 21:52:36</t>
        </is>
      </c>
      <c r="D34" t="inlineStr">
        <is>
          <t>1</t>
        </is>
      </c>
      <c r="E34" t="inlineStr">
        <is>
          <t>Baba Yaga Art Of Chinese - By Posh Foods</t>
        </is>
      </c>
      <c r="F34" t="inlineStr">
        <is>
          <t>20037890</t>
        </is>
      </c>
      <c r="G34" t="inlineStr">
        <is>
          <t>Flat ₹300 off (2025-12-22 - 2031-01-01)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9</t>
        </is>
      </c>
      <c r="O34" t="n">
        <v>829</v>
      </c>
      <c r="P34" t="n">
        <v>0</v>
      </c>
      <c r="Q34" t="n">
        <v>0</v>
      </c>
      <c r="R34" t="n">
        <v>240</v>
      </c>
      <c r="S34" t="n">
        <v>52.9</v>
      </c>
      <c r="T34" t="n">
        <v>0</v>
      </c>
      <c r="U34" t="n">
        <v>0</v>
      </c>
      <c r="V34" t="n">
        <v>26.81</v>
      </c>
      <c r="W34" t="n">
        <v>562.91</v>
      </c>
      <c r="X34" t="n">
        <v>536.1</v>
      </c>
      <c r="Y34" t="n">
        <v>0</v>
      </c>
      <c r="Z34" t="n">
        <v>0</v>
      </c>
      <c r="AA34" t="n">
        <v>536.1</v>
      </c>
      <c r="AB34" t="n">
        <v>23</v>
      </c>
      <c r="AC34" t="n">
        <v>123.3</v>
      </c>
      <c r="AD34" t="n">
        <v>1.9</v>
      </c>
      <c r="AE34" t="n">
        <v>0</v>
      </c>
      <c r="AF34" t="n">
        <v>0</v>
      </c>
      <c r="AG34" t="n">
        <v>0</v>
      </c>
      <c r="AH34" t="n">
        <v>10.36</v>
      </c>
      <c r="AI34" t="n">
        <v>133.66</v>
      </c>
      <c r="AJ34" t="n">
        <v>24.05</v>
      </c>
      <c r="AK34" t="n">
        <v>0</v>
      </c>
      <c r="AL34" t="n">
        <v>536.1</v>
      </c>
      <c r="AM34" t="n">
        <v>0</v>
      </c>
      <c r="AN34" t="n">
        <v>0</v>
      </c>
      <c r="AO34" t="n">
        <v>0.54</v>
      </c>
      <c r="AP34" t="n">
        <v>26.8</v>
      </c>
      <c r="AQ34" t="n">
        <v>0.01</v>
      </c>
      <c r="AR34" t="n">
        <v>51.39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63.26</v>
      </c>
      <c r="AY34" t="n">
        <v>0</v>
      </c>
      <c r="AZ34" t="n">
        <v>0</v>
      </c>
      <c r="BA34" t="n">
        <v>63.26</v>
      </c>
      <c r="BB34" t="n">
        <v>248.31</v>
      </c>
      <c r="BC34" t="n">
        <v>0</v>
      </c>
      <c r="BD34" t="n">
        <v>314.6</v>
      </c>
      <c r="BE34" t="inlineStr">
        <is>
          <t>settled</t>
        </is>
      </c>
      <c r="BF34" t="inlineStr">
        <is>
          <t>2026-01-07 05:30:00</t>
        </is>
      </c>
      <c r="BG34" t="inlineStr">
        <is>
          <t>CITIN26602517885</t>
        </is>
      </c>
      <c r="BH34" t="n">
        <v>0</v>
      </c>
      <c r="BI34" t="inlineStr">
        <is>
          <t>051fe0686df4e73c9fd0568d578680bda39f6a7cd2575e3323316f6d73fb6b96</t>
        </is>
      </c>
    </row>
    <row r="35">
      <c r="A35" t="inlineStr">
        <is>
          <t>30</t>
        </is>
      </c>
      <c r="B35" t="inlineStr">
        <is>
          <t>7642684682</t>
        </is>
      </c>
      <c r="C35" t="inlineStr">
        <is>
          <t>2025-12-31 21:54:32</t>
        </is>
      </c>
      <c r="D35" t="inlineStr">
        <is>
          <t>1</t>
        </is>
      </c>
      <c r="E35" t="inlineStr">
        <is>
          <t>Baba Yaga Art Of Chinese - By Posh Foods</t>
        </is>
      </c>
      <c r="F35" t="inlineStr">
        <is>
          <t>20037890</t>
        </is>
      </c>
      <c r="G35" t="inlineStr">
        <is>
          <t>Flat ₹300 off (2025-12-22 - 2031-01-01)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9</t>
        </is>
      </c>
      <c r="O35" t="n">
        <v>800</v>
      </c>
      <c r="P35" t="n">
        <v>0</v>
      </c>
      <c r="Q35" t="n">
        <v>0</v>
      </c>
      <c r="R35" t="n">
        <v>240</v>
      </c>
      <c r="S35" t="n">
        <v>50</v>
      </c>
      <c r="T35" t="n">
        <v>0</v>
      </c>
      <c r="U35" t="n">
        <v>0</v>
      </c>
      <c r="V35" t="n">
        <v>25.5</v>
      </c>
      <c r="W35" t="n">
        <v>535.5</v>
      </c>
      <c r="X35" t="n">
        <v>510</v>
      </c>
      <c r="Y35" t="n">
        <v>0</v>
      </c>
      <c r="Z35" t="n">
        <v>0</v>
      </c>
      <c r="AA35" t="n">
        <v>510</v>
      </c>
      <c r="AB35" t="n">
        <v>23</v>
      </c>
      <c r="AC35" t="n">
        <v>117.3</v>
      </c>
      <c r="AD35" t="n">
        <v>3.29</v>
      </c>
      <c r="AE35" t="n">
        <v>0</v>
      </c>
      <c r="AF35" t="n">
        <v>0</v>
      </c>
      <c r="AG35" t="n">
        <v>0</v>
      </c>
      <c r="AH35" t="n">
        <v>9.85</v>
      </c>
      <c r="AI35" t="n">
        <v>127.15</v>
      </c>
      <c r="AJ35" t="n">
        <v>22.88</v>
      </c>
      <c r="AK35" t="n">
        <v>0</v>
      </c>
      <c r="AL35" t="n">
        <v>510</v>
      </c>
      <c r="AM35" t="n">
        <v>0</v>
      </c>
      <c r="AN35" t="n">
        <v>0</v>
      </c>
      <c r="AO35" t="n">
        <v>0.51</v>
      </c>
      <c r="AP35" t="n">
        <v>25.5</v>
      </c>
      <c r="AQ35" t="n">
        <v>0</v>
      </c>
      <c r="AR35" t="n">
        <v>48.89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60.18</v>
      </c>
      <c r="AY35" t="n">
        <v>0</v>
      </c>
      <c r="AZ35" t="n">
        <v>0</v>
      </c>
      <c r="BA35" t="n">
        <v>60.18</v>
      </c>
      <c r="BB35" t="n">
        <v>236.22</v>
      </c>
      <c r="BC35" t="n">
        <v>0</v>
      </c>
      <c r="BD35" t="n">
        <v>299.28</v>
      </c>
      <c r="BE35" t="inlineStr">
        <is>
          <t>settled</t>
        </is>
      </c>
      <c r="BF35" t="inlineStr">
        <is>
          <t>2026-01-07 05:30:00</t>
        </is>
      </c>
      <c r="BG35" t="inlineStr">
        <is>
          <t>CITIN26602517885</t>
        </is>
      </c>
      <c r="BH35" t="n">
        <v>0</v>
      </c>
      <c r="BI35" t="inlineStr">
        <is>
          <t>e1211bcac9b520c1a9aec25447e0fe7cac696d054885c886f47cd76ec39d7529</t>
        </is>
      </c>
    </row>
    <row r="36">
      <c r="A36" t="inlineStr">
        <is>
          <t>31</t>
        </is>
      </c>
      <c r="B36" t="inlineStr">
        <is>
          <t>7642354076</t>
        </is>
      </c>
      <c r="C36" t="inlineStr">
        <is>
          <t>2025-12-31 22:03:03</t>
        </is>
      </c>
      <c r="D36" t="inlineStr">
        <is>
          <t>1</t>
        </is>
      </c>
      <c r="E36" t="inlineStr">
        <is>
          <t>Baba Yaga Art Of Chinese - By Posh Foods</t>
        </is>
      </c>
      <c r="F36" t="inlineStr">
        <is>
          <t>20037890</t>
        </is>
      </c>
      <c r="G36" t="inlineStr">
        <is>
          <t>Flat ₹300 off (2025-12-22 - 2031-01-01)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9</t>
        </is>
      </c>
      <c r="O36" t="n">
        <v>864</v>
      </c>
      <c r="P36" t="n">
        <v>0</v>
      </c>
      <c r="Q36" t="n">
        <v>0</v>
      </c>
      <c r="R36" t="n">
        <v>240</v>
      </c>
      <c r="S36" t="n">
        <v>56.4</v>
      </c>
      <c r="T36" t="n">
        <v>0</v>
      </c>
      <c r="U36" t="n">
        <v>0</v>
      </c>
      <c r="V36" t="n">
        <v>28.38</v>
      </c>
      <c r="W36" t="n">
        <v>595.98</v>
      </c>
      <c r="X36" t="n">
        <v>567.6</v>
      </c>
      <c r="Y36" t="n">
        <v>0</v>
      </c>
      <c r="Z36" t="n">
        <v>0</v>
      </c>
      <c r="AA36" t="n">
        <v>567.6</v>
      </c>
      <c r="AB36" t="n">
        <v>23</v>
      </c>
      <c r="AC36" t="n">
        <v>130.55</v>
      </c>
      <c r="AD36" t="n">
        <v>5.83</v>
      </c>
      <c r="AE36" t="n">
        <v>20</v>
      </c>
      <c r="AF36" t="n">
        <v>0</v>
      </c>
      <c r="AG36" t="n">
        <v>0</v>
      </c>
      <c r="AH36" t="n">
        <v>10.97</v>
      </c>
      <c r="AI36" t="n">
        <v>161.52</v>
      </c>
      <c r="AJ36" t="n">
        <v>29.07</v>
      </c>
      <c r="AK36" t="n">
        <v>0</v>
      </c>
      <c r="AL36" t="n">
        <v>567.6</v>
      </c>
      <c r="AM36" t="n">
        <v>0</v>
      </c>
      <c r="AN36" t="n">
        <v>0</v>
      </c>
      <c r="AO36" t="n">
        <v>0.57</v>
      </c>
      <c r="AP36" t="n">
        <v>28.38</v>
      </c>
      <c r="AQ36" t="n">
        <v>0</v>
      </c>
      <c r="AR36" t="n">
        <v>58.02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66.98</v>
      </c>
      <c r="AY36" t="n">
        <v>0</v>
      </c>
      <c r="AZ36" t="n">
        <v>0</v>
      </c>
      <c r="BA36" t="n">
        <v>66.98</v>
      </c>
      <c r="BB36" t="n">
        <v>286.52</v>
      </c>
      <c r="BC36" t="n">
        <v>0</v>
      </c>
      <c r="BD36" t="n">
        <v>309.46</v>
      </c>
      <c r="BE36" t="inlineStr">
        <is>
          <t>settled</t>
        </is>
      </c>
      <c r="BF36" t="inlineStr">
        <is>
          <t>2026-01-07 05:30:00</t>
        </is>
      </c>
      <c r="BG36" t="inlineStr">
        <is>
          <t>CITIN26602517885</t>
        </is>
      </c>
      <c r="BH36" t="n">
        <v>0</v>
      </c>
      <c r="BI36" t="inlineStr">
        <is>
          <t>a2e0110261634d60097baa14043c6a2f7d0750d8267f0db20036372d72b9bf3c</t>
        </is>
      </c>
    </row>
    <row r="37">
      <c r="A37" t="inlineStr">
        <is>
          <t>32</t>
        </is>
      </c>
      <c r="B37" t="inlineStr">
        <is>
          <t>7641354580</t>
        </is>
      </c>
      <c r="C37" t="inlineStr">
        <is>
          <t>2025-12-31 22:26:10</t>
        </is>
      </c>
      <c r="D37" t="inlineStr">
        <is>
          <t>1</t>
        </is>
      </c>
      <c r="E37" t="inlineStr">
        <is>
          <t>Baba Yaga Art Of Chinese - By Posh Foods</t>
        </is>
      </c>
      <c r="F37" t="inlineStr">
        <is>
          <t>20037890</t>
        </is>
      </c>
      <c r="G37" t="inlineStr">
        <is>
          <t>Flat ₹100 off (2025-12-21 - 2031-01-01)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9</t>
        </is>
      </c>
      <c r="O37" t="n">
        <v>265</v>
      </c>
      <c r="P37" t="n">
        <v>0</v>
      </c>
      <c r="Q37" t="n">
        <v>0</v>
      </c>
      <c r="R37" t="n">
        <v>70</v>
      </c>
      <c r="S37" t="n">
        <v>0</v>
      </c>
      <c r="T37" t="n">
        <v>0</v>
      </c>
      <c r="U37" t="n">
        <v>0</v>
      </c>
      <c r="V37" t="n">
        <v>9.75</v>
      </c>
      <c r="W37" t="n">
        <v>204.75</v>
      </c>
      <c r="X37" t="n">
        <v>195</v>
      </c>
      <c r="Y37" t="n">
        <v>0</v>
      </c>
      <c r="Z37" t="n">
        <v>0</v>
      </c>
      <c r="AA37" t="n">
        <v>195</v>
      </c>
      <c r="AB37" t="n">
        <v>23</v>
      </c>
      <c r="AC37" t="n">
        <v>44.85</v>
      </c>
      <c r="AD37" t="n">
        <v>2.42</v>
      </c>
      <c r="AE37" t="n">
        <v>0</v>
      </c>
      <c r="AF37" t="n">
        <v>0</v>
      </c>
      <c r="AG37" t="n">
        <v>0</v>
      </c>
      <c r="AH37" t="n">
        <v>3.77</v>
      </c>
      <c r="AI37" t="n">
        <v>48.62</v>
      </c>
      <c r="AJ37" t="n">
        <v>8.75</v>
      </c>
      <c r="AK37" t="n">
        <v>0</v>
      </c>
      <c r="AL37" t="n">
        <v>195</v>
      </c>
      <c r="AM37" t="n">
        <v>0</v>
      </c>
      <c r="AN37" t="n">
        <v>0</v>
      </c>
      <c r="AO37" t="n">
        <v>0.2</v>
      </c>
      <c r="AP37" t="n">
        <v>9.75</v>
      </c>
      <c r="AQ37" t="n">
        <v>0</v>
      </c>
      <c r="AR37" t="n">
        <v>18.7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23.01</v>
      </c>
      <c r="AY37" t="n">
        <v>0</v>
      </c>
      <c r="AZ37" t="n">
        <v>0</v>
      </c>
      <c r="BA37" t="n">
        <v>23.01</v>
      </c>
      <c r="BB37" t="n">
        <v>90.33</v>
      </c>
      <c r="BC37" t="n">
        <v>0</v>
      </c>
      <c r="BD37" t="n">
        <v>114.42</v>
      </c>
      <c r="BE37" t="inlineStr">
        <is>
          <t>settled</t>
        </is>
      </c>
      <c r="BF37" t="inlineStr">
        <is>
          <t>2026-01-07 05:30:00</t>
        </is>
      </c>
      <c r="BG37" t="inlineStr">
        <is>
          <t>CITIN26602517885</t>
        </is>
      </c>
      <c r="BH37" t="n">
        <v>0</v>
      </c>
      <c r="BI37" t="inlineStr">
        <is>
          <t>6160f55eff059c5362c298945022e68f5106ef821ac7f2a78e56019a8408db5d</t>
        </is>
      </c>
    </row>
    <row r="38">
      <c r="A38" t="inlineStr">
        <is>
          <t>33</t>
        </is>
      </c>
      <c r="B38" t="inlineStr">
        <is>
          <t>7628704279</t>
        </is>
      </c>
      <c r="C38" t="inlineStr">
        <is>
          <t>2025-12-31 22:31:17</t>
        </is>
      </c>
      <c r="D38" t="inlineStr">
        <is>
          <t>1</t>
        </is>
      </c>
      <c r="E38" t="inlineStr">
        <is>
          <t>Baba Yaga Art Of Chinese - By Posh Foods</t>
        </is>
      </c>
      <c r="F38" t="inlineStr">
        <is>
          <t>20037890</t>
        </is>
      </c>
      <c r="G38" t="inlineStr">
        <is>
          <t>Flat ₹100 off (2025-12-21 - 2031-01-01)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9</t>
        </is>
      </c>
      <c r="O38" t="n">
        <v>265</v>
      </c>
      <c r="P38" t="n">
        <v>0</v>
      </c>
      <c r="Q38" t="n">
        <v>0</v>
      </c>
      <c r="R38" t="n">
        <v>70</v>
      </c>
      <c r="S38" t="n">
        <v>0</v>
      </c>
      <c r="T38" t="n">
        <v>0</v>
      </c>
      <c r="U38" t="n">
        <v>0</v>
      </c>
      <c r="V38" t="n">
        <v>9.75</v>
      </c>
      <c r="W38" t="n">
        <v>204.75</v>
      </c>
      <c r="X38" t="n">
        <v>195</v>
      </c>
      <c r="Y38" t="n">
        <v>0</v>
      </c>
      <c r="Z38" t="n">
        <v>0</v>
      </c>
      <c r="AA38" t="n">
        <v>195</v>
      </c>
      <c r="AB38" t="n">
        <v>23</v>
      </c>
      <c r="AC38" t="n">
        <v>44.85</v>
      </c>
      <c r="AD38" t="n">
        <v>3.08</v>
      </c>
      <c r="AE38" t="n">
        <v>0</v>
      </c>
      <c r="AF38" t="n">
        <v>0</v>
      </c>
      <c r="AG38" t="n">
        <v>0</v>
      </c>
      <c r="AH38" t="n">
        <v>3.77</v>
      </c>
      <c r="AI38" t="n">
        <v>48.62</v>
      </c>
      <c r="AJ38" t="n">
        <v>8.75</v>
      </c>
      <c r="AK38" t="n">
        <v>0</v>
      </c>
      <c r="AL38" t="n">
        <v>195</v>
      </c>
      <c r="AM38" t="n">
        <v>0</v>
      </c>
      <c r="AN38" t="n">
        <v>0</v>
      </c>
      <c r="AO38" t="n">
        <v>0.2</v>
      </c>
      <c r="AP38" t="n">
        <v>9.75</v>
      </c>
      <c r="AQ38" t="n">
        <v>0</v>
      </c>
      <c r="AR38" t="n">
        <v>18.7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67.31999999999999</v>
      </c>
      <c r="BC38" t="n">
        <v>0</v>
      </c>
      <c r="BD38" t="n">
        <v>137.43</v>
      </c>
      <c r="BE38" t="inlineStr">
        <is>
          <t>settled</t>
        </is>
      </c>
      <c r="BF38" t="inlineStr">
        <is>
          <t>2026-01-07 05:30:00</t>
        </is>
      </c>
      <c r="BG38" t="inlineStr">
        <is>
          <t>CITIN26602517885</t>
        </is>
      </c>
      <c r="BH38" t="n">
        <v>0</v>
      </c>
      <c r="BI38" t="inlineStr">
        <is>
          <t>5a5eee05067ad02cddd26bf7cd077ec9d6862cec3afaf7d7022dcf62a4475b48</t>
        </is>
      </c>
    </row>
    <row r="39">
      <c r="A39" t="inlineStr">
        <is>
          <t>34</t>
        </is>
      </c>
      <c r="B39" t="inlineStr">
        <is>
          <t>7643168054</t>
        </is>
      </c>
      <c r="C39" t="inlineStr">
        <is>
          <t>2025-12-31 22:46:50</t>
        </is>
      </c>
      <c r="D39" t="inlineStr">
        <is>
          <t>1</t>
        </is>
      </c>
      <c r="E39" t="inlineStr">
        <is>
          <t>Baba Yaga Art Of Chinese - By Posh Foods</t>
        </is>
      </c>
      <c r="F39" t="inlineStr">
        <is>
          <t>20037890</t>
        </is>
      </c>
      <c r="G39" t="inlineStr">
        <is>
          <t>NA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9</t>
        </is>
      </c>
      <c r="O39" t="n">
        <v>869</v>
      </c>
      <c r="P39" t="n">
        <v>0</v>
      </c>
      <c r="Q39" t="n">
        <v>0</v>
      </c>
      <c r="R39" t="n">
        <v>0</v>
      </c>
      <c r="S39" t="n">
        <v>86.90000000000001</v>
      </c>
      <c r="T39" t="n">
        <v>0</v>
      </c>
      <c r="U39" t="n">
        <v>0</v>
      </c>
      <c r="V39" t="n">
        <v>39.11</v>
      </c>
      <c r="W39" t="n">
        <v>821.21</v>
      </c>
      <c r="X39" t="n">
        <v>782.1</v>
      </c>
      <c r="Y39" t="n">
        <v>0</v>
      </c>
      <c r="Z39" t="n">
        <v>0</v>
      </c>
      <c r="AA39" t="n">
        <v>782.1</v>
      </c>
      <c r="AB39" t="n">
        <v>23</v>
      </c>
      <c r="AC39" t="n">
        <v>179.88</v>
      </c>
      <c r="AD39" t="n">
        <v>2.59</v>
      </c>
      <c r="AE39" t="n">
        <v>0</v>
      </c>
      <c r="AF39" t="n">
        <v>0</v>
      </c>
      <c r="AG39" t="n">
        <v>0</v>
      </c>
      <c r="AH39" t="n">
        <v>15.11</v>
      </c>
      <c r="AI39" t="n">
        <v>194.99</v>
      </c>
      <c r="AJ39" t="n">
        <v>35.1</v>
      </c>
      <c r="AK39" t="n">
        <v>0</v>
      </c>
      <c r="AL39" t="n">
        <v>782.1</v>
      </c>
      <c r="AM39" t="n">
        <v>0</v>
      </c>
      <c r="AN39" t="n">
        <v>0</v>
      </c>
      <c r="AO39" t="n">
        <v>0.78</v>
      </c>
      <c r="AP39" t="n">
        <v>39.11</v>
      </c>
      <c r="AQ39" t="n">
        <v>0</v>
      </c>
      <c r="AR39" t="n">
        <v>74.98999999999999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92.29000000000001</v>
      </c>
      <c r="AY39" t="n">
        <v>0</v>
      </c>
      <c r="AZ39" t="n">
        <v>0</v>
      </c>
      <c r="BA39" t="n">
        <v>92.29000000000001</v>
      </c>
      <c r="BB39" t="n">
        <v>362.27</v>
      </c>
      <c r="BC39" t="n">
        <v>0</v>
      </c>
      <c r="BD39" t="n">
        <v>458.94</v>
      </c>
      <c r="BE39" t="inlineStr">
        <is>
          <t>settled</t>
        </is>
      </c>
      <c r="BF39" t="inlineStr">
        <is>
          <t>2026-01-07 05:30:00</t>
        </is>
      </c>
      <c r="BG39" t="inlineStr">
        <is>
          <t>CITIN26602517885</t>
        </is>
      </c>
      <c r="BH39" t="n">
        <v>0</v>
      </c>
      <c r="BI39" t="inlineStr">
        <is>
          <t>420dec25f7d2d5a771f908a2ff26a6c209753e520dcc8dacebb2e2d576e31abd</t>
        </is>
      </c>
    </row>
    <row r="40">
      <c r="A40" t="inlineStr">
        <is>
          <t>35</t>
        </is>
      </c>
      <c r="B40" t="inlineStr">
        <is>
          <t>7640190131</t>
        </is>
      </c>
      <c r="C40" t="inlineStr">
        <is>
          <t>2025-12-31 23:23:17</t>
        </is>
      </c>
      <c r="D40" t="inlineStr">
        <is>
          <t>1</t>
        </is>
      </c>
      <c r="E40" t="inlineStr">
        <is>
          <t>Baba Yaga Art Of Chinese - By Posh Foods</t>
        </is>
      </c>
      <c r="F40" t="inlineStr">
        <is>
          <t>20037890</t>
        </is>
      </c>
      <c r="G40" t="inlineStr">
        <is>
          <t>Flat ₹125 off (2025-12-21 - 2031-01-01)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9</t>
        </is>
      </c>
      <c r="O40" t="n">
        <v>365</v>
      </c>
      <c r="P40" t="n">
        <v>0</v>
      </c>
      <c r="Q40" t="n">
        <v>0</v>
      </c>
      <c r="R40" t="n">
        <v>87</v>
      </c>
      <c r="S40" t="n">
        <v>24</v>
      </c>
      <c r="T40" t="n">
        <v>0</v>
      </c>
      <c r="U40" t="n">
        <v>0</v>
      </c>
      <c r="V40" t="n">
        <v>12.7</v>
      </c>
      <c r="W40" t="n">
        <v>266.7</v>
      </c>
      <c r="X40" t="n">
        <v>254</v>
      </c>
      <c r="Y40" t="n">
        <v>0</v>
      </c>
      <c r="Z40" t="n">
        <v>0</v>
      </c>
      <c r="AA40" t="n">
        <v>254</v>
      </c>
      <c r="AB40" t="n">
        <v>23</v>
      </c>
      <c r="AC40" t="n">
        <v>58.42</v>
      </c>
      <c r="AD40" t="n">
        <v>2.21</v>
      </c>
      <c r="AE40" t="n">
        <v>0</v>
      </c>
      <c r="AF40" t="n">
        <v>0</v>
      </c>
      <c r="AG40" t="n">
        <v>0</v>
      </c>
      <c r="AH40" t="n">
        <v>4.91</v>
      </c>
      <c r="AI40" t="n">
        <v>63.33</v>
      </c>
      <c r="AJ40" t="n">
        <v>11.4</v>
      </c>
      <c r="AK40" t="n">
        <v>0</v>
      </c>
      <c r="AL40" t="n">
        <v>254</v>
      </c>
      <c r="AM40" t="n">
        <v>0</v>
      </c>
      <c r="AN40" t="n">
        <v>0</v>
      </c>
      <c r="AO40" t="n">
        <v>0.25</v>
      </c>
      <c r="AP40" t="n">
        <v>12.7</v>
      </c>
      <c r="AQ40" t="n">
        <v>0</v>
      </c>
      <c r="AR40" t="n">
        <v>24.35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87.68000000000001</v>
      </c>
      <c r="BC40" t="n">
        <v>0</v>
      </c>
      <c r="BD40" t="n">
        <v>179.02</v>
      </c>
      <c r="BE40" t="inlineStr">
        <is>
          <t>settled</t>
        </is>
      </c>
      <c r="BF40" t="inlineStr">
        <is>
          <t>2026-01-07 05:30:00</t>
        </is>
      </c>
      <c r="BG40" t="inlineStr">
        <is>
          <t>CITIN26602517885</t>
        </is>
      </c>
      <c r="BH40" t="n">
        <v>0</v>
      </c>
      <c r="BI40" t="inlineStr">
        <is>
          <t>b94e5541fbfa66f215006607a51c20bcab9940f3362e9c70efa947418db81aab</t>
        </is>
      </c>
    </row>
    <row r="41">
      <c r="A41" t="inlineStr">
        <is>
          <t>36</t>
        </is>
      </c>
      <c r="B41" t="inlineStr">
        <is>
          <t>7639621322</t>
        </is>
      </c>
      <c r="C41" t="inlineStr">
        <is>
          <t>2025-12-31 23:45:36</t>
        </is>
      </c>
      <c r="D41" t="inlineStr">
        <is>
          <t>1</t>
        </is>
      </c>
      <c r="E41" t="inlineStr">
        <is>
          <t>Baba Yaga Art Of Chinese - By Posh Foods</t>
        </is>
      </c>
      <c r="F41" t="inlineStr">
        <is>
          <t>20037890</t>
        </is>
      </c>
      <c r="G41" t="inlineStr">
        <is>
          <t>Flat ₹150 off (2025-12-18 - 2031-01-01)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9</t>
        </is>
      </c>
      <c r="O41" t="n">
        <v>545</v>
      </c>
      <c r="P41" t="n">
        <v>0</v>
      </c>
      <c r="Q41" t="n">
        <v>0</v>
      </c>
      <c r="R41" t="n">
        <v>150</v>
      </c>
      <c r="S41" t="n">
        <v>39.5</v>
      </c>
      <c r="T41" t="n">
        <v>0</v>
      </c>
      <c r="U41" t="n">
        <v>0</v>
      </c>
      <c r="V41" t="n">
        <v>17.78</v>
      </c>
      <c r="W41" t="n">
        <v>373.28</v>
      </c>
      <c r="X41" t="n">
        <v>355.5</v>
      </c>
      <c r="Y41" t="n">
        <v>0</v>
      </c>
      <c r="Z41" t="n">
        <v>0</v>
      </c>
      <c r="AA41" t="n">
        <v>355.5</v>
      </c>
      <c r="AB41" t="n">
        <v>23</v>
      </c>
      <c r="AC41" t="n">
        <v>81.76000000000001</v>
      </c>
      <c r="AD41" t="n">
        <v>3.28</v>
      </c>
      <c r="AE41" t="n">
        <v>0</v>
      </c>
      <c r="AF41" t="n">
        <v>0</v>
      </c>
      <c r="AG41" t="n">
        <v>0</v>
      </c>
      <c r="AH41" t="n">
        <v>6.87</v>
      </c>
      <c r="AI41" t="n">
        <v>88.63</v>
      </c>
      <c r="AJ41" t="n">
        <v>15.96</v>
      </c>
      <c r="AK41" t="n">
        <v>0</v>
      </c>
      <c r="AL41" t="n">
        <v>355.5</v>
      </c>
      <c r="AM41" t="n">
        <v>0</v>
      </c>
      <c r="AN41" t="n">
        <v>0</v>
      </c>
      <c r="AO41" t="n">
        <v>0.36</v>
      </c>
      <c r="AP41" t="n">
        <v>17.78</v>
      </c>
      <c r="AQ41" t="n">
        <v>0</v>
      </c>
      <c r="AR41" t="n">
        <v>34.1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122.73</v>
      </c>
      <c r="BC41" t="n">
        <v>0</v>
      </c>
      <c r="BD41" t="n">
        <v>250.55</v>
      </c>
      <c r="BE41" t="inlineStr">
        <is>
          <t>settled</t>
        </is>
      </c>
      <c r="BF41" t="inlineStr">
        <is>
          <t>2026-01-07 05:30:00</t>
        </is>
      </c>
      <c r="BG41" t="inlineStr">
        <is>
          <t>CITIN26602517885</t>
        </is>
      </c>
      <c r="BH41" t="n">
        <v>0</v>
      </c>
      <c r="BI41" t="inlineStr">
        <is>
          <t>cca052de0c9903c09e49615fdf30863cfbfd26e8a7c6e272f00d78b1c5816d21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ADS</t>
        </is>
      </c>
      <c r="C7" t="inlineStr"/>
      <c r="D7" t="inlineStr">
        <is>
          <t>31889184</t>
        </is>
      </c>
      <c r="E7" t="inlineStr">
        <is>
          <t>2026-01-07 05:30:00</t>
        </is>
      </c>
      <c r="F7" t="inlineStr">
        <is>
          <t>settled</t>
        </is>
      </c>
      <c r="G7" t="n">
        <v>406.38</v>
      </c>
      <c r="H7" t="n">
        <v>406.38</v>
      </c>
      <c r="I7" t="n">
        <v>0</v>
      </c>
    </row>
    <row r="8">
      <c r="B8" t="inlineStr">
        <is>
          <t>Total Additions</t>
        </is>
      </c>
      <c r="C8" t="inlineStr"/>
      <c r="D8" t="inlineStr"/>
      <c r="E8" t="inlineStr"/>
      <c r="F8" t="inlineStr"/>
      <c r="G8" t="n">
        <v>406.38</v>
      </c>
      <c r="H8" t="n">
        <v>406.38</v>
      </c>
      <c r="I8" t="n">
        <v>0</v>
      </c>
    </row>
    <row r="9"/>
    <row r="10"/>
    <row r="11">
      <c r="B11" t="inlineStr">
        <is>
          <t>Deduction Type</t>
        </is>
      </c>
    </row>
    <row r="12">
      <c r="B12" t="inlineStr">
        <is>
          <t>A) Investments in growth services</t>
        </is>
      </c>
    </row>
    <row r="13">
      <c r="B13" t="inlineStr">
        <is>
          <t>Type</t>
        </is>
      </c>
      <c r="C13" t="inlineStr">
        <is>
          <t>Res id for which deduction created</t>
        </is>
      </c>
      <c r="D13" t="inlineStr">
        <is>
          <t>Invoice No/Campaign id</t>
        </is>
      </c>
      <c r="E13" t="inlineStr">
        <is>
          <t>Deduction time period</t>
        </is>
      </c>
      <c r="F13" t="inlineStr">
        <is>
          <t>Settlement Status</t>
        </is>
      </c>
      <c r="G13" t="inlineStr">
        <is>
          <t>Total amount</t>
        </is>
      </c>
      <c r="H13" t="inlineStr">
        <is>
          <t>Adjusted amount</t>
        </is>
      </c>
      <c r="I13" t="inlineStr">
        <is>
          <t>Outstanding amount</t>
        </is>
      </c>
    </row>
    <row r="14">
      <c r="B14" t="inlineStr">
        <is>
          <t>ADS</t>
        </is>
      </c>
      <c r="C14" t="inlineStr">
        <is>
          <t>20037890</t>
        </is>
      </c>
      <c r="D14" t="inlineStr">
        <is>
          <t>33027204</t>
        </is>
      </c>
      <c r="E14" t="inlineStr">
        <is>
          <t>01 January 26 - 04 January 26</t>
        </is>
      </c>
      <c r="F14" t="inlineStr">
        <is>
          <t>settled</t>
        </is>
      </c>
      <c r="G14" t="n">
        <v>2182.41</v>
      </c>
      <c r="H14" t="n">
        <v>2182.41</v>
      </c>
      <c r="I14" t="n">
        <v>0</v>
      </c>
    </row>
    <row r="15">
      <c r="B15" t="inlineStr">
        <is>
          <t>ADS</t>
        </is>
      </c>
      <c r="C15" t="inlineStr">
        <is>
          <t>20037890</t>
        </is>
      </c>
      <c r="D15" t="inlineStr">
        <is>
          <t>32794593</t>
        </is>
      </c>
      <c r="E15" t="inlineStr">
        <is>
          <t>29 December 25 - 04 January 26</t>
        </is>
      </c>
      <c r="F15" t="inlineStr">
        <is>
          <t>settled</t>
        </is>
      </c>
      <c r="G15" t="n">
        <v>4667.49</v>
      </c>
      <c r="H15" t="n">
        <v>4667.49</v>
      </c>
      <c r="I15" t="n">
        <v>0</v>
      </c>
    </row>
    <row r="16">
      <c r="B16" t="inlineStr">
        <is>
          <t>ADS</t>
        </is>
      </c>
      <c r="C16" t="inlineStr">
        <is>
          <t>20037890</t>
        </is>
      </c>
      <c r="D16" t="inlineStr">
        <is>
          <t>31889184</t>
        </is>
      </c>
      <c r="E16" t="inlineStr">
        <is>
          <t>01 January 26 - 01 January 26</t>
        </is>
      </c>
      <c r="F16" t="inlineStr">
        <is>
          <t>settled</t>
        </is>
      </c>
      <c r="G16" t="n">
        <v>1033.59</v>
      </c>
      <c r="H16" t="n">
        <v>1033.59</v>
      </c>
      <c r="I16" t="n">
        <v>0</v>
      </c>
    </row>
    <row r="17">
      <c r="B17" t="inlineStr">
        <is>
          <t>ADS</t>
        </is>
      </c>
      <c r="C17" t="inlineStr">
        <is>
          <t>19428127</t>
        </is>
      </c>
      <c r="D17" t="inlineStr">
        <is>
          <t>33018218</t>
        </is>
      </c>
      <c r="E17" t="inlineStr">
        <is>
          <t>01 January 26 - 02 January 26</t>
        </is>
      </c>
      <c r="F17" t="inlineStr">
        <is>
          <t>settled</t>
        </is>
      </c>
      <c r="G17" t="n">
        <v>491.78</v>
      </c>
      <c r="H17" t="n">
        <v>491.78</v>
      </c>
      <c r="I17" t="n">
        <v>0</v>
      </c>
    </row>
    <row r="18">
      <c r="B18" t="inlineStr">
        <is>
          <t>ADS</t>
        </is>
      </c>
      <c r="C18" t="inlineStr">
        <is>
          <t>20037890</t>
        </is>
      </c>
      <c r="D18" t="inlineStr">
        <is>
          <t>32022906</t>
        </is>
      </c>
      <c r="E18" t="inlineStr">
        <is>
          <t>29 December 25 - 31 December 25</t>
        </is>
      </c>
      <c r="F18" t="inlineStr">
        <is>
          <t>settled</t>
        </is>
      </c>
      <c r="G18" t="n">
        <v>1242.54</v>
      </c>
      <c r="H18" t="n">
        <v>1242.54</v>
      </c>
      <c r="I18" t="n">
        <v>0</v>
      </c>
    </row>
    <row r="19">
      <c r="B19" t="inlineStr">
        <is>
          <t>Total Ads &amp; miscellaneous services</t>
        </is>
      </c>
      <c r="G19" t="n">
        <v>9617.809999999999</v>
      </c>
      <c r="H19" t="n">
        <v>9617.809999999999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B) Investments in Hyperpure</t>
        </is>
      </c>
    </row>
    <row r="22">
      <c r="B22" t="inlineStr">
        <is>
          <t>Type</t>
        </is>
      </c>
      <c r="C22" t="inlineStr">
        <is>
          <t>Res id for which deduction created</t>
        </is>
      </c>
      <c r="D22" t="inlineStr">
        <is>
          <t>OrderId</t>
        </is>
      </c>
      <c r="E22" t="inlineStr">
        <is>
          <t>Deduction time period</t>
        </is>
      </c>
      <c r="F22" t="inlineStr">
        <is>
          <t>Settlement Status</t>
        </is>
      </c>
      <c r="G22" t="inlineStr">
        <is>
          <t>Total amount</t>
        </is>
      </c>
      <c r="H22" t="inlineStr">
        <is>
          <t>Adjusted amount</t>
        </is>
      </c>
      <c r="I22" t="inlineStr">
        <is>
          <t>Outstanding amount</t>
        </is>
      </c>
    </row>
    <row r="23">
      <c r="B23" t="inlineStr">
        <is>
          <t>Total Hyperpure</t>
        </is>
      </c>
      <c r="G23" t="n">
        <v>0</v>
      </c>
      <c r="H23" t="n">
        <v>0</v>
      </c>
      <c r="I23" t="n">
        <v>0</v>
      </c>
    </row>
    <row r="24"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B25" t="inlineStr">
        <is>
          <t>C) Other deductions</t>
        </is>
      </c>
    </row>
    <row r="26">
      <c r="B26" t="inlineStr">
        <is>
          <t>D) Adjustments from previous weeks</t>
        </is>
      </c>
    </row>
    <row r="27">
      <c r="B27" t="inlineStr">
        <is>
          <t>Total Deductions (A) + (B) + (C)</t>
        </is>
      </c>
      <c r="C27" t="inlineStr"/>
      <c r="D27" t="inlineStr"/>
      <c r="E27" t="inlineStr"/>
      <c r="F27" t="inlineStr"/>
      <c r="G27" t="n">
        <v>9617.809999999999</v>
      </c>
      <c r="H27" t="n">
        <v>9617.809999999999</v>
      </c>
      <c r="I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Nikhitha</dc:creator>
  <dcterms:created xmlns:dcterms="http://purl.org/dc/terms/" xmlns:xsi="http://www.w3.org/2001/XMLSchema-instance" xsi:type="dcterms:W3CDTF">2025-07-09T03:45:13Z</dcterms:created>
  <dcterms:modified xmlns:dcterms="http://purl.org/dc/terms/" xmlns:xsi="http://www.w3.org/2001/XMLSchema-instance" xsi:type="dcterms:W3CDTF">2026-01-31T08:33:34Z</dcterms:modified>
  <cp:lastModifiedBy>varun reddy</cp:lastModifiedBy>
  <cp:lastPrinted>2026-01-30T20:02:20Z</cp:lastPrinted>
</cp:coreProperties>
</file>