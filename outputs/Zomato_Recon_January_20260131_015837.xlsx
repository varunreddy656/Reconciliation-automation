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882" firstSheet="0" activeTab="0" autoFilterDateGrouping="1"/>
  </bookViews>
  <sheets>
    <sheet name="Summary" sheetId="1" state="visible" r:id="rId1"/>
    <sheet name="Cashflow" sheetId="2" state="visible" r:id="rId2"/>
    <sheet name="Profit statement" sheetId="3" state="visible" r:id="rId3"/>
    <sheet name="Discrepancies" sheetId="4" state="visible" r:id="rId4"/>
    <sheet name="POS" sheetId="5" state="hidden" r:id="rId5"/>
    <sheet name="BANK" sheetId="6" state="hidden" r:id="rId6"/>
    <sheet name="D1W2" sheetId="7" state="visible" r:id="rId7"/>
    <sheet name="D2W2" sheetId="8" state="visible" r:id="rId8"/>
    <sheet name="D1W3" sheetId="9" state="visible" r:id="rId9"/>
    <sheet name="D2W3" sheetId="10" state="visible" r:id="rId10"/>
  </sheets>
  <definedNames>
    <definedName name="_xlnm.Print_Area" localSheetId="1">'Cashflow'!$A$1:$I$44</definedName>
    <definedName name="_xlnm._FilterDatabase" localSheetId="5" hidden="1">'BANK'!$A$10:$G$173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1">
    <font>
      <name val="Calibri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Aptos Narrow"/>
      <family val="1"/>
      <color rgb="FF000000"/>
      <sz val="10"/>
      <scheme val="minor"/>
    </font>
    <font>
      <name val="Cambria"/>
      <family val="1"/>
      <sz val="11"/>
    </font>
    <font>
      <name val="Cambria"/>
      <family val="1"/>
      <color rgb="FF000000"/>
      <sz val="10"/>
    </font>
    <font>
      <name val="Cambria"/>
      <family val="1"/>
      <color theme="1"/>
      <sz val="11"/>
    </font>
    <font>
      <name val="Cambria"/>
      <family val="1"/>
      <color rgb="FF000000"/>
      <sz val="11"/>
    </font>
    <font>
      <name val="Cambria"/>
      <family val="1"/>
      <b val="1"/>
      <color rgb="FF000000"/>
      <sz val="16"/>
    </font>
    <font>
      <name val="Aptos Narrow"/>
      <family val="2"/>
      <color rgb="FF000000"/>
      <sz val="10"/>
      <scheme val="minor"/>
    </font>
    <font>
      <name val="Cambria"/>
      <family val="1"/>
      <b val="1"/>
      <sz val="10"/>
    </font>
    <font>
      <name val="Cambria"/>
      <family val="1"/>
      <sz val="10"/>
    </font>
    <font>
      <name val="Calibri"/>
      <family val="2"/>
      <b val="1"/>
      <sz val="11"/>
    </font>
    <font>
      <name val="Arial"/>
      <family val="2"/>
      <sz val="10"/>
    </font>
    <font>
      <name val="Calibri"/>
      <family val="2"/>
      <b val="1"/>
      <color theme="1"/>
      <sz val="11"/>
    </font>
    <font>
      <name val="Calibri"/>
      <family val="2"/>
      <b val="1"/>
      <color rgb="FF000000"/>
      <sz val="14"/>
    </font>
    <font>
      <name val="Calibri"/>
      <family val="2"/>
      <b val="1"/>
      <color theme="1"/>
      <sz val="12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6"/>
    </font>
    <font>
      <name val="Calibri"/>
      <family val="2"/>
      <color theme="1"/>
      <sz val="10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theme="1"/>
      <sz val="13"/>
    </font>
    <font>
      <name val="Calibri"/>
      <family val="2"/>
      <color theme="1"/>
      <sz val="10"/>
      <u val="single"/>
    </font>
    <font>
      <name val="Calibri"/>
      <family val="2"/>
      <b val="1"/>
      <color theme="1"/>
      <sz val="10"/>
      <u val="single"/>
    </font>
    <font>
      <name val="Calibri"/>
      <family val="2"/>
      <sz val="11"/>
    </font>
  </fonts>
  <fills count="3">
    <fill>
      <patternFill/>
    </fill>
    <fill>
      <patternFill patternType="gray125"/>
    </fill>
    <fill>
      <patternFill patternType="solid">
        <fgColor theme="0"/>
        <bgColor theme="0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auto="1"/>
      </bottom>
      <diagonal/>
    </border>
  </borders>
  <cellStyleXfs count="11">
    <xf numFmtId="0" fontId="0" fillId="0" borderId="0"/>
    <xf numFmtId="43" fontId="30" fillId="0" borderId="0"/>
    <xf numFmtId="0" fontId="6" fillId="0" borderId="0"/>
    <xf numFmtId="0" fontId="12" fillId="0" borderId="0"/>
    <xf numFmtId="9" fontId="30" fillId="0" borderId="0"/>
    <xf numFmtId="0" fontId="4" fillId="0" borderId="0"/>
    <xf numFmtId="0" fontId="30" fillId="0" borderId="0"/>
    <xf numFmtId="9" fontId="30" fillId="0" borderId="0"/>
    <xf numFmtId="0" fontId="16" fillId="0" borderId="0"/>
    <xf numFmtId="0" fontId="30" fillId="0" borderId="0"/>
    <xf numFmtId="0" fontId="30" fillId="0" borderId="0"/>
  </cellStyleXfs>
  <cellXfs count="163">
    <xf numFmtId="0" fontId="0" fillId="0" borderId="0" pivotButton="0" quotePrefix="0" xfId="0"/>
    <xf numFmtId="2" fontId="7" fillId="0" borderId="0" pivotButton="0" quotePrefix="0" xfId="0"/>
    <xf numFmtId="10" fontId="7" fillId="0" borderId="0" pivotButton="0" quotePrefix="0" xfId="0"/>
    <xf numFmtId="10" fontId="10" fillId="0" borderId="0" pivotButton="0" quotePrefix="0" xfId="0"/>
    <xf numFmtId="2" fontId="10" fillId="0" borderId="0" pivotButton="0" quotePrefix="0" xfId="0"/>
    <xf numFmtId="0" fontId="9" fillId="0" borderId="0" applyAlignment="1" pivotButton="0" quotePrefix="0" xfId="0">
      <alignment wrapText="1"/>
    </xf>
    <xf numFmtId="0" fontId="11" fillId="0" borderId="0" pivotButton="0" quotePrefix="0" xfId="0"/>
    <xf numFmtId="0" fontId="9" fillId="0" borderId="0" pivotButton="0" quotePrefix="0" xfId="0"/>
    <xf numFmtId="4" fontId="7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10" fontId="7" fillId="0" borderId="0" pivotButton="0" quotePrefix="0" xfId="4"/>
    <xf numFmtId="0" fontId="15" fillId="0" borderId="0" pivotButton="0" quotePrefix="0" xfId="0"/>
    <xf numFmtId="0" fontId="17" fillId="0" borderId="38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center" vertical="center"/>
    </xf>
    <xf numFmtId="0" fontId="3" fillId="0" borderId="24" applyAlignment="1" pivotButton="0" quotePrefix="0" xfId="0">
      <alignment wrapText="1"/>
    </xf>
    <xf numFmtId="0" fontId="3" fillId="0" borderId="14" pivotButton="0" quotePrefix="0" xfId="0"/>
    <xf numFmtId="0" fontId="3" fillId="0" borderId="0" applyAlignment="1" pivotButton="0" quotePrefix="0" xfId="0">
      <alignment wrapText="1"/>
    </xf>
    <xf numFmtId="0" fontId="3" fillId="0" borderId="14" applyAlignment="1" pivotButton="0" quotePrefix="0" xfId="0">
      <alignment wrapText="1"/>
    </xf>
    <xf numFmtId="0" fontId="3" fillId="0" borderId="25" applyAlignment="1" pivotButton="0" quotePrefix="0" xfId="0">
      <alignment wrapText="1"/>
    </xf>
    <xf numFmtId="10" fontId="3" fillId="0" borderId="14" applyAlignment="1" pivotButton="0" quotePrefix="0" xfId="0">
      <alignment wrapText="1"/>
    </xf>
    <xf numFmtId="10" fontId="3" fillId="0" borderId="14" applyAlignment="1" pivotButton="0" quotePrefix="0" xfId="0">
      <alignment horizontal="right"/>
    </xf>
    <xf numFmtId="2" fontId="3" fillId="0" borderId="14" applyAlignment="1" pivotButton="0" quotePrefix="0" xfId="0">
      <alignment horizontal="right"/>
    </xf>
    <xf numFmtId="2" fontId="3" fillId="0" borderId="0" applyAlignment="1" pivotButton="0" quotePrefix="0" xfId="0">
      <alignment wrapText="1"/>
    </xf>
    <xf numFmtId="2" fontId="3" fillId="0" borderId="14" applyAlignment="1" pivotButton="0" quotePrefix="0" xfId="0">
      <alignment wrapText="1"/>
    </xf>
    <xf numFmtId="0" fontId="3" fillId="0" borderId="26" applyAlignment="1" pivotButton="0" quotePrefix="0" xfId="0">
      <alignment wrapText="1"/>
    </xf>
    <xf numFmtId="10" fontId="3" fillId="0" borderId="29" applyAlignment="1" pivotButton="0" quotePrefix="0" xfId="0">
      <alignment horizontal="right"/>
    </xf>
    <xf numFmtId="9" fontId="3" fillId="0" borderId="14" applyAlignment="1" pivotButton="0" quotePrefix="0" xfId="4">
      <alignment horizontal="right"/>
    </xf>
    <xf numFmtId="9" fontId="3" fillId="0" borderId="0" applyAlignment="1" pivotButton="0" quotePrefix="0" xfId="4">
      <alignment horizontal="right"/>
    </xf>
    <xf numFmtId="10" fontId="3" fillId="0" borderId="14" applyAlignment="1" pivotButton="0" quotePrefix="0" xfId="4">
      <alignment horizontal="right"/>
    </xf>
    <xf numFmtId="0" fontId="3" fillId="0" borderId="27" applyAlignment="1" pivotButton="0" quotePrefix="0" xfId="0">
      <alignment wrapText="1"/>
    </xf>
    <xf numFmtId="10" fontId="3" fillId="0" borderId="14" pivotButton="0" quotePrefix="0" xfId="0"/>
    <xf numFmtId="10" fontId="3" fillId="0" borderId="0" pivotButton="0" quotePrefix="0" xfId="0"/>
    <xf numFmtId="0" fontId="3" fillId="0" borderId="20" applyAlignment="1" pivotButton="0" quotePrefix="0" xfId="0">
      <alignment wrapText="1"/>
    </xf>
    <xf numFmtId="10" fontId="3" fillId="0" borderId="23" pivotButton="0" quotePrefix="0" xfId="0"/>
    <xf numFmtId="10" fontId="3" fillId="0" borderId="21" pivotButton="0" quotePrefix="0" xfId="0"/>
    <xf numFmtId="0" fontId="21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22" fillId="0" borderId="3" pivotButton="0" quotePrefix="0" xfId="0"/>
    <xf numFmtId="10" fontId="22" fillId="0" borderId="3" applyAlignment="1" pivotButton="0" quotePrefix="0" xfId="0">
      <alignment horizontal="right"/>
    </xf>
    <xf numFmtId="10" fontId="22" fillId="0" borderId="3" pivotButton="0" quotePrefix="0" xfId="0"/>
    <xf numFmtId="2" fontId="20" fillId="0" borderId="7" pivotButton="0" quotePrefix="0" xfId="0"/>
    <xf numFmtId="0" fontId="22" fillId="0" borderId="0" applyAlignment="1" pivotButton="0" quotePrefix="0" xfId="0">
      <alignment horizontal="center"/>
    </xf>
    <xf numFmtId="0" fontId="22" fillId="0" borderId="9" pivotButton="0" quotePrefix="0" xfId="0"/>
    <xf numFmtId="10" fontId="22" fillId="0" borderId="6" applyAlignment="1" pivotButton="0" quotePrefix="0" xfId="0">
      <alignment horizontal="right"/>
    </xf>
    <xf numFmtId="10" fontId="22" fillId="0" borderId="12" applyAlignment="1" pivotButton="0" quotePrefix="0" xfId="0">
      <alignment horizontal="right"/>
    </xf>
    <xf numFmtId="0" fontId="25" fillId="0" borderId="17" applyAlignment="1" pivotButton="0" quotePrefix="0" xfId="0">
      <alignment horizontal="center"/>
    </xf>
    <xf numFmtId="0" fontId="20" fillId="0" borderId="5" pivotButton="0" quotePrefix="0" xfId="0"/>
    <xf numFmtId="0" fontId="20" fillId="0" borderId="3" pivotButton="0" quotePrefix="0" xfId="0"/>
    <xf numFmtId="0" fontId="22" fillId="0" borderId="8" pivotButton="0" quotePrefix="0" xfId="0"/>
    <xf numFmtId="0" fontId="27" fillId="0" borderId="0" applyAlignment="1" pivotButton="0" quotePrefix="0" xfId="0">
      <alignment horizontal="center" wrapText="1"/>
    </xf>
    <xf numFmtId="0" fontId="20" fillId="0" borderId="1" applyAlignment="1" pivotButton="0" quotePrefix="0" xfId="0">
      <alignment horizontal="center" wrapText="1"/>
    </xf>
    <xf numFmtId="0" fontId="28" fillId="0" borderId="8" pivotButton="0" quotePrefix="0" xfId="0"/>
    <xf numFmtId="0" fontId="20" fillId="0" borderId="2" pivotButton="0" quotePrefix="0" xfId="0"/>
    <xf numFmtId="0" fontId="29" fillId="0" borderId="8" pivotButton="0" quotePrefix="0" xfId="0"/>
    <xf numFmtId="0" fontId="29" fillId="0" borderId="2" pivotButton="0" quotePrefix="0" xfId="0"/>
    <xf numFmtId="0" fontId="22" fillId="0" borderId="11" pivotButton="0" quotePrefix="0" xfId="0"/>
    <xf numFmtId="0" fontId="20" fillId="0" borderId="37" applyAlignment="1" pivotButton="0" quotePrefix="0" xfId="0">
      <alignment horizontal="center"/>
    </xf>
    <xf numFmtId="0" fontId="20" fillId="0" borderId="7" applyAlignment="1" pivotButton="0" quotePrefix="0" xfId="0">
      <alignment vertical="center"/>
    </xf>
    <xf numFmtId="2" fontId="25" fillId="0" borderId="1" pivotButton="0" quotePrefix="0" xfId="0"/>
    <xf numFmtId="2" fontId="25" fillId="0" borderId="39" applyAlignment="1" pivotButton="0" quotePrefix="0" xfId="0">
      <alignment horizontal="center" vertical="center" wrapText="1"/>
    </xf>
    <xf numFmtId="2" fontId="20" fillId="0" borderId="1" applyAlignment="1" pivotButton="0" quotePrefix="0" xfId="1">
      <alignment horizontal="center" vertical="center"/>
    </xf>
    <xf numFmtId="2" fontId="22" fillId="0" borderId="3" pivotButton="0" quotePrefix="0" xfId="0"/>
    <xf numFmtId="2" fontId="22" fillId="0" borderId="3" applyAlignment="1" pivotButton="0" quotePrefix="0" xfId="1">
      <alignment horizontal="right" vertical="center"/>
    </xf>
    <xf numFmtId="2" fontId="22" fillId="0" borderId="4" applyAlignment="1" pivotButton="0" quotePrefix="0" xfId="1">
      <alignment horizontal="right" vertical="top"/>
    </xf>
    <xf numFmtId="2" fontId="26" fillId="0" borderId="3" applyAlignment="1" pivotButton="0" quotePrefix="0" xfId="1">
      <alignment horizontal="right" vertical="center"/>
    </xf>
    <xf numFmtId="2" fontId="20" fillId="0" borderId="5" pivotButton="0" quotePrefix="0" xfId="0"/>
    <xf numFmtId="2" fontId="20" fillId="0" borderId="5" applyAlignment="1" pivotButton="0" quotePrefix="0" xfId="1">
      <alignment horizontal="right" vertical="center"/>
    </xf>
    <xf numFmtId="2" fontId="20" fillId="0" borderId="5" applyAlignment="1" pivotButton="0" quotePrefix="0" xfId="1">
      <alignment horizontal="right" vertical="top"/>
    </xf>
    <xf numFmtId="2" fontId="20" fillId="0" borderId="16" pivotButton="0" quotePrefix="0" xfId="0"/>
    <xf numFmtId="2" fontId="20" fillId="0" borderId="16" applyAlignment="1" pivotButton="0" quotePrefix="0" xfId="1">
      <alignment horizontal="right" vertical="center"/>
    </xf>
    <xf numFmtId="2" fontId="22" fillId="0" borderId="18" pivotButton="0" quotePrefix="0" xfId="0"/>
    <xf numFmtId="2" fontId="22" fillId="0" borderId="22" applyAlignment="1" pivotButton="0" quotePrefix="0" xfId="1">
      <alignment horizontal="right" vertical="center"/>
    </xf>
    <xf numFmtId="2" fontId="22" fillId="0" borderId="19" applyAlignment="1" pivotButton="0" quotePrefix="0" xfId="1">
      <alignment horizontal="right" vertical="top"/>
    </xf>
    <xf numFmtId="2" fontId="22" fillId="0" borderId="22" applyAlignment="1" pivotButton="0" quotePrefix="0" xfId="1">
      <alignment horizontal="right" vertical="top"/>
    </xf>
    <xf numFmtId="2" fontId="22" fillId="0" borderId="24" pivotButton="0" quotePrefix="0" xfId="0"/>
    <xf numFmtId="2" fontId="22" fillId="0" borderId="14" applyAlignment="1" pivotButton="0" quotePrefix="0" xfId="1">
      <alignment horizontal="right" vertical="center"/>
    </xf>
    <xf numFmtId="2" fontId="22" fillId="0" borderId="0" applyAlignment="1" pivotButton="0" quotePrefix="0" xfId="1">
      <alignment horizontal="right" vertical="top"/>
    </xf>
    <xf numFmtId="2" fontId="22" fillId="0" borderId="14" applyAlignment="1" pivotButton="0" quotePrefix="0" xfId="1">
      <alignment horizontal="right" vertical="top"/>
    </xf>
    <xf numFmtId="2" fontId="22" fillId="0" borderId="14" pivotButton="0" quotePrefix="0" xfId="0"/>
    <xf numFmtId="2" fontId="22" fillId="0" borderId="0" applyAlignment="1" pivotButton="0" quotePrefix="0" xfId="1">
      <alignment horizontal="right" vertical="center"/>
    </xf>
    <xf numFmtId="2" fontId="26" fillId="0" borderId="3" applyAlignment="1" pivotButton="0" quotePrefix="0" xfId="1">
      <alignment horizontal="right" vertical="top"/>
    </xf>
    <xf numFmtId="2" fontId="5" fillId="0" borderId="0" applyAlignment="1" pivotButton="0" quotePrefix="0" xfId="1">
      <alignment horizontal="right" vertical="top"/>
    </xf>
    <xf numFmtId="2" fontId="5" fillId="0" borderId="0" applyAlignment="1" pivotButton="0" quotePrefix="0" xfId="1">
      <alignment horizontal="right" vertical="center"/>
    </xf>
    <xf numFmtId="2" fontId="25" fillId="0" borderId="5" applyAlignment="1" pivotButton="0" quotePrefix="0" xfId="1">
      <alignment horizontal="right" vertical="top"/>
    </xf>
    <xf numFmtId="2" fontId="20" fillId="0" borderId="7" applyAlignment="1" pivotButton="0" quotePrefix="0" xfId="1">
      <alignment horizontal="right" vertical="center"/>
    </xf>
    <xf numFmtId="2" fontId="22" fillId="0" borderId="3" pivotButton="0" quotePrefix="0" xfId="1"/>
    <xf numFmtId="2" fontId="20" fillId="0" borderId="5" pivotButton="0" quotePrefix="0" xfId="1"/>
    <xf numFmtId="2" fontId="22" fillId="0" borderId="3" applyAlignment="1" pivotButton="0" quotePrefix="0" xfId="1">
      <alignment horizontal="right" vertical="top"/>
    </xf>
    <xf numFmtId="2" fontId="22" fillId="0" borderId="3" applyAlignment="1" pivotButton="0" quotePrefix="0" xfId="1">
      <alignment vertical="top"/>
    </xf>
    <xf numFmtId="2" fontId="22" fillId="0" borderId="9" applyAlignment="1" pivotButton="0" quotePrefix="0" xfId="1">
      <alignment vertical="top"/>
    </xf>
    <xf numFmtId="2" fontId="20" fillId="0" borderId="9" applyAlignment="1" pivotButton="0" quotePrefix="0" xfId="1">
      <alignment vertical="top"/>
    </xf>
    <xf numFmtId="2" fontId="22" fillId="0" borderId="9" applyAlignment="1" pivotButton="0" quotePrefix="0" xfId="1">
      <alignment horizontal="right" vertical="top"/>
    </xf>
    <xf numFmtId="2" fontId="20" fillId="0" borderId="1" applyAlignment="1" pivotButton="0" quotePrefix="0" xfId="1">
      <alignment vertical="top"/>
    </xf>
    <xf numFmtId="2" fontId="20" fillId="0" borderId="10" applyAlignment="1" pivotButton="0" quotePrefix="0" xfId="1">
      <alignment vertical="top"/>
    </xf>
    <xf numFmtId="2" fontId="3" fillId="0" borderId="15" pivotButton="0" quotePrefix="0" xfId="1"/>
    <xf numFmtId="2" fontId="3" fillId="0" borderId="14" pivotButton="0" quotePrefix="0" xfId="1"/>
    <xf numFmtId="2" fontId="3" fillId="0" borderId="0" applyAlignment="1" pivotButton="0" quotePrefix="0" xfId="1">
      <alignment wrapText="1"/>
    </xf>
    <xf numFmtId="2" fontId="3" fillId="0" borderId="14" applyAlignment="1" pivotButton="0" quotePrefix="0" xfId="1">
      <alignment wrapText="1"/>
    </xf>
    <xf numFmtId="2" fontId="3" fillId="0" borderId="14" applyAlignment="1" pivotButton="0" quotePrefix="0" xfId="1">
      <alignment horizontal="right"/>
    </xf>
    <xf numFmtId="2" fontId="3" fillId="0" borderId="0" applyAlignment="1" pivotButton="0" quotePrefix="0" xfId="1">
      <alignment horizontal="right"/>
    </xf>
    <xf numFmtId="2" fontId="3" fillId="0" borderId="0" applyAlignment="1" pivotButton="0" quotePrefix="0" xfId="1">
      <alignment horizontal="right" wrapText="1"/>
    </xf>
    <xf numFmtId="2" fontId="3" fillId="0" borderId="14" applyAlignment="1" pivotButton="0" quotePrefix="0" xfId="1">
      <alignment horizontal="right" wrapText="1"/>
    </xf>
    <xf numFmtId="2" fontId="3" fillId="0" borderId="29" applyAlignment="1" pivotButton="0" quotePrefix="0" xfId="1">
      <alignment horizontal="right"/>
    </xf>
    <xf numFmtId="2" fontId="3" fillId="0" borderId="15" applyAlignment="1" pivotButton="0" quotePrefix="0" xfId="1">
      <alignment horizontal="right"/>
    </xf>
    <xf numFmtId="2" fontId="3" fillId="0" borderId="30" pivotButton="0" quotePrefix="0" xfId="1"/>
    <xf numFmtId="2" fontId="3" fillId="0" borderId="34" pivotButton="0" quotePrefix="0" xfId="1"/>
    <xf numFmtId="2" fontId="3" fillId="0" borderId="33" applyAlignment="1" pivotButton="0" quotePrefix="0" xfId="1">
      <alignment horizontal="right"/>
    </xf>
    <xf numFmtId="2" fontId="3" fillId="0" borderId="31" pivotButton="0" quotePrefix="0" xfId="1"/>
    <xf numFmtId="2" fontId="3" fillId="0" borderId="35" pivotButton="0" quotePrefix="0" xfId="1"/>
    <xf numFmtId="2" fontId="3" fillId="0" borderId="36" pivotButton="0" quotePrefix="0" xfId="1"/>
    <xf numFmtId="49" fontId="20" fillId="0" borderId="3" applyAlignment="1" pivotButton="0" quotePrefix="0" xfId="0">
      <alignment horizontal="right"/>
    </xf>
    <xf numFmtId="49" fontId="22" fillId="0" borderId="3" applyAlignment="1" pivotButton="0" quotePrefix="0" xfId="0">
      <alignment horizontal="right"/>
    </xf>
    <xf numFmtId="49" fontId="22" fillId="0" borderId="8" applyAlignment="1" pivotButton="0" quotePrefix="0" xfId="0">
      <alignment horizontal="right"/>
    </xf>
    <xf numFmtId="2" fontId="3" fillId="0" borderId="0" pivotButton="0" quotePrefix="0" xfId="1"/>
    <xf numFmtId="0" fontId="7" fillId="0" borderId="14" pivotButton="0" quotePrefix="0" xfId="0"/>
    <xf numFmtId="2" fontId="2" fillId="0" borderId="14" applyAlignment="1" pivotButton="0" quotePrefix="0" xfId="1">
      <alignment horizontal="right"/>
    </xf>
    <xf numFmtId="0" fontId="7" fillId="0" borderId="0" pivotButton="0" quotePrefix="0" xfId="0"/>
    <xf numFmtId="0" fontId="5" fillId="0" borderId="0" pivotButton="0" quotePrefix="0" xfId="0"/>
    <xf numFmtId="0" fontId="0" fillId="0" borderId="0" pivotButton="0" quotePrefix="0" xfId="0"/>
    <xf numFmtId="164" fontId="20" fillId="0" borderId="28" applyAlignment="1" pivotButton="0" quotePrefix="0" xfId="1">
      <alignment horizontal="center" vertical="center"/>
    </xf>
    <xf numFmtId="164" fontId="20" fillId="0" borderId="32" applyAlignment="1" pivotButton="0" quotePrefix="0" xfId="1">
      <alignment horizontal="center" vertical="center"/>
    </xf>
    <xf numFmtId="164" fontId="7" fillId="0" borderId="0" pivotButton="0" quotePrefix="0" xfId="0"/>
    <xf numFmtId="164" fontId="3" fillId="0" borderId="14" applyAlignment="1" pivotButton="0" quotePrefix="0" xfId="1">
      <alignment horizontal="right"/>
    </xf>
    <xf numFmtId="164" fontId="3" fillId="0" borderId="0" applyAlignment="1" pivotButton="0" quotePrefix="0" xfId="1">
      <alignment wrapText="1"/>
    </xf>
    <xf numFmtId="164" fontId="3" fillId="0" borderId="14" applyAlignment="1" pivotButton="0" quotePrefix="0" xfId="1">
      <alignment wrapText="1"/>
    </xf>
    <xf numFmtId="164" fontId="3" fillId="0" borderId="14" pivotButton="0" quotePrefix="0" xfId="1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164" fontId="8" fillId="2" borderId="0" pivotButton="0" quotePrefix="0" xfId="0"/>
    <xf numFmtId="164" fontId="7" fillId="0" borderId="0" pivotButton="0" quotePrefix="0" xfId="1"/>
    <xf numFmtId="164" fontId="20" fillId="0" borderId="39" applyAlignment="1" pivotButton="0" quotePrefix="0" xfId="1">
      <alignment horizontal="center" vertical="center" wrapText="1"/>
    </xf>
    <xf numFmtId="164" fontId="5" fillId="0" borderId="0" pivotButton="0" quotePrefix="0" xfId="0"/>
    <xf numFmtId="164" fontId="20" fillId="0" borderId="13" applyAlignment="1" pivotButton="0" quotePrefix="0" xfId="1">
      <alignment horizontal="center" vertical="center" wrapText="1"/>
    </xf>
    <xf numFmtId="164" fontId="22" fillId="0" borderId="3" pivotButton="0" quotePrefix="0" xfId="1"/>
    <xf numFmtId="0" fontId="0" fillId="0" borderId="0" pivotButton="0" quotePrefix="0" xfId="0"/>
    <xf numFmtId="0" fontId="7" fillId="0" borderId="0" pivotButton="0" quotePrefix="0" xfId="0"/>
    <xf numFmtId="2" fontId="1" fillId="0" borderId="29" pivotButton="0" quotePrefix="0" xfId="1"/>
    <xf numFmtId="0" fontId="18" fillId="0" borderId="0" applyAlignment="1" pivotButton="0" quotePrefix="0" xfId="0">
      <alignment horizontal="center"/>
    </xf>
    <xf numFmtId="0" fontId="7" fillId="0" borderId="0" pivotButton="0" quotePrefix="0" xfId="0"/>
    <xf numFmtId="0" fontId="19" fillId="0" borderId="0" applyAlignment="1" pivotButton="0" quotePrefix="0" xfId="0">
      <alignment horizontal="center" wrapText="1"/>
    </xf>
    <xf numFmtId="17" fontId="17" fillId="0" borderId="0" applyAlignment="1" pivotButton="0" quotePrefix="0" xfId="0">
      <alignment horizontal="center" wrapText="1"/>
    </xf>
    <xf numFmtId="0" fontId="24" fillId="0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0" fontId="23" fillId="0" borderId="0" applyAlignment="1" pivotButton="0" quotePrefix="0" xfId="0">
      <alignment horizontal="center"/>
    </xf>
    <xf numFmtId="0" fontId="5" fillId="0" borderId="6" pivotButton="0" quotePrefix="0" xfId="0"/>
    <xf numFmtId="164" fontId="20" fillId="0" borderId="28" applyAlignment="1" pivotButton="0" quotePrefix="0" xfId="1">
      <alignment horizontal="center" vertical="center"/>
    </xf>
    <xf numFmtId="164" fontId="20" fillId="0" borderId="32" applyAlignment="1" pivotButton="0" quotePrefix="0" xfId="1">
      <alignment horizontal="center" vertical="center"/>
    </xf>
    <xf numFmtId="164" fontId="7" fillId="0" borderId="0" pivotButton="0" quotePrefix="0" xfId="0"/>
    <xf numFmtId="164" fontId="3" fillId="0" borderId="14" applyAlignment="1" pivotButton="0" quotePrefix="0" xfId="1">
      <alignment horizontal="right"/>
    </xf>
    <xf numFmtId="164" fontId="3" fillId="0" borderId="0" applyAlignment="1" pivotButton="0" quotePrefix="0" xfId="1">
      <alignment wrapText="1"/>
    </xf>
    <xf numFmtId="164" fontId="3" fillId="0" borderId="14" applyAlignment="1" pivotButton="0" quotePrefix="0" xfId="1">
      <alignment wrapText="1"/>
    </xf>
    <xf numFmtId="164" fontId="3" fillId="0" borderId="14" pivotButton="0" quotePrefix="0" xfId="1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164" fontId="8" fillId="2" borderId="0" pivotButton="0" quotePrefix="0" xfId="0"/>
    <xf numFmtId="164" fontId="7" fillId="0" borderId="0" pivotButton="0" quotePrefix="0" xfId="1"/>
    <xf numFmtId="164" fontId="20" fillId="0" borderId="39" applyAlignment="1" pivotButton="0" quotePrefix="0" xfId="1">
      <alignment horizontal="center" vertical="center" wrapText="1"/>
    </xf>
    <xf numFmtId="164" fontId="5" fillId="0" borderId="0" pivotButton="0" quotePrefix="0" xfId="0"/>
    <xf numFmtId="164" fontId="20" fillId="0" borderId="13" applyAlignment="1" pivotButton="0" quotePrefix="0" xfId="1">
      <alignment horizontal="center" vertical="center" wrapText="1"/>
    </xf>
    <xf numFmtId="164" fontId="22" fillId="0" borderId="3" pivotButton="0" quotePrefix="0" xfId="1"/>
  </cellXfs>
  <cellStyles count="11">
    <cellStyle name="Normal" xfId="0" builtinId="0"/>
    <cellStyle name="Comma" xfId="1" builtinId="3"/>
    <cellStyle name="Normal 2" xfId="2"/>
    <cellStyle name="Normal 3" xfId="3"/>
    <cellStyle name="Percent" xfId="4" builtinId="5"/>
    <cellStyle name="Normal 4" xfId="5"/>
    <cellStyle name="Normal 5" xfId="6"/>
    <cellStyle name="Percent 2" xfId="7"/>
    <cellStyle name="Normal 6" xfId="8"/>
    <cellStyle name="Normal 25" xfId="9"/>
    <cellStyle name="Normal 7" xfId="1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56744</colOff>
      <row>37</row>
      <rowOff>0</rowOff>
    </from>
    <to>
      <col>7</col>
      <colOff>836899</colOff>
      <row>41</row>
      <rowOff>90090</rowOff>
    </to>
    <pic>
      <nvPicPr>
        <cNvPr id="4" name="Picture 3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8381999" y="6128426"/>
          <a:ext cx="780155" cy="706175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106365</colOff>
      <row>39</row>
      <rowOff>120804</rowOff>
    </from>
    <to>
      <col>7</col>
      <colOff>967840</colOff>
      <row>43</row>
      <rowOff>157976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8395438" y="7768682"/>
          <a:ext cx="861475" cy="78058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6</col>
      <colOff>167640</colOff>
      <row>19</row>
      <rowOff>121920</rowOff>
    </from>
    <to>
      <col>6</col>
      <colOff>875285</colOff>
      <row>22</row>
      <rowOff>115420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703820" y="3741420"/>
          <a:ext cx="707645" cy="641200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6</col>
      <colOff>22860</colOff>
      <row>23</row>
      <rowOff>137160</rowOff>
    </from>
    <to>
      <col>6</col>
      <colOff>730505</colOff>
      <row>27</row>
      <rowOff>46840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520940" y="4472940"/>
          <a:ext cx="707645" cy="6412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J236"/>
  <sheetViews>
    <sheetView showGridLines="0" tabSelected="1" topLeftCell="A10" zoomScale="94" zoomScaleNormal="100" workbookViewId="0">
      <selection activeCell="C39" sqref="C39"/>
    </sheetView>
  </sheetViews>
  <sheetFormatPr baseColWidth="8" defaultColWidth="12.5546875" defaultRowHeight="15" customHeight="1"/>
  <cols>
    <col width="4.88671875" customWidth="1" style="139" min="1" max="1"/>
    <col width="52.44140625" customWidth="1" style="139" min="2" max="2"/>
    <col width="12.77734375" bestFit="1" customWidth="1" style="139" min="3" max="4"/>
    <col width="12.5546875" bestFit="1" customWidth="1" style="139" min="5" max="5"/>
    <col width="13.109375" bestFit="1" customWidth="1" style="139" min="6" max="6"/>
    <col width="12.88671875" customWidth="1" style="139" min="7" max="7"/>
    <col width="14" bestFit="1" customWidth="1" style="139" min="8" max="8"/>
    <col width="12.5546875" customWidth="1" style="139" min="9" max="10"/>
    <col width="12.5546875" customWidth="1" style="139" min="11" max="16384"/>
  </cols>
  <sheetData>
    <row r="1" ht="15" customHeight="1" s="135">
      <c r="B1" s="138" t="inlineStr">
        <is>
          <t>asdf</t>
        </is>
      </c>
      <c r="I1" s="6" t="n"/>
    </row>
    <row r="2" ht="16.5" customHeight="1" s="135">
      <c r="B2" s="140" t="inlineStr">
        <is>
          <t>Zomato Summary  - January - 2026</t>
        </is>
      </c>
    </row>
    <row r="3" ht="12" customHeight="1" s="135" thickBot="1">
      <c r="B3" s="141" t="n"/>
    </row>
    <row r="4" ht="15" customHeight="1" s="135" thickBot="1">
      <c r="B4" s="13" t="inlineStr">
        <is>
          <t>Details</t>
        </is>
      </c>
      <c r="C4" s="148" t="inlineStr">
        <is>
          <t>1st to 4th</t>
        </is>
      </c>
      <c r="D4" s="149" t="inlineStr">
        <is>
          <t>5th to 11th</t>
        </is>
      </c>
      <c r="E4" s="148" t="inlineStr">
        <is>
          <t>12th to 18th</t>
        </is>
      </c>
      <c r="F4" s="149" t="inlineStr">
        <is>
          <t>19th to 25th</t>
        </is>
      </c>
      <c r="G4" s="148" t="inlineStr">
        <is>
          <t>26th to 31st</t>
        </is>
      </c>
      <c r="H4" s="14" t="inlineStr">
        <is>
          <t>Total</t>
        </is>
      </c>
    </row>
    <row r="5" ht="12" customHeight="1" s="135">
      <c r="B5" s="15" t="n"/>
      <c r="C5" s="16" t="n"/>
      <c r="D5" s="17" t="n"/>
      <c r="E5" s="16" t="n"/>
      <c r="F5" s="17" t="n"/>
      <c r="G5" s="18" t="n"/>
      <c r="H5" s="16" t="n"/>
    </row>
    <row r="6" ht="12" customHeight="1" s="135">
      <c r="B6" s="15" t="inlineStr">
        <is>
          <t>No.of orders</t>
        </is>
      </c>
      <c r="C6" s="15" t="n"/>
      <c r="D6" s="15" t="n">
        <v>1</v>
      </c>
      <c r="E6" s="15" t="n">
        <v>1</v>
      </c>
      <c r="F6" s="15" t="n"/>
      <c r="G6" s="99" t="n"/>
      <c r="H6" s="96">
        <f>SUM(C6:G6)</f>
        <v/>
      </c>
    </row>
    <row r="7" ht="12" customHeight="1" s="135">
      <c r="B7" s="15" t="n"/>
      <c r="C7" s="96" t="n"/>
      <c r="D7" s="97" t="n"/>
      <c r="E7" s="96" t="n"/>
      <c r="F7" s="97" t="n"/>
      <c r="G7" s="98" t="n"/>
      <c r="H7" s="96" t="n"/>
    </row>
    <row r="8" ht="12" customHeight="1" s="135">
      <c r="B8" s="15" t="inlineStr">
        <is>
          <t>Total Income (Number that you see on Zomato dashboard)</t>
        </is>
      </c>
      <c r="C8" s="99">
        <f>Cashflow!C10</f>
        <v/>
      </c>
      <c r="D8" s="100">
        <f>Cashflow!D10</f>
        <v/>
      </c>
      <c r="E8" s="99">
        <f>Cashflow!E10</f>
        <v/>
      </c>
      <c r="F8" s="100">
        <f>Cashflow!F10</f>
        <v/>
      </c>
      <c r="G8" s="99">
        <f>Cashflow!G10</f>
        <v/>
      </c>
      <c r="H8" s="96">
        <f>SUM(C8:G8)</f>
        <v/>
      </c>
    </row>
    <row r="9" ht="12" customHeight="1" s="135">
      <c r="B9" s="15" t="n"/>
      <c r="C9" s="96" t="n"/>
      <c r="D9" s="97" t="n"/>
      <c r="E9" s="96" t="n"/>
      <c r="F9" s="97" t="n"/>
      <c r="G9" s="98" t="n"/>
      <c r="H9" s="96" t="n"/>
    </row>
    <row r="10" ht="12" customHeight="1" s="135">
      <c r="B10" s="19" t="inlineStr">
        <is>
          <t>Avg. order value</t>
        </is>
      </c>
      <c r="C10" s="137">
        <f>IFERROR(C8/C6,)</f>
        <v/>
      </c>
      <c r="D10" s="137">
        <f>IFERROR(D8/D6,)</f>
        <v/>
      </c>
      <c r="E10" s="137">
        <f>IFERROR(E8/E6,)</f>
        <v/>
      </c>
      <c r="F10" s="137">
        <f>IFERROR(F8/F6,)</f>
        <v/>
      </c>
      <c r="G10" s="137">
        <f>IFERROR(G8/G6,)</f>
        <v/>
      </c>
      <c r="H10" s="137">
        <f>IFERROR(H8/H6,)</f>
        <v/>
      </c>
      <c r="I10" s="150" t="n"/>
    </row>
    <row r="11" ht="12" customHeight="1" s="135">
      <c r="B11" s="15" t="n"/>
      <c r="C11" s="96" t="n"/>
      <c r="D11" s="97" t="n"/>
      <c r="E11" s="96" t="n"/>
      <c r="F11" s="97" t="n"/>
      <c r="G11" s="98" t="n"/>
      <c r="H11" s="96" t="n"/>
    </row>
    <row r="12" ht="12" customHeight="1" s="135">
      <c r="B12" s="15" t="inlineStr">
        <is>
          <t>No of disputed orders</t>
        </is>
      </c>
      <c r="C12" s="99" t="n">
        <v>0</v>
      </c>
      <c r="D12" s="100" t="n">
        <v>0</v>
      </c>
      <c r="E12" s="99" t="n">
        <v>0</v>
      </c>
      <c r="F12" s="100" t="n">
        <v>0</v>
      </c>
      <c r="G12" s="99" t="n">
        <v>0</v>
      </c>
      <c r="H12" s="99">
        <f>SUM(C12:G12)</f>
        <v/>
      </c>
    </row>
    <row r="13" ht="12" customHeight="1" s="135">
      <c r="B13" s="15" t="n"/>
      <c r="C13" s="99" t="n"/>
      <c r="D13" s="101" t="n"/>
      <c r="E13" s="99" t="n"/>
      <c r="F13" s="101" t="n"/>
      <c r="G13" s="102" t="n"/>
      <c r="H13" s="99" t="n"/>
    </row>
    <row r="14" ht="12" customHeight="1" s="135">
      <c r="B14" s="19" t="inlineStr">
        <is>
          <t>Refund amount for disputed orders</t>
        </is>
      </c>
      <c r="C14" s="103">
        <f>Cashflow!C18</f>
        <v/>
      </c>
      <c r="D14" s="103">
        <f>Cashflow!D18</f>
        <v/>
      </c>
      <c r="E14" s="103">
        <f>Cashflow!E18</f>
        <v/>
      </c>
      <c r="F14" s="103">
        <f>Cashflow!F18</f>
        <v/>
      </c>
      <c r="G14" s="103">
        <f>Cashflow!G18</f>
        <v/>
      </c>
      <c r="H14" s="104">
        <f>SUM(C14:G14)</f>
        <v/>
      </c>
    </row>
    <row r="15" ht="12" customHeight="1" s="135">
      <c r="B15" s="15" t="n"/>
      <c r="C15" s="99" t="n"/>
      <c r="D15" s="101" t="n"/>
      <c r="E15" s="99" t="n"/>
      <c r="F15" s="101" t="n"/>
      <c r="G15" s="102" t="n"/>
      <c r="H15" s="99" t="n"/>
    </row>
    <row r="16" ht="14.4" customHeight="1" s="135">
      <c r="B16" s="15" t="inlineStr">
        <is>
          <t>Discounts</t>
        </is>
      </c>
      <c r="C16" s="99">
        <f>Cashflow!C8</f>
        <v/>
      </c>
      <c r="D16" s="100">
        <f>Cashflow!D8</f>
        <v/>
      </c>
      <c r="E16" s="99">
        <f>Cashflow!E8</f>
        <v/>
      </c>
      <c r="F16" s="100">
        <f>Cashflow!F8</f>
        <v/>
      </c>
      <c r="G16" s="99">
        <f>Cashflow!G8</f>
        <v/>
      </c>
      <c r="H16" s="96">
        <f>SUM(C16:G16)</f>
        <v/>
      </c>
    </row>
    <row r="17" ht="15" customHeight="1" s="135">
      <c r="B17" s="15" t="n"/>
      <c r="C17" s="20">
        <f>IFERROR(C16/C8,)</f>
        <v/>
      </c>
      <c r="D17" s="20">
        <f>IFERROR(D16/D8,)</f>
        <v/>
      </c>
      <c r="E17" s="20">
        <f>IFERROR(E16/E8,)</f>
        <v/>
      </c>
      <c r="F17" s="20">
        <f>IFERROR(F16/F8,)</f>
        <v/>
      </c>
      <c r="G17" s="20">
        <f>IFERROR(G16/G8,)</f>
        <v/>
      </c>
      <c r="H17" s="20">
        <f>IFERROR(H16/H8,)</f>
        <v/>
      </c>
    </row>
    <row r="18" ht="15" customHeight="1" s="135">
      <c r="B18" s="115" t="n"/>
      <c r="D18" s="115" t="n"/>
      <c r="F18" s="115" t="n"/>
      <c r="H18" s="115" t="n"/>
    </row>
    <row r="19" ht="12" customHeight="1" s="135">
      <c r="B19" s="15" t="inlineStr">
        <is>
          <t>Commisonable Amount</t>
        </is>
      </c>
      <c r="C19" s="116" t="n"/>
      <c r="D19" s="116" t="n">
        <v>0</v>
      </c>
      <c r="E19" s="116" t="n">
        <v>0</v>
      </c>
      <c r="F19" s="116" t="n"/>
      <c r="G19" s="116" t="n"/>
      <c r="H19" s="104">
        <f>SUM(C19:G19)</f>
        <v/>
      </c>
    </row>
    <row r="20" ht="17.4" customHeight="1" s="135">
      <c r="B20" s="25" t="inlineStr">
        <is>
          <t>Commission</t>
        </is>
      </c>
      <c r="C20" s="105">
        <f>Cashflow!C11</f>
        <v/>
      </c>
      <c r="D20" s="106">
        <f>Cashflow!D11</f>
        <v/>
      </c>
      <c r="E20" s="105">
        <f>Cashflow!E11</f>
        <v/>
      </c>
      <c r="F20" s="106">
        <f>Cashflow!F11</f>
        <v/>
      </c>
      <c r="G20" s="105">
        <f>Cashflow!G11</f>
        <v/>
      </c>
      <c r="H20" s="96">
        <f>SUM(C20:G20)</f>
        <v/>
      </c>
      <c r="J20" s="2" t="n"/>
    </row>
    <row r="21" ht="19.2" customHeight="1" s="135">
      <c r="B21" s="19" t="inlineStr">
        <is>
          <t>(Calculated on Sales + GST)</t>
        </is>
      </c>
      <c r="C21" s="26">
        <f>IFERROR(C20/C19,)</f>
        <v/>
      </c>
      <c r="D21" s="26">
        <f>IFERROR(D20/D19,)</f>
        <v/>
      </c>
      <c r="E21" s="26">
        <f>IFERROR(E20/E19,)</f>
        <v/>
      </c>
      <c r="F21" s="26">
        <f>IFERROR(F20/F19,)</f>
        <v/>
      </c>
      <c r="G21" s="26">
        <f>IFERROR(G20/G19,)</f>
        <v/>
      </c>
      <c r="H21" s="26">
        <f>IFERROR(H20/H19,)</f>
        <v/>
      </c>
      <c r="J21" s="3" t="n"/>
    </row>
    <row r="22" ht="12" customHeight="1" s="135">
      <c r="B22" s="15" t="n"/>
      <c r="C22" s="151" t="n"/>
      <c r="D22" s="152" t="n"/>
      <c r="E22" s="151" t="n"/>
      <c r="F22" s="152" t="n"/>
      <c r="G22" s="153" t="n"/>
      <c r="H22" s="151" t="n"/>
      <c r="J22" s="3" t="n"/>
    </row>
    <row r="23" ht="12" customHeight="1" s="135">
      <c r="B23" s="19" t="inlineStr">
        <is>
          <t>Marketing &amp; Ads</t>
        </is>
      </c>
      <c r="C23" s="103">
        <f>Cashflow!C21</f>
        <v/>
      </c>
      <c r="D23" s="107">
        <f>Cashflow!D21</f>
        <v/>
      </c>
      <c r="E23" s="103">
        <f>Cashflow!E21</f>
        <v/>
      </c>
      <c r="F23" s="107">
        <f>Cashflow!F21</f>
        <v/>
      </c>
      <c r="G23" s="103">
        <f>Cashflow!G21</f>
        <v/>
      </c>
      <c r="H23" s="95">
        <f>SUM(C23:G23)</f>
        <v/>
      </c>
    </row>
    <row r="24" ht="13.8" customHeight="1" s="135">
      <c r="B24" s="15" t="n"/>
      <c r="C24" s="21">
        <f>IFERROR(C23/C8,)</f>
        <v/>
      </c>
      <c r="D24" s="21">
        <f>IFERROR(D23/D8,)</f>
        <v/>
      </c>
      <c r="E24" s="21">
        <f>IFERROR(E23/E8,)</f>
        <v/>
      </c>
      <c r="F24" s="21">
        <f>IFERROR(F23/F8,)</f>
        <v/>
      </c>
      <c r="G24" s="21">
        <f>IFERROR(G23/G8,)</f>
        <v/>
      </c>
      <c r="H24" s="21">
        <f>IFERROR(H23/H8,)</f>
        <v/>
      </c>
    </row>
    <row r="25" ht="12" customHeight="1" s="135">
      <c r="B25" s="15" t="n"/>
      <c r="C25" s="22" t="n"/>
      <c r="D25" s="23" t="n"/>
      <c r="E25" s="22" t="n"/>
      <c r="F25" s="23" t="n"/>
      <c r="G25" s="24" t="n"/>
      <c r="H25" s="22" t="n"/>
    </row>
    <row r="26" ht="8.4" customHeight="1" s="135">
      <c r="B26" s="15" t="n"/>
      <c r="C26" s="27" t="n"/>
      <c r="D26" s="28" t="n"/>
      <c r="E26" s="29" t="n"/>
      <c r="F26" s="28" t="n"/>
      <c r="G26" s="27" t="n"/>
      <c r="H26" s="22" t="n"/>
    </row>
    <row r="27" ht="15" customHeight="1" s="135">
      <c r="B27" s="30" t="inlineStr">
        <is>
          <t>Other charges &amp; Tax Adjustments</t>
        </is>
      </c>
      <c r="C27" s="108">
        <f>Cashflow!C13+Cashflow!C26</f>
        <v/>
      </c>
      <c r="D27" s="109">
        <f>Cashflow!D13+Cashflow!D26</f>
        <v/>
      </c>
      <c r="E27" s="108">
        <f>Cashflow!E13+Cashflow!E26</f>
        <v/>
      </c>
      <c r="F27" s="109">
        <f>Cashflow!F13+Cashflow!F26</f>
        <v/>
      </c>
      <c r="G27" s="108">
        <f>Cashflow!G13+Cashflow!G26</f>
        <v/>
      </c>
      <c r="H27" s="110">
        <f>SUM(C27:G27)</f>
        <v/>
      </c>
    </row>
    <row r="28" ht="15.6" customHeight="1" s="135">
      <c r="B28" s="15" t="n"/>
      <c r="C28" s="31">
        <f>IFERROR(C27/C8,)</f>
        <v/>
      </c>
      <c r="D28" s="31">
        <f>IFERROR(D27/D8,)</f>
        <v/>
      </c>
      <c r="E28" s="31">
        <f>IFERROR(E27/E8,)</f>
        <v/>
      </c>
      <c r="F28" s="31">
        <f>IFERROR(F27/F8,)</f>
        <v/>
      </c>
      <c r="G28" s="31">
        <f>IFERROR(G27/G8,)</f>
        <v/>
      </c>
      <c r="H28" s="31">
        <f>IFERROR(H27/H8,)</f>
        <v/>
      </c>
    </row>
    <row r="29" ht="3" customHeight="1" s="135">
      <c r="B29" s="15" t="n"/>
      <c r="C29" s="31" t="n"/>
      <c r="D29" s="32" t="n"/>
      <c r="E29" s="31" t="n"/>
      <c r="F29" s="32" t="n"/>
      <c r="G29" s="31" t="n"/>
      <c r="H29" s="21" t="n"/>
    </row>
    <row r="30" ht="12" customHeight="1" s="135">
      <c r="B30" s="15" t="n"/>
      <c r="C30" s="154" t="n"/>
      <c r="D30" s="152" t="n"/>
      <c r="E30" s="154" t="n"/>
      <c r="F30" s="152" t="n"/>
      <c r="G30" s="153" t="n"/>
      <c r="H30" s="151" t="n"/>
    </row>
    <row r="31" ht="12" customFormat="1" customHeight="1" s="139">
      <c r="B31" s="15" t="n"/>
      <c r="C31" s="154" t="n"/>
      <c r="D31" s="152" t="n"/>
      <c r="E31" s="154" t="n"/>
      <c r="F31" s="152" t="n"/>
      <c r="G31" s="153" t="n"/>
      <c r="H31" s="151" t="n"/>
    </row>
    <row r="32" ht="12" customHeight="1" s="135">
      <c r="B32" s="15" t="inlineStr">
        <is>
          <t>Zomato Hyperpure Adjustments</t>
        </is>
      </c>
      <c r="C32" s="96">
        <f>Cashflow!C36</f>
        <v/>
      </c>
      <c r="D32" s="96">
        <f>Cashflow!D36</f>
        <v/>
      </c>
      <c r="E32" s="96">
        <f>Cashflow!E36</f>
        <v/>
      </c>
      <c r="F32" s="96">
        <f>Cashflow!F36</f>
        <v/>
      </c>
      <c r="G32" s="96">
        <f>Cashflow!G36</f>
        <v/>
      </c>
      <c r="H32" s="96">
        <f>SUM(C32:G32)</f>
        <v/>
      </c>
    </row>
    <row r="33" ht="2.4" customHeight="1" s="135">
      <c r="B33" s="15" t="n"/>
      <c r="C33" s="96" t="n"/>
      <c r="D33" s="114" t="n"/>
      <c r="E33" s="96" t="n"/>
      <c r="F33" s="114" t="n"/>
      <c r="G33" s="96" t="n"/>
      <c r="H33" s="96" t="n"/>
    </row>
    <row r="34" ht="12" customHeight="1" s="135">
      <c r="B34" s="15" t="n"/>
      <c r="C34" s="96" t="n"/>
      <c r="D34" s="97" t="n"/>
      <c r="E34" s="96" t="n"/>
      <c r="F34" s="97" t="n"/>
      <c r="G34" s="98" t="n"/>
      <c r="H34" s="99" t="n"/>
    </row>
    <row r="35" ht="12" customHeight="1" s="135">
      <c r="B35" s="15" t="inlineStr">
        <is>
          <t>Money received</t>
        </is>
      </c>
      <c r="C35" s="96">
        <f>C8-C14-C20-C23-C27-C32</f>
        <v/>
      </c>
      <c r="D35" s="96">
        <f>D8-D14-D20-D23-D27-D32</f>
        <v/>
      </c>
      <c r="E35" s="96">
        <f>E8-E14-E20-E23-E27-E32</f>
        <v/>
      </c>
      <c r="F35" s="96">
        <f>F8-F14-F20-F23-F27-F32+Cashflow!F31</f>
        <v/>
      </c>
      <c r="G35" s="96">
        <f>G8-G14-G20-G23-G27-G32</f>
        <v/>
      </c>
      <c r="H35" s="96">
        <f>SUM(C35:G35)</f>
        <v/>
      </c>
      <c r="J35" s="4" t="n"/>
    </row>
    <row r="36" ht="17.25" customHeight="1" s="135" thickBot="1">
      <c r="B36" s="33" t="n"/>
      <c r="C36" s="34">
        <f>IFERROR(C35/$C$8,)</f>
        <v/>
      </c>
      <c r="D36" s="35">
        <f>IFERROR(D35/$D$8,)</f>
        <v/>
      </c>
      <c r="E36" s="34">
        <f>IFERROR(E35/$E$8,)</f>
        <v/>
      </c>
      <c r="F36" s="35">
        <f>IFERROR(F35/F8,)</f>
        <v/>
      </c>
      <c r="G36" s="34">
        <f>IFERROR(G35/G8,)</f>
        <v/>
      </c>
      <c r="H36" s="34">
        <f>IFERROR(H35/H8,)</f>
        <v/>
      </c>
      <c r="J36" s="4" t="n"/>
    </row>
    <row r="37" ht="12" customHeight="1" s="135">
      <c r="B37" s="5" t="n"/>
    </row>
    <row r="38" ht="12" customHeight="1" s="135">
      <c r="B38" s="9" t="n"/>
    </row>
    <row r="39" ht="12" customHeight="1" s="135">
      <c r="B39" s="10" t="n"/>
      <c r="C39" s="1" t="n"/>
    </row>
    <row r="40" ht="12" customHeight="1" s="135">
      <c r="B40" s="10" t="n"/>
      <c r="C40" s="4" t="n"/>
    </row>
    <row r="41" ht="12" customHeight="1" s="135"/>
    <row r="42" ht="12" customHeight="1" s="135">
      <c r="B42" s="5" t="n"/>
    </row>
    <row r="43" ht="12" customHeight="1" s="135">
      <c r="B43" s="5" t="n"/>
    </row>
    <row r="44" ht="12" customHeight="1" s="135">
      <c r="B44" s="5" t="n"/>
    </row>
    <row r="45" ht="12" customHeight="1" s="135">
      <c r="B45" s="5" t="n"/>
    </row>
    <row r="46" ht="12" customHeight="1" s="135">
      <c r="B46" s="5" t="n"/>
    </row>
    <row r="47" ht="12" customHeight="1" s="135">
      <c r="B47" s="5" t="n"/>
    </row>
    <row r="48" ht="12" customHeight="1" s="135">
      <c r="B48" s="5" t="n"/>
    </row>
    <row r="49" ht="12" customHeight="1" s="135">
      <c r="B49" s="5" t="n"/>
    </row>
    <row r="50" ht="12" customHeight="1" s="135">
      <c r="B50" s="5" t="n"/>
    </row>
    <row r="51" ht="12" customHeight="1" s="135">
      <c r="B51" s="5" t="n"/>
    </row>
    <row r="52" ht="12" customHeight="1" s="135">
      <c r="B52" s="5" t="n"/>
    </row>
    <row r="53" ht="12" customHeight="1" s="135">
      <c r="B53" s="5" t="n"/>
    </row>
    <row r="54" ht="12" customHeight="1" s="135">
      <c r="B54" s="5" t="n"/>
    </row>
    <row r="55" ht="12" customHeight="1" s="135">
      <c r="B55" s="5" t="n"/>
    </row>
    <row r="56" ht="12" customHeight="1" s="135">
      <c r="B56" s="5" t="n"/>
    </row>
    <row r="57" ht="12" customHeight="1" s="135">
      <c r="B57" s="5" t="n"/>
    </row>
    <row r="58" ht="12" customHeight="1" s="135">
      <c r="B58" s="5" t="n"/>
    </row>
    <row r="59" ht="12" customHeight="1" s="135">
      <c r="B59" s="5" t="n"/>
    </row>
    <row r="60" ht="12" customHeight="1" s="135">
      <c r="B60" s="5" t="n"/>
    </row>
    <row r="61" ht="12" customHeight="1" s="135">
      <c r="B61" s="5" t="n"/>
    </row>
    <row r="62" ht="12" customHeight="1" s="135">
      <c r="B62" s="5" t="n"/>
    </row>
    <row r="63" ht="12" customHeight="1" s="135">
      <c r="B63" s="5" t="n"/>
    </row>
    <row r="64" ht="12" customHeight="1" s="135">
      <c r="B64" s="5" t="n"/>
    </row>
    <row r="65" ht="12" customHeight="1" s="135">
      <c r="B65" s="5" t="n"/>
    </row>
    <row r="66" ht="12" customHeight="1" s="135">
      <c r="B66" s="5" t="n"/>
    </row>
    <row r="67" ht="12" customHeight="1" s="135">
      <c r="B67" s="5" t="n"/>
    </row>
    <row r="68" ht="12" customHeight="1" s="135">
      <c r="B68" s="5" t="n"/>
    </row>
    <row r="69" ht="12" customHeight="1" s="135">
      <c r="B69" s="5" t="n"/>
    </row>
    <row r="70" ht="12" customHeight="1" s="135">
      <c r="B70" s="5" t="n"/>
    </row>
    <row r="71" ht="12" customHeight="1" s="135">
      <c r="B71" s="5" t="n"/>
    </row>
    <row r="72" ht="12" customHeight="1" s="135">
      <c r="B72" s="5" t="n"/>
    </row>
    <row r="73" ht="12" customHeight="1" s="135">
      <c r="B73" s="5" t="n"/>
    </row>
    <row r="74" ht="12" customHeight="1" s="135">
      <c r="B74" s="5" t="n"/>
    </row>
    <row r="75" ht="12" customHeight="1" s="135">
      <c r="B75" s="5" t="n"/>
    </row>
    <row r="76" ht="12" customHeight="1" s="135">
      <c r="B76" s="5" t="n"/>
    </row>
    <row r="77" ht="12" customHeight="1" s="135">
      <c r="B77" s="5" t="n"/>
    </row>
    <row r="78" ht="12" customHeight="1" s="135">
      <c r="B78" s="5" t="n"/>
    </row>
    <row r="79" ht="12" customHeight="1" s="135">
      <c r="B79" s="5" t="n"/>
    </row>
    <row r="80" ht="12" customHeight="1" s="135">
      <c r="B80" s="5" t="n"/>
    </row>
    <row r="81" ht="12" customHeight="1" s="135">
      <c r="B81" s="5" t="n"/>
    </row>
    <row r="82" ht="12" customHeight="1" s="135">
      <c r="B82" s="5" t="n"/>
    </row>
    <row r="83" ht="12" customHeight="1" s="135">
      <c r="B83" s="5" t="n"/>
    </row>
    <row r="84" ht="12" customHeight="1" s="135">
      <c r="B84" s="5" t="n"/>
    </row>
    <row r="85" ht="12" customHeight="1" s="135">
      <c r="B85" s="5" t="n"/>
    </row>
    <row r="86" ht="12" customHeight="1" s="135">
      <c r="B86" s="5" t="n"/>
    </row>
    <row r="87" ht="12" customHeight="1" s="135">
      <c r="B87" s="5" t="n"/>
    </row>
    <row r="88" ht="12" customHeight="1" s="135">
      <c r="B88" s="5" t="n"/>
    </row>
    <row r="89" ht="12" customHeight="1" s="135">
      <c r="B89" s="5" t="n"/>
    </row>
    <row r="90" ht="12" customHeight="1" s="135">
      <c r="B90" s="5" t="n"/>
    </row>
    <row r="91" ht="12" customHeight="1" s="135">
      <c r="B91" s="5" t="n"/>
    </row>
    <row r="92" ht="12" customHeight="1" s="135">
      <c r="B92" s="5" t="n"/>
    </row>
    <row r="93" ht="12" customHeight="1" s="135">
      <c r="B93" s="5" t="n"/>
    </row>
    <row r="94" ht="12" customHeight="1" s="135">
      <c r="B94" s="5" t="n"/>
    </row>
    <row r="95" ht="12" customHeight="1" s="135">
      <c r="B95" s="5" t="n"/>
    </row>
    <row r="96" ht="12" customHeight="1" s="135">
      <c r="B96" s="5" t="n"/>
    </row>
    <row r="97" ht="12" customHeight="1" s="135">
      <c r="B97" s="5" t="n"/>
    </row>
    <row r="98" ht="12" customHeight="1" s="135">
      <c r="B98" s="5" t="n"/>
    </row>
    <row r="99" ht="12" customHeight="1" s="135">
      <c r="B99" s="5" t="n"/>
    </row>
    <row r="100" ht="12" customHeight="1" s="135">
      <c r="B100" s="5" t="n"/>
    </row>
    <row r="101" ht="12" customHeight="1" s="135">
      <c r="B101" s="5" t="n"/>
    </row>
    <row r="102" ht="12" customHeight="1" s="135">
      <c r="B102" s="5" t="n"/>
    </row>
    <row r="103" ht="12" customHeight="1" s="135">
      <c r="B103" s="5" t="n"/>
    </row>
    <row r="104" ht="12" customHeight="1" s="135">
      <c r="B104" s="5" t="n"/>
    </row>
    <row r="105" ht="12" customHeight="1" s="135">
      <c r="B105" s="5" t="n"/>
    </row>
    <row r="106" ht="12" customHeight="1" s="135">
      <c r="B106" s="5" t="n"/>
    </row>
    <row r="107" ht="12" customHeight="1" s="135">
      <c r="B107" s="5" t="n"/>
    </row>
    <row r="108" ht="12" customHeight="1" s="135">
      <c r="B108" s="5" t="n"/>
    </row>
    <row r="109" ht="12" customHeight="1" s="135">
      <c r="B109" s="5" t="n"/>
    </row>
    <row r="110" ht="12" customHeight="1" s="135">
      <c r="B110" s="5" t="n"/>
    </row>
    <row r="111" ht="12" customHeight="1" s="135">
      <c r="B111" s="5" t="n"/>
    </row>
    <row r="112" ht="12" customHeight="1" s="135">
      <c r="B112" s="5" t="n"/>
    </row>
    <row r="113" ht="12" customHeight="1" s="135">
      <c r="B113" s="5" t="n"/>
    </row>
    <row r="114" ht="12" customHeight="1" s="135">
      <c r="B114" s="5" t="n"/>
    </row>
    <row r="115" ht="12" customHeight="1" s="135">
      <c r="B115" s="5" t="n"/>
    </row>
    <row r="116" ht="12" customHeight="1" s="135">
      <c r="B116" s="5" t="n"/>
    </row>
    <row r="117" ht="12" customHeight="1" s="135">
      <c r="B117" s="5" t="n"/>
    </row>
    <row r="118" ht="12" customHeight="1" s="135">
      <c r="B118" s="5" t="n"/>
    </row>
    <row r="119" ht="12" customHeight="1" s="135">
      <c r="B119" s="5" t="n"/>
    </row>
    <row r="120" ht="12" customHeight="1" s="135">
      <c r="B120" s="5" t="n"/>
    </row>
    <row r="121" ht="12" customHeight="1" s="135">
      <c r="B121" s="5" t="n"/>
    </row>
    <row r="122" ht="12" customHeight="1" s="135">
      <c r="B122" s="5" t="n"/>
    </row>
    <row r="123" ht="12" customHeight="1" s="135">
      <c r="B123" s="5" t="n"/>
    </row>
    <row r="124" ht="12" customHeight="1" s="135">
      <c r="B124" s="5" t="n"/>
    </row>
    <row r="125" ht="12" customHeight="1" s="135">
      <c r="B125" s="5" t="n"/>
    </row>
    <row r="126" ht="12" customHeight="1" s="135">
      <c r="B126" s="5" t="n"/>
    </row>
    <row r="127" ht="12" customHeight="1" s="135">
      <c r="B127" s="5" t="n"/>
    </row>
    <row r="128" ht="12" customHeight="1" s="135">
      <c r="B128" s="5" t="n"/>
    </row>
    <row r="129" ht="12" customHeight="1" s="135">
      <c r="B129" s="5" t="n"/>
    </row>
    <row r="130" ht="12" customHeight="1" s="135">
      <c r="B130" s="5" t="n"/>
    </row>
    <row r="131" ht="12" customHeight="1" s="135">
      <c r="B131" s="5" t="n"/>
    </row>
    <row r="132" ht="12" customHeight="1" s="135">
      <c r="B132" s="5" t="n"/>
    </row>
    <row r="133" ht="12" customHeight="1" s="135">
      <c r="B133" s="5" t="n"/>
    </row>
    <row r="134" ht="12" customHeight="1" s="135">
      <c r="B134" s="5" t="n"/>
    </row>
    <row r="135" ht="12" customHeight="1" s="135">
      <c r="B135" s="5" t="n"/>
    </row>
    <row r="136" ht="12" customHeight="1" s="135">
      <c r="B136" s="5" t="n"/>
    </row>
    <row r="137" ht="12" customHeight="1" s="135">
      <c r="B137" s="5" t="n"/>
    </row>
    <row r="138" ht="12" customHeight="1" s="135">
      <c r="B138" s="5" t="n"/>
    </row>
    <row r="139" ht="12" customHeight="1" s="135">
      <c r="B139" s="5" t="n"/>
    </row>
    <row r="140" ht="12" customHeight="1" s="135">
      <c r="B140" s="5" t="n"/>
    </row>
    <row r="141" ht="12" customHeight="1" s="135">
      <c r="B141" s="5" t="n"/>
    </row>
    <row r="142" ht="12" customHeight="1" s="135">
      <c r="B142" s="5" t="n"/>
    </row>
    <row r="143" ht="12" customHeight="1" s="135">
      <c r="B143" s="5" t="n"/>
    </row>
    <row r="144" ht="12" customHeight="1" s="135">
      <c r="B144" s="5" t="n"/>
    </row>
    <row r="145" ht="12" customHeight="1" s="135">
      <c r="B145" s="5" t="n"/>
    </row>
    <row r="146" ht="12" customHeight="1" s="135">
      <c r="B146" s="5" t="n"/>
    </row>
    <row r="147" ht="12" customHeight="1" s="135">
      <c r="B147" s="5" t="n"/>
    </row>
    <row r="148" ht="12" customHeight="1" s="135">
      <c r="B148" s="5" t="n"/>
    </row>
    <row r="149" ht="12" customHeight="1" s="135">
      <c r="B149" s="5" t="n"/>
    </row>
    <row r="150" ht="12" customHeight="1" s="135">
      <c r="B150" s="5" t="n"/>
    </row>
    <row r="151" ht="12" customHeight="1" s="135">
      <c r="B151" s="5" t="n"/>
    </row>
    <row r="152" ht="12" customHeight="1" s="135">
      <c r="B152" s="5" t="n"/>
    </row>
    <row r="153" ht="12" customHeight="1" s="135">
      <c r="B153" s="5" t="n"/>
    </row>
    <row r="154" ht="12" customHeight="1" s="135">
      <c r="B154" s="5" t="n"/>
    </row>
    <row r="155" ht="12" customHeight="1" s="135">
      <c r="B155" s="5" t="n"/>
    </row>
    <row r="156" ht="12" customHeight="1" s="135">
      <c r="B156" s="5" t="n"/>
    </row>
    <row r="157" ht="12" customHeight="1" s="135">
      <c r="B157" s="5" t="n"/>
    </row>
    <row r="158" ht="12" customHeight="1" s="135">
      <c r="B158" s="5" t="n"/>
    </row>
    <row r="159" ht="12" customHeight="1" s="135">
      <c r="B159" s="5" t="n"/>
    </row>
    <row r="160" ht="12" customHeight="1" s="135">
      <c r="B160" s="5" t="n"/>
    </row>
    <row r="161" ht="12" customHeight="1" s="135">
      <c r="B161" s="5" t="n"/>
    </row>
    <row r="162" ht="12" customHeight="1" s="135">
      <c r="B162" s="5" t="n"/>
    </row>
    <row r="163" ht="12" customHeight="1" s="135">
      <c r="B163" s="5" t="n"/>
    </row>
    <row r="164" ht="12" customHeight="1" s="135">
      <c r="B164" s="5" t="n"/>
    </row>
    <row r="165" ht="12" customHeight="1" s="135">
      <c r="B165" s="5" t="n"/>
    </row>
    <row r="166" ht="12" customHeight="1" s="135">
      <c r="B166" s="5" t="n"/>
    </row>
    <row r="167" ht="12" customHeight="1" s="135">
      <c r="B167" s="5" t="n"/>
    </row>
    <row r="168" ht="12" customHeight="1" s="135">
      <c r="B168" s="5" t="n"/>
    </row>
    <row r="169" ht="12" customHeight="1" s="135">
      <c r="B169" s="5" t="n"/>
    </row>
    <row r="170" ht="12" customHeight="1" s="135">
      <c r="B170" s="5" t="n"/>
    </row>
    <row r="171" ht="12" customHeight="1" s="135">
      <c r="B171" s="5" t="n"/>
    </row>
    <row r="172" ht="12" customHeight="1" s="135">
      <c r="B172" s="5" t="n"/>
    </row>
    <row r="173" ht="12" customHeight="1" s="135">
      <c r="B173" s="5" t="n"/>
    </row>
    <row r="174" ht="12" customHeight="1" s="135">
      <c r="B174" s="5" t="n"/>
    </row>
    <row r="175" ht="12" customHeight="1" s="135">
      <c r="B175" s="5" t="n"/>
    </row>
    <row r="176" ht="12" customHeight="1" s="135">
      <c r="B176" s="5" t="n"/>
    </row>
    <row r="177" ht="12" customHeight="1" s="135">
      <c r="B177" s="5" t="n"/>
    </row>
    <row r="178" ht="12" customHeight="1" s="135">
      <c r="B178" s="5" t="n"/>
    </row>
    <row r="179" ht="12" customHeight="1" s="135">
      <c r="B179" s="5" t="n"/>
    </row>
    <row r="180" ht="12" customHeight="1" s="135">
      <c r="B180" s="5" t="n"/>
    </row>
    <row r="181" ht="12" customHeight="1" s="135">
      <c r="B181" s="5" t="n"/>
    </row>
    <row r="182" ht="12" customHeight="1" s="135">
      <c r="B182" s="5" t="n"/>
    </row>
    <row r="183" ht="12" customHeight="1" s="135">
      <c r="B183" s="5" t="n"/>
    </row>
    <row r="184" ht="12" customHeight="1" s="135">
      <c r="B184" s="5" t="n"/>
    </row>
    <row r="185" ht="12" customHeight="1" s="135">
      <c r="B185" s="5" t="n"/>
    </row>
    <row r="186" ht="12" customHeight="1" s="135">
      <c r="B186" s="5" t="n"/>
    </row>
    <row r="187" ht="12" customHeight="1" s="135">
      <c r="B187" s="5" t="n"/>
    </row>
    <row r="188" ht="12" customHeight="1" s="135">
      <c r="B188" s="5" t="n"/>
    </row>
    <row r="189" ht="12" customHeight="1" s="135">
      <c r="B189" s="5" t="n"/>
    </row>
    <row r="190" ht="12" customHeight="1" s="135">
      <c r="B190" s="5" t="n"/>
    </row>
    <row r="191" ht="12" customHeight="1" s="135">
      <c r="B191" s="5" t="n"/>
    </row>
    <row r="192" ht="12" customHeight="1" s="135">
      <c r="B192" s="5" t="n"/>
    </row>
    <row r="193" ht="12" customHeight="1" s="135">
      <c r="B193" s="5" t="n"/>
    </row>
    <row r="194" ht="12" customHeight="1" s="135">
      <c r="B194" s="5" t="n"/>
    </row>
    <row r="195" ht="12" customHeight="1" s="135">
      <c r="B195" s="5" t="n"/>
    </row>
    <row r="196" ht="12" customHeight="1" s="135">
      <c r="B196" s="5" t="n"/>
    </row>
    <row r="197" ht="12" customHeight="1" s="135">
      <c r="B197" s="5" t="n"/>
    </row>
    <row r="198" ht="12" customHeight="1" s="135">
      <c r="B198" s="5" t="n"/>
    </row>
    <row r="199" ht="12" customHeight="1" s="135">
      <c r="B199" s="5" t="n"/>
    </row>
    <row r="200" ht="12" customHeight="1" s="135">
      <c r="B200" s="5" t="n"/>
    </row>
    <row r="201" ht="12" customHeight="1" s="135">
      <c r="B201" s="5" t="n"/>
    </row>
    <row r="202" ht="12" customHeight="1" s="135">
      <c r="B202" s="5" t="n"/>
    </row>
    <row r="203" ht="12" customHeight="1" s="135">
      <c r="B203" s="5" t="n"/>
    </row>
    <row r="204" ht="12" customHeight="1" s="135">
      <c r="B204" s="5" t="n"/>
    </row>
    <row r="205" ht="12" customHeight="1" s="135">
      <c r="B205" s="5" t="n"/>
    </row>
    <row r="206" ht="12" customHeight="1" s="135">
      <c r="B206" s="5" t="n"/>
    </row>
    <row r="207" ht="12" customHeight="1" s="135">
      <c r="B207" s="5" t="n"/>
    </row>
    <row r="208" ht="12" customHeight="1" s="135">
      <c r="B208" s="5" t="n"/>
    </row>
    <row r="209" ht="12" customHeight="1" s="135">
      <c r="B209" s="5" t="n"/>
    </row>
    <row r="210" ht="12" customHeight="1" s="135">
      <c r="B210" s="5" t="n"/>
    </row>
    <row r="211" ht="12" customHeight="1" s="135">
      <c r="B211" s="5" t="n"/>
    </row>
    <row r="212" ht="12" customHeight="1" s="135">
      <c r="B212" s="5" t="n"/>
    </row>
    <row r="213" ht="12" customHeight="1" s="135">
      <c r="B213" s="5" t="n"/>
    </row>
    <row r="214" ht="12" customHeight="1" s="135">
      <c r="B214" s="5" t="n"/>
    </row>
    <row r="215" ht="12" customHeight="1" s="135">
      <c r="B215" s="5" t="n"/>
    </row>
    <row r="216" ht="12" customHeight="1" s="135">
      <c r="B216" s="5" t="n"/>
    </row>
    <row r="217" ht="12" customHeight="1" s="135">
      <c r="B217" s="5" t="n"/>
    </row>
    <row r="218" ht="12" customHeight="1" s="135">
      <c r="B218" s="5" t="n"/>
    </row>
    <row r="219" ht="12" customHeight="1" s="135">
      <c r="B219" s="5" t="n"/>
    </row>
    <row r="220" ht="12" customHeight="1" s="135">
      <c r="B220" s="5" t="n"/>
    </row>
    <row r="221" ht="12" customHeight="1" s="135">
      <c r="B221" s="5" t="n"/>
    </row>
    <row r="222" ht="12" customHeight="1" s="135">
      <c r="B222" s="5" t="n"/>
    </row>
    <row r="223" ht="12" customHeight="1" s="135">
      <c r="B223" s="5" t="n"/>
    </row>
    <row r="224" ht="12" customHeight="1" s="135">
      <c r="B224" s="5" t="n"/>
    </row>
    <row r="225" ht="12" customHeight="1" s="135">
      <c r="B225" s="5" t="n"/>
    </row>
    <row r="226" ht="12" customHeight="1" s="135">
      <c r="B226" s="5" t="n"/>
    </row>
    <row r="227" ht="12" customHeight="1" s="135">
      <c r="B227" s="5" t="n"/>
    </row>
    <row r="228" ht="12" customHeight="1" s="135">
      <c r="B228" s="5" t="n"/>
    </row>
    <row r="229" ht="12" customHeight="1" s="135">
      <c r="B229" s="5" t="n"/>
    </row>
    <row r="230" ht="12" customHeight="1" s="135">
      <c r="B230" s="5" t="n"/>
    </row>
    <row r="231" ht="12" customHeight="1" s="135">
      <c r="B231" s="5" t="n"/>
    </row>
    <row r="232" ht="12" customHeight="1" s="135">
      <c r="B232" s="5" t="n"/>
    </row>
    <row r="233" ht="12" customHeight="1" s="135">
      <c r="B233" s="5" t="n"/>
    </row>
    <row r="234" ht="12" customHeight="1" s="135">
      <c r="B234" s="5" t="n"/>
    </row>
    <row r="235" ht="12" customHeight="1" s="135">
      <c r="B235" s="5" t="n"/>
    </row>
    <row r="236" ht="12" customHeight="1" s="135">
      <c r="B236" s="5" t="n"/>
    </row>
    <row r="237" ht="12" customHeight="1" s="135"/>
    <row r="238" ht="12" customHeight="1" s="135"/>
    <row r="239" ht="12" customHeight="1" s="135"/>
    <row r="240" ht="12" customHeight="1" s="135"/>
    <row r="241" ht="12" customHeight="1" s="135"/>
    <row r="242" ht="12" customHeight="1" s="135"/>
    <row r="243" ht="12" customHeight="1" s="135"/>
    <row r="244" ht="12" customHeight="1" s="135"/>
    <row r="245" ht="12" customHeight="1" s="135"/>
    <row r="246" ht="12" customHeight="1" s="135"/>
    <row r="247" ht="12" customHeight="1" s="135"/>
    <row r="248" ht="13.8" customHeight="1" s="135"/>
    <row r="249" ht="13.8" customHeight="1" s="135"/>
    <row r="250" ht="13.8" customHeight="1" s="135"/>
    <row r="251" ht="13.8" customHeight="1" s="135"/>
    <row r="252" ht="13.8" customHeight="1" s="135"/>
    <row r="253" ht="13.8" customHeight="1" s="135"/>
    <row r="254" ht="13.8" customHeight="1" s="135"/>
    <row r="255" ht="13.8" customHeight="1" s="135"/>
    <row r="256" ht="13.8" customHeight="1" s="135"/>
    <row r="257" ht="13.8" customHeight="1" s="135"/>
    <row r="258" ht="13.8" customHeight="1" s="135"/>
    <row r="259" ht="13.8" customHeight="1" s="135"/>
    <row r="260" ht="13.8" customHeight="1" s="135"/>
    <row r="261" ht="13.8" customHeight="1" s="135"/>
    <row r="262" ht="13.8" customHeight="1" s="135"/>
    <row r="263" ht="13.8" customHeight="1" s="135"/>
    <row r="264" ht="13.8" customHeight="1" s="135"/>
    <row r="265" ht="13.8" customHeight="1" s="135"/>
    <row r="266" ht="13.8" customHeight="1" s="135"/>
    <row r="267" ht="13.8" customHeight="1" s="135"/>
    <row r="268" ht="13.8" customHeight="1" s="135"/>
    <row r="269" ht="13.8" customHeight="1" s="135"/>
    <row r="270" ht="13.8" customHeight="1" s="135"/>
    <row r="271" ht="13.8" customHeight="1" s="135"/>
    <row r="272" ht="13.8" customHeight="1" s="135"/>
    <row r="273" ht="13.8" customHeight="1" s="135"/>
    <row r="274" ht="13.8" customHeight="1" s="135"/>
    <row r="275" ht="13.8" customHeight="1" s="135"/>
    <row r="276" ht="13.8" customHeight="1" s="135"/>
    <row r="277" ht="13.8" customHeight="1" s="135"/>
    <row r="278" ht="13.8" customHeight="1" s="135"/>
    <row r="279" ht="13.8" customHeight="1" s="135"/>
    <row r="280" ht="13.8" customHeight="1" s="135"/>
    <row r="281" ht="13.8" customHeight="1" s="135"/>
    <row r="282" ht="13.8" customHeight="1" s="135"/>
    <row r="283" ht="13.8" customHeight="1" s="135"/>
    <row r="284" ht="13.8" customHeight="1" s="135"/>
    <row r="285" ht="13.8" customHeight="1" s="135"/>
    <row r="286" ht="13.8" customHeight="1" s="135"/>
    <row r="287" ht="13.8" customHeight="1" s="135"/>
    <row r="288" ht="13.8" customHeight="1" s="135"/>
    <row r="289" ht="13.8" customHeight="1" s="135"/>
    <row r="290" ht="13.8" customHeight="1" s="135"/>
    <row r="291" ht="13.8" customHeight="1" s="135"/>
    <row r="292" ht="13.8" customHeight="1" s="135"/>
    <row r="293" ht="13.8" customHeight="1" s="135"/>
    <row r="294" ht="13.8" customHeight="1" s="135"/>
    <row r="295" ht="13.8" customHeight="1" s="135"/>
    <row r="296" ht="13.8" customHeight="1" s="135"/>
    <row r="297" ht="13.8" customHeight="1" s="135"/>
    <row r="298" ht="13.8" customHeight="1" s="135"/>
    <row r="299" ht="13.8" customHeight="1" s="135"/>
    <row r="300" ht="13.8" customHeight="1" s="135"/>
    <row r="301" ht="13.8" customHeight="1" s="135"/>
    <row r="302" ht="13.8" customHeight="1" s="135"/>
    <row r="303" ht="13.8" customHeight="1" s="135"/>
    <row r="304" ht="13.8" customHeight="1" s="135"/>
    <row r="305" ht="13.8" customHeight="1" s="135"/>
    <row r="306" ht="13.8" customHeight="1" s="135"/>
    <row r="307" ht="13.8" customHeight="1" s="135"/>
    <row r="308" ht="13.8" customHeight="1" s="135"/>
    <row r="309" ht="13.8" customHeight="1" s="135"/>
    <row r="310" ht="13.8" customHeight="1" s="135"/>
    <row r="311" ht="13.8" customHeight="1" s="135"/>
    <row r="312" ht="13.8" customHeight="1" s="135"/>
    <row r="313" ht="13.8" customHeight="1" s="135"/>
    <row r="314" ht="13.8" customHeight="1" s="135"/>
    <row r="315" ht="13.8" customHeight="1" s="135"/>
    <row r="316" ht="13.8" customHeight="1" s="135"/>
    <row r="317" ht="13.8" customHeight="1" s="135"/>
    <row r="318" ht="13.8" customHeight="1" s="135"/>
    <row r="319" ht="13.8" customHeight="1" s="135"/>
    <row r="320" ht="13.8" customHeight="1" s="135"/>
    <row r="321" ht="13.8" customHeight="1" s="135"/>
    <row r="322" ht="13.8" customHeight="1" s="135"/>
    <row r="323" ht="13.8" customHeight="1" s="135"/>
    <row r="324" ht="13.8" customHeight="1" s="135"/>
    <row r="325" ht="13.8" customHeight="1" s="135"/>
    <row r="326" ht="13.8" customHeight="1" s="135"/>
    <row r="327" ht="13.8" customHeight="1" s="135"/>
    <row r="328" ht="13.8" customHeight="1" s="135"/>
    <row r="329" ht="13.8" customHeight="1" s="135"/>
    <row r="330" ht="13.8" customHeight="1" s="135"/>
    <row r="331" ht="13.8" customHeight="1" s="135"/>
    <row r="332" ht="13.8" customHeight="1" s="135"/>
    <row r="333" ht="13.8" customHeight="1" s="135"/>
    <row r="334" ht="13.8" customHeight="1" s="135"/>
    <row r="335" ht="13.8" customHeight="1" s="135"/>
    <row r="336" ht="13.8" customHeight="1" s="135"/>
    <row r="337" ht="13.8" customHeight="1" s="135"/>
    <row r="338" ht="13.8" customHeight="1" s="135"/>
    <row r="339" ht="13.8" customHeight="1" s="135"/>
    <row r="340" ht="13.8" customHeight="1" s="135"/>
    <row r="341" ht="13.8" customHeight="1" s="135"/>
    <row r="342" ht="13.8" customHeight="1" s="135"/>
    <row r="343" ht="13.8" customHeight="1" s="135"/>
    <row r="344" ht="13.8" customHeight="1" s="135"/>
    <row r="345" ht="13.8" customHeight="1" s="135"/>
    <row r="346" ht="13.8" customHeight="1" s="135"/>
    <row r="347" ht="13.8" customHeight="1" s="135"/>
    <row r="348" ht="13.8" customHeight="1" s="135"/>
    <row r="349" ht="13.8" customHeight="1" s="135"/>
    <row r="350" ht="13.8" customHeight="1" s="135"/>
    <row r="351" ht="13.8" customHeight="1" s="135"/>
    <row r="352" ht="13.8" customHeight="1" s="135"/>
    <row r="353" ht="13.8" customHeight="1" s="135"/>
    <row r="354" ht="13.8" customHeight="1" s="135"/>
    <row r="355" ht="13.8" customHeight="1" s="135"/>
    <row r="356" ht="13.8" customHeight="1" s="135"/>
    <row r="357" ht="13.8" customHeight="1" s="135"/>
    <row r="358" ht="13.8" customHeight="1" s="135"/>
    <row r="359" ht="13.8" customHeight="1" s="135"/>
    <row r="360" ht="13.8" customHeight="1" s="135"/>
    <row r="361" ht="13.8" customHeight="1" s="135"/>
    <row r="362" ht="13.8" customHeight="1" s="135"/>
    <row r="363" ht="13.8" customHeight="1" s="135"/>
    <row r="364" ht="13.8" customHeight="1" s="135"/>
    <row r="365" ht="13.8" customHeight="1" s="135"/>
    <row r="366" ht="13.8" customHeight="1" s="135"/>
    <row r="367" ht="13.8" customHeight="1" s="135"/>
    <row r="368" ht="13.8" customHeight="1" s="135"/>
    <row r="369" ht="13.8" customHeight="1" s="135"/>
    <row r="370" ht="13.8" customHeight="1" s="135"/>
    <row r="371" ht="13.8" customHeight="1" s="135"/>
    <row r="372" ht="13.8" customHeight="1" s="135"/>
    <row r="373" ht="13.8" customHeight="1" s="135"/>
    <row r="374" ht="13.8" customHeight="1" s="135"/>
    <row r="375" ht="13.8" customHeight="1" s="135"/>
    <row r="376" ht="13.8" customHeight="1" s="135"/>
    <row r="377" ht="13.8" customHeight="1" s="135"/>
    <row r="378" ht="13.8" customHeight="1" s="135"/>
    <row r="379" ht="13.8" customHeight="1" s="135"/>
    <row r="380" ht="13.8" customHeight="1" s="135"/>
    <row r="381" ht="13.8" customHeight="1" s="135"/>
    <row r="382" ht="13.8" customHeight="1" s="135"/>
    <row r="383" ht="13.8" customHeight="1" s="135"/>
    <row r="384" ht="13.8" customHeight="1" s="135"/>
    <row r="385" ht="13.8" customHeight="1" s="135"/>
    <row r="386" ht="13.8" customHeight="1" s="135"/>
    <row r="387" ht="13.8" customHeight="1" s="135"/>
    <row r="388" ht="13.8" customHeight="1" s="135"/>
    <row r="389" ht="13.8" customHeight="1" s="135"/>
    <row r="390" ht="13.8" customHeight="1" s="135"/>
    <row r="391" ht="13.8" customHeight="1" s="135"/>
    <row r="392" ht="13.8" customHeight="1" s="135"/>
    <row r="393" ht="13.8" customHeight="1" s="135"/>
    <row r="394" ht="13.8" customHeight="1" s="135"/>
    <row r="395" ht="13.8" customHeight="1" s="135"/>
    <row r="396" ht="13.8" customHeight="1" s="135"/>
    <row r="397" ht="13.8" customHeight="1" s="135"/>
    <row r="398" ht="13.8" customHeight="1" s="135"/>
    <row r="399" ht="13.8" customHeight="1" s="135"/>
    <row r="400" ht="13.8" customHeight="1" s="135"/>
    <row r="401" ht="13.8" customHeight="1" s="135"/>
    <row r="402" ht="13.8" customHeight="1" s="135"/>
    <row r="403" ht="13.8" customHeight="1" s="135"/>
    <row r="404" ht="13.8" customHeight="1" s="135"/>
    <row r="405" ht="13.8" customHeight="1" s="135"/>
    <row r="406" ht="13.8" customHeight="1" s="135"/>
    <row r="407" ht="13.8" customHeight="1" s="135"/>
    <row r="408" ht="13.8" customHeight="1" s="135"/>
    <row r="409" ht="13.8" customHeight="1" s="135"/>
    <row r="410" ht="13.8" customHeight="1" s="135"/>
    <row r="411" ht="13.8" customHeight="1" s="135"/>
    <row r="412" ht="13.8" customHeight="1" s="135"/>
    <row r="413" ht="13.8" customHeight="1" s="135"/>
    <row r="414" ht="13.8" customHeight="1" s="135"/>
    <row r="415" ht="13.8" customHeight="1" s="135"/>
    <row r="416" ht="13.8" customHeight="1" s="135"/>
    <row r="417" ht="13.8" customHeight="1" s="135"/>
    <row r="418" ht="13.8" customHeight="1" s="135"/>
    <row r="419" ht="13.8" customHeight="1" s="135"/>
    <row r="420" ht="13.8" customHeight="1" s="135"/>
    <row r="421" ht="13.8" customHeight="1" s="135"/>
    <row r="422" ht="13.8" customHeight="1" s="135"/>
    <row r="423" ht="13.8" customHeight="1" s="135"/>
    <row r="424" ht="13.8" customHeight="1" s="135"/>
    <row r="425" ht="13.8" customHeight="1" s="135"/>
    <row r="426" ht="13.8" customHeight="1" s="135"/>
    <row r="427" ht="13.8" customHeight="1" s="135"/>
    <row r="428" ht="13.8" customHeight="1" s="135"/>
    <row r="429" ht="13.8" customHeight="1" s="135"/>
    <row r="430" ht="13.8" customHeight="1" s="135"/>
    <row r="431" ht="13.8" customHeight="1" s="135"/>
    <row r="432" ht="13.8" customHeight="1" s="135"/>
    <row r="433" ht="13.8" customHeight="1" s="135"/>
    <row r="434" ht="13.8" customHeight="1" s="135"/>
    <row r="435" ht="13.8" customHeight="1" s="135"/>
    <row r="436" ht="13.8" customHeight="1" s="135"/>
    <row r="437" ht="13.8" customHeight="1" s="135"/>
    <row r="438" ht="13.8" customHeight="1" s="135"/>
    <row r="439" ht="13.8" customHeight="1" s="135"/>
    <row r="440" ht="13.8" customHeight="1" s="135"/>
    <row r="441" ht="13.8" customHeight="1" s="135"/>
    <row r="442" ht="13.8" customHeight="1" s="135"/>
    <row r="443" ht="13.8" customHeight="1" s="135"/>
    <row r="444" ht="13.8" customHeight="1" s="135"/>
    <row r="445" ht="13.8" customHeight="1" s="135"/>
    <row r="446" ht="13.8" customHeight="1" s="135"/>
    <row r="447" ht="13.8" customHeight="1" s="135"/>
    <row r="448" ht="13.8" customHeight="1" s="135"/>
    <row r="449" ht="13.8" customHeight="1" s="135"/>
    <row r="450" ht="13.8" customHeight="1" s="135"/>
    <row r="451" ht="13.8" customHeight="1" s="135"/>
    <row r="452" ht="13.8" customHeight="1" s="135"/>
    <row r="453" ht="13.8" customHeight="1" s="135"/>
    <row r="454" ht="13.8" customHeight="1" s="135"/>
    <row r="455" ht="13.8" customHeight="1" s="135"/>
    <row r="456" ht="13.8" customHeight="1" s="135"/>
    <row r="457" ht="13.8" customHeight="1" s="135"/>
    <row r="458" ht="13.8" customHeight="1" s="135"/>
    <row r="459" ht="13.8" customHeight="1" s="135"/>
    <row r="460" ht="13.8" customHeight="1" s="135"/>
    <row r="461" ht="13.8" customHeight="1" s="135"/>
    <row r="462" ht="13.8" customHeight="1" s="135"/>
    <row r="463" ht="13.8" customHeight="1" s="135"/>
    <row r="464" ht="13.8" customHeight="1" s="135"/>
    <row r="465" ht="13.8" customHeight="1" s="135"/>
    <row r="466" ht="13.8" customHeight="1" s="135"/>
    <row r="467" ht="13.8" customHeight="1" s="135"/>
    <row r="468" ht="13.8" customHeight="1" s="135"/>
    <row r="469" ht="13.8" customHeight="1" s="135"/>
    <row r="470" ht="13.8" customHeight="1" s="135"/>
    <row r="471" ht="13.8" customHeight="1" s="135"/>
    <row r="472" ht="13.8" customHeight="1" s="135"/>
    <row r="473" ht="13.8" customHeight="1" s="135"/>
    <row r="474" ht="13.8" customHeight="1" s="135"/>
    <row r="475" ht="13.8" customHeight="1" s="135"/>
    <row r="476" ht="13.8" customHeight="1" s="135"/>
    <row r="477" ht="13.8" customHeight="1" s="135"/>
    <row r="478" ht="13.8" customHeight="1" s="135"/>
    <row r="479" ht="13.8" customHeight="1" s="135"/>
    <row r="480" ht="13.8" customHeight="1" s="135"/>
    <row r="481" ht="13.8" customHeight="1" s="135"/>
    <row r="482" ht="13.8" customHeight="1" s="135"/>
    <row r="483" ht="13.8" customHeight="1" s="135"/>
    <row r="484" ht="13.8" customHeight="1" s="135"/>
    <row r="485" ht="13.8" customHeight="1" s="135"/>
    <row r="486" ht="13.8" customHeight="1" s="135"/>
    <row r="487" ht="13.8" customHeight="1" s="135"/>
    <row r="488" ht="13.8" customHeight="1" s="135"/>
    <row r="489" ht="13.8" customHeight="1" s="135"/>
    <row r="490" ht="13.8" customHeight="1" s="135"/>
    <row r="491" ht="13.8" customHeight="1" s="135"/>
    <row r="492" ht="13.8" customHeight="1" s="135"/>
    <row r="493" ht="13.8" customHeight="1" s="135"/>
    <row r="494" ht="13.8" customHeight="1" s="135"/>
    <row r="495" ht="13.8" customHeight="1" s="135"/>
    <row r="496" ht="13.8" customHeight="1" s="135"/>
    <row r="497" ht="13.8" customHeight="1" s="135"/>
    <row r="498" ht="13.8" customHeight="1" s="135"/>
    <row r="499" ht="13.8" customHeight="1" s="135"/>
    <row r="500" ht="13.8" customHeight="1" s="135"/>
    <row r="501" ht="13.8" customHeight="1" s="135"/>
    <row r="502" ht="13.8" customHeight="1" s="135"/>
    <row r="503" ht="13.8" customHeight="1" s="135"/>
    <row r="504" ht="13.8" customHeight="1" s="135"/>
    <row r="505" ht="13.8" customHeight="1" s="135"/>
    <row r="506" ht="13.8" customHeight="1" s="135"/>
    <row r="507" ht="13.8" customHeight="1" s="135"/>
    <row r="508" ht="13.8" customHeight="1" s="135"/>
    <row r="509" ht="13.8" customHeight="1" s="135"/>
    <row r="510" ht="13.8" customHeight="1" s="135"/>
    <row r="511" ht="13.8" customHeight="1" s="135"/>
    <row r="512" ht="13.8" customHeight="1" s="135"/>
    <row r="513" ht="13.8" customHeight="1" s="135"/>
    <row r="514" ht="13.8" customHeight="1" s="135"/>
    <row r="515" ht="13.8" customHeight="1" s="135"/>
    <row r="516" ht="13.8" customHeight="1" s="135"/>
    <row r="517" ht="13.8" customHeight="1" s="135"/>
    <row r="518" ht="13.8" customHeight="1" s="135"/>
    <row r="519" ht="13.8" customHeight="1" s="135"/>
    <row r="520" ht="13.8" customHeight="1" s="135"/>
    <row r="521" ht="13.8" customHeight="1" s="135"/>
    <row r="522" ht="13.8" customHeight="1" s="135"/>
    <row r="523" ht="13.8" customHeight="1" s="135"/>
    <row r="524" ht="13.8" customHeight="1" s="135"/>
    <row r="525" ht="13.8" customHeight="1" s="135"/>
    <row r="526" ht="13.8" customHeight="1" s="135"/>
    <row r="527" ht="13.8" customHeight="1" s="135"/>
    <row r="528" ht="13.8" customHeight="1" s="135"/>
    <row r="529" ht="13.8" customHeight="1" s="135"/>
    <row r="530" ht="13.8" customHeight="1" s="135"/>
    <row r="531" ht="13.8" customHeight="1" s="135"/>
    <row r="532" ht="13.8" customHeight="1" s="135"/>
    <row r="533" ht="13.8" customHeight="1" s="135"/>
    <row r="534" ht="13.8" customHeight="1" s="135"/>
    <row r="535" ht="13.8" customHeight="1" s="135"/>
    <row r="536" ht="13.8" customHeight="1" s="135"/>
    <row r="537" ht="13.8" customHeight="1" s="135"/>
    <row r="538" ht="13.8" customHeight="1" s="135"/>
    <row r="539" ht="13.8" customHeight="1" s="135"/>
    <row r="540" ht="13.8" customHeight="1" s="135"/>
    <row r="541" ht="13.8" customHeight="1" s="135"/>
    <row r="542" ht="13.8" customHeight="1" s="135"/>
    <row r="543" ht="13.8" customHeight="1" s="135"/>
    <row r="544" ht="13.8" customHeight="1" s="135"/>
    <row r="545" ht="13.8" customHeight="1" s="135"/>
    <row r="546" ht="13.8" customHeight="1" s="135"/>
    <row r="547" ht="13.8" customHeight="1" s="135"/>
    <row r="548" ht="13.8" customHeight="1" s="135"/>
    <row r="549" ht="13.8" customHeight="1" s="135"/>
    <row r="550" ht="13.8" customHeight="1" s="135"/>
    <row r="551" ht="13.8" customHeight="1" s="135"/>
    <row r="552" ht="13.8" customHeight="1" s="135"/>
    <row r="553" ht="13.8" customHeight="1" s="135"/>
    <row r="554" ht="13.8" customHeight="1" s="135"/>
    <row r="555" ht="13.8" customHeight="1" s="135"/>
    <row r="556" ht="13.8" customHeight="1" s="135"/>
    <row r="557" ht="13.8" customHeight="1" s="135"/>
    <row r="558" ht="13.8" customHeight="1" s="135"/>
    <row r="559" ht="13.8" customHeight="1" s="135"/>
    <row r="560" ht="13.8" customHeight="1" s="135"/>
    <row r="561" ht="13.8" customHeight="1" s="135"/>
    <row r="562" ht="13.8" customHeight="1" s="135"/>
    <row r="563" ht="13.8" customHeight="1" s="135"/>
    <row r="564" ht="13.8" customHeight="1" s="135"/>
    <row r="565" ht="13.8" customHeight="1" s="135"/>
    <row r="566" ht="13.8" customHeight="1" s="135"/>
    <row r="567" ht="13.8" customHeight="1" s="135"/>
    <row r="568" ht="13.8" customHeight="1" s="135"/>
    <row r="569" ht="13.8" customHeight="1" s="135"/>
    <row r="570" ht="13.8" customHeight="1" s="135"/>
    <row r="571" ht="13.8" customHeight="1" s="135"/>
    <row r="572" ht="13.8" customHeight="1" s="135"/>
    <row r="573" ht="13.8" customHeight="1" s="135"/>
    <row r="574" ht="13.8" customHeight="1" s="135"/>
    <row r="575" ht="13.8" customHeight="1" s="135"/>
    <row r="576" ht="13.8" customHeight="1" s="135"/>
    <row r="577" ht="13.8" customHeight="1" s="135"/>
    <row r="578" ht="13.8" customHeight="1" s="135"/>
    <row r="579" ht="13.8" customHeight="1" s="135"/>
    <row r="580" ht="13.8" customHeight="1" s="135"/>
    <row r="581" ht="13.8" customHeight="1" s="135"/>
    <row r="582" ht="13.8" customHeight="1" s="135"/>
    <row r="583" ht="13.8" customHeight="1" s="135"/>
    <row r="584" ht="13.8" customHeight="1" s="135"/>
    <row r="585" ht="13.8" customHeight="1" s="135"/>
    <row r="586" ht="13.8" customHeight="1" s="135"/>
    <row r="587" ht="13.8" customHeight="1" s="135"/>
    <row r="588" ht="13.8" customHeight="1" s="135"/>
    <row r="589" ht="13.8" customHeight="1" s="135"/>
    <row r="590" ht="13.8" customHeight="1" s="135"/>
    <row r="591" ht="13.8" customHeight="1" s="135"/>
    <row r="592" ht="13.8" customHeight="1" s="135"/>
    <row r="593" ht="13.8" customHeight="1" s="135"/>
    <row r="594" ht="13.8" customHeight="1" s="135"/>
    <row r="595" ht="13.8" customHeight="1" s="135"/>
    <row r="596" ht="13.8" customHeight="1" s="135"/>
    <row r="597" ht="13.8" customHeight="1" s="135"/>
    <row r="598" ht="13.8" customHeight="1" s="135"/>
    <row r="599" ht="13.8" customHeight="1" s="135"/>
    <row r="600" ht="13.8" customHeight="1" s="135"/>
    <row r="601" ht="13.8" customHeight="1" s="135"/>
    <row r="602" ht="13.8" customHeight="1" s="135"/>
    <row r="603" ht="13.8" customHeight="1" s="135"/>
    <row r="604" ht="13.8" customHeight="1" s="135"/>
    <row r="605" ht="13.8" customHeight="1" s="135"/>
    <row r="606" ht="13.8" customHeight="1" s="135"/>
    <row r="607" ht="13.8" customHeight="1" s="135"/>
    <row r="608" ht="13.8" customHeight="1" s="135"/>
    <row r="609" ht="13.8" customHeight="1" s="135"/>
    <row r="610" ht="13.8" customHeight="1" s="135"/>
    <row r="611" ht="13.8" customHeight="1" s="135"/>
    <row r="612" ht="13.8" customHeight="1" s="135"/>
    <row r="613" ht="13.8" customHeight="1" s="135"/>
    <row r="614" ht="13.8" customHeight="1" s="135"/>
    <row r="615" ht="13.8" customHeight="1" s="135"/>
    <row r="616" ht="13.8" customHeight="1" s="135"/>
    <row r="617" ht="13.8" customHeight="1" s="135"/>
    <row r="618" ht="13.8" customHeight="1" s="135"/>
    <row r="619" ht="13.8" customHeight="1" s="135"/>
    <row r="620" ht="13.8" customHeight="1" s="135"/>
    <row r="621" ht="13.8" customHeight="1" s="135"/>
    <row r="622" ht="13.8" customHeight="1" s="135"/>
    <row r="623" ht="13.8" customHeight="1" s="135"/>
    <row r="624" ht="13.8" customHeight="1" s="135"/>
    <row r="625" ht="13.8" customHeight="1" s="135"/>
    <row r="626" ht="13.8" customHeight="1" s="135"/>
    <row r="627" ht="13.8" customHeight="1" s="135"/>
    <row r="628" ht="13.8" customHeight="1" s="135"/>
    <row r="629" ht="13.8" customHeight="1" s="135"/>
    <row r="630" ht="13.8" customHeight="1" s="135"/>
    <row r="631" ht="13.8" customHeight="1" s="135"/>
    <row r="632" ht="13.8" customHeight="1" s="135"/>
    <row r="633" ht="13.8" customHeight="1" s="135"/>
    <row r="634" ht="13.8" customHeight="1" s="135"/>
    <row r="635" ht="13.8" customHeight="1" s="135"/>
    <row r="636" ht="13.8" customHeight="1" s="135"/>
    <row r="637" ht="13.8" customHeight="1" s="135"/>
    <row r="638" ht="13.8" customHeight="1" s="135"/>
    <row r="639" ht="13.8" customHeight="1" s="135"/>
    <row r="640" ht="13.8" customHeight="1" s="135"/>
    <row r="641" ht="13.8" customHeight="1" s="135"/>
    <row r="642" ht="13.8" customHeight="1" s="135"/>
    <row r="643" ht="13.8" customHeight="1" s="135"/>
    <row r="644" ht="13.8" customHeight="1" s="135"/>
    <row r="645" ht="13.8" customHeight="1" s="135"/>
    <row r="646" ht="13.8" customHeight="1" s="135"/>
    <row r="647" ht="13.8" customHeight="1" s="135"/>
    <row r="648" ht="13.8" customHeight="1" s="135"/>
    <row r="649" ht="13.8" customHeight="1" s="135"/>
    <row r="650" ht="13.8" customHeight="1" s="135"/>
    <row r="651" ht="13.8" customHeight="1" s="135"/>
    <row r="652" ht="13.8" customHeight="1" s="135"/>
    <row r="653" ht="13.8" customHeight="1" s="135"/>
    <row r="654" ht="13.8" customHeight="1" s="135"/>
    <row r="655" ht="13.8" customHeight="1" s="135"/>
    <row r="656" ht="13.8" customHeight="1" s="135"/>
    <row r="657" ht="13.8" customHeight="1" s="135"/>
    <row r="658" ht="13.8" customHeight="1" s="135"/>
    <row r="659" ht="13.8" customHeight="1" s="135"/>
    <row r="660" ht="13.8" customHeight="1" s="135"/>
    <row r="661" ht="13.8" customHeight="1" s="135"/>
    <row r="662" ht="13.8" customHeight="1" s="135"/>
    <row r="663" ht="13.8" customHeight="1" s="135"/>
    <row r="664" ht="13.8" customHeight="1" s="135"/>
    <row r="665" ht="13.8" customHeight="1" s="135"/>
    <row r="666" ht="13.8" customHeight="1" s="135"/>
    <row r="667" ht="13.8" customHeight="1" s="135"/>
    <row r="668" ht="13.8" customHeight="1" s="135"/>
    <row r="669" ht="13.8" customHeight="1" s="135"/>
    <row r="670" ht="13.8" customHeight="1" s="135"/>
    <row r="671" ht="13.8" customHeight="1" s="135"/>
    <row r="672" ht="13.8" customHeight="1" s="135"/>
    <row r="673" ht="13.8" customHeight="1" s="135"/>
    <row r="674" ht="13.8" customHeight="1" s="135"/>
    <row r="675" ht="13.8" customHeight="1" s="135"/>
    <row r="676" ht="13.8" customHeight="1" s="135"/>
    <row r="677" ht="13.8" customHeight="1" s="135"/>
    <row r="678" ht="13.8" customHeight="1" s="135"/>
    <row r="679" ht="13.8" customHeight="1" s="135"/>
    <row r="680" ht="13.8" customHeight="1" s="135"/>
    <row r="681" ht="13.8" customHeight="1" s="135"/>
    <row r="682" ht="13.8" customHeight="1" s="135"/>
    <row r="683" ht="13.8" customHeight="1" s="135"/>
    <row r="684" ht="13.8" customHeight="1" s="135"/>
    <row r="685" ht="13.8" customHeight="1" s="135"/>
    <row r="686" ht="13.8" customHeight="1" s="135"/>
    <row r="687" ht="13.8" customHeight="1" s="135"/>
    <row r="688" ht="13.8" customHeight="1" s="135"/>
    <row r="689" ht="13.8" customHeight="1" s="135"/>
    <row r="690" ht="13.8" customHeight="1" s="135"/>
    <row r="691" ht="13.8" customHeight="1" s="135"/>
    <row r="692" ht="13.8" customHeight="1" s="135"/>
    <row r="693" ht="13.8" customHeight="1" s="135"/>
    <row r="694" ht="13.8" customHeight="1" s="135"/>
    <row r="695" ht="13.8" customHeight="1" s="135"/>
    <row r="696" ht="13.8" customHeight="1" s="135"/>
    <row r="697" ht="13.8" customHeight="1" s="135"/>
    <row r="698" ht="13.8" customHeight="1" s="135"/>
    <row r="699" ht="13.8" customHeight="1" s="135"/>
    <row r="700" ht="13.8" customHeight="1" s="135"/>
    <row r="701" ht="13.8" customHeight="1" s="135"/>
    <row r="702" ht="13.8" customHeight="1" s="135"/>
    <row r="703" ht="13.8" customHeight="1" s="135"/>
    <row r="704" ht="13.8" customHeight="1" s="135"/>
    <row r="705" ht="13.8" customHeight="1" s="135"/>
    <row r="706" ht="13.8" customHeight="1" s="135"/>
    <row r="707" ht="13.8" customHeight="1" s="135"/>
    <row r="708" ht="13.8" customHeight="1" s="135"/>
    <row r="709" ht="13.8" customHeight="1" s="135"/>
    <row r="710" ht="13.8" customHeight="1" s="135"/>
    <row r="711" ht="13.8" customHeight="1" s="135"/>
    <row r="712" ht="13.8" customHeight="1" s="135"/>
    <row r="713" ht="13.8" customHeight="1" s="135"/>
    <row r="714" ht="13.8" customHeight="1" s="135"/>
    <row r="715" ht="13.8" customHeight="1" s="135"/>
    <row r="716" ht="13.8" customHeight="1" s="135"/>
    <row r="717" ht="13.8" customHeight="1" s="135"/>
    <row r="718" ht="13.8" customHeight="1" s="135"/>
    <row r="719" ht="13.8" customHeight="1" s="135"/>
    <row r="720" ht="13.8" customHeight="1" s="135"/>
    <row r="721" ht="13.8" customHeight="1" s="135"/>
    <row r="722" ht="13.8" customHeight="1" s="135"/>
    <row r="723" ht="13.8" customHeight="1" s="135"/>
    <row r="724" ht="13.8" customHeight="1" s="135"/>
    <row r="725" ht="13.8" customHeight="1" s="135"/>
    <row r="726" ht="13.8" customHeight="1" s="135"/>
    <row r="727" ht="13.8" customHeight="1" s="135"/>
    <row r="728" ht="13.8" customHeight="1" s="135"/>
    <row r="729" ht="13.8" customHeight="1" s="135"/>
    <row r="730" ht="13.8" customHeight="1" s="135"/>
    <row r="731" ht="13.8" customHeight="1" s="135"/>
    <row r="732" ht="13.8" customHeight="1" s="135"/>
    <row r="733" ht="13.8" customHeight="1" s="135"/>
    <row r="734" ht="13.8" customHeight="1" s="135"/>
    <row r="735" ht="13.8" customHeight="1" s="135"/>
    <row r="736" ht="13.8" customHeight="1" s="135"/>
    <row r="737" ht="13.8" customHeight="1" s="135"/>
    <row r="738" ht="13.8" customHeight="1" s="135"/>
    <row r="739" ht="13.8" customHeight="1" s="135"/>
    <row r="740" ht="13.8" customHeight="1" s="135"/>
    <row r="741" ht="13.8" customHeight="1" s="135"/>
    <row r="742" ht="13.8" customHeight="1" s="135"/>
    <row r="743" ht="13.8" customHeight="1" s="135"/>
    <row r="744" ht="13.8" customHeight="1" s="135"/>
    <row r="745" ht="13.8" customHeight="1" s="135"/>
    <row r="746" ht="13.8" customHeight="1" s="135"/>
    <row r="747" ht="13.8" customHeight="1" s="135"/>
    <row r="748" ht="13.8" customHeight="1" s="135"/>
    <row r="749" ht="13.8" customHeight="1" s="135"/>
    <row r="750" ht="13.8" customHeight="1" s="135"/>
    <row r="751" ht="13.8" customHeight="1" s="135"/>
    <row r="752" ht="13.8" customHeight="1" s="135"/>
    <row r="753" ht="13.8" customHeight="1" s="135"/>
    <row r="754" ht="13.8" customHeight="1" s="135"/>
    <row r="755" ht="13.8" customHeight="1" s="135"/>
    <row r="756" ht="13.8" customHeight="1" s="135"/>
    <row r="757" ht="13.8" customHeight="1" s="135"/>
    <row r="758" ht="13.8" customHeight="1" s="135"/>
    <row r="759" ht="13.8" customHeight="1" s="135"/>
    <row r="760" ht="13.8" customHeight="1" s="135"/>
    <row r="761" ht="13.8" customHeight="1" s="135"/>
    <row r="762" ht="13.8" customHeight="1" s="135"/>
    <row r="763" ht="13.8" customHeight="1" s="135"/>
    <row r="764" ht="13.8" customHeight="1" s="135"/>
    <row r="765" ht="13.8" customHeight="1" s="135"/>
    <row r="766" ht="13.8" customHeight="1" s="135"/>
    <row r="767" ht="13.8" customHeight="1" s="135"/>
    <row r="768" ht="13.8" customHeight="1" s="135"/>
    <row r="769" ht="13.8" customHeight="1" s="135"/>
    <row r="770" ht="13.8" customHeight="1" s="135"/>
    <row r="771" ht="13.8" customHeight="1" s="135"/>
    <row r="772" ht="13.8" customHeight="1" s="135"/>
    <row r="773" ht="13.8" customHeight="1" s="135"/>
    <row r="774" ht="13.8" customHeight="1" s="135"/>
    <row r="775" ht="13.8" customHeight="1" s="135"/>
    <row r="776" ht="13.8" customHeight="1" s="135"/>
    <row r="777" ht="13.8" customHeight="1" s="135"/>
    <row r="778" ht="13.8" customHeight="1" s="135"/>
    <row r="779" ht="13.8" customHeight="1" s="135"/>
    <row r="780" ht="13.8" customHeight="1" s="135"/>
    <row r="781" ht="13.8" customHeight="1" s="135"/>
    <row r="782" ht="13.8" customHeight="1" s="135"/>
    <row r="783" ht="13.8" customHeight="1" s="135"/>
    <row r="784" ht="13.8" customHeight="1" s="135"/>
    <row r="785" ht="13.8" customHeight="1" s="135"/>
    <row r="786" ht="13.8" customHeight="1" s="135"/>
    <row r="787" ht="13.8" customHeight="1" s="135"/>
    <row r="788" ht="13.8" customHeight="1" s="135"/>
    <row r="789" ht="13.8" customHeight="1" s="135"/>
    <row r="790" ht="13.8" customHeight="1" s="135"/>
    <row r="791" ht="13.8" customHeight="1" s="135"/>
    <row r="792" ht="13.8" customHeight="1" s="135"/>
    <row r="793" ht="13.8" customHeight="1" s="135"/>
    <row r="794" ht="13.8" customHeight="1" s="135"/>
    <row r="795" ht="13.8" customHeight="1" s="135"/>
    <row r="796" ht="13.8" customHeight="1" s="135"/>
    <row r="797" ht="13.8" customHeight="1" s="135"/>
    <row r="798" ht="13.8" customHeight="1" s="135"/>
    <row r="799" ht="13.8" customHeight="1" s="135"/>
    <row r="800" ht="13.8" customHeight="1" s="135"/>
    <row r="801" ht="13.8" customHeight="1" s="135"/>
    <row r="802" ht="13.8" customHeight="1" s="135"/>
    <row r="803" ht="13.8" customHeight="1" s="135"/>
    <row r="804" ht="13.8" customHeight="1" s="135"/>
    <row r="805" ht="13.8" customHeight="1" s="135"/>
    <row r="806" ht="13.8" customHeight="1" s="135"/>
    <row r="807" ht="13.8" customHeight="1" s="135"/>
    <row r="808" ht="13.8" customHeight="1" s="135"/>
    <row r="809" ht="13.8" customHeight="1" s="135"/>
    <row r="810" ht="13.8" customHeight="1" s="135"/>
    <row r="811" ht="13.8" customHeight="1" s="135"/>
    <row r="812" ht="13.8" customHeight="1" s="135"/>
    <row r="813" ht="13.8" customHeight="1" s="135"/>
    <row r="814" ht="13.8" customHeight="1" s="135"/>
    <row r="815" ht="13.8" customHeight="1" s="135"/>
    <row r="816" ht="13.8" customHeight="1" s="135"/>
    <row r="817" ht="13.8" customHeight="1" s="135"/>
    <row r="818" ht="13.8" customHeight="1" s="135"/>
    <row r="819" ht="13.8" customHeight="1" s="135"/>
    <row r="820" ht="13.8" customHeight="1" s="135"/>
    <row r="821" ht="13.8" customHeight="1" s="135"/>
    <row r="822" ht="13.8" customHeight="1" s="135"/>
    <row r="823" ht="13.8" customHeight="1" s="135"/>
    <row r="824" ht="13.8" customHeight="1" s="135"/>
    <row r="825" ht="13.8" customHeight="1" s="135"/>
    <row r="826" ht="13.8" customHeight="1" s="135"/>
    <row r="827" ht="13.8" customHeight="1" s="135"/>
    <row r="828" ht="13.8" customHeight="1" s="135"/>
    <row r="829" ht="13.8" customHeight="1" s="135"/>
    <row r="830" ht="13.8" customHeight="1" s="135"/>
    <row r="831" ht="13.8" customHeight="1" s="135"/>
    <row r="832" ht="13.8" customHeight="1" s="135"/>
    <row r="833" ht="13.8" customHeight="1" s="135"/>
    <row r="834" ht="13.8" customHeight="1" s="135"/>
    <row r="835" ht="13.8" customHeight="1" s="135"/>
    <row r="836" ht="13.8" customHeight="1" s="135"/>
    <row r="837" ht="13.8" customHeight="1" s="135"/>
    <row r="838" ht="13.8" customHeight="1" s="135"/>
    <row r="839" ht="13.8" customHeight="1" s="135"/>
    <row r="840" ht="13.8" customHeight="1" s="135"/>
    <row r="841" ht="13.8" customHeight="1" s="135"/>
    <row r="842" ht="13.8" customHeight="1" s="135"/>
    <row r="843" ht="13.8" customHeight="1" s="135"/>
    <row r="844" ht="13.8" customHeight="1" s="135"/>
    <row r="845" ht="13.8" customHeight="1" s="135"/>
    <row r="846" ht="13.8" customHeight="1" s="135"/>
    <row r="847" ht="13.8" customHeight="1" s="135"/>
    <row r="848" ht="13.8" customHeight="1" s="135"/>
    <row r="849" ht="13.8" customHeight="1" s="135"/>
    <row r="850" ht="13.8" customHeight="1" s="135"/>
    <row r="851" ht="13.8" customHeight="1" s="135"/>
    <row r="852" ht="13.8" customHeight="1" s="135"/>
    <row r="853" ht="13.8" customHeight="1" s="135"/>
    <row r="854" ht="13.8" customHeight="1" s="135"/>
    <row r="855" ht="13.8" customHeight="1" s="135"/>
    <row r="856" ht="13.8" customHeight="1" s="135"/>
    <row r="857" ht="13.8" customHeight="1" s="135"/>
    <row r="858" ht="13.8" customHeight="1" s="135"/>
    <row r="859" ht="13.8" customHeight="1" s="135"/>
    <row r="860" ht="13.8" customHeight="1" s="135"/>
    <row r="861" ht="13.8" customHeight="1" s="135"/>
    <row r="862" ht="13.8" customHeight="1" s="135"/>
    <row r="863" ht="13.8" customHeight="1" s="135"/>
    <row r="864" ht="13.8" customHeight="1" s="135"/>
    <row r="865" ht="13.8" customHeight="1" s="135"/>
    <row r="866" ht="13.8" customHeight="1" s="135"/>
    <row r="867" ht="13.8" customHeight="1" s="135"/>
    <row r="868" ht="13.8" customHeight="1" s="135"/>
    <row r="869" ht="13.8" customHeight="1" s="135"/>
    <row r="870" ht="13.8" customHeight="1" s="135"/>
    <row r="871" ht="13.8" customHeight="1" s="135"/>
    <row r="872" ht="13.8" customHeight="1" s="135"/>
    <row r="873" ht="13.8" customHeight="1" s="135"/>
    <row r="874" ht="13.8" customHeight="1" s="135"/>
    <row r="875" ht="13.8" customHeight="1" s="135"/>
    <row r="876" ht="13.8" customHeight="1" s="135"/>
    <row r="877" ht="13.8" customHeight="1" s="135"/>
    <row r="878" ht="13.8" customHeight="1" s="135"/>
    <row r="879" ht="13.8" customHeight="1" s="135"/>
    <row r="880" ht="13.8" customHeight="1" s="135"/>
    <row r="881" ht="13.8" customHeight="1" s="135"/>
    <row r="882" ht="13.8" customHeight="1" s="135"/>
    <row r="883" ht="13.8" customHeight="1" s="135"/>
    <row r="884" ht="13.8" customHeight="1" s="135"/>
    <row r="885" ht="13.8" customHeight="1" s="135"/>
    <row r="886" ht="13.8" customHeight="1" s="135"/>
    <row r="887" ht="13.8" customHeight="1" s="135"/>
    <row r="888" ht="13.8" customHeight="1" s="135"/>
    <row r="889" ht="13.8" customHeight="1" s="135"/>
    <row r="890" ht="13.8" customHeight="1" s="135"/>
    <row r="891" ht="13.8" customHeight="1" s="135"/>
    <row r="892" ht="13.8" customHeight="1" s="135"/>
    <row r="893" ht="13.8" customHeight="1" s="135"/>
    <row r="894" ht="13.8" customHeight="1" s="135"/>
    <row r="895" ht="13.8" customHeight="1" s="135"/>
    <row r="896" ht="13.8" customHeight="1" s="135"/>
    <row r="897" ht="13.8" customHeight="1" s="135"/>
    <row r="898" ht="13.8" customHeight="1" s="135"/>
    <row r="899" ht="13.8" customHeight="1" s="135"/>
    <row r="900" ht="13.8" customHeight="1" s="135"/>
    <row r="901" ht="13.8" customHeight="1" s="135"/>
    <row r="902" ht="13.8" customHeight="1" s="135"/>
    <row r="903" ht="13.8" customHeight="1" s="135"/>
    <row r="904" ht="13.8" customHeight="1" s="135"/>
    <row r="905" ht="13.8" customHeight="1" s="135"/>
    <row r="906" ht="13.8" customHeight="1" s="135"/>
    <row r="907" ht="13.8" customHeight="1" s="135"/>
    <row r="908" ht="13.8" customHeight="1" s="135"/>
    <row r="909" ht="13.8" customHeight="1" s="135"/>
    <row r="910" ht="13.8" customHeight="1" s="135"/>
    <row r="911" ht="13.8" customHeight="1" s="135"/>
    <row r="912" ht="13.8" customHeight="1" s="135"/>
    <row r="913" ht="13.8" customHeight="1" s="135"/>
    <row r="914" ht="13.8" customHeight="1" s="135"/>
    <row r="915" ht="13.8" customHeight="1" s="135"/>
    <row r="916" ht="13.8" customHeight="1" s="135"/>
    <row r="917" ht="13.8" customHeight="1" s="135"/>
    <row r="918" ht="13.8" customHeight="1" s="135"/>
    <row r="919" ht="13.8" customHeight="1" s="135"/>
    <row r="920" ht="13.8" customHeight="1" s="135"/>
    <row r="921" ht="13.8" customHeight="1" s="135"/>
    <row r="922" ht="13.8" customHeight="1" s="135"/>
    <row r="923" ht="13.8" customHeight="1" s="135"/>
    <row r="924" ht="13.8" customHeight="1" s="135"/>
    <row r="925" ht="13.8" customHeight="1" s="135"/>
    <row r="926" ht="13.8" customHeight="1" s="135"/>
    <row r="927" ht="13.8" customHeight="1" s="135"/>
    <row r="928" ht="13.8" customHeight="1" s="135"/>
    <row r="929" ht="13.8" customHeight="1" s="135"/>
    <row r="930" ht="13.8" customHeight="1" s="135"/>
    <row r="931" ht="13.8" customHeight="1" s="135"/>
    <row r="932" ht="13.8" customHeight="1" s="135"/>
    <row r="933" ht="13.8" customHeight="1" s="135"/>
    <row r="934" ht="13.8" customHeight="1" s="135"/>
    <row r="935" ht="13.8" customHeight="1" s="135"/>
    <row r="936" ht="13.8" customHeight="1" s="135"/>
    <row r="937" ht="13.8" customHeight="1" s="135"/>
    <row r="938" ht="13.8" customHeight="1" s="135"/>
    <row r="939" ht="13.8" customHeight="1" s="135"/>
    <row r="940" ht="13.8" customHeight="1" s="135"/>
    <row r="941" ht="13.8" customHeight="1" s="135"/>
    <row r="942" ht="13.8" customHeight="1" s="135"/>
    <row r="943" ht="13.8" customHeight="1" s="135"/>
    <row r="944" ht="13.8" customHeight="1" s="135"/>
    <row r="945" ht="13.8" customHeight="1" s="135"/>
    <row r="946" ht="13.8" customHeight="1" s="135"/>
    <row r="947" ht="13.8" customHeight="1" s="135"/>
    <row r="948" ht="13.8" customHeight="1" s="135"/>
    <row r="949" ht="13.8" customHeight="1" s="135"/>
    <row r="950" ht="13.8" customHeight="1" s="135"/>
    <row r="951" ht="13.8" customHeight="1" s="135"/>
    <row r="952" ht="13.8" customHeight="1" s="135"/>
    <row r="953" ht="13.8" customHeight="1" s="135"/>
    <row r="954" ht="13.8" customHeight="1" s="135"/>
    <row r="955" ht="13.8" customHeight="1" s="135"/>
    <row r="956" ht="13.8" customHeight="1" s="135"/>
    <row r="957" ht="13.8" customHeight="1" s="135"/>
    <row r="958" ht="13.8" customHeight="1" s="135"/>
    <row r="959" ht="13.8" customHeight="1" s="135"/>
    <row r="960" ht="13.8" customHeight="1" s="135"/>
    <row r="961" ht="13.8" customHeight="1" s="135"/>
    <row r="962" ht="13.8" customHeight="1" s="135"/>
    <row r="963" ht="13.8" customHeight="1" s="135"/>
    <row r="964" ht="13.8" customHeight="1" s="135"/>
    <row r="965" ht="13.8" customHeight="1" s="135"/>
    <row r="966" ht="13.8" customHeight="1" s="135"/>
    <row r="967" ht="13.8" customHeight="1" s="135"/>
    <row r="968" ht="13.8" customHeight="1" s="135"/>
    <row r="969" ht="13.8" customHeight="1" s="135"/>
    <row r="970" ht="13.8" customHeight="1" s="135"/>
    <row r="971" ht="13.8" customHeight="1" s="135"/>
    <row r="972" ht="13.8" customHeight="1" s="135"/>
    <row r="973" ht="13.8" customHeight="1" s="135"/>
    <row r="974" ht="13.8" customHeight="1" s="135"/>
    <row r="975" ht="13.8" customHeight="1" s="135"/>
    <row r="976" ht="13.8" customHeight="1" s="135"/>
    <row r="977" ht="13.8" customHeight="1" s="135"/>
    <row r="978" ht="13.8" customHeight="1" s="135"/>
    <row r="979" ht="13.8" customHeight="1" s="135"/>
    <row r="980" ht="13.8" customHeight="1" s="135"/>
    <row r="981" ht="13.8" customHeight="1" s="135"/>
    <row r="982" ht="13.8" customHeight="1" s="135"/>
    <row r="983" ht="13.8" customHeight="1" s="135"/>
    <row r="984" ht="13.8" customHeight="1" s="135"/>
    <row r="985" ht="13.8" customHeight="1" s="135"/>
    <row r="986" ht="13.8" customHeight="1" s="135"/>
    <row r="987" ht="13.8" customHeight="1" s="135"/>
    <row r="988" ht="13.8" customHeight="1" s="135"/>
    <row r="989" ht="13.8" customHeight="1" s="135"/>
    <row r="990" ht="13.8" customHeight="1" s="135"/>
    <row r="991" ht="13.8" customHeight="1" s="135"/>
    <row r="992" ht="13.8" customHeight="1" s="135"/>
    <row r="993" ht="13.8" customHeight="1" s="135"/>
    <row r="994" ht="13.8" customHeight="1" s="135"/>
    <row r="995" ht="13.8" customHeight="1" s="135"/>
    <row r="996" ht="13.8" customHeight="1" s="135"/>
    <row r="997" ht="13.8" customHeight="1" s="135"/>
    <row r="998" ht="13.8" customHeight="1" s="135"/>
    <row r="999" ht="13.8" customHeight="1" s="135"/>
    <row r="1000" ht="13.8" customHeight="1" s="135"/>
    <row r="1001" ht="13.8" customHeight="1" s="135"/>
    <row r="1002" ht="13.8" customHeight="1" s="135"/>
    <row r="1003" ht="13.8" customHeight="1" s="135"/>
    <row r="1004" ht="13.8" customHeight="1" s="135"/>
    <row r="1005" ht="13.8" customHeight="1" s="135"/>
    <row r="1006" ht="13.8" customHeight="1" s="135"/>
    <row r="1007" ht="13.8" customHeight="1" s="135"/>
  </sheetData>
  <mergeCells count="3">
    <mergeCell ref="B1:H1"/>
    <mergeCell ref="B3:H3"/>
    <mergeCell ref="B2:H2"/>
  </mergeCells>
  <pageMargins left="0.7" right="0.7" top="0.75" bottom="0.75" header="0.3" footer="0.3"/>
  <pageSetup orientation="landscape" paperSize="9" scale="9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Q44"/>
  <sheetViews>
    <sheetView showGridLines="0" topLeftCell="A14" zoomScale="82" zoomScaleNormal="82" workbookViewId="0">
      <selection activeCell="C33" sqref="C33"/>
    </sheetView>
  </sheetViews>
  <sheetFormatPr baseColWidth="8" defaultRowHeight="14.4"/>
  <cols>
    <col width="5.21875" bestFit="1" customWidth="1" style="143" min="1" max="1"/>
    <col width="37" bestFit="1" customWidth="1" style="143" min="2" max="2"/>
    <col width="15.77734375" customWidth="1" style="155" min="3" max="4"/>
    <col width="15.77734375" customWidth="1" style="156" min="5" max="7"/>
    <col width="15.77734375" customWidth="1" style="143" min="8" max="8"/>
    <col width="12.109375" bestFit="1" customWidth="1" style="139" min="9" max="9"/>
    <col width="11.21875" bestFit="1" customWidth="1" style="139" min="10" max="11"/>
    <col width="9.44140625" bestFit="1" customWidth="1" style="139" min="12" max="12"/>
    <col width="12.109375" bestFit="1" customWidth="1" style="139" min="13" max="13"/>
    <col width="10.109375" bestFit="1" customWidth="1" style="139" min="14" max="14"/>
    <col width="9.44140625" bestFit="1" customWidth="1" style="139" min="15" max="15"/>
    <col width="10.109375" bestFit="1" customWidth="1" style="139" min="16" max="16"/>
    <col width="8.88671875" customWidth="1" style="139" min="17" max="18"/>
    <col width="8.88671875" customWidth="1" style="139" min="19" max="16384"/>
  </cols>
  <sheetData>
    <row r="1" ht="18" customHeight="1" s="135">
      <c r="A1" s="146">
        <f>Summary!B1</f>
        <v/>
      </c>
      <c r="I1" s="7" t="n"/>
      <c r="J1" s="7" t="n"/>
      <c r="K1" s="7" t="n"/>
      <c r="L1" s="7" t="n"/>
    </row>
    <row r="2" ht="15.6" customHeight="1" s="135">
      <c r="A2" s="142" t="inlineStr">
        <is>
          <t>Zomato Cash Flow   - January - 2026</t>
        </is>
      </c>
    </row>
    <row r="3" ht="15" customHeight="1" s="135" thickBot="1">
      <c r="A3" s="46" t="n"/>
      <c r="B3" s="46" t="n"/>
      <c r="C3" s="46" t="n"/>
      <c r="D3" s="46" t="n"/>
      <c r="E3" s="46" t="n"/>
      <c r="F3" s="46" t="n"/>
      <c r="G3" s="46" t="n"/>
      <c r="H3" s="46" t="n"/>
    </row>
    <row r="4" ht="15" customHeight="1" s="135" thickBot="1">
      <c r="A4" s="59" t="inlineStr">
        <is>
          <t>S.No</t>
        </is>
      </c>
      <c r="B4" s="60" t="inlineStr">
        <is>
          <t>Details</t>
        </is>
      </c>
      <c r="C4" s="61">
        <f>Summary!C4</f>
        <v/>
      </c>
      <c r="D4" s="61">
        <f>Summary!D4</f>
        <v/>
      </c>
      <c r="E4" s="61">
        <f>Summary!E4</f>
        <v/>
      </c>
      <c r="F4" s="61">
        <f>Summary!F4</f>
        <v/>
      </c>
      <c r="G4" s="61">
        <f>Summary!G4</f>
        <v/>
      </c>
      <c r="H4" s="61" t="inlineStr">
        <is>
          <t>Total</t>
        </is>
      </c>
    </row>
    <row r="5">
      <c r="A5" s="111" t="n">
        <v>1</v>
      </c>
      <c r="B5" s="62" t="inlineStr">
        <is>
          <t>Item sales (Delivered orders)</t>
        </is>
      </c>
      <c r="C5" s="63" t="n"/>
      <c r="D5" s="63">
        <f>'D1W2'!O2</f>
        <v/>
      </c>
      <c r="E5" s="88">
        <f>'D1W3'!O2</f>
        <v/>
      </c>
      <c r="F5" s="64" t="n"/>
      <c r="G5" s="64" t="n"/>
      <c r="H5" s="88">
        <f>SUM(C5:G5)</f>
        <v/>
      </c>
      <c r="I5" s="150" t="n"/>
      <c r="J5" s="150" t="n"/>
    </row>
    <row r="6">
      <c r="A6" s="112" t="n"/>
      <c r="B6" s="62" t="inlineStr">
        <is>
          <t>Add:- Packing charges</t>
        </is>
      </c>
      <c r="C6" s="62" t="n"/>
      <c r="D6" s="62">
        <f>'D1W2'!P2</f>
        <v/>
      </c>
      <c r="E6" s="62">
        <f>'D1W3'!P2</f>
        <v/>
      </c>
      <c r="F6" s="62" t="n"/>
      <c r="G6" s="88" t="n"/>
      <c r="H6" s="88">
        <f>SUM(C6:G6)</f>
        <v/>
      </c>
      <c r="I6" s="150" t="n"/>
      <c r="K6" s="150" t="n"/>
    </row>
    <row r="7">
      <c r="A7" s="112" t="n"/>
      <c r="B7" s="62" t="inlineStr">
        <is>
          <t>Add:- Compensation paid for cancelled orders</t>
        </is>
      </c>
      <c r="C7" s="65" t="n"/>
      <c r="D7" s="65">
        <f>'D1W2'!AV1</f>
        <v/>
      </c>
      <c r="E7" s="88">
        <f>'D1W3'!AV1</f>
        <v/>
      </c>
      <c r="F7" s="88" t="n"/>
      <c r="G7" s="88" t="n"/>
      <c r="H7" s="88">
        <f>SUM(C7:G7)</f>
        <v/>
      </c>
      <c r="I7" s="150" t="n"/>
      <c r="J7" s="150" t="n"/>
      <c r="K7" s="150" t="n"/>
      <c r="L7" s="150" t="n"/>
      <c r="M7" s="150" t="n"/>
    </row>
    <row r="8">
      <c r="A8" s="112" t="n"/>
      <c r="B8" s="62" t="inlineStr">
        <is>
          <t>Less:- Discount</t>
        </is>
      </c>
      <c r="C8" s="63" t="n"/>
      <c r="D8" s="63">
        <f>'D1W2'!R2+'D1W2'!S2+'D1W2'!U2</f>
        <v/>
      </c>
      <c r="E8" s="88">
        <f>'D1W3'!R2+'D1W3'!S2+'D1W3'!U2</f>
        <v/>
      </c>
      <c r="F8" s="88" t="n"/>
      <c r="G8" s="88" t="n"/>
      <c r="H8" s="88">
        <f>SUM(C8:G8)</f>
        <v/>
      </c>
      <c r="I8" s="150" t="n"/>
      <c r="J8" s="150" t="n"/>
      <c r="K8" s="150" t="n"/>
      <c r="L8" s="150" t="n"/>
      <c r="M8" s="150" t="n"/>
      <c r="N8" s="150" t="n"/>
      <c r="O8" s="150" t="n"/>
      <c r="P8" s="150" t="n"/>
    </row>
    <row r="9">
      <c r="A9" s="112" t="n"/>
      <c r="B9" s="62" t="inlineStr">
        <is>
          <t xml:space="preserve">Add:- GST </t>
        </is>
      </c>
      <c r="C9" s="63" t="n"/>
      <c r="D9" s="63">
        <f>'D1W2'!V2</f>
        <v/>
      </c>
      <c r="E9" s="88">
        <f>'D1W3'!V2</f>
        <v/>
      </c>
      <c r="F9" s="88" t="n"/>
      <c r="G9" s="88" t="n"/>
      <c r="H9" s="88">
        <f>SUM(C9:G9)</f>
        <v/>
      </c>
      <c r="I9" s="11" t="n"/>
      <c r="J9" s="150" t="n"/>
      <c r="M9" s="139" t="inlineStr">
        <is>
          <t>Gst</t>
        </is>
      </c>
      <c r="N9" s="139" t="inlineStr">
        <is>
          <t>Tds</t>
        </is>
      </c>
    </row>
    <row r="10">
      <c r="A10" s="112" t="n"/>
      <c r="B10" s="66" t="inlineStr">
        <is>
          <t>Net Sales</t>
        </is>
      </c>
      <c r="C10" s="67">
        <f>C5+C6+C9+C7-C8</f>
        <v/>
      </c>
      <c r="D10" s="67">
        <f>D5+D6+D9+D7-D8</f>
        <v/>
      </c>
      <c r="E10" s="68">
        <f>E5+E6+E9+E7-E8</f>
        <v/>
      </c>
      <c r="F10" s="68">
        <f>F5+F6+F9+F7-F8</f>
        <v/>
      </c>
      <c r="G10" s="68">
        <f>G5+G6+G9+G7-G8</f>
        <v/>
      </c>
      <c r="H10" s="68">
        <f>H5+H6+H9+H7-H8</f>
        <v/>
      </c>
      <c r="I10" s="150" t="n"/>
      <c r="J10" s="1" t="n"/>
      <c r="M10" s="1">
        <f>H10-H29</f>
        <v/>
      </c>
      <c r="N10" s="139">
        <f>H12*100/118</f>
        <v/>
      </c>
    </row>
    <row r="11" ht="15" customHeight="1" s="135" thickBot="1">
      <c r="A11" s="111" t="n">
        <v>2</v>
      </c>
      <c r="B11" s="69" t="inlineStr">
        <is>
          <t>Less:- Commission</t>
        </is>
      </c>
      <c r="C11" s="70">
        <f>C12</f>
        <v/>
      </c>
      <c r="D11" s="70">
        <f>D12</f>
        <v/>
      </c>
      <c r="E11" s="70">
        <f>E12</f>
        <v/>
      </c>
      <c r="F11" s="70">
        <f>F12</f>
        <v/>
      </c>
      <c r="G11" s="70">
        <f>G12</f>
        <v/>
      </c>
      <c r="H11" s="70">
        <f>H12</f>
        <v/>
      </c>
      <c r="J11" s="8" t="n"/>
      <c r="K11" s="1" t="n"/>
    </row>
    <row r="12">
      <c r="A12" s="113" t="n"/>
      <c r="B12" s="71" t="inlineStr">
        <is>
          <t>Platform Fee</t>
        </is>
      </c>
      <c r="C12" s="72" t="n"/>
      <c r="D12" s="72">
        <f>'D1W2'!Z3</f>
        <v/>
      </c>
      <c r="E12" s="73">
        <f>'D1W3'!Z3</f>
        <v/>
      </c>
      <c r="F12" s="74" t="n"/>
      <c r="G12" s="74" t="n"/>
      <c r="H12" s="74">
        <f>SUM(C12:G12)</f>
        <v/>
      </c>
      <c r="I12" s="150" t="n"/>
      <c r="J12" s="150" t="n"/>
      <c r="K12" s="150" t="n"/>
    </row>
    <row r="13">
      <c r="A13" s="111" t="n">
        <v>3</v>
      </c>
      <c r="B13" s="66" t="inlineStr">
        <is>
          <t>Less:- Other Charges</t>
        </is>
      </c>
      <c r="C13" s="67">
        <f>C14+C16-C15+C17</f>
        <v/>
      </c>
      <c r="D13" s="67">
        <f>D14+D16-D15+D17</f>
        <v/>
      </c>
      <c r="E13" s="67">
        <f>E14+E16-E15+E17</f>
        <v/>
      </c>
      <c r="F13" s="67">
        <f>F14+F16-F15+F17</f>
        <v/>
      </c>
      <c r="G13" s="67">
        <f>G14+G16-G15+G17</f>
        <v/>
      </c>
      <c r="H13" s="67">
        <f>H14+H16-H15+H17</f>
        <v/>
      </c>
    </row>
    <row r="14">
      <c r="A14" s="113" t="n"/>
      <c r="B14" s="75" t="inlineStr">
        <is>
          <t>Convenience Fee</t>
        </is>
      </c>
      <c r="C14" s="76" t="n"/>
      <c r="D14" s="76">
        <f>'D1W2'!AA3</f>
        <v/>
      </c>
      <c r="E14" s="77">
        <f>'D1W3'!AA3</f>
        <v/>
      </c>
      <c r="F14" s="78" t="n"/>
      <c r="G14" s="78" t="n"/>
      <c r="H14" s="78">
        <f>SUM(C14:G14)</f>
        <v/>
      </c>
      <c r="I14" s="150" t="n"/>
      <c r="J14" s="150" t="n"/>
      <c r="K14" s="150" t="n"/>
      <c r="L14" s="150" t="n"/>
    </row>
    <row r="15">
      <c r="A15" s="113" t="n"/>
      <c r="B15" s="79" t="inlineStr">
        <is>
          <t>Discount on Service Fee</t>
        </is>
      </c>
      <c r="C15" s="76" t="n"/>
      <c r="D15" s="80" t="n"/>
      <c r="E15" s="78" t="n"/>
      <c r="F15" s="78" t="n"/>
      <c r="G15" s="77" t="n"/>
      <c r="H15" s="78">
        <f>SUM(C15:G15)</f>
        <v/>
      </c>
      <c r="I15" s="150" t="n"/>
      <c r="J15" s="150" t="n"/>
      <c r="K15" s="150" t="n"/>
      <c r="L15" s="150" t="inlineStr">
        <is>
          <t>netsales</t>
        </is>
      </c>
      <c r="M15" s="1">
        <f>C10+C8-C29</f>
        <v/>
      </c>
      <c r="N15" s="1">
        <f>D10+D8-D29</f>
        <v/>
      </c>
      <c r="O15" s="1">
        <f>E10+E8-E29</f>
        <v/>
      </c>
      <c r="P15" s="1">
        <f>F10+F8-F29</f>
        <v/>
      </c>
      <c r="Q15" s="1">
        <f>G10+G8-G29</f>
        <v/>
      </c>
    </row>
    <row r="16">
      <c r="A16" s="112" t="n"/>
      <c r="B16" s="62" t="inlineStr">
        <is>
          <t>Long Distance Fee</t>
        </is>
      </c>
      <c r="C16" s="63" t="n"/>
      <c r="D16" s="65" t="n"/>
      <c r="E16" s="81" t="n"/>
      <c r="F16" s="81" t="n"/>
      <c r="G16" s="88" t="n"/>
      <c r="H16" s="88">
        <f>SUM(C16:G16)</f>
        <v/>
      </c>
      <c r="L16" s="150" t="inlineStr">
        <is>
          <t>disc</t>
        </is>
      </c>
      <c r="M16" s="1">
        <f>C8</f>
        <v/>
      </c>
      <c r="N16" s="1">
        <f>D8</f>
        <v/>
      </c>
      <c r="O16" s="1">
        <f>E8</f>
        <v/>
      </c>
      <c r="P16" s="1">
        <f>F8</f>
        <v/>
      </c>
      <c r="Q16" s="1">
        <f>G8</f>
        <v/>
      </c>
    </row>
    <row r="17">
      <c r="A17" s="111" t="n">
        <v>4</v>
      </c>
      <c r="B17" s="62" t="inlineStr">
        <is>
          <t>Merchant Cancellation Charges</t>
        </is>
      </c>
      <c r="C17" s="63" t="n">
        <v>0</v>
      </c>
      <c r="D17" s="63" t="n">
        <v>0</v>
      </c>
      <c r="E17" s="81" t="n">
        <v>0</v>
      </c>
      <c r="F17" s="88" t="n">
        <v>0</v>
      </c>
      <c r="G17" s="88" t="n">
        <v>0</v>
      </c>
      <c r="H17" s="88">
        <f>SUM(C17:G17)</f>
        <v/>
      </c>
      <c r="L17" s="139" t="inlineStr">
        <is>
          <t>comm</t>
        </is>
      </c>
      <c r="M17" s="1">
        <f>C12-C15</f>
        <v/>
      </c>
      <c r="N17" s="1">
        <f>D12-D15</f>
        <v/>
      </c>
      <c r="O17" s="1">
        <f>E12-E15</f>
        <v/>
      </c>
      <c r="P17" s="1">
        <f>F12-F15</f>
        <v/>
      </c>
      <c r="Q17" s="1">
        <f>G12-G15</f>
        <v/>
      </c>
    </row>
    <row r="18" ht="14.4" customHeight="1" s="135">
      <c r="A18" s="112" t="n"/>
      <c r="B18" s="66" t="inlineStr">
        <is>
          <t>Less:- Refunds</t>
        </is>
      </c>
      <c r="C18" s="67">
        <f>SUM(C19:C20)</f>
        <v/>
      </c>
      <c r="D18" s="67">
        <f>SUM(D19:D20)</f>
        <v/>
      </c>
      <c r="E18" s="67">
        <f>SUM(E19:E20)</f>
        <v/>
      </c>
      <c r="F18" s="67">
        <f>SUM(F19:F20)</f>
        <v/>
      </c>
      <c r="G18" s="67">
        <f>SUM(G19:G20)</f>
        <v/>
      </c>
      <c r="H18" s="68">
        <f>H19+H20</f>
        <v/>
      </c>
      <c r="J18" s="150" t="n"/>
      <c r="L18" s="150" t="inlineStr">
        <is>
          <t>tds ecom</t>
        </is>
      </c>
      <c r="M18" s="1">
        <f>C27</f>
        <v/>
      </c>
      <c r="N18" s="1">
        <f>D27</f>
        <v/>
      </c>
      <c r="O18" s="1">
        <f>E27</f>
        <v/>
      </c>
      <c r="P18" s="1">
        <f>F27</f>
        <v/>
      </c>
      <c r="Q18" s="1">
        <f>G27</f>
        <v/>
      </c>
    </row>
    <row r="19">
      <c r="A19" s="111" t="n"/>
      <c r="B19" s="62" t="inlineStr">
        <is>
          <t>Paid by Restaurant</t>
        </is>
      </c>
      <c r="C19" s="63" t="n"/>
      <c r="D19" s="63">
        <f>'D1W2'!AL4</f>
        <v/>
      </c>
      <c r="E19" s="88">
        <f>'D1W3'!AL4</f>
        <v/>
      </c>
      <c r="F19" s="88" t="n"/>
      <c r="G19" s="88" t="n"/>
      <c r="H19" s="88">
        <f>SUM(C19:G19)</f>
        <v/>
      </c>
      <c r="L19" s="157" t="inlineStr">
        <is>
          <t>conve</t>
        </is>
      </c>
      <c r="M19" s="1">
        <f>C14</f>
        <v/>
      </c>
      <c r="N19" s="1">
        <f>D14</f>
        <v/>
      </c>
      <c r="O19" s="1">
        <f>E14</f>
        <v/>
      </c>
      <c r="P19" s="1">
        <f>F14</f>
        <v/>
      </c>
      <c r="Q19" s="1">
        <f>G14</f>
        <v/>
      </c>
    </row>
    <row r="20">
      <c r="A20" s="111" t="n">
        <v>5</v>
      </c>
      <c r="B20" s="62" t="inlineStr">
        <is>
          <t>Received by Restaurant</t>
        </is>
      </c>
      <c r="C20" s="63" t="n">
        <v>0</v>
      </c>
      <c r="D20" s="63" t="n">
        <v>0</v>
      </c>
      <c r="E20" s="88" t="n">
        <v>0</v>
      </c>
      <c r="F20" s="88" t="n">
        <v>0</v>
      </c>
      <c r="G20" s="88" t="n">
        <v>0</v>
      </c>
      <c r="H20" s="88">
        <f>SUM(C20:G20)</f>
        <v/>
      </c>
      <c r="L20" s="139" t="inlineStr">
        <is>
          <t>othe cha</t>
        </is>
      </c>
      <c r="M20" s="1">
        <f>C16</f>
        <v/>
      </c>
      <c r="N20" s="1">
        <f>D16</f>
        <v/>
      </c>
      <c r="O20" s="1">
        <f>E16</f>
        <v/>
      </c>
      <c r="P20" s="1">
        <f>F16</f>
        <v/>
      </c>
      <c r="Q20" s="1">
        <f>G16</f>
        <v/>
      </c>
    </row>
    <row r="21" ht="17.4" customHeight="1" s="135">
      <c r="A21" s="112" t="n"/>
      <c r="B21" s="66" t="inlineStr">
        <is>
          <t>Less:- Marketing Charges</t>
        </is>
      </c>
      <c r="C21" s="67">
        <f>C22+C23+C24</f>
        <v/>
      </c>
      <c r="D21" s="67">
        <f>D22+D23+D24</f>
        <v/>
      </c>
      <c r="E21" s="68">
        <f>E22+E23+E24</f>
        <v/>
      </c>
      <c r="F21" s="68">
        <f>F22+F23+F24</f>
        <v/>
      </c>
      <c r="G21" s="68">
        <f>G22+G23+G24</f>
        <v/>
      </c>
      <c r="H21" s="68">
        <f>H22+H23+H24</f>
        <v/>
      </c>
      <c r="L21" s="139" t="inlineStr">
        <is>
          <t>tds</t>
        </is>
      </c>
      <c r="M21" s="139">
        <f>(C12*100/118)*2%</f>
        <v/>
      </c>
      <c r="N21" s="139">
        <f>(D12*100/118)*2%</f>
        <v/>
      </c>
      <c r="O21" s="139">
        <f>(E12*100/118)*2%</f>
        <v/>
      </c>
      <c r="P21" s="139">
        <f>(F12*100/118)*2%</f>
        <v/>
      </c>
      <c r="Q21" s="139">
        <f>(G12*100/118)*2%</f>
        <v/>
      </c>
    </row>
    <row r="22" ht="19.2" customHeight="1" s="135">
      <c r="A22" s="112" t="n"/>
      <c r="B22" s="62" t="inlineStr">
        <is>
          <t>High Priority</t>
        </is>
      </c>
      <c r="C22" s="63" t="n">
        <v>0</v>
      </c>
      <c r="D22" s="63">
        <f>'D2W2'!G15</f>
        <v/>
      </c>
      <c r="E22" s="88">
        <f>'D2W3'!G15</f>
        <v/>
      </c>
      <c r="F22" s="88" t="n">
        <v>0</v>
      </c>
      <c r="G22" s="88" t="n">
        <v>0</v>
      </c>
      <c r="H22" s="88">
        <f>SUM(C22:G22)</f>
        <v/>
      </c>
      <c r="J22" s="158" t="n"/>
      <c r="K22" s="158" t="n"/>
    </row>
    <row r="23">
      <c r="A23" s="112" t="n"/>
      <c r="B23" s="62" t="inlineStr">
        <is>
          <t xml:space="preserve">Call Center Service Fees </t>
        </is>
      </c>
      <c r="C23" s="63" t="n">
        <v>0</v>
      </c>
      <c r="D23" s="63" t="n">
        <v>0</v>
      </c>
      <c r="E23" s="88" t="n">
        <v>0</v>
      </c>
      <c r="F23" s="88" t="n">
        <v>0</v>
      </c>
      <c r="G23" s="88" t="n">
        <v>0</v>
      </c>
      <c r="H23" s="88">
        <f>SUM(C23:G23)</f>
        <v/>
      </c>
    </row>
    <row r="24">
      <c r="A24" s="112" t="n"/>
      <c r="B24" s="62" t="inlineStr">
        <is>
          <t>PocketHero Fee</t>
        </is>
      </c>
      <c r="C24" s="63" t="n">
        <v>0</v>
      </c>
      <c r="D24" s="63" t="n">
        <v>0</v>
      </c>
      <c r="E24" s="88" t="n">
        <v>0</v>
      </c>
      <c r="F24" s="88" t="n">
        <v>0</v>
      </c>
      <c r="G24" s="88" t="n">
        <v>0</v>
      </c>
      <c r="H24" s="88">
        <f>SUM(C24:G24)</f>
        <v/>
      </c>
      <c r="M24" s="150" t="n"/>
    </row>
    <row r="25">
      <c r="A25" s="111" t="n">
        <v>6</v>
      </c>
      <c r="B25" s="66" t="inlineStr">
        <is>
          <t>Profit from Zomato</t>
        </is>
      </c>
      <c r="C25" s="67">
        <f>C10-C11-C18-C21-C13-C29</f>
        <v/>
      </c>
      <c r="D25" s="67">
        <f>D10-D11-D18-D21-D13-D29</f>
        <v/>
      </c>
      <c r="E25" s="67">
        <f>E10-E11-E18-E21-E13-E29</f>
        <v/>
      </c>
      <c r="F25" s="67">
        <f>F10-F11-F18-F21-F13-F29</f>
        <v/>
      </c>
      <c r="G25" s="67">
        <f>G10-G11-G18-G21-G13-G29</f>
        <v/>
      </c>
      <c r="H25" s="67">
        <f>H10-H11-H18-H21-H13-H29</f>
        <v/>
      </c>
    </row>
    <row r="26">
      <c r="A26" s="112" t="n"/>
      <c r="B26" s="66" t="inlineStr">
        <is>
          <t>Less:- Tax Adjustments</t>
        </is>
      </c>
      <c r="C26" s="67">
        <f>SUM(C27:C29)</f>
        <v/>
      </c>
      <c r="D26" s="67">
        <f>SUM(D27:D29)</f>
        <v/>
      </c>
      <c r="E26" s="67">
        <f>SUM(E27:E29)</f>
        <v/>
      </c>
      <c r="F26" s="67">
        <f>SUM(F27:F29)</f>
        <v/>
      </c>
      <c r="G26" s="67">
        <f>SUM(G27:G29)</f>
        <v/>
      </c>
      <c r="H26" s="67">
        <f>SUM(H27:H29)</f>
        <v/>
      </c>
    </row>
    <row r="27">
      <c r="A27" s="112" t="n"/>
      <c r="B27" s="62" t="inlineStr">
        <is>
          <t>TDS deduction for aggrigators</t>
        </is>
      </c>
      <c r="C27" s="63" t="n"/>
      <c r="D27" s="63">
        <f>'D1W2'!AH4</f>
        <v/>
      </c>
      <c r="E27" s="82">
        <f>'D1W3'!AH4</f>
        <v/>
      </c>
      <c r="F27" s="88" t="n"/>
      <c r="G27" s="88" t="n"/>
      <c r="H27" s="88">
        <f>SUM(C27:G27)</f>
        <v/>
      </c>
    </row>
    <row r="28" ht="15" customHeight="1" s="135">
      <c r="A28" s="112" t="n"/>
      <c r="B28" s="62" t="inlineStr">
        <is>
          <t>TCS</t>
        </is>
      </c>
      <c r="C28" s="63" t="n"/>
      <c r="D28" s="83">
        <f>'D1W2'!AF4+'D1W2'!AG4</f>
        <v/>
      </c>
      <c r="E28" s="88">
        <f>'D1W3'!AF4+'D1W3'!AG4</f>
        <v/>
      </c>
      <c r="F28" s="82" t="n"/>
      <c r="G28" s="88" t="n"/>
      <c r="H28" s="88">
        <f>SUM(C28:G28)</f>
        <v/>
      </c>
    </row>
    <row r="29" ht="15.6" customHeight="1" s="135">
      <c r="A29" s="111" t="n">
        <v>7</v>
      </c>
      <c r="B29" s="62" t="inlineStr">
        <is>
          <t>GST collected and paid by Zomato</t>
        </is>
      </c>
      <c r="C29" s="63" t="n"/>
      <c r="D29" s="63">
        <f>'D1W2'!AI4</f>
        <v/>
      </c>
      <c r="E29" s="88">
        <f>'D1W3'!AI4</f>
        <v/>
      </c>
      <c r="F29" s="88" t="n"/>
      <c r="G29" s="88" t="n"/>
      <c r="H29" s="88">
        <f>SUM(C29:G29)</f>
        <v/>
      </c>
    </row>
    <row r="30">
      <c r="A30" s="111" t="n"/>
      <c r="B30" s="66" t="inlineStr">
        <is>
          <t>Expected Receipts</t>
        </is>
      </c>
      <c r="C30" s="67">
        <f>C25-C27-C28-C34</f>
        <v/>
      </c>
      <c r="D30" s="67">
        <f>D25-D27-D28-D34</f>
        <v/>
      </c>
      <c r="E30" s="67">
        <f>E25-E27-E28-E34</f>
        <v/>
      </c>
      <c r="F30" s="67">
        <f>F25-F27-F28-F34</f>
        <v/>
      </c>
      <c r="G30" s="67">
        <f>G25-G27-G28-G34</f>
        <v/>
      </c>
      <c r="H30" s="67">
        <f>H25-H27-H28-H34</f>
        <v/>
      </c>
      <c r="J30" s="150" t="n"/>
    </row>
    <row r="31">
      <c r="A31" s="112" t="n"/>
      <c r="B31" s="62" t="inlineStr">
        <is>
          <t>Service Fee Reversal</t>
        </is>
      </c>
      <c r="C31" s="63" t="n">
        <v>0</v>
      </c>
      <c r="D31" s="63" t="n">
        <v>0</v>
      </c>
      <c r="E31" s="63" t="n">
        <v>0</v>
      </c>
      <c r="F31" s="63" t="n">
        <v>0</v>
      </c>
      <c r="G31" s="63" t="n">
        <v>0</v>
      </c>
      <c r="H31" s="63">
        <f>SUM(C31:G31)</f>
        <v/>
      </c>
      <c r="J31" s="150" t="n"/>
    </row>
    <row r="32">
      <c r="A32" s="112" t="n"/>
      <c r="B32" s="62" t="inlineStr">
        <is>
          <t>Interim payments</t>
        </is>
      </c>
      <c r="C32" s="63" t="n">
        <v>0</v>
      </c>
      <c r="D32" s="63" t="n">
        <v>0</v>
      </c>
      <c r="E32" s="88" t="n">
        <v>0</v>
      </c>
      <c r="F32" s="88" t="n">
        <v>0</v>
      </c>
      <c r="G32" s="88" t="n">
        <v>0</v>
      </c>
      <c r="H32" s="88">
        <f>SUM(C32:G32)</f>
        <v/>
      </c>
    </row>
    <row r="33">
      <c r="A33" s="112" t="n"/>
      <c r="B33" s="62" t="inlineStr">
        <is>
          <t>Opening Week Adjustments</t>
        </is>
      </c>
      <c r="C33" s="63" t="n">
        <v>0</v>
      </c>
      <c r="D33" s="63" t="n">
        <v>0</v>
      </c>
      <c r="E33" s="88" t="n">
        <v>0</v>
      </c>
      <c r="F33" s="88" t="n">
        <v>0</v>
      </c>
      <c r="G33" s="88" t="n">
        <v>0</v>
      </c>
      <c r="H33" s="88">
        <f>SUM(C33:G33)</f>
        <v/>
      </c>
    </row>
    <row r="34">
      <c r="A34" s="112" t="n"/>
      <c r="B34" s="62" t="inlineStr">
        <is>
          <t>Following Week Adjustments</t>
        </is>
      </c>
      <c r="C34" s="63" t="n">
        <v>0</v>
      </c>
      <c r="D34" s="63" t="n">
        <v>0</v>
      </c>
      <c r="E34" s="88" t="n">
        <v>0</v>
      </c>
      <c r="F34" s="88" t="n">
        <v>0</v>
      </c>
      <c r="G34" s="88" t="n">
        <v>0</v>
      </c>
      <c r="H34" s="88">
        <f>SUM(C34:G34)</f>
        <v/>
      </c>
    </row>
    <row r="35">
      <c r="A35" s="112" t="n"/>
      <c r="B35" s="62" t="inlineStr">
        <is>
          <t>Closing Week Adjustments</t>
        </is>
      </c>
      <c r="C35" s="63" t="n">
        <v>0</v>
      </c>
      <c r="D35" s="63" t="n">
        <v>0</v>
      </c>
      <c r="E35" s="88" t="n">
        <v>0</v>
      </c>
      <c r="F35" s="88" t="n">
        <v>0</v>
      </c>
      <c r="G35" s="88" t="n">
        <v>0</v>
      </c>
      <c r="H35" s="88">
        <f>SUM(C35:G35)</f>
        <v/>
      </c>
    </row>
    <row r="36">
      <c r="A36" s="112" t="n"/>
      <c r="B36" s="62" t="inlineStr">
        <is>
          <t>Zomato hyperpure Payment Adjustments</t>
        </is>
      </c>
      <c r="C36" s="63" t="n">
        <v>0</v>
      </c>
      <c r="D36" s="63" t="n">
        <v>0</v>
      </c>
      <c r="E36" s="88" t="n">
        <v>0</v>
      </c>
      <c r="F36" s="88" t="n">
        <v>0</v>
      </c>
      <c r="G36" s="88" t="n">
        <v>0</v>
      </c>
      <c r="H36" s="88">
        <f>SUM(C36:G36)</f>
        <v/>
      </c>
    </row>
    <row r="37">
      <c r="A37" s="112" t="n"/>
      <c r="B37" s="62" t="inlineStr">
        <is>
          <t>EMI Loan deductions</t>
        </is>
      </c>
      <c r="C37" s="63" t="n">
        <v>0</v>
      </c>
      <c r="D37" s="63" t="n">
        <v>0</v>
      </c>
      <c r="E37" s="88" t="n">
        <v>0</v>
      </c>
      <c r="F37" s="88" t="n">
        <v>0</v>
      </c>
      <c r="G37" s="88" t="n">
        <v>0</v>
      </c>
      <c r="H37" s="88">
        <f>SUM(C37:G37)</f>
        <v/>
      </c>
    </row>
    <row r="38">
      <c r="A38" s="111" t="n">
        <v>8</v>
      </c>
      <c r="B38" s="66" t="inlineStr">
        <is>
          <t>Actual receipts</t>
        </is>
      </c>
      <c r="C38" s="67" t="n">
        <v>0</v>
      </c>
      <c r="D38" s="67" t="n">
        <v>0</v>
      </c>
      <c r="E38" s="68" t="n">
        <v>0</v>
      </c>
      <c r="F38" s="84" t="n">
        <v>0</v>
      </c>
      <c r="G38" s="84" t="n">
        <v>0</v>
      </c>
      <c r="H38" s="84">
        <f>SUM(C38:G38)</f>
        <v/>
      </c>
      <c r="J38" s="1" t="n"/>
    </row>
    <row r="39" ht="15" customHeight="1" s="135" thickBot="1">
      <c r="A39" s="147" t="n"/>
      <c r="B39" s="41" t="inlineStr">
        <is>
          <t>Difference</t>
        </is>
      </c>
      <c r="C39" s="85">
        <f>C30-C38-C36+C33+C35</f>
        <v/>
      </c>
      <c r="D39" s="85">
        <f>D30-D38-D36-D33+D35</f>
        <v/>
      </c>
      <c r="E39" s="85">
        <f>E30-E38-E36-E33+E35</f>
        <v/>
      </c>
      <c r="F39" s="85">
        <f>F30-F38-F36-F33+F35-F34-F32</f>
        <v/>
      </c>
      <c r="G39" s="85">
        <f>G30-G38-G36-G33+G35</f>
        <v/>
      </c>
      <c r="H39" s="85">
        <f>H30-H38-H36+H33+H35-H34-H32</f>
        <v/>
      </c>
    </row>
    <row r="40">
      <c r="A40" s="12" t="n"/>
    </row>
    <row r="41">
      <c r="B41" s="12" t="inlineStr">
        <is>
          <t xml:space="preserve">Note : </t>
        </is>
      </c>
    </row>
    <row r="42"/>
    <row r="43"/>
    <row r="44">
      <c r="B44" s="155" t="n"/>
    </row>
  </sheetData>
  <mergeCells count="2">
    <mergeCell ref="A2:H2"/>
    <mergeCell ref="A1:H1"/>
  </mergeCells>
  <pageMargins left="0.7" right="0.7" top="0.75" bottom="0.75" header="0.3" footer="0.3"/>
  <pageSetup orientation="landscape" paperSize="9" scale="74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H37"/>
  <sheetViews>
    <sheetView showGridLines="0" zoomScaleNormal="100" workbookViewId="0">
      <selection activeCell="A2" sqref="A2:G2"/>
    </sheetView>
  </sheetViews>
  <sheetFormatPr baseColWidth="8" defaultRowHeight="13.8"/>
  <cols>
    <col width="45.5546875" bestFit="1" customWidth="1" style="139" min="1" max="1"/>
    <col width="12.77734375" bestFit="1" customWidth="1" style="139" min="2" max="3"/>
    <col width="13.33203125" bestFit="1" customWidth="1" style="139" min="4" max="4"/>
    <col width="13.109375" bestFit="1" customWidth="1" style="139" min="5" max="5"/>
    <col width="12.33203125" customWidth="1" style="139" min="6" max="6"/>
    <col width="14" bestFit="1" customWidth="1" style="139" min="7" max="7"/>
    <col width="8.88671875" customWidth="1" style="139" min="8" max="9"/>
    <col width="8.88671875" customWidth="1" style="139" min="10" max="16384"/>
  </cols>
  <sheetData>
    <row r="1" ht="18" customHeight="1" s="135">
      <c r="A1" s="138">
        <f>Summary!B1</f>
        <v/>
      </c>
      <c r="H1" s="143" t="n"/>
    </row>
    <row r="2" ht="15.6" customHeight="1" s="135">
      <c r="A2" s="140" t="inlineStr">
        <is>
          <t>Zomato Profit Statement - January - 2026</t>
        </is>
      </c>
      <c r="H2" s="143" t="n"/>
    </row>
    <row r="3" ht="18" customHeight="1" s="135" thickBot="1">
      <c r="A3" s="50" t="n"/>
      <c r="B3" s="42" t="n"/>
      <c r="C3" s="42" t="n"/>
      <c r="D3" s="42" t="n"/>
      <c r="E3" s="42" t="n"/>
      <c r="F3" s="42" t="n"/>
      <c r="G3" s="42" t="n"/>
      <c r="H3" s="143" t="n"/>
    </row>
    <row r="4" ht="15" customHeight="1" s="135" thickBot="1">
      <c r="A4" s="51" t="inlineStr">
        <is>
          <t>Details</t>
        </is>
      </c>
      <c r="B4" s="159">
        <f>Summary!C4</f>
        <v/>
      </c>
      <c r="C4" s="159">
        <f>Summary!D4</f>
        <v/>
      </c>
      <c r="D4" s="159">
        <f>Summary!E4</f>
        <v/>
      </c>
      <c r="E4" s="159">
        <f>Summary!F4</f>
        <v/>
      </c>
      <c r="F4" s="159">
        <f>Summary!G4</f>
        <v/>
      </c>
      <c r="G4" s="159">
        <f>Summary!H4</f>
        <v/>
      </c>
      <c r="H4" s="37" t="n"/>
    </row>
    <row r="5" ht="14.4" customHeight="1" s="135">
      <c r="A5" s="52" t="inlineStr">
        <is>
          <t>A. Net Sales</t>
        </is>
      </c>
      <c r="B5" s="38" t="n"/>
      <c r="C5" s="38" t="n"/>
      <c r="D5" s="38" t="n"/>
      <c r="E5" s="38" t="n"/>
      <c r="F5" s="43" t="n"/>
      <c r="G5" s="43" t="n"/>
      <c r="H5" s="143" t="n"/>
    </row>
    <row r="6" ht="14.4" customHeight="1" s="135">
      <c r="A6" s="49" t="inlineStr">
        <is>
          <t>Total Income</t>
        </is>
      </c>
      <c r="B6" s="88">
        <f>Cashflow!C5+Cashflow!C6+Cashflow!C9-Cashflow!C8-Cashflow!C29</f>
        <v/>
      </c>
      <c r="C6" s="88">
        <f>Cashflow!D5+Cashflow!D6+Cashflow!D9-Cashflow!D8-Cashflow!D29</f>
        <v/>
      </c>
      <c r="D6" s="88">
        <f>Cashflow!E5+Cashflow!E6+Cashflow!E9-Cashflow!E8-Cashflow!E29</f>
        <v/>
      </c>
      <c r="E6" s="88">
        <f>Cashflow!F5+Cashflow!F6+Cashflow!F9-Cashflow!F8-Cashflow!F29</f>
        <v/>
      </c>
      <c r="F6" s="88">
        <f>Cashflow!G5+Cashflow!G6+Cashflow!G9-Cashflow!G8-Cashflow!G29</f>
        <v/>
      </c>
      <c r="G6" s="92">
        <f>SUM(B6:F6)</f>
        <v/>
      </c>
      <c r="H6" s="143" t="n"/>
    </row>
    <row r="7" ht="15" customHeight="1" s="135" thickBot="1">
      <c r="A7" s="49" t="inlineStr">
        <is>
          <t>Add- Adjust: Cancelled orders (By Zomato)</t>
        </is>
      </c>
      <c r="B7" s="89">
        <f>Cashflow!C7</f>
        <v/>
      </c>
      <c r="C7" s="89">
        <f>Cashflow!D7</f>
        <v/>
      </c>
      <c r="D7" s="89">
        <f>Cashflow!E7</f>
        <v/>
      </c>
      <c r="E7" s="89">
        <f>Cashflow!F7</f>
        <v/>
      </c>
      <c r="F7" s="89">
        <f>Cashflow!G7</f>
        <v/>
      </c>
      <c r="G7" s="92">
        <f>SUM(B7:F7)</f>
        <v/>
      </c>
      <c r="H7" s="143" t="n"/>
    </row>
    <row r="8" ht="15" customHeight="1" s="135" thickBot="1">
      <c r="A8" s="53" t="inlineStr">
        <is>
          <t>Net Sales (Number that you see on Numerize app)</t>
        </is>
      </c>
      <c r="B8" s="93">
        <f>B6+B7</f>
        <v/>
      </c>
      <c r="C8" s="93">
        <f>C6+C7</f>
        <v/>
      </c>
      <c r="D8" s="93">
        <f>D6+D7</f>
        <v/>
      </c>
      <c r="E8" s="93">
        <f>E6+E7</f>
        <v/>
      </c>
      <c r="F8" s="93">
        <f>F6+F7</f>
        <v/>
      </c>
      <c r="G8" s="94">
        <f>G6+G7</f>
        <v/>
      </c>
      <c r="H8" s="143" t="n"/>
    </row>
    <row r="9" ht="14.4" customHeight="1" s="135">
      <c r="A9" s="49" t="n"/>
      <c r="B9" s="89" t="n"/>
      <c r="C9" s="89" t="n"/>
      <c r="D9" s="89" t="n"/>
      <c r="E9" s="89" t="n"/>
      <c r="F9" s="90" t="n"/>
      <c r="G9" s="90" t="n"/>
      <c r="H9" s="143" t="n"/>
    </row>
    <row r="10" ht="14.4" customHeight="1" s="135">
      <c r="A10" s="54" t="inlineStr">
        <is>
          <t>B.  Less:- Commission</t>
        </is>
      </c>
      <c r="B10" s="89">
        <f>Cashflow!C11</f>
        <v/>
      </c>
      <c r="C10" s="89">
        <f>Cashflow!D11</f>
        <v/>
      </c>
      <c r="D10" s="89">
        <f>Cashflow!E11</f>
        <v/>
      </c>
      <c r="E10" s="89">
        <f>Cashflow!F11</f>
        <v/>
      </c>
      <c r="F10" s="89">
        <f>Cashflow!G11</f>
        <v/>
      </c>
      <c r="G10" s="92">
        <f>SUM(B10:F10)</f>
        <v/>
      </c>
      <c r="H10" s="143" t="n"/>
    </row>
    <row r="11" ht="14.4" customHeight="1" s="135">
      <c r="A11" s="49" t="n"/>
      <c r="B11" s="89" t="n"/>
      <c r="C11" s="89" t="n"/>
      <c r="D11" s="89" t="n"/>
      <c r="E11" s="89" t="n"/>
      <c r="F11" s="90" t="n"/>
      <c r="G11" s="91" t="n"/>
      <c r="H11" s="143" t="n"/>
    </row>
    <row r="12" ht="14.4" customHeight="1" s="135">
      <c r="A12" s="54" t="inlineStr">
        <is>
          <t>C.  Less:- Marketing &amp; Ads</t>
        </is>
      </c>
      <c r="B12" s="89">
        <f>Cashflow!C21</f>
        <v/>
      </c>
      <c r="C12" s="89">
        <f>Cashflow!D21</f>
        <v/>
      </c>
      <c r="D12" s="89">
        <f>Cashflow!E21</f>
        <v/>
      </c>
      <c r="E12" s="89">
        <f>Cashflow!F21</f>
        <v/>
      </c>
      <c r="F12" s="89">
        <f>Cashflow!G21</f>
        <v/>
      </c>
      <c r="G12" s="92">
        <f>SUM(B12:F12)</f>
        <v/>
      </c>
      <c r="H12" s="143" t="n"/>
    </row>
    <row r="13" ht="14.4" customHeight="1" s="135">
      <c r="A13" s="49" t="n"/>
      <c r="B13" s="89" t="n"/>
      <c r="C13" s="89" t="n"/>
      <c r="D13" s="89" t="n"/>
      <c r="E13" s="89" t="n"/>
      <c r="F13" s="90" t="n"/>
      <c r="G13" s="91" t="n"/>
      <c r="H13" s="143" t="n"/>
    </row>
    <row r="14" ht="14.4" customHeight="1" s="135">
      <c r="A14" s="54" t="inlineStr">
        <is>
          <t>D. Less:- Refund on disputed orders</t>
        </is>
      </c>
      <c r="B14" s="89">
        <f>Cashflow!C18</f>
        <v/>
      </c>
      <c r="C14" s="89">
        <f>Cashflow!D18</f>
        <v/>
      </c>
      <c r="D14" s="89">
        <f>Cashflow!E18</f>
        <v/>
      </c>
      <c r="E14" s="89">
        <f>Cashflow!F18</f>
        <v/>
      </c>
      <c r="F14" s="89">
        <f>Cashflow!G18</f>
        <v/>
      </c>
      <c r="G14" s="92">
        <f>SUM(B14:F14)</f>
        <v/>
      </c>
      <c r="H14" s="143" t="n"/>
    </row>
    <row r="15" ht="14.4" customHeight="1" s="135">
      <c r="A15" s="49" t="n"/>
      <c r="B15" s="89" t="n"/>
      <c r="C15" s="89" t="n"/>
      <c r="D15" s="89" t="n"/>
      <c r="E15" s="89" t="n"/>
      <c r="F15" s="90" t="n"/>
      <c r="G15" s="91" t="n"/>
      <c r="H15" s="143" t="n"/>
    </row>
    <row r="16" ht="14.4" customHeight="1" s="135">
      <c r="A16" s="54" t="inlineStr">
        <is>
          <t>E. Other charges</t>
        </is>
      </c>
      <c r="B16" s="89">
        <f>Cashflow!C13</f>
        <v/>
      </c>
      <c r="C16" s="89">
        <f>Cashflow!D13</f>
        <v/>
      </c>
      <c r="D16" s="89">
        <f>Cashflow!E13</f>
        <v/>
      </c>
      <c r="E16" s="89">
        <f>Cashflow!F13</f>
        <v/>
      </c>
      <c r="F16" s="89">
        <f>Cashflow!G13</f>
        <v/>
      </c>
      <c r="G16" s="92">
        <f>SUM(B16:F16)</f>
        <v/>
      </c>
      <c r="H16" s="143" t="n"/>
    </row>
    <row r="17" ht="15" customHeight="1" s="135" thickBot="1">
      <c r="A17" s="49" t="n"/>
      <c r="B17" s="89" t="n"/>
      <c r="C17" s="89" t="n"/>
      <c r="D17" s="89" t="n"/>
      <c r="E17" s="89" t="n"/>
      <c r="F17" s="90" t="n"/>
      <c r="G17" s="90" t="n"/>
      <c r="H17" s="143" t="n"/>
    </row>
    <row r="18" ht="14.4" customHeight="1" s="135" thickBot="1">
      <c r="A18" s="55" t="inlineStr">
        <is>
          <t>F. Profit</t>
        </is>
      </c>
      <c r="B18" s="93">
        <f>B8-B10-B12-B14-B16</f>
        <v/>
      </c>
      <c r="C18" s="93">
        <f>C8-C10-C12-C14-C16</f>
        <v/>
      </c>
      <c r="D18" s="93">
        <f>D8-D10-D12-D14-D16</f>
        <v/>
      </c>
      <c r="E18" s="93">
        <f>E8-E10-E12-E14-E16</f>
        <v/>
      </c>
      <c r="F18" s="93">
        <f>F8-F10-F12-F14-F16</f>
        <v/>
      </c>
      <c r="G18" s="94">
        <f>G8-G10-G12-G14-G16</f>
        <v/>
      </c>
      <c r="H18" s="143" t="n"/>
    </row>
    <row r="19" ht="15" customHeight="1" s="135" thickBot="1">
      <c r="A19" s="56" t="inlineStr">
        <is>
          <t>Percentage</t>
        </is>
      </c>
      <c r="B19" s="44">
        <f>IFERROR(B18/B8,0)</f>
        <v/>
      </c>
      <c r="C19" s="44">
        <f>IFERROR(C18/C8,0)</f>
        <v/>
      </c>
      <c r="D19" s="44">
        <f>IFERROR(D18/D8,0)</f>
        <v/>
      </c>
      <c r="E19" s="44">
        <f>IFERROR(E18/E8,0)</f>
        <v/>
      </c>
      <c r="F19" s="44">
        <f>IFERROR(F18/F8,0)</f>
        <v/>
      </c>
      <c r="G19" s="45">
        <f>G18/G8</f>
        <v/>
      </c>
      <c r="H19" s="143" t="n"/>
    </row>
    <row r="20" ht="14.4" customHeight="1" s="135">
      <c r="B20" s="143" t="n"/>
      <c r="C20" s="143" t="n"/>
      <c r="D20" s="143" t="n"/>
      <c r="E20" s="143" t="n"/>
      <c r="F20" s="143" t="n"/>
      <c r="G20" s="143" t="n"/>
      <c r="H20" s="143" t="n"/>
    </row>
    <row r="21" ht="17.4" customHeight="1" s="135">
      <c r="B21" s="160" t="n"/>
      <c r="C21" s="160" t="n"/>
      <c r="D21" s="160" t="n"/>
      <c r="E21" s="160" t="n"/>
      <c r="F21" s="160" t="n"/>
      <c r="G21" s="160" t="n"/>
      <c r="H21" s="143" t="n"/>
    </row>
    <row r="22" ht="19.2" customHeight="1" s="135">
      <c r="B22" s="160" t="n"/>
      <c r="C22" s="160" t="n"/>
      <c r="D22" s="160" t="n"/>
      <c r="E22" s="160" t="n"/>
      <c r="F22" s="160" t="n"/>
      <c r="G22" s="160" t="n"/>
      <c r="H22" s="143" t="n"/>
    </row>
    <row r="23" ht="14.4" customHeight="1" s="135">
      <c r="B23" s="160" t="n"/>
      <c r="C23" s="160" t="n"/>
      <c r="D23" s="160" t="n"/>
      <c r="E23" s="160" t="n"/>
      <c r="F23" s="160" t="n"/>
      <c r="G23" s="160" t="n"/>
      <c r="H23" s="143" t="n"/>
    </row>
    <row r="24" ht="14.4" customHeight="1" s="135">
      <c r="B24" s="143" t="n"/>
      <c r="C24" s="143" t="n"/>
      <c r="D24" s="143" t="n"/>
      <c r="E24" s="143" t="n"/>
      <c r="F24" s="143" t="n"/>
      <c r="G24" s="143" t="n"/>
      <c r="H24" s="143" t="n"/>
    </row>
    <row r="25" ht="14.4" customHeight="1" s="135">
      <c r="B25" s="160" t="n"/>
      <c r="C25" s="160" t="n"/>
      <c r="D25" s="160" t="n"/>
      <c r="E25" s="160" t="n"/>
      <c r="F25" s="160" t="n"/>
      <c r="G25" s="160" t="n"/>
      <c r="H25" s="143" t="n"/>
    </row>
    <row r="26" ht="14.4" customHeight="1" s="135">
      <c r="B26" s="143" t="n"/>
      <c r="C26" s="143" t="n"/>
      <c r="D26" s="143" t="n"/>
      <c r="E26" s="143" t="n"/>
      <c r="F26" s="143" t="n"/>
      <c r="G26" s="143" t="n"/>
      <c r="H26" s="143" t="n"/>
    </row>
    <row r="27" ht="8.4" customHeight="1" s="135">
      <c r="B27" s="143" t="n"/>
      <c r="C27" s="143" t="n"/>
      <c r="D27" s="143" t="n"/>
      <c r="E27" s="143" t="n"/>
      <c r="F27" s="143" t="n"/>
      <c r="G27" s="143" t="n"/>
      <c r="H27" s="143" t="n"/>
    </row>
    <row r="28" ht="15" customHeight="1" s="135">
      <c r="B28" s="143" t="n"/>
      <c r="C28" s="143" t="n"/>
      <c r="D28" s="143" t="n"/>
      <c r="E28" s="143" t="n"/>
      <c r="F28" s="143" t="n"/>
      <c r="G28" s="143" t="n"/>
      <c r="H28" s="143" t="n"/>
    </row>
    <row r="29" ht="15.6" customHeight="1" s="135">
      <c r="B29" s="143" t="n"/>
      <c r="C29" s="143" t="n"/>
      <c r="D29" s="143" t="n"/>
      <c r="E29" s="143" t="n"/>
      <c r="F29" s="143" t="n"/>
      <c r="G29" s="143" t="n"/>
      <c r="H29" s="143" t="n"/>
    </row>
    <row r="30" ht="14.4" customHeight="1" s="135">
      <c r="B30" s="143" t="n"/>
      <c r="C30" s="143" t="n"/>
      <c r="D30" s="143" t="n"/>
      <c r="E30" s="143" t="n"/>
      <c r="F30" s="143" t="n"/>
      <c r="G30" s="143" t="n"/>
      <c r="H30" s="143" t="n"/>
    </row>
    <row r="31" ht="14.4" customHeight="1" s="135">
      <c r="B31" s="143" t="n"/>
      <c r="C31" s="143" t="n"/>
      <c r="D31" s="143" t="n"/>
      <c r="E31" s="143" t="n"/>
      <c r="F31" s="143" t="n"/>
      <c r="G31" s="143" t="n"/>
      <c r="H31" s="143" t="n"/>
    </row>
    <row r="32" ht="14.4" customHeight="1" s="135">
      <c r="B32" s="143" t="n"/>
      <c r="C32" s="143" t="n"/>
      <c r="D32" s="143" t="n"/>
      <c r="E32" s="143" t="n"/>
      <c r="F32" s="143" t="n"/>
      <c r="G32" s="143" t="n"/>
      <c r="H32" s="143" t="n"/>
    </row>
    <row r="33" ht="14.4" customHeight="1" s="135">
      <c r="B33" s="143" t="n"/>
      <c r="C33" s="143" t="n"/>
      <c r="D33" s="143" t="n"/>
      <c r="E33" s="143" t="n"/>
      <c r="F33" s="143" t="n"/>
      <c r="G33" s="143" t="n"/>
      <c r="H33" s="143" t="n"/>
    </row>
    <row r="34" ht="14.4" customHeight="1" s="135">
      <c r="B34" s="143" t="n"/>
      <c r="C34" s="143" t="n"/>
      <c r="D34" s="143" t="n"/>
      <c r="E34" s="143" t="n"/>
      <c r="F34" s="143" t="n"/>
      <c r="G34" s="143" t="n"/>
      <c r="H34" s="143" t="n"/>
    </row>
    <row r="35" ht="14.4" customHeight="1" s="135">
      <c r="B35" s="143" t="n"/>
      <c r="C35" s="143" t="n"/>
      <c r="D35" s="143" t="n"/>
      <c r="E35" s="143" t="n"/>
      <c r="F35" s="143" t="n"/>
      <c r="G35" s="143" t="n"/>
      <c r="H35" s="143" t="n"/>
    </row>
    <row r="36" ht="14.4" customHeight="1" s="135">
      <c r="B36" s="143" t="n"/>
      <c r="C36" s="143" t="n"/>
      <c r="D36" s="143" t="n"/>
      <c r="E36" s="143" t="n"/>
      <c r="F36" s="143" t="n"/>
      <c r="G36" s="143" t="n"/>
      <c r="H36" s="143" t="n"/>
    </row>
    <row r="37" ht="14.4" customHeight="1" s="135">
      <c r="B37" s="143" t="n"/>
      <c r="C37" s="143" t="n"/>
      <c r="D37" s="143" t="n"/>
      <c r="E37" s="143" t="n"/>
      <c r="F37" s="143" t="n"/>
      <c r="G37" s="143" t="n"/>
      <c r="H37" s="143" t="n"/>
    </row>
  </sheetData>
  <mergeCells count="2">
    <mergeCell ref="A2:G2"/>
    <mergeCell ref="A1:G1"/>
  </mergeCells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Sheet5">
    <outlinePr summaryBelow="1" summaryRight="1"/>
    <pageSetUpPr fitToPage="1"/>
  </sheetPr>
  <dimension ref="A1:H38"/>
  <sheetViews>
    <sheetView showGridLines="0" zoomScaleNormal="100" workbookViewId="0">
      <selection activeCell="A2" sqref="A2:G2"/>
    </sheetView>
  </sheetViews>
  <sheetFormatPr baseColWidth="8" defaultRowHeight="13.8"/>
  <cols>
    <col width="46.21875" customWidth="1" style="139" min="1" max="1"/>
    <col width="12" bestFit="1" customWidth="1" style="139" min="2" max="3"/>
    <col width="13.33203125" bestFit="1" customWidth="1" style="139" min="4" max="4"/>
    <col width="13.109375" bestFit="1" customWidth="1" style="139" min="5" max="5"/>
    <col width="12.6640625" customWidth="1" style="139" min="6" max="6"/>
    <col width="12.33203125" bestFit="1" customWidth="1" style="139" min="7" max="7"/>
    <col width="8.88671875" customWidth="1" style="139" min="8" max="9"/>
    <col width="8.88671875" customWidth="1" style="139" min="10" max="16384"/>
  </cols>
  <sheetData>
    <row r="1" ht="14.4" customHeight="1" s="135">
      <c r="A1" s="138">
        <f>Summary!B1</f>
        <v/>
      </c>
      <c r="H1" s="36" t="n"/>
    </row>
    <row r="2" ht="15.6" customHeight="1" s="135">
      <c r="A2" s="140" t="inlineStr">
        <is>
          <t>Zomato Discrepancies  - January - 2026</t>
        </is>
      </c>
      <c r="H2" s="143" t="n"/>
    </row>
    <row r="3" ht="15" customHeight="1" s="135" thickBot="1">
      <c r="A3" s="143" t="n"/>
      <c r="B3" s="143" t="n"/>
      <c r="C3" s="143" t="n"/>
      <c r="D3" s="143" t="n"/>
      <c r="E3" s="143" t="n"/>
      <c r="F3" s="143" t="n"/>
      <c r="G3" s="143" t="n"/>
      <c r="H3" s="143" t="n"/>
    </row>
    <row r="4" ht="15" customHeight="1" s="135" thickBot="1">
      <c r="A4" s="57" t="inlineStr">
        <is>
          <t>Details</t>
        </is>
      </c>
      <c r="B4" s="161">
        <f>Summary!C4</f>
        <v/>
      </c>
      <c r="C4" s="161">
        <f>Summary!D4</f>
        <v/>
      </c>
      <c r="D4" s="161">
        <f>Summary!E4</f>
        <v/>
      </c>
      <c r="E4" s="161">
        <f>Summary!F4</f>
        <v/>
      </c>
      <c r="F4" s="161">
        <f>Summary!G4</f>
        <v/>
      </c>
      <c r="G4" s="161">
        <f>Summary!H4</f>
        <v/>
      </c>
      <c r="H4" s="37" t="n"/>
    </row>
    <row r="5" ht="14.4" customHeight="1" s="135">
      <c r="A5" s="48" t="inlineStr">
        <is>
          <t>A. POS discrepancies</t>
        </is>
      </c>
      <c r="B5" s="38" t="n"/>
      <c r="C5" s="38" t="n"/>
      <c r="D5" s="38" t="n"/>
      <c r="E5" s="38" t="n"/>
      <c r="F5" s="38" t="n"/>
      <c r="G5" s="38" t="n"/>
      <c r="H5" s="143" t="n"/>
    </row>
    <row r="6" ht="14.4" customHeight="1" s="135">
      <c r="A6" s="38" t="inlineStr">
        <is>
          <t>Sales as per Zomato</t>
        </is>
      </c>
      <c r="B6" s="86">
        <f>Cashflow!C10</f>
        <v/>
      </c>
      <c r="C6" s="86">
        <f>Cashflow!D10</f>
        <v/>
      </c>
      <c r="D6" s="86">
        <f>Cashflow!E10</f>
        <v/>
      </c>
      <c r="E6" s="86">
        <f>Cashflow!F10</f>
        <v/>
      </c>
      <c r="F6" s="86">
        <f>Cashflow!G10</f>
        <v/>
      </c>
      <c r="G6" s="86">
        <f>SUM(B6:F6)</f>
        <v/>
      </c>
      <c r="H6" s="143" t="n"/>
    </row>
    <row r="7" ht="14.4" customHeight="1" s="135">
      <c r="A7" s="38" t="inlineStr">
        <is>
          <t>Sale as per POS</t>
        </is>
      </c>
      <c r="B7" s="86" t="n"/>
      <c r="C7" s="86" t="n"/>
      <c r="D7" s="86" t="n"/>
      <c r="E7" s="86" t="n"/>
      <c r="F7" s="86" t="n"/>
      <c r="G7" s="86">
        <f>SUM(B7:F7)</f>
        <v/>
      </c>
      <c r="H7" s="143" t="n"/>
    </row>
    <row r="8" ht="14.4" customHeight="1" s="135">
      <c r="A8" s="47" t="inlineStr">
        <is>
          <t>Difference</t>
        </is>
      </c>
      <c r="B8" s="87">
        <f>B7-B6</f>
        <v/>
      </c>
      <c r="C8" s="87">
        <f>C7-C6</f>
        <v/>
      </c>
      <c r="D8" s="87">
        <f>D7-D6</f>
        <v/>
      </c>
      <c r="E8" s="87">
        <f>E7-E6</f>
        <v/>
      </c>
      <c r="F8" s="87">
        <f>F7-F6</f>
        <v/>
      </c>
      <c r="G8" s="87">
        <f>G7-G6</f>
        <v/>
      </c>
      <c r="H8" s="143" t="n"/>
    </row>
    <row r="9" ht="14.4" customHeight="1" s="135">
      <c r="A9" s="38" t="n"/>
      <c r="B9" s="39">
        <f>IFERROR(B8/B6,)</f>
        <v/>
      </c>
      <c r="C9" s="39">
        <f>IFERROR(C8/C6,0)</f>
        <v/>
      </c>
      <c r="D9" s="39">
        <f>IFERROR(D8/D6,0)</f>
        <v/>
      </c>
      <c r="E9" s="39">
        <f>IFERROR(E8/E6,0)</f>
        <v/>
      </c>
      <c r="F9" s="39">
        <f>IFERROR(F8/F6,0)</f>
        <v/>
      </c>
      <c r="G9" s="39">
        <f>IFERROR(G8/G6,0)</f>
        <v/>
      </c>
      <c r="H9" s="143" t="n"/>
    </row>
    <row r="10" ht="14.4" customHeight="1" s="135">
      <c r="A10" s="38" t="n"/>
      <c r="B10" s="40" t="n"/>
      <c r="C10" s="40" t="n"/>
      <c r="D10" s="40" t="n"/>
      <c r="E10" s="40" t="n"/>
      <c r="F10" s="40" t="n"/>
      <c r="G10" s="40" t="n"/>
      <c r="H10" s="143" t="n"/>
    </row>
    <row r="11" ht="14.4" customHeight="1" s="135">
      <c r="A11" s="48" t="inlineStr">
        <is>
          <t>B. Order discrepancies</t>
        </is>
      </c>
      <c r="B11" s="162" t="n"/>
      <c r="C11" s="162" t="n"/>
      <c r="D11" s="162" t="n"/>
      <c r="E11" s="162" t="n"/>
      <c r="F11" s="162" t="n"/>
      <c r="G11" s="162" t="n"/>
      <c r="H11" s="143" t="n"/>
    </row>
    <row r="12" ht="14.4" customHeight="1" s="135">
      <c r="A12" s="38" t="inlineStr">
        <is>
          <t>No.of delivered orders for which payment isn't received</t>
        </is>
      </c>
      <c r="B12" s="86" t="n">
        <v>0</v>
      </c>
      <c r="C12" s="86" t="n">
        <v>0</v>
      </c>
      <c r="D12" s="86" t="n">
        <v>0</v>
      </c>
      <c r="E12" s="86" t="n">
        <v>0</v>
      </c>
      <c r="F12" s="86" t="n">
        <v>0</v>
      </c>
      <c r="G12" s="86">
        <f>SUM(B12:F12)</f>
        <v/>
      </c>
      <c r="H12" s="143" t="n"/>
    </row>
    <row r="13" ht="14.4" customHeight="1" s="135">
      <c r="A13" s="38" t="inlineStr">
        <is>
          <t>Value of such orders</t>
        </is>
      </c>
      <c r="B13" s="86" t="n">
        <v>0</v>
      </c>
      <c r="C13" s="86" t="n">
        <v>0</v>
      </c>
      <c r="D13" s="86" t="n">
        <v>0</v>
      </c>
      <c r="E13" s="86" t="n">
        <v>0</v>
      </c>
      <c r="F13" s="86" t="n">
        <v>0</v>
      </c>
      <c r="G13" s="86">
        <f>SUM(B13:F13)</f>
        <v/>
      </c>
      <c r="H13" s="143" t="n"/>
    </row>
    <row r="14" ht="14.4" customHeight="1" s="135">
      <c r="A14" s="38" t="n"/>
      <c r="B14" s="86" t="n"/>
      <c r="C14" s="86" t="n"/>
      <c r="D14" s="86" t="n"/>
      <c r="E14" s="86" t="n"/>
      <c r="F14" s="86" t="n"/>
      <c r="G14" s="86" t="n"/>
      <c r="H14" s="143" t="n"/>
    </row>
    <row r="15" ht="14.4" customHeight="1" s="135">
      <c r="A15" s="38" t="n"/>
      <c r="B15" s="62" t="n"/>
      <c r="C15" s="62" t="n"/>
      <c r="D15" s="62" t="n"/>
      <c r="E15" s="62" t="n"/>
      <c r="F15" s="62" t="n"/>
      <c r="G15" s="62" t="n"/>
      <c r="H15" s="143" t="n"/>
    </row>
    <row r="16" ht="14.4" customHeight="1" s="135">
      <c r="A16" s="48" t="inlineStr">
        <is>
          <t>C. Payment discrepancies</t>
        </is>
      </c>
      <c r="B16" s="62" t="n"/>
      <c r="C16" s="62" t="n"/>
      <c r="D16" s="62" t="n"/>
      <c r="E16" s="62" t="n"/>
      <c r="F16" s="62" t="n"/>
      <c r="G16" s="62" t="n"/>
      <c r="H16" s="143" t="n"/>
    </row>
    <row r="17" ht="14.4" customHeight="1" s="135">
      <c r="A17" s="38" t="inlineStr">
        <is>
          <t>Expected receipts in the bank account</t>
        </is>
      </c>
      <c r="B17" s="86">
        <f>Cashflow!C30</f>
        <v/>
      </c>
      <c r="C17" s="86">
        <f>Cashflow!D30</f>
        <v/>
      </c>
      <c r="D17" s="86">
        <f>Cashflow!E30</f>
        <v/>
      </c>
      <c r="E17" s="86">
        <f>Cashflow!F30</f>
        <v/>
      </c>
      <c r="F17" s="86">
        <f>Cashflow!G30</f>
        <v/>
      </c>
      <c r="G17" s="86">
        <f>SUM(B17:F17)</f>
        <v/>
      </c>
      <c r="H17" s="143" t="n"/>
    </row>
    <row r="18" ht="14.4" customHeight="1" s="135">
      <c r="A18" s="38" t="inlineStr">
        <is>
          <t>Investment in Hyperpure</t>
        </is>
      </c>
      <c r="B18" s="86">
        <f>Cashflow!C36</f>
        <v/>
      </c>
      <c r="C18" s="86">
        <f>Cashflow!D36</f>
        <v/>
      </c>
      <c r="D18" s="86">
        <f>Cashflow!E36</f>
        <v/>
      </c>
      <c r="E18" s="86">
        <f>Cashflow!F36</f>
        <v/>
      </c>
      <c r="F18" s="86">
        <f>Cashflow!G36</f>
        <v/>
      </c>
      <c r="G18" s="86">
        <f>SUM(B18:F18)</f>
        <v/>
      </c>
      <c r="H18" s="143" t="n"/>
    </row>
    <row r="19" ht="14.4" customHeight="1" s="135">
      <c r="A19" s="38" t="inlineStr">
        <is>
          <t>Following Week Adjustment</t>
        </is>
      </c>
      <c r="B19" s="86">
        <f>Cashflow!C34</f>
        <v/>
      </c>
      <c r="C19" s="86">
        <f>Cashflow!D34</f>
        <v/>
      </c>
      <c r="D19" s="86">
        <f>Cashflow!E34</f>
        <v/>
      </c>
      <c r="E19" s="86">
        <f>Cashflow!F34</f>
        <v/>
      </c>
      <c r="F19" s="86">
        <f>Cashflow!G34</f>
        <v/>
      </c>
      <c r="G19" s="86">
        <f>SUM(B19:F19)</f>
        <v/>
      </c>
      <c r="H19" s="143" t="n"/>
    </row>
    <row r="20" ht="14.4" customHeight="1" s="135">
      <c r="A20" s="38" t="inlineStr">
        <is>
          <t>Opening Week Adjustment</t>
        </is>
      </c>
      <c r="B20" s="86">
        <f>Cashflow!C33</f>
        <v/>
      </c>
      <c r="C20" s="86">
        <f>Cashflow!D33</f>
        <v/>
      </c>
      <c r="D20" s="86">
        <f>Cashflow!E33</f>
        <v/>
      </c>
      <c r="E20" s="86">
        <f>Cashflow!F33</f>
        <v/>
      </c>
      <c r="F20" s="86" t="n">
        <v>0</v>
      </c>
      <c r="G20" s="86">
        <f>SUM(B20:F20)</f>
        <v/>
      </c>
      <c r="H20" s="143" t="n"/>
    </row>
    <row r="21" ht="14.4" customHeight="1" s="135">
      <c r="A21" s="38" t="inlineStr">
        <is>
          <t>Closing Week Adjustment</t>
        </is>
      </c>
      <c r="B21" s="86">
        <f>Cashflow!C35</f>
        <v/>
      </c>
      <c r="C21" s="86">
        <f>Cashflow!D35</f>
        <v/>
      </c>
      <c r="D21" s="86">
        <f>Cashflow!E35</f>
        <v/>
      </c>
      <c r="E21" s="86">
        <f>Cashflow!F35</f>
        <v/>
      </c>
      <c r="F21" s="86">
        <f>Cashflow!G35</f>
        <v/>
      </c>
      <c r="G21" s="86">
        <f>SUM(B21:F21)</f>
        <v/>
      </c>
      <c r="H21" s="143" t="n"/>
    </row>
    <row r="22" ht="17.4" customHeight="1" s="135">
      <c r="A22" s="38" t="inlineStr">
        <is>
          <t>Actual receipts in the bank</t>
        </is>
      </c>
      <c r="B22" s="86">
        <f>Cashflow!C38</f>
        <v/>
      </c>
      <c r="C22" s="86">
        <f>Cashflow!D38</f>
        <v/>
      </c>
      <c r="D22" s="86">
        <f>Cashflow!E38</f>
        <v/>
      </c>
      <c r="E22" s="86">
        <f>Cashflow!F38</f>
        <v/>
      </c>
      <c r="F22" s="86">
        <f>Cashflow!G38</f>
        <v/>
      </c>
      <c r="G22" s="86">
        <f>SUM(B22:F22)</f>
        <v/>
      </c>
      <c r="H22" s="143" t="n"/>
    </row>
    <row r="23" ht="19.2" customHeight="1" s="135" thickBot="1">
      <c r="A23" s="58" t="inlineStr">
        <is>
          <t>Difference</t>
        </is>
      </c>
      <c r="B23" s="41">
        <f>B17-B22-B18+B20</f>
        <v/>
      </c>
      <c r="C23" s="41">
        <f>C17-C22-C18</f>
        <v/>
      </c>
      <c r="D23" s="41">
        <f>D17-D22-D18</f>
        <v/>
      </c>
      <c r="E23" s="41">
        <f>E17-E22-E18-E19</f>
        <v/>
      </c>
      <c r="F23" s="41">
        <f>F17-F22-F18+F21</f>
        <v/>
      </c>
      <c r="G23" s="41">
        <f>G17-G22-G18+G20-G19</f>
        <v/>
      </c>
      <c r="H23" s="143" t="n"/>
    </row>
    <row r="24" ht="14.4" customHeight="1" s="135">
      <c r="A24" s="143" t="n"/>
      <c r="B24" s="143" t="n"/>
      <c r="C24" s="143" t="n"/>
      <c r="D24" s="143" t="n"/>
      <c r="E24" s="143" t="n"/>
      <c r="F24" s="143" t="n"/>
      <c r="G24" s="143" t="n"/>
      <c r="H24" s="143" t="n"/>
    </row>
    <row r="25" ht="14.4" customHeight="1" s="135">
      <c r="A25" s="12" t="inlineStr">
        <is>
          <t>Note:</t>
        </is>
      </c>
      <c r="B25" s="143" t="n"/>
      <c r="C25" s="143" t="n"/>
      <c r="D25" s="143" t="n"/>
      <c r="E25" s="143" t="n"/>
      <c r="F25" s="143" t="n"/>
      <c r="G25" s="143" t="n"/>
      <c r="H25" s="143" t="n"/>
    </row>
    <row r="26" ht="14.4" customHeight="1" s="135">
      <c r="A26" s="143" t="n"/>
      <c r="B26" s="143" t="n"/>
      <c r="C26" s="143" t="n"/>
      <c r="D26" s="143" t="n"/>
      <c r="E26" s="143" t="n"/>
      <c r="F26" s="143" t="n"/>
      <c r="G26" s="143" t="n"/>
      <c r="H26" s="143" t="n"/>
    </row>
    <row r="27" ht="14.4" customHeight="1" s="135">
      <c r="A27" s="143" t="n"/>
      <c r="B27" s="143" t="n"/>
      <c r="C27" s="143" t="n"/>
      <c r="D27" s="143" t="n"/>
      <c r="E27" s="143" t="n"/>
      <c r="F27" s="143" t="n"/>
      <c r="G27" s="143" t="n"/>
      <c r="H27" s="143" t="n"/>
    </row>
    <row r="28" ht="8.4" customHeight="1" s="135">
      <c r="B28" s="143" t="n"/>
      <c r="C28" s="143" t="n"/>
      <c r="D28" s="143" t="n"/>
      <c r="E28" s="143" t="n"/>
      <c r="F28" s="143" t="n"/>
      <c r="G28" s="143" t="n"/>
      <c r="H28" s="143" t="n"/>
    </row>
    <row r="29" ht="15" customHeight="1" s="135">
      <c r="B29" s="143" t="n"/>
      <c r="C29" s="143" t="n"/>
      <c r="D29" s="143" t="n"/>
      <c r="E29" s="143" t="n"/>
      <c r="F29" s="143" t="n"/>
      <c r="G29" s="143" t="n"/>
      <c r="H29" s="143" t="n"/>
    </row>
    <row r="30" ht="15.6" customHeight="1" s="135">
      <c r="B30" s="143" t="n"/>
      <c r="C30" s="143" t="n"/>
      <c r="D30" s="143" t="n"/>
      <c r="E30" s="143" t="n"/>
      <c r="F30" s="143" t="n"/>
      <c r="G30" s="143" t="n"/>
      <c r="H30" s="143" t="n"/>
    </row>
    <row r="31" ht="14.4" customHeight="1" s="135">
      <c r="B31" s="143" t="n"/>
      <c r="C31" s="143" t="n"/>
      <c r="D31" s="143" t="n"/>
      <c r="E31" s="143" t="n"/>
      <c r="F31" s="143" t="n"/>
      <c r="G31" s="143" t="n"/>
      <c r="H31" s="143" t="n"/>
    </row>
    <row r="32" ht="14.4" customHeight="1" s="135">
      <c r="B32" s="143" t="n"/>
      <c r="C32" s="143" t="n"/>
      <c r="D32" s="143" t="n"/>
      <c r="E32" s="143" t="n"/>
      <c r="F32" s="143" t="n"/>
      <c r="G32" s="143" t="n"/>
      <c r="H32" s="143" t="n"/>
    </row>
    <row r="33" ht="14.4" customHeight="1" s="135">
      <c r="B33" s="143" t="n"/>
      <c r="C33" s="143" t="n"/>
      <c r="D33" s="143" t="n"/>
      <c r="E33" s="143" t="n"/>
      <c r="F33" s="143" t="n"/>
      <c r="G33" s="143" t="n"/>
      <c r="H33" s="143" t="n"/>
    </row>
    <row r="34" ht="14.4" customHeight="1" s="135">
      <c r="B34" s="143" t="n"/>
      <c r="C34" s="143" t="n"/>
      <c r="D34" s="143" t="n"/>
      <c r="E34" s="143" t="n"/>
      <c r="F34" s="143" t="n"/>
      <c r="G34" s="143" t="n"/>
      <c r="H34" s="143" t="n"/>
    </row>
    <row r="35" ht="14.4" customHeight="1" s="135">
      <c r="B35" s="143" t="n"/>
      <c r="C35" s="143" t="n"/>
      <c r="D35" s="143" t="n"/>
      <c r="E35" s="143" t="n"/>
      <c r="F35" s="143" t="n"/>
      <c r="G35" s="143" t="n"/>
      <c r="H35" s="143" t="n"/>
    </row>
    <row r="36" ht="14.4" customHeight="1" s="135">
      <c r="B36" s="143" t="n"/>
      <c r="C36" s="143" t="n"/>
      <c r="D36" s="143" t="n"/>
      <c r="E36" s="143" t="n"/>
      <c r="F36" s="143" t="n"/>
      <c r="G36" s="143" t="n"/>
      <c r="H36" s="143" t="n"/>
    </row>
    <row r="37" ht="14.4" customHeight="1" s="135">
      <c r="B37" s="143" t="n"/>
      <c r="C37" s="143" t="n"/>
      <c r="D37" s="143" t="n"/>
      <c r="E37" s="143" t="n"/>
      <c r="F37" s="143" t="n"/>
      <c r="G37" s="143" t="n"/>
      <c r="H37" s="143" t="n"/>
    </row>
    <row r="38" ht="14.4" customHeight="1" s="135">
      <c r="B38" s="143" t="n"/>
      <c r="C38" s="143" t="n"/>
      <c r="D38" s="143" t="n"/>
      <c r="E38" s="143" t="n"/>
      <c r="F38" s="143" t="n"/>
      <c r="G38" s="143" t="n"/>
      <c r="H38" s="143" t="n"/>
    </row>
  </sheetData>
  <mergeCells count="2">
    <mergeCell ref="A2:G2"/>
    <mergeCell ref="A1:G1"/>
  </mergeCells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Sheet10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cols>
    <col width="8.88671875" customWidth="1" style="135" min="2" max="2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9" filterMode="1">
    <outlinePr summaryBelow="1" summaryRight="1"/>
    <pageSetUpPr/>
  </sheetPr>
  <dimension ref="A5:G178"/>
  <sheetViews>
    <sheetView workbookViewId="0">
      <selection activeCell="D96" sqref="D96"/>
    </sheetView>
  </sheetViews>
  <sheetFormatPr baseColWidth="8" defaultRowHeight="14.4"/>
  <cols>
    <col width="10.33203125" bestFit="1" customWidth="1" style="135" min="1" max="1"/>
    <col width="12.21875" customWidth="1" style="135" min="6" max="6"/>
  </cols>
  <sheetData>
    <row r="5">
      <c r="B5" t="n">
        <v>1</v>
      </c>
      <c r="C5" t="n">
        <v>2</v>
      </c>
      <c r="D5" t="n">
        <v>3</v>
      </c>
      <c r="E5" t="n">
        <v>4</v>
      </c>
      <c r="F5" t="n">
        <v>5</v>
      </c>
    </row>
    <row r="10">
      <c r="A10" t="inlineStr">
        <is>
          <t>Date</t>
        </is>
      </c>
      <c r="B10" t="inlineStr">
        <is>
          <t>Narration</t>
        </is>
      </c>
      <c r="C10" t="inlineStr">
        <is>
          <t>Chq./Ref.No.</t>
        </is>
      </c>
      <c r="D10" t="inlineStr">
        <is>
          <t>Value Dt</t>
        </is>
      </c>
      <c r="E10" t="inlineStr">
        <is>
          <t>Withdrawal Amt.</t>
        </is>
      </c>
      <c r="F10" t="inlineStr">
        <is>
          <t>Deposit Amt.</t>
        </is>
      </c>
      <c r="G10" t="inlineStr">
        <is>
          <t>Closing Balance</t>
        </is>
      </c>
    </row>
    <row r="11" hidden="1" s="135">
      <c r="A11" t="inlineStr">
        <is>
          <t>01/10/25</t>
        </is>
      </c>
      <c r="B11" t="inlineStr">
        <is>
          <t>NEFT CR-YESB0000001-ONE 97 COMMUNICATIONS LIMITED SETTL-ROCKTAIL HOSPITALITY SERVICES-YESBN12025100101816795</t>
        </is>
      </c>
      <c r="C11" t="inlineStr">
        <is>
          <t>YESBN12025100101816795</t>
        </is>
      </c>
      <c r="D11" t="inlineStr">
        <is>
          <t>01/10/25</t>
        </is>
      </c>
      <c r="F11" t="n">
        <v>28308.11</v>
      </c>
      <c r="G11" t="n">
        <v>369938.81</v>
      </c>
    </row>
    <row r="12" hidden="1" s="135">
      <c r="A12" t="inlineStr">
        <is>
          <t>01/10/25</t>
        </is>
      </c>
      <c r="B12" t="inlineStr">
        <is>
          <t>NEFT CR-RATN0000999-PINE LABS LIMITED-ROCKTAIL HOSPITALITY SERVICES-RATNN52025100142548753</t>
        </is>
      </c>
      <c r="C12" t="inlineStr">
        <is>
          <t>RATNN52025100142548753</t>
        </is>
      </c>
      <c r="D12" t="inlineStr">
        <is>
          <t>01/10/25</t>
        </is>
      </c>
      <c r="F12" t="n">
        <v>988.02</v>
      </c>
      <c r="G12" t="n">
        <v>370926.83</v>
      </c>
    </row>
    <row r="13" hidden="1" s="135">
      <c r="A13" t="inlineStr">
        <is>
          <t>01/10/25</t>
        </is>
      </c>
      <c r="B13" t="inlineStr">
        <is>
          <t>42552394TERMINAL 1 CARDS SETTL. 01/10/25</t>
        </is>
      </c>
      <c r="C13" t="inlineStr">
        <is>
          <t>000000000000000</t>
        </is>
      </c>
      <c r="D13" t="inlineStr">
        <is>
          <t>01/10/25</t>
        </is>
      </c>
      <c r="F13" t="n">
        <v>4135.06</v>
      </c>
      <c r="G13" t="n">
        <v>375061.89</v>
      </c>
    </row>
    <row r="14" hidden="1" s="135">
      <c r="A14" t="inlineStr">
        <is>
          <t>01/10/25</t>
        </is>
      </c>
      <c r="B14" t="inlineStr">
        <is>
          <t>UPI-8978287178PTYES-8978287178@PTYES-UBIN0813567-564035906635-UPI</t>
        </is>
      </c>
      <c r="C14" t="inlineStr">
        <is>
          <t>0000564035906635</t>
        </is>
      </c>
      <c r="D14" t="inlineStr">
        <is>
          <t>01/10/25</t>
        </is>
      </c>
      <c r="E14" t="n">
        <v>165</v>
      </c>
      <c r="G14" t="n">
        <v>374896.89</v>
      </c>
    </row>
    <row r="15" hidden="1" s="135">
      <c r="A15" t="inlineStr">
        <is>
          <t>01/10/25</t>
        </is>
      </c>
      <c r="B15" t="inlineStr">
        <is>
          <t>50200069817641-TPT-NBLCVTK6KLDPDJXS-WOLFFPACK VENTURES PRIVATE LIMITED</t>
        </is>
      </c>
      <c r="C15" t="inlineStr">
        <is>
          <t>0000000223256296</t>
        </is>
      </c>
      <c r="D15" t="inlineStr">
        <is>
          <t>01/10/25</t>
        </is>
      </c>
      <c r="F15" t="n">
        <v>200000</v>
      </c>
      <c r="G15" t="n">
        <v>574896.89</v>
      </c>
    </row>
    <row r="16" hidden="1" s="135">
      <c r="A16" t="inlineStr">
        <is>
          <t>01/10/25</t>
        </is>
      </c>
      <c r="B16" t="inlineStr">
        <is>
          <t>VENDOR PAYMENTS - ROCKTAIL HOSPITALITY DR - 57500000326520 - NEFT TRANSITORY ACCOUNT</t>
        </is>
      </c>
      <c r="C16" t="inlineStr">
        <is>
          <t>0000000000000188</t>
        </is>
      </c>
      <c r="D16" t="inlineStr">
        <is>
          <t>01/10/25</t>
        </is>
      </c>
      <c r="E16" t="n">
        <v>390734</v>
      </c>
      <c r="G16" t="n">
        <v>184162.89</v>
      </c>
    </row>
    <row r="17" hidden="1" s="135">
      <c r="A17" t="inlineStr">
        <is>
          <t>01/10/25</t>
        </is>
      </c>
      <c r="B17" t="inlineStr">
        <is>
          <t>UPI-SHREY SINGH-SHREYSINGH0501-1@OKHDFCBANK-HDFC0004216-564012927870-REGISTRATION</t>
        </is>
      </c>
      <c r="C17" t="inlineStr">
        <is>
          <t>0000564012927870</t>
        </is>
      </c>
      <c r="D17" t="inlineStr">
        <is>
          <t>01/10/25</t>
        </is>
      </c>
      <c r="E17" t="n">
        <v>8700</v>
      </c>
      <c r="G17" t="n">
        <v>175462.89</v>
      </c>
    </row>
    <row r="18" hidden="1" s="135">
      <c r="A18" t="inlineStr">
        <is>
          <t>01/10/25</t>
        </is>
      </c>
      <c r="B18" t="inlineStr">
        <is>
          <t>NEFT RETURN-INCORRECT ACCOUNT NUMBER-LAXMI AGENCIES-IBKLN92025100194760959</t>
        </is>
      </c>
      <c r="C18" t="inlineStr">
        <is>
          <t>HDFCN52025100104276617</t>
        </is>
      </c>
      <c r="D18" t="inlineStr">
        <is>
          <t>01/10/25</t>
        </is>
      </c>
      <c r="F18" t="n">
        <v>8322</v>
      </c>
      <c r="G18" t="n">
        <v>183784.89</v>
      </c>
    </row>
    <row r="19" hidden="1" s="135">
      <c r="A19" t="inlineStr">
        <is>
          <t>01/10/25</t>
        </is>
      </c>
      <c r="B19" t="inlineStr">
        <is>
          <t>NEFT RETURN-INCORRECT ACCOUNT NUMBER-LAXMI AGENCIES-IBKLN92025100194760962</t>
        </is>
      </c>
      <c r="C19" t="inlineStr">
        <is>
          <t>HDFCN52025100104276606</t>
        </is>
      </c>
      <c r="D19" t="inlineStr">
        <is>
          <t>01/10/25</t>
        </is>
      </c>
      <c r="F19" t="n">
        <v>8316</v>
      </c>
      <c r="G19" t="n">
        <v>192100.89</v>
      </c>
    </row>
    <row r="20">
      <c r="A20" t="inlineStr">
        <is>
          <t>01/10/25</t>
        </is>
      </c>
      <c r="B20" t="inlineStr">
        <is>
          <t>NEFT CR-CITI0000002-ETERNAL LIMITED-ROCKTAIL HOSPITALITY SERVICES-CITIN52025100134584901</t>
        </is>
      </c>
      <c r="C20" t="inlineStr">
        <is>
          <t>CITIN52025100134584901</t>
        </is>
      </c>
      <c r="D20" t="inlineStr">
        <is>
          <t>01/10/25</t>
        </is>
      </c>
      <c r="F20" t="n">
        <v>22470.51</v>
      </c>
      <c r="G20" t="n">
        <v>214571.4</v>
      </c>
    </row>
    <row r="21" hidden="1" s="135">
      <c r="A21" t="inlineStr">
        <is>
          <t>01/10/25</t>
        </is>
      </c>
      <c r="B21" t="inlineStr">
        <is>
          <t>NEFT CR-UTIB0000052-BUNDL TECHNOLOGIES PRIVATE LIMITED-ROCKTAIL HOSPITALITY SERVICES-UTIBN62025100172850989</t>
        </is>
      </c>
      <c r="C21" t="inlineStr">
        <is>
          <t>UTIBN62025100172850989</t>
        </is>
      </c>
      <c r="D21" t="inlineStr">
        <is>
          <t>01/10/25</t>
        </is>
      </c>
      <c r="F21" t="n">
        <v>28624.05</v>
      </c>
      <c r="G21" t="n">
        <v>243195.45</v>
      </c>
    </row>
    <row r="22" hidden="1" s="135">
      <c r="A22" t="inlineStr">
        <is>
          <t>01/10/25</t>
        </is>
      </c>
      <c r="B22" t="inlineStr">
        <is>
          <t>FT - DR - 50200086201346 - SRI CHAKRA ENTERPRISES</t>
        </is>
      </c>
      <c r="C22" t="inlineStr">
        <is>
          <t>0000000000000187</t>
        </is>
      </c>
      <c r="D22" t="inlineStr">
        <is>
          <t>01/10/25</t>
        </is>
      </c>
      <c r="E22" t="n">
        <v>68400</v>
      </c>
      <c r="G22" t="n">
        <v>174795.45</v>
      </c>
    </row>
    <row r="23" hidden="1" s="135">
      <c r="A23" t="inlineStr">
        <is>
          <t>01/10/25</t>
        </is>
      </c>
      <c r="B23" t="inlineStr">
        <is>
          <t>CQ NO-000187 AMOUNT-100323 TRANSFERS 4 DR - 50200088485779 - NSP ENTERPRISES</t>
        </is>
      </c>
      <c r="C23" t="inlineStr">
        <is>
          <t>000000000000000</t>
        </is>
      </c>
      <c r="D23" t="inlineStr">
        <is>
          <t>01/10/25</t>
        </is>
      </c>
      <c r="E23" t="n">
        <v>12843</v>
      </c>
      <c r="G23" t="n">
        <v>161952.45</v>
      </c>
    </row>
    <row r="24" hidden="1" s="135">
      <c r="A24" t="inlineStr">
        <is>
          <t>01/10/25</t>
        </is>
      </c>
      <c r="B24" t="inlineStr">
        <is>
          <t>CQ NO-000187 AMOUNT-100323 TRANSFERS 4 DR - 50200082063860 - AAMODHA ENTERPRISES</t>
        </is>
      </c>
      <c r="C24" t="inlineStr">
        <is>
          <t>000000000000000</t>
        </is>
      </c>
      <c r="D24" t="inlineStr">
        <is>
          <t>01/10/25</t>
        </is>
      </c>
      <c r="E24" t="n">
        <v>16560</v>
      </c>
      <c r="G24" t="n">
        <v>145392.45</v>
      </c>
    </row>
    <row r="25" hidden="1" s="135">
      <c r="A25" t="inlineStr">
        <is>
          <t>01/10/25</t>
        </is>
      </c>
      <c r="B25" t="inlineStr">
        <is>
          <t>CQ NO-000187 AMOUNT-100323 TRANSFERS 4 DR - 50200034371828 - SRIHITHA DISTRIBUTORS</t>
        </is>
      </c>
      <c r="C25" t="inlineStr">
        <is>
          <t>000000000000000</t>
        </is>
      </c>
      <c r="D25" t="inlineStr">
        <is>
          <t>01/10/25</t>
        </is>
      </c>
      <c r="E25" t="n">
        <v>2520</v>
      </c>
      <c r="G25" t="n">
        <v>142872.45</v>
      </c>
    </row>
    <row r="26" hidden="1" s="135">
      <c r="A26" t="inlineStr">
        <is>
          <t>01/10/25</t>
        </is>
      </c>
      <c r="B26" t="inlineStr">
        <is>
          <t>UPI-SRI LAXMI CHENNAKESA-Q560982817@YBL-YESB0YBLUPI-112039563850-POOJA</t>
        </is>
      </c>
      <c r="C26" t="inlineStr">
        <is>
          <t>0000112039563850</t>
        </is>
      </c>
      <c r="D26" t="inlineStr">
        <is>
          <t>01/10/25</t>
        </is>
      </c>
      <c r="E26" t="n">
        <v>1651</v>
      </c>
      <c r="G26" t="n">
        <v>141221.45</v>
      </c>
    </row>
    <row r="27" hidden="1" s="135">
      <c r="A27" t="inlineStr">
        <is>
          <t>01/10/25</t>
        </is>
      </c>
      <c r="B27" t="inlineStr">
        <is>
          <t>NEFT CR-YESB0000001-SWIGGY LIMITED-ROCKTAIL HOSPITALITY SERVICES-YESBN12025100106534132</t>
        </is>
      </c>
      <c r="C27" t="inlineStr">
        <is>
          <t>YESBN12025100106534132</t>
        </is>
      </c>
      <c r="D27" t="inlineStr">
        <is>
          <t>01/10/25</t>
        </is>
      </c>
      <c r="F27" t="n">
        <v>37494.72</v>
      </c>
      <c r="G27" t="n">
        <v>178716.17</v>
      </c>
    </row>
    <row r="28" hidden="1" s="135">
      <c r="A28" t="inlineStr">
        <is>
          <t>02/10/25</t>
        </is>
      </c>
      <c r="B28" t="inlineStr">
        <is>
          <t>NEFT CR-YESB0000001-ONE 97 COMMUNICATIONS LIMITED SETTL-ROCKTAIL HOSPITALITY SERVICES-YESBN12025100202440556</t>
        </is>
      </c>
      <c r="C28" t="inlineStr">
        <is>
          <t>YESBN12025100202440556</t>
        </is>
      </c>
      <c r="D28" t="inlineStr">
        <is>
          <t>02/10/25</t>
        </is>
      </c>
      <c r="F28" t="n">
        <v>28924.86</v>
      </c>
      <c r="G28" t="n">
        <v>207641.03</v>
      </c>
    </row>
    <row r="29" hidden="1" s="135">
      <c r="A29" t="inlineStr">
        <is>
          <t>02/10/25</t>
        </is>
      </c>
      <c r="B29" t="inlineStr">
        <is>
          <t>42552394TERMINAL 1 CARDS SETTL. 02/10/25</t>
        </is>
      </c>
      <c r="C29" t="inlineStr">
        <is>
          <t>000000000000000</t>
        </is>
      </c>
      <c r="D29" t="inlineStr">
        <is>
          <t>02/10/25</t>
        </is>
      </c>
      <c r="F29" t="n">
        <v>6676.28</v>
      </c>
      <c r="G29" t="n">
        <v>214317.31</v>
      </c>
    </row>
    <row r="30" hidden="1" s="135">
      <c r="A30" t="inlineStr">
        <is>
          <t>03/10/25</t>
        </is>
      </c>
      <c r="B30" t="inlineStr">
        <is>
          <t>NEFT CR-YESB0000001-ONE 97 COMMUNICATIONS LIMITED SETTL-ROCKTAIL HOSPITALITY SERVICES-YESBN12025100302342936</t>
        </is>
      </c>
      <c r="C30" t="inlineStr">
        <is>
          <t>YESBN12025100302342936</t>
        </is>
      </c>
      <c r="D30" t="inlineStr">
        <is>
          <t>03/10/25</t>
        </is>
      </c>
      <c r="F30" t="n">
        <v>38471.91</v>
      </c>
      <c r="G30" t="n">
        <v>252789.22</v>
      </c>
    </row>
    <row r="31" hidden="1" s="135">
      <c r="A31" t="inlineStr">
        <is>
          <t>03/10/25</t>
        </is>
      </c>
      <c r="B31" t="inlineStr">
        <is>
          <t>42552394TERMINAL 1 CARDS SETTL. 03/10/25</t>
        </is>
      </c>
      <c r="C31" t="inlineStr">
        <is>
          <t>000000000000000</t>
        </is>
      </c>
      <c r="D31" t="inlineStr">
        <is>
          <t>03/10/25</t>
        </is>
      </c>
      <c r="F31" t="n">
        <v>13411.99</v>
      </c>
      <c r="G31" t="n">
        <v>266201.21</v>
      </c>
    </row>
    <row r="32" hidden="1" s="135">
      <c r="A32" t="inlineStr">
        <is>
          <t>03/10/25</t>
        </is>
      </c>
      <c r="B32" t="inlineStr">
        <is>
          <t>UPI-BHANWRA  RAM-BHANWARJATCHOUDHARY251@OKSBI-SBIN0011306-564239417166-FURNITURE</t>
        </is>
      </c>
      <c r="C32" t="inlineStr">
        <is>
          <t>0000564239417166</t>
        </is>
      </c>
      <c r="D32" t="inlineStr">
        <is>
          <t>03/10/25</t>
        </is>
      </c>
      <c r="E32" t="n">
        <v>35000</v>
      </c>
      <c r="G32" t="n">
        <v>231201.21</v>
      </c>
    </row>
    <row r="33" hidden="1" s="135">
      <c r="A33" t="inlineStr">
        <is>
          <t>03/10/25</t>
        </is>
      </c>
      <c r="B33" t="inlineStr">
        <is>
          <t>NEFT CR-UTIB0000052-BUNDL TECHNOLOGIES PRIVATE LIMITED-ROCKTAIL HOSPITALITY SERVICES-UTIBN62025100395892591</t>
        </is>
      </c>
      <c r="C33" t="inlineStr">
        <is>
          <t>UTIBN62025100395892591</t>
        </is>
      </c>
      <c r="D33" t="inlineStr">
        <is>
          <t>03/10/25</t>
        </is>
      </c>
      <c r="F33" t="n">
        <v>13038.51</v>
      </c>
      <c r="G33" t="n">
        <v>244239.72</v>
      </c>
    </row>
    <row r="34" hidden="1" s="135">
      <c r="A34" t="inlineStr">
        <is>
          <t>04/10/25</t>
        </is>
      </c>
      <c r="B34" t="inlineStr">
        <is>
          <t>NEFT CR-YESB0000001-ONE 97 COMMUNICATIONS LIMITED SETTL-ROCKTAIL HOSPITALITY SERVICES-YESBN12025100403632181</t>
        </is>
      </c>
      <c r="C34" t="inlineStr">
        <is>
          <t>YESBN12025100403632181</t>
        </is>
      </c>
      <c r="D34" t="inlineStr">
        <is>
          <t>04/10/25</t>
        </is>
      </c>
      <c r="F34" t="n">
        <v>53035</v>
      </c>
      <c r="G34" t="n">
        <v>297274.72</v>
      </c>
    </row>
    <row r="35" hidden="1" s="135">
      <c r="A35" t="inlineStr">
        <is>
          <t>04/10/25</t>
        </is>
      </c>
      <c r="B35" t="inlineStr">
        <is>
          <t>42552394TERMINAL 1 CARDS SETTL. 04/10/25</t>
        </is>
      </c>
      <c r="C35" t="inlineStr">
        <is>
          <t>000000000000000</t>
        </is>
      </c>
      <c r="D35" t="inlineStr">
        <is>
          <t>04/10/25</t>
        </is>
      </c>
      <c r="F35" t="n">
        <v>10812.69</v>
      </c>
      <c r="G35" t="n">
        <v>308087.41</v>
      </c>
    </row>
    <row r="36" hidden="1" s="135">
      <c r="A36" t="inlineStr">
        <is>
          <t>04/10/25</t>
        </is>
      </c>
      <c r="B36" t="inlineStr">
        <is>
          <t>UPI-SWIGGY LIMITED-SWIGGY.STORES@AXB-UTIB0000100-527751059928-PAY FOR INTENT</t>
        </is>
      </c>
      <c r="C36" t="inlineStr">
        <is>
          <t>0000527751059928</t>
        </is>
      </c>
      <c r="D36" t="inlineStr">
        <is>
          <t>04/10/25</t>
        </is>
      </c>
      <c r="E36" t="n">
        <v>856</v>
      </c>
      <c r="G36" t="n">
        <v>307231.41</v>
      </c>
    </row>
    <row r="37" hidden="1" s="135">
      <c r="A37" t="inlineStr">
        <is>
          <t>05/10/25</t>
        </is>
      </c>
      <c r="B37" t="inlineStr">
        <is>
          <t>NEFT CR-YESB0000001-ONE 97 COMMUNICATIONS LIMITED SETTL-ROCKTAIL HOSPITALITY SERVICES-YESBN12025100501829191</t>
        </is>
      </c>
      <c r="C37" t="inlineStr">
        <is>
          <t>YESBN12025100501829191</t>
        </is>
      </c>
      <c r="D37" t="inlineStr">
        <is>
          <t>05/10/25</t>
        </is>
      </c>
      <c r="F37" t="n">
        <v>72645.73</v>
      </c>
      <c r="G37" t="n">
        <v>379877.14</v>
      </c>
    </row>
    <row r="38" hidden="1" s="135">
      <c r="A38" t="inlineStr">
        <is>
          <t>05/10/25</t>
        </is>
      </c>
      <c r="B38" t="inlineStr">
        <is>
          <t>42552394TERMINAL 1 CARDS SETTL. 05/10/25</t>
        </is>
      </c>
      <c r="C38" t="inlineStr">
        <is>
          <t>000000000000000</t>
        </is>
      </c>
      <c r="D38" t="inlineStr">
        <is>
          <t>05/10/25</t>
        </is>
      </c>
      <c r="F38" t="n">
        <v>17370.83</v>
      </c>
      <c r="G38" t="n">
        <v>397247.97</v>
      </c>
    </row>
    <row r="39" hidden="1" s="135">
      <c r="A39" t="inlineStr">
        <is>
          <t>05/10/25</t>
        </is>
      </c>
      <c r="B39" t="inlineStr">
        <is>
          <t>SETTLEMENT CHARGE-SEP25-CPY597</t>
        </is>
      </c>
      <c r="C39" t="inlineStr">
        <is>
          <t>000000000000000</t>
        </is>
      </c>
      <c r="D39" t="inlineStr">
        <is>
          <t>05/10/25</t>
        </is>
      </c>
      <c r="E39" t="n">
        <v>37.76</v>
      </c>
      <c r="G39" t="n">
        <v>397210.21</v>
      </c>
    </row>
    <row r="40" hidden="1" s="135">
      <c r="A40" t="inlineStr">
        <is>
          <t>06/10/25</t>
        </is>
      </c>
      <c r="B40" t="inlineStr">
        <is>
          <t>NEFT CR-YESB0000001-ONE 97 COMMUNICATIONS LIMITED SETTL-ROCKTAIL HOSPITALITY SERVICES-YESBN12025100601953902</t>
        </is>
      </c>
      <c r="C40" t="inlineStr">
        <is>
          <t>YESBN12025100601953902</t>
        </is>
      </c>
      <c r="D40" t="inlineStr">
        <is>
          <t>06/10/25</t>
        </is>
      </c>
      <c r="F40" t="n">
        <v>65856.98</v>
      </c>
      <c r="G40" t="n">
        <v>463067.19</v>
      </c>
    </row>
    <row r="41" hidden="1" s="135">
      <c r="A41" t="inlineStr">
        <is>
          <t>06/10/25</t>
        </is>
      </c>
      <c r="B41" t="inlineStr">
        <is>
          <t>EMI 162047443 CHQ S16204744314 1025162047443</t>
        </is>
      </c>
      <c r="C41" t="inlineStr">
        <is>
          <t>000000000000000</t>
        </is>
      </c>
      <c r="D41" t="inlineStr">
        <is>
          <t>06/10/25</t>
        </is>
      </c>
      <c r="E41" t="n">
        <v>70666</v>
      </c>
      <c r="G41" t="n">
        <v>392401.19</v>
      </c>
    </row>
    <row r="42" hidden="1" s="135">
      <c r="A42" t="inlineStr">
        <is>
          <t>06/10/25</t>
        </is>
      </c>
      <c r="B42" t="inlineStr">
        <is>
          <t>42552394TERMINAL 1 CARDS SETTL. 06/10/25</t>
        </is>
      </c>
      <c r="C42" t="inlineStr">
        <is>
          <t>000000000000000</t>
        </is>
      </c>
      <c r="D42" t="inlineStr">
        <is>
          <t>06/10/25</t>
        </is>
      </c>
      <c r="F42" t="n">
        <v>1635.17</v>
      </c>
      <c r="G42" t="n">
        <v>394036.36</v>
      </c>
    </row>
    <row r="43">
      <c r="A43" t="inlineStr">
        <is>
          <t>06/10/25</t>
        </is>
      </c>
      <c r="B43" t="inlineStr">
        <is>
          <t>NEFT CR-CITI0000002-ETERNAL LIMITED-ROCKTAIL HOSPITALITY SERVICES-CITIN52025100636240957</t>
        </is>
      </c>
      <c r="C43" t="inlineStr">
        <is>
          <t>CITIN52025100636240957</t>
        </is>
      </c>
      <c r="D43" t="inlineStr">
        <is>
          <t>06/10/25</t>
        </is>
      </c>
      <c r="F43" t="n">
        <v>61201.16</v>
      </c>
      <c r="G43" t="n">
        <v>455237.52</v>
      </c>
    </row>
    <row r="44" hidden="1" s="135">
      <c r="A44" t="inlineStr">
        <is>
          <t>07/10/25</t>
        </is>
      </c>
      <c r="B44" t="inlineStr">
        <is>
          <t>NEFT CR-YESB0000001-ONE 97 COMMUNICATIONS LIMITED SETTL-ROCKTAIL HOSPITALITY SERVICES-YESBN12025100701113506</t>
        </is>
      </c>
      <c r="C44" t="inlineStr">
        <is>
          <t>YESBN12025100701113506</t>
        </is>
      </c>
      <c r="D44" t="inlineStr">
        <is>
          <t>07/10/25</t>
        </is>
      </c>
      <c r="F44" t="n">
        <v>24613.36</v>
      </c>
      <c r="G44" t="n">
        <v>479850.88</v>
      </c>
    </row>
    <row r="45" hidden="1" s="135">
      <c r="A45" t="inlineStr">
        <is>
          <t>07/10/25</t>
        </is>
      </c>
      <c r="B45" t="inlineStr">
        <is>
          <t>42552394TERMINAL 1 CARDS SETTL. 07/10/25</t>
        </is>
      </c>
      <c r="C45" t="inlineStr">
        <is>
          <t>000000000000000</t>
        </is>
      </c>
      <c r="D45" t="inlineStr">
        <is>
          <t>07/10/25</t>
        </is>
      </c>
      <c r="F45" t="n">
        <v>9641.790000000001</v>
      </c>
      <c r="G45" t="n">
        <v>489492.67</v>
      </c>
    </row>
    <row r="46" hidden="1" s="135">
      <c r="A46" t="inlineStr">
        <is>
          <t>07/10/25</t>
        </is>
      </c>
      <c r="B46" t="inlineStr">
        <is>
          <t>NEFT CR-YESB0000001-SWIGGY LIMITED-ROCKTAIL HOSPITALITY SERVICES-YESBN12025100705709842</t>
        </is>
      </c>
      <c r="C46" t="inlineStr">
        <is>
          <t>YESBN12025100705709842</t>
        </is>
      </c>
      <c r="D46" t="inlineStr">
        <is>
          <t>07/10/25</t>
        </is>
      </c>
      <c r="F46" t="n">
        <v>83057.25999999999</v>
      </c>
      <c r="G46" t="n">
        <v>572549.9300000001</v>
      </c>
    </row>
    <row r="47" hidden="1" s="135">
      <c r="A47" t="inlineStr">
        <is>
          <t>08/10/25</t>
        </is>
      </c>
      <c r="B47" t="inlineStr">
        <is>
          <t>NEFT CR-YESB0000001-ONE 97 COMMUNICATIONS LIMITED SETTL-ROCKTAIL HOSPITALITY SERVICES-YESBN12025100800862936</t>
        </is>
      </c>
      <c r="C47" t="inlineStr">
        <is>
          <t>YESBN12025100800862936</t>
        </is>
      </c>
      <c r="D47" t="inlineStr">
        <is>
          <t>08/10/25</t>
        </is>
      </c>
      <c r="F47" t="n">
        <v>17786</v>
      </c>
      <c r="G47" t="n">
        <v>590335.9300000001</v>
      </c>
    </row>
    <row r="48" hidden="1" s="135">
      <c r="A48" t="inlineStr">
        <is>
          <t>08/10/25</t>
        </is>
      </c>
      <c r="B48" t="inlineStr">
        <is>
          <t>42552394TERMINAL 1 CARDS SETTL. 08/10/25</t>
        </is>
      </c>
      <c r="C48" t="inlineStr">
        <is>
          <t>000000000000000</t>
        </is>
      </c>
      <c r="D48" t="inlineStr">
        <is>
          <t>08/10/25</t>
        </is>
      </c>
      <c r="F48" t="n">
        <v>5938.15</v>
      </c>
      <c r="G48" t="n">
        <v>596274.08</v>
      </c>
    </row>
    <row r="49" hidden="1" s="135">
      <c r="A49" t="inlineStr">
        <is>
          <t>08/10/25</t>
        </is>
      </c>
      <c r="B49" t="inlineStr">
        <is>
          <t>NEFT CR-UTIB0000052-BUNDL TECHNOLOGIES PRIVATE LIMITED-ROCKTAIL HOSPITALITY SERVICES-UTIBN62025100849523664</t>
        </is>
      </c>
      <c r="C49" t="inlineStr">
        <is>
          <t>UTIBN62025100849523664</t>
        </is>
      </c>
      <c r="D49" t="inlineStr">
        <is>
          <t>08/10/25</t>
        </is>
      </c>
      <c r="F49" t="n">
        <v>18504.91</v>
      </c>
      <c r="G49" t="n">
        <v>614778.99</v>
      </c>
    </row>
    <row r="50">
      <c r="A50" t="inlineStr">
        <is>
          <t>08/10/25</t>
        </is>
      </c>
      <c r="B50" t="inlineStr">
        <is>
          <t>NEFT CR-CITI0000002-ETERNAL LIMITED-ROCKTAIL HOSPITALITY SERVICES-CITIN52025100837147976</t>
        </is>
      </c>
      <c r="C50" t="inlineStr">
        <is>
          <t>CITIN52025100837147976</t>
        </is>
      </c>
      <c r="D50" t="inlineStr">
        <is>
          <t>08/10/25</t>
        </is>
      </c>
      <c r="F50" t="n">
        <v>50928.19</v>
      </c>
      <c r="G50" t="n">
        <v>665707.1800000001</v>
      </c>
    </row>
    <row r="51" hidden="1" s="135">
      <c r="A51" t="inlineStr">
        <is>
          <t>08/10/25</t>
        </is>
      </c>
      <c r="B51" t="inlineStr">
        <is>
          <t>IMPS-528119960741-ASTRANOVA ENTERPRISES-HDFC-XXXXXXXXXX1166-REPAYMENT</t>
        </is>
      </c>
      <c r="C51" t="inlineStr">
        <is>
          <t>0000528119960741</t>
        </is>
      </c>
      <c r="D51" t="inlineStr">
        <is>
          <t>08/10/25</t>
        </is>
      </c>
      <c r="F51" t="n">
        <v>200000</v>
      </c>
      <c r="G51" t="n">
        <v>865707.1800000001</v>
      </c>
    </row>
    <row r="52" hidden="1" s="135">
      <c r="A52" t="inlineStr">
        <is>
          <t>09/10/25</t>
        </is>
      </c>
      <c r="B52" t="inlineStr">
        <is>
          <t>NEFT CR-YESB0000001-ONE 97 COMMUNICATIONS LIMITED SETTL-ROCKTAIL HOSPITALITY SERVICES-YESBN12025100901044475</t>
        </is>
      </c>
      <c r="C52" t="inlineStr">
        <is>
          <t>YESBN12025100901044475</t>
        </is>
      </c>
      <c r="D52" t="inlineStr">
        <is>
          <t>09/10/25</t>
        </is>
      </c>
      <c r="F52" t="n">
        <v>21882</v>
      </c>
      <c r="G52" t="n">
        <v>887589.1800000001</v>
      </c>
    </row>
    <row r="53" hidden="1" s="135">
      <c r="A53" t="inlineStr">
        <is>
          <t>09/10/25</t>
        </is>
      </c>
      <c r="B53" t="inlineStr">
        <is>
          <t>42552394TERMINAL 1 CARDS SETTL. 09/10/25</t>
        </is>
      </c>
      <c r="C53" t="inlineStr">
        <is>
          <t>000000000000000</t>
        </is>
      </c>
      <c r="D53" t="inlineStr">
        <is>
          <t>09/10/25</t>
        </is>
      </c>
      <c r="F53" t="n">
        <v>4616</v>
      </c>
      <c r="G53" t="n">
        <v>892205.1800000001</v>
      </c>
    </row>
    <row r="54" hidden="1" s="135">
      <c r="A54" t="inlineStr">
        <is>
          <t>09/10/25</t>
        </is>
      </c>
      <c r="B54" t="inlineStr">
        <is>
          <t>UPI-HARISH RAGHAVENDRA-HARISH.RAGHAVENDRA26@OKHDFCBANK-ICIC0000069-528262186657-HARISH</t>
        </is>
      </c>
      <c r="C54" t="inlineStr">
        <is>
          <t>0000528262186657</t>
        </is>
      </c>
      <c r="D54" t="inlineStr">
        <is>
          <t>09/10/25</t>
        </is>
      </c>
      <c r="E54" t="n">
        <v>15000</v>
      </c>
      <c r="G54" t="n">
        <v>877205.1800000001</v>
      </c>
    </row>
    <row r="55" hidden="1" s="135">
      <c r="A55" t="inlineStr">
        <is>
          <t>10/10/25</t>
        </is>
      </c>
      <c r="B55" t="inlineStr">
        <is>
          <t>NEFT CR-YESB0000001-ONE 97 COMMUNICATIONS LIMITED SETTL-ROCKTAIL HOSPITALITY SERVICES-YESBN12025101001357483</t>
        </is>
      </c>
      <c r="C55" t="inlineStr">
        <is>
          <t>YESBN12025101001357483</t>
        </is>
      </c>
      <c r="D55" t="inlineStr">
        <is>
          <t>10/10/25</t>
        </is>
      </c>
      <c r="F55" t="n">
        <v>26001.28</v>
      </c>
      <c r="G55" t="n">
        <v>903206.46</v>
      </c>
    </row>
    <row r="56" hidden="1" s="135">
      <c r="A56" t="inlineStr">
        <is>
          <t>10/10/25</t>
        </is>
      </c>
      <c r="B56" t="inlineStr">
        <is>
          <t>42552394TERMINAL 1 CARDS SETTL. 10/10/25</t>
        </is>
      </c>
      <c r="C56" t="inlineStr">
        <is>
          <t>000000000000000</t>
        </is>
      </c>
      <c r="D56" t="inlineStr">
        <is>
          <t>10/10/25</t>
        </is>
      </c>
      <c r="F56" t="n">
        <v>865</v>
      </c>
      <c r="G56" t="n">
        <v>904071.46</v>
      </c>
    </row>
    <row r="57" hidden="1" s="135">
      <c r="A57" t="inlineStr">
        <is>
          <t>10/10/25</t>
        </is>
      </c>
      <c r="B57" t="inlineStr">
        <is>
          <t>NEFT CR-YESB0000001-SWIGGY LIMITED-ROCKTAIL HOSPITALITY SERVICES-YESBN12025101005972616</t>
        </is>
      </c>
      <c r="C57" t="inlineStr">
        <is>
          <t>YESBN12025101005972616</t>
        </is>
      </c>
      <c r="D57" t="inlineStr">
        <is>
          <t>10/10/25</t>
        </is>
      </c>
      <c r="F57" t="n">
        <v>9952.07</v>
      </c>
      <c r="G57" t="n">
        <v>914023.53</v>
      </c>
    </row>
    <row r="58" hidden="1" s="135">
      <c r="A58" t="inlineStr">
        <is>
          <t>11/10/25</t>
        </is>
      </c>
      <c r="B58" t="inlineStr">
        <is>
          <t>NEFT CR-UTIB0001506-PHONEPE LIMITED-PAYMENT AGGREGATOR ESCROW ACCOUNT-ROCKTAIL HOSPITALITY-UTIBN62025101184068608</t>
        </is>
      </c>
      <c r="C58" t="inlineStr">
        <is>
          <t>UTIBN62025101184068608</t>
        </is>
      </c>
      <c r="D58" t="inlineStr">
        <is>
          <t>11/10/25</t>
        </is>
      </c>
      <c r="F58" t="n">
        <v>1526.84</v>
      </c>
      <c r="G58" t="n">
        <v>915550.37</v>
      </c>
    </row>
    <row r="59" hidden="1" s="135">
      <c r="A59" t="inlineStr">
        <is>
          <t>11/10/25</t>
        </is>
      </c>
      <c r="B59" t="inlineStr">
        <is>
          <t>NEFT CR-YESB0000001-ONE 97 COMMUNICATIONS LIMITED SETTL-ROCKTAIL HOSPITALITY SERVICES-YESBN12025101102528197</t>
        </is>
      </c>
      <c r="C59" t="inlineStr">
        <is>
          <t>YESBN12025101102528197</t>
        </is>
      </c>
      <c r="D59" t="inlineStr">
        <is>
          <t>11/10/25</t>
        </is>
      </c>
      <c r="F59" t="n">
        <v>27767.83</v>
      </c>
      <c r="G59" t="n">
        <v>943318.2</v>
      </c>
    </row>
    <row r="60" hidden="1" s="135">
      <c r="A60" t="inlineStr">
        <is>
          <t>11/10/25</t>
        </is>
      </c>
      <c r="B60" t="inlineStr">
        <is>
          <t>42552394TERMINAL 1 CARDS SETTL. 11/10/25</t>
        </is>
      </c>
      <c r="C60" t="inlineStr">
        <is>
          <t>000000000000000</t>
        </is>
      </c>
      <c r="D60" t="inlineStr">
        <is>
          <t>11/10/25</t>
        </is>
      </c>
      <c r="F60" t="n">
        <v>8196.67</v>
      </c>
      <c r="G60" t="n">
        <v>951514.87</v>
      </c>
    </row>
    <row r="61" hidden="1" s="135">
      <c r="A61" t="inlineStr">
        <is>
          <t>11/10/25</t>
        </is>
      </c>
      <c r="B61" t="inlineStr">
        <is>
          <t>UPI-SYED AITAF HUSSAIN-ALTAFHUSAINN123456789@OKICICI-ANDB0000031-565027520596-SOFA REPAIR</t>
        </is>
      </c>
      <c r="C61" t="inlineStr">
        <is>
          <t>0000565027520596</t>
        </is>
      </c>
      <c r="D61" t="inlineStr">
        <is>
          <t>11/10/25</t>
        </is>
      </c>
      <c r="E61" t="n">
        <v>5000</v>
      </c>
      <c r="G61" t="n">
        <v>946514.87</v>
      </c>
    </row>
    <row r="62" hidden="1" s="135">
      <c r="A62" t="inlineStr">
        <is>
          <t>12/10/25</t>
        </is>
      </c>
      <c r="B62" t="inlineStr">
        <is>
          <t>NEFT CR-YESB0000001-ONE 97 COMMUNICATIONS LIMITED SETTL-ROCKTAIL HOSPITALITY SERVICES-YESBN12025101202583652</t>
        </is>
      </c>
      <c r="C62" t="inlineStr">
        <is>
          <t>YESBN12025101202583652</t>
        </is>
      </c>
      <c r="D62" t="inlineStr">
        <is>
          <t>12/10/25</t>
        </is>
      </c>
      <c r="F62" t="n">
        <v>84506.25999999999</v>
      </c>
      <c r="G62" t="n">
        <v>1031021.13</v>
      </c>
    </row>
    <row r="63" hidden="1" s="135">
      <c r="A63" t="inlineStr">
        <is>
          <t>12/10/25</t>
        </is>
      </c>
      <c r="B63" t="inlineStr">
        <is>
          <t>NEFT CR-UTIB0001506-PHONEPE LIMITED-PAYMENT AGGREGATOR ESCROW ACCOUNT-ROCKTAIL HOSPITALITY-UTIBN62025101294570095</t>
        </is>
      </c>
      <c r="C63" t="inlineStr">
        <is>
          <t>UTIBN62025101294570095</t>
        </is>
      </c>
      <c r="D63" t="inlineStr">
        <is>
          <t>12/10/25</t>
        </is>
      </c>
      <c r="F63" t="n">
        <v>2151.18</v>
      </c>
      <c r="G63" t="n">
        <v>1033172.31</v>
      </c>
    </row>
    <row r="64" hidden="1" s="135">
      <c r="A64" t="inlineStr">
        <is>
          <t>12/10/25</t>
        </is>
      </c>
      <c r="B64" t="inlineStr">
        <is>
          <t>42552394TERMINAL 1 CARDS SETTL. 12/10/25</t>
        </is>
      </c>
      <c r="C64" t="inlineStr">
        <is>
          <t>000000000000000</t>
        </is>
      </c>
      <c r="D64" t="inlineStr">
        <is>
          <t>12/10/25</t>
        </is>
      </c>
      <c r="F64" t="n">
        <v>15719.66</v>
      </c>
      <c r="G64" t="n">
        <v>1048891.97</v>
      </c>
    </row>
    <row r="65" hidden="1" s="135">
      <c r="A65" t="inlineStr">
        <is>
          <t>12/10/25</t>
        </is>
      </c>
      <c r="B65" t="inlineStr">
        <is>
          <t>UPI-GAMPA AMBA PRASAD-PRASADUCANMAIL@OKHDFCBANK-HDFC0004262-565118092224-MILK VENDOR</t>
        </is>
      </c>
      <c r="C65" t="inlineStr">
        <is>
          <t>0000565118092224</t>
        </is>
      </c>
      <c r="D65" t="inlineStr">
        <is>
          <t>12/10/25</t>
        </is>
      </c>
      <c r="E65" t="n">
        <v>4641</v>
      </c>
      <c r="G65" t="n">
        <v>1044250.97</v>
      </c>
    </row>
    <row r="66" hidden="1" s="135">
      <c r="A66" t="inlineStr">
        <is>
          <t>12/10/25</t>
        </is>
      </c>
      <c r="B66" t="inlineStr">
        <is>
          <t>UPI-Y KARUNAKAR-KARUNAKAR.YARLAGADDA1@YBL-DBSS0IN0136-112558585085-SIGN BOARD</t>
        </is>
      </c>
      <c r="C66" t="inlineStr">
        <is>
          <t>0000112558585085</t>
        </is>
      </c>
      <c r="D66" t="inlineStr">
        <is>
          <t>12/10/25</t>
        </is>
      </c>
      <c r="E66" t="n">
        <v>5000</v>
      </c>
      <c r="G66" t="n">
        <v>1039250.97</v>
      </c>
    </row>
    <row r="67" hidden="1" s="135">
      <c r="A67" t="inlineStr">
        <is>
          <t>12/10/25</t>
        </is>
      </c>
      <c r="B67" t="inlineStr">
        <is>
          <t>UPI-VORUGANTI BHAVANI KA-BHAVANI.KARTHIK1@YBL-CNRB0000033-304188751411-ADV</t>
        </is>
      </c>
      <c r="C67" t="inlineStr">
        <is>
          <t>0000304188751411</t>
        </is>
      </c>
      <c r="D67" t="inlineStr">
        <is>
          <t>12/10/25</t>
        </is>
      </c>
      <c r="E67" t="n">
        <v>10000</v>
      </c>
      <c r="G67" t="n">
        <v>1029250.97</v>
      </c>
    </row>
    <row r="68" hidden="1" s="135">
      <c r="A68" t="inlineStr">
        <is>
          <t>13/10/25</t>
        </is>
      </c>
      <c r="B68" t="inlineStr">
        <is>
          <t>NEFT CR-YESB0000001-ONE 97 COMMUNICATIONS LIMITED SETTL-ROCKTAIL HOSPITALITY SERVICES-YESBN12025101301912154</t>
        </is>
      </c>
      <c r="C68" t="inlineStr">
        <is>
          <t>YESBN12025101301912154</t>
        </is>
      </c>
      <c r="D68" t="inlineStr">
        <is>
          <t>13/10/25</t>
        </is>
      </c>
      <c r="F68" t="n">
        <v>58079.77</v>
      </c>
      <c r="G68" t="n">
        <v>1087330.74</v>
      </c>
    </row>
    <row r="69" hidden="1" s="135">
      <c r="A69" t="inlineStr">
        <is>
          <t>13/10/25</t>
        </is>
      </c>
      <c r="B69" t="inlineStr">
        <is>
          <t>NEFT CR-UTIB0001506-PHONEPE LIMITED-PAYMENT AGGREGATOR ESCROW ACCOUNT-ROCKTAIL HOSPITALITY-UTIBN62025101304389126</t>
        </is>
      </c>
      <c r="C69" t="inlineStr">
        <is>
          <t>UTIBN62025101304389126</t>
        </is>
      </c>
      <c r="D69" t="inlineStr">
        <is>
          <t>13/10/25</t>
        </is>
      </c>
      <c r="F69" t="n">
        <v>1257.29</v>
      </c>
      <c r="G69" t="n">
        <v>1088588.03</v>
      </c>
    </row>
    <row r="70" hidden="1" s="135">
      <c r="A70" t="inlineStr">
        <is>
          <t>13/10/25</t>
        </is>
      </c>
      <c r="B70" t="inlineStr">
        <is>
          <t>NEFT CR-SCBL0036001-AMERICAN EXPRESS BANKING CORP-ROCKTAIL HOSPITALITY SERVICES-SCBLN52025101300559815</t>
        </is>
      </c>
      <c r="C70" t="inlineStr">
        <is>
          <t>SCBLN52025101300559815</t>
        </is>
      </c>
      <c r="D70" t="inlineStr">
        <is>
          <t>13/10/25</t>
        </is>
      </c>
      <c r="F70" t="n">
        <v>1335.14</v>
      </c>
      <c r="G70" t="n">
        <v>1089923.17</v>
      </c>
    </row>
    <row r="71" hidden="1" s="135">
      <c r="A71" t="inlineStr">
        <is>
          <t>13/10/25</t>
        </is>
      </c>
      <c r="B71" t="inlineStr">
        <is>
          <t>42552394TERMINAL 1 CARDS SETTL. 13/10/25</t>
        </is>
      </c>
      <c r="C71" t="inlineStr">
        <is>
          <t>000000000000000</t>
        </is>
      </c>
      <c r="D71" t="inlineStr">
        <is>
          <t>13/10/25</t>
        </is>
      </c>
      <c r="F71" t="n">
        <v>8984.17</v>
      </c>
      <c r="G71" t="n">
        <v>1098907.34</v>
      </c>
    </row>
    <row r="72" hidden="1" s="135">
      <c r="A72" t="inlineStr">
        <is>
          <t>13/10/25</t>
        </is>
      </c>
      <c r="B72" t="inlineStr">
        <is>
          <t>SALARIES-ROCKTAIL HOSPITALITY SERVICES DR - 57500000326520 - NEFT TRANSITORY ACCOUNT</t>
        </is>
      </c>
      <c r="C72" t="inlineStr">
        <is>
          <t>0000000000000190</t>
        </is>
      </c>
      <c r="D72" t="inlineStr">
        <is>
          <t>13/10/25</t>
        </is>
      </c>
      <c r="E72" t="n">
        <v>519134</v>
      </c>
      <c r="G72" t="n">
        <v>579773.34</v>
      </c>
    </row>
    <row r="73" hidden="1" s="135">
      <c r="A73" t="inlineStr">
        <is>
          <t>13/10/25</t>
        </is>
      </c>
      <c r="B73" t="inlineStr">
        <is>
          <t>SALARIES-ROCKTAIL HOSPITALITY SERVICES DR - 05122990000036 - SALARY TRANSITORY ACCOUNT - 512</t>
        </is>
      </c>
      <c r="C73" t="inlineStr">
        <is>
          <t>0000000000000189</t>
        </is>
      </c>
      <c r="D73" t="inlineStr">
        <is>
          <t>13/10/25</t>
        </is>
      </c>
      <c r="E73" t="n">
        <v>164400</v>
      </c>
      <c r="G73" t="n">
        <v>415373.34</v>
      </c>
    </row>
    <row r="74">
      <c r="A74" t="inlineStr">
        <is>
          <t>13/10/25</t>
        </is>
      </c>
      <c r="B74" t="inlineStr">
        <is>
          <t>NEFT CR-CITI0000002-ETERNAL LIMITED-ROCKTAIL HOSPITALITY SERVICES-CITIN52025101338860064</t>
        </is>
      </c>
      <c r="C74" t="inlineStr">
        <is>
          <t>CITIN52025101338860064</t>
        </is>
      </c>
      <c r="D74" t="inlineStr">
        <is>
          <t>13/10/25</t>
        </is>
      </c>
      <c r="F74" t="n">
        <v>42965.13</v>
      </c>
      <c r="G74" t="n">
        <v>458338.47</v>
      </c>
    </row>
    <row r="75" hidden="1" s="135">
      <c r="A75" t="inlineStr">
        <is>
          <t>13/10/25</t>
        </is>
      </c>
      <c r="B75" t="inlineStr">
        <is>
          <t>IMPS-528618159341-NAGILLA HARIKRISHNA-BARB-XXXXXXXXXX0258-S</t>
        </is>
      </c>
      <c r="C75" t="inlineStr">
        <is>
          <t>0000528618159341</t>
        </is>
      </c>
      <c r="D75" t="inlineStr">
        <is>
          <t>13/10/25</t>
        </is>
      </c>
      <c r="E75" t="n">
        <v>200000</v>
      </c>
      <c r="G75" t="n">
        <v>258338.47</v>
      </c>
    </row>
    <row r="76" hidden="1" s="135">
      <c r="A76" t="inlineStr">
        <is>
          <t>13/10/25</t>
        </is>
      </c>
      <c r="B76" t="inlineStr">
        <is>
          <t>IMPS-528618149756-NAGILLA HARIKRISHNA-BARB-XXXXXXXXXX2369-S</t>
        </is>
      </c>
      <c r="C76" t="inlineStr">
        <is>
          <t>0000528618149756</t>
        </is>
      </c>
      <c r="D76" t="inlineStr">
        <is>
          <t>13/10/25</t>
        </is>
      </c>
      <c r="E76" t="n">
        <v>200000</v>
      </c>
      <c r="G76" t="n">
        <v>58338.47</v>
      </c>
    </row>
    <row r="77" hidden="1" s="135">
      <c r="A77" t="inlineStr">
        <is>
          <t>14/10/25</t>
        </is>
      </c>
      <c r="B77" t="inlineStr">
        <is>
          <t>NEFT CR-UTIB0005040-TAITAI CREAMERY (OPC) PRIVATE LIMITED-ROCKTAIL HOSPITALITY SERVICES-UTIBN62025101417058455</t>
        </is>
      </c>
      <c r="C77" t="inlineStr">
        <is>
          <t>UTIBN62025101417058455</t>
        </is>
      </c>
      <c r="D77" t="inlineStr">
        <is>
          <t>14/10/25</t>
        </is>
      </c>
      <c r="F77" t="n">
        <v>75600</v>
      </c>
      <c r="G77" t="n">
        <v>133938.47</v>
      </c>
    </row>
    <row r="78" hidden="1" s="135">
      <c r="A78" t="inlineStr">
        <is>
          <t>14/10/25</t>
        </is>
      </c>
      <c r="B78" t="inlineStr">
        <is>
          <t>NEFT CR-UTIB0005040-TAITAI CREAMERY (OPC) PRIVATE LIMITED-ROCKTAIL HOSPITALITY SERVICES-UTIBN62025101417091876</t>
        </is>
      </c>
      <c r="C78" t="inlineStr">
        <is>
          <t>UTIBN62025101417091876</t>
        </is>
      </c>
      <c r="D78" t="inlineStr">
        <is>
          <t>14/10/25</t>
        </is>
      </c>
      <c r="F78" t="n">
        <v>27381</v>
      </c>
      <c r="G78" t="n">
        <v>161319.47</v>
      </c>
    </row>
    <row r="79" hidden="1" s="135">
      <c r="A79" t="inlineStr">
        <is>
          <t>14/10/25</t>
        </is>
      </c>
      <c r="B79" t="inlineStr">
        <is>
          <t>42552394TERMINAL 1 CARDS SETTL. 14/10/25</t>
        </is>
      </c>
      <c r="C79" t="inlineStr">
        <is>
          <t>000000000000000</t>
        </is>
      </c>
      <c r="D79" t="inlineStr">
        <is>
          <t>14/10/25</t>
        </is>
      </c>
      <c r="F79" t="n">
        <v>1475.19</v>
      </c>
      <c r="G79" t="n">
        <v>162794.66</v>
      </c>
    </row>
    <row r="80" hidden="1" s="135">
      <c r="A80" t="inlineStr">
        <is>
          <t>14/10/25</t>
        </is>
      </c>
      <c r="B80" t="inlineStr">
        <is>
          <t>NEFT CR-YESB0000001-ONE 97 COMMUNICATIONS LIMITED SETTL-ROCKTAIL HOSPITALITY SERVICES-YESBN12025101402196356</t>
        </is>
      </c>
      <c r="C80" t="inlineStr">
        <is>
          <t>YESBN12025101402196356</t>
        </is>
      </c>
      <c r="D80" t="inlineStr">
        <is>
          <t>14/10/25</t>
        </is>
      </c>
      <c r="F80" t="n">
        <v>69263.45</v>
      </c>
      <c r="G80" t="n">
        <v>232058.11</v>
      </c>
    </row>
    <row r="81" hidden="1" s="135">
      <c r="A81" t="inlineStr">
        <is>
          <t>14/10/25</t>
        </is>
      </c>
      <c r="B81" t="inlineStr">
        <is>
          <t>UPI-AIRTEL-AIRTEL.PAYU@AXISBANK-UTIB0003156-112638492793-AIRTELPOSTPAIDBILL</t>
        </is>
      </c>
      <c r="C81" t="inlineStr">
        <is>
          <t>0000112638492793</t>
        </is>
      </c>
      <c r="D81" t="inlineStr">
        <is>
          <t>14/10/25</t>
        </is>
      </c>
      <c r="E81" t="n">
        <v>211.94</v>
      </c>
      <c r="G81" t="n">
        <v>231846.17</v>
      </c>
    </row>
    <row r="82" hidden="1" s="135">
      <c r="A82" t="inlineStr">
        <is>
          <t>14/10/25</t>
        </is>
      </c>
      <c r="B82" t="inlineStr">
        <is>
          <t>UPI-MAHANKALI  ANIL-CHANTIANI@YBL-UTIB0001454-112640653774-CARD SWIPE</t>
        </is>
      </c>
      <c r="C82" t="inlineStr">
        <is>
          <t>0000112640653774</t>
        </is>
      </c>
      <c r="D82" t="inlineStr">
        <is>
          <t>14/10/25</t>
        </is>
      </c>
      <c r="E82" t="n">
        <v>25000</v>
      </c>
      <c r="G82" t="n">
        <v>206846.17</v>
      </c>
    </row>
    <row r="83" hidden="1" s="135">
      <c r="A83" t="inlineStr">
        <is>
          <t>14/10/25</t>
        </is>
      </c>
      <c r="B83" t="inlineStr">
        <is>
          <t>UPI-BHANWRA  RAM-BHANWARJATCHOUDHARY251@OKSBI-SBIN0011306-112645088978-FURNITURE</t>
        </is>
      </c>
      <c r="C83" t="inlineStr">
        <is>
          <t>0000112645088978</t>
        </is>
      </c>
      <c r="D83" t="inlineStr">
        <is>
          <t>14/10/25</t>
        </is>
      </c>
      <c r="E83" t="n">
        <v>33984</v>
      </c>
      <c r="G83" t="n">
        <v>172862.17</v>
      </c>
    </row>
    <row r="84" hidden="1" s="135">
      <c r="A84" t="inlineStr">
        <is>
          <t>14/10/25</t>
        </is>
      </c>
      <c r="B84" t="inlineStr">
        <is>
          <t>NEFT CR-YESB0000001-SWIGGY LIMITED-ROCKTAIL HOSPITALITY SERVICES-YESBN12025101406117243</t>
        </is>
      </c>
      <c r="C84" t="inlineStr">
        <is>
          <t>YESBN12025101406117243</t>
        </is>
      </c>
      <c r="D84" t="inlineStr">
        <is>
          <t>14/10/25</t>
        </is>
      </c>
      <c r="F84" t="n">
        <v>22017.22</v>
      </c>
      <c r="G84" t="n">
        <v>194879.39</v>
      </c>
    </row>
    <row r="85" hidden="1" s="135">
      <c r="A85" t="inlineStr">
        <is>
          <t>15/10/25</t>
        </is>
      </c>
      <c r="B85" t="inlineStr">
        <is>
          <t>NEFT CR-YESB0000001-ONE 97 COMMUNICATIONS LIMITED SETTL-ROCKTAIL HOSPITALITY SERVICES-YESBN12025101501310623</t>
        </is>
      </c>
      <c r="C85" t="inlineStr">
        <is>
          <t>YESBN12025101501310623</t>
        </is>
      </c>
      <c r="D85" t="inlineStr">
        <is>
          <t>15/10/25</t>
        </is>
      </c>
      <c r="F85" t="n">
        <v>30576.54</v>
      </c>
      <c r="G85" t="n">
        <v>225455.93</v>
      </c>
    </row>
    <row r="86" hidden="1" s="135">
      <c r="A86" t="inlineStr">
        <is>
          <t>15/10/25</t>
        </is>
      </c>
      <c r="B86" t="inlineStr">
        <is>
          <t>NEFT CR-UTIB0001506-PHONEPE LIMITED-PAYMENT AGGREGATOR ESCROW ACCOUNT-ROCKTAIL HOSPITALITY-UTIBN62025101529095027</t>
        </is>
      </c>
      <c r="C86" t="inlineStr">
        <is>
          <t>UTIBN62025101529095027</t>
        </is>
      </c>
      <c r="D86" t="inlineStr">
        <is>
          <t>15/10/25</t>
        </is>
      </c>
      <c r="F86" t="n">
        <v>24849.71</v>
      </c>
      <c r="G86" t="n">
        <v>250305.64</v>
      </c>
    </row>
    <row r="87" hidden="1" s="135">
      <c r="A87" t="inlineStr">
        <is>
          <t>15/10/25</t>
        </is>
      </c>
      <c r="B87" t="inlineStr">
        <is>
          <t>42552394TERMINAL 1 CARDS SETTL. 15/10/25</t>
        </is>
      </c>
      <c r="C87" t="inlineStr">
        <is>
          <t>000000000000000</t>
        </is>
      </c>
      <c r="D87" t="inlineStr">
        <is>
          <t>15/10/25</t>
        </is>
      </c>
      <c r="F87" t="n">
        <v>1403.68</v>
      </c>
      <c r="G87" t="n">
        <v>251709.32</v>
      </c>
    </row>
    <row r="88" hidden="1" s="135">
      <c r="A88" t="inlineStr">
        <is>
          <t>15/10/25</t>
        </is>
      </c>
      <c r="B88" t="inlineStr">
        <is>
          <t>UPI-I ANIL KUMAR-ANILTIGER9966@YBL-SBIN0008025-112678952262-UPI</t>
        </is>
      </c>
      <c r="C88" t="inlineStr">
        <is>
          <t>0000112678952262</t>
        </is>
      </c>
      <c r="D88" t="inlineStr">
        <is>
          <t>15/10/25</t>
        </is>
      </c>
      <c r="E88" t="n">
        <v>16650</v>
      </c>
      <c r="G88" t="n">
        <v>235059.32</v>
      </c>
    </row>
    <row r="89">
      <c r="A89" t="inlineStr">
        <is>
          <t>15/10/25</t>
        </is>
      </c>
      <c r="B89" t="inlineStr">
        <is>
          <t>NEFT CR-CITI0000002-ETERNAL LIMITED-ROCKTAIL HOSPITALITY SERVICES-CITIN52025101539958263</t>
        </is>
      </c>
      <c r="C89" t="inlineStr">
        <is>
          <t>CITIN52025101539958263</t>
        </is>
      </c>
      <c r="D89" t="inlineStr">
        <is>
          <t>15/10/25</t>
        </is>
      </c>
      <c r="F89" t="n">
        <v>54593.95</v>
      </c>
      <c r="G89" t="n">
        <v>289653.27</v>
      </c>
    </row>
    <row r="90" hidden="1" s="135">
      <c r="A90" t="inlineStr">
        <is>
          <t>15/10/25</t>
        </is>
      </c>
      <c r="B90" t="inlineStr">
        <is>
          <t>ACH D- PINE LABS PVT LTD-9YBBY0K45VFHTZ</t>
        </is>
      </c>
      <c r="C90" t="inlineStr">
        <is>
          <t>0000003300258297</t>
        </is>
      </c>
      <c r="D90" t="inlineStr">
        <is>
          <t>15/10/25</t>
        </is>
      </c>
      <c r="E90" t="n">
        <v>408</v>
      </c>
      <c r="G90" t="n">
        <v>289245.27</v>
      </c>
    </row>
    <row r="91" hidden="1" s="135">
      <c r="A91" t="inlineStr">
        <is>
          <t>15/10/25</t>
        </is>
      </c>
      <c r="B91" t="inlineStr">
        <is>
          <t>NEFT CR-UTIB0000052-BUNDL TECHNOLOGIES PRIVATE LIMITED-ROCKTAIL HOSPITALITY SERVICES-UTIBN62025101531694003</t>
        </is>
      </c>
      <c r="C91" t="inlineStr">
        <is>
          <t>UTIBN62025101531694003</t>
        </is>
      </c>
      <c r="D91" t="inlineStr">
        <is>
          <t>15/10/25</t>
        </is>
      </c>
      <c r="F91" t="n">
        <v>26065.61</v>
      </c>
      <c r="G91" t="n">
        <v>315310.88</v>
      </c>
    </row>
    <row r="92" hidden="1" s="135">
      <c r="A92" t="inlineStr">
        <is>
          <t>16/10/25</t>
        </is>
      </c>
      <c r="B92" t="inlineStr">
        <is>
          <t>NEFT CR-YESB0000001-ONE 97 COMMUNICATIONS LIMITED SETTL-ROCKTAIL HOSPITALITY SERVICES-YESBN12025101601861177</t>
        </is>
      </c>
      <c r="C92" t="inlineStr">
        <is>
          <t>YESBN12025101601861177</t>
        </is>
      </c>
      <c r="D92" t="inlineStr">
        <is>
          <t>16/10/25</t>
        </is>
      </c>
      <c r="F92" t="n">
        <v>26861.69</v>
      </c>
      <c r="G92" t="n">
        <v>342172.57</v>
      </c>
    </row>
    <row r="93" hidden="1" s="135">
      <c r="A93" t="inlineStr">
        <is>
          <t>16/10/25</t>
        </is>
      </c>
      <c r="B93" t="inlineStr">
        <is>
          <t>42552394TERMINAL 1 CARDS SETTL. 16/10/25</t>
        </is>
      </c>
      <c r="C93" t="inlineStr">
        <is>
          <t>000000000000000</t>
        </is>
      </c>
      <c r="D93" t="inlineStr">
        <is>
          <t>16/10/25</t>
        </is>
      </c>
      <c r="F93" t="n">
        <v>6184.19</v>
      </c>
      <c r="G93" t="n">
        <v>348356.76</v>
      </c>
    </row>
    <row r="94" hidden="1" s="135">
      <c r="A94" t="inlineStr">
        <is>
          <t>17/10/25</t>
        </is>
      </c>
      <c r="B94" t="inlineStr">
        <is>
          <t>NEFT CR-YESB0000001-ONE 97 COMMUNICATIONS LIMITED SETTL-ROCKTAIL HOSPITALITY SERVICES-YESBN12025101700504184</t>
        </is>
      </c>
      <c r="C94" t="inlineStr">
        <is>
          <t>YESBN12025101700504184</t>
        </is>
      </c>
      <c r="D94" t="inlineStr">
        <is>
          <t>17/10/25</t>
        </is>
      </c>
      <c r="F94" t="n">
        <v>18765.99</v>
      </c>
      <c r="G94" t="n">
        <v>367122.75</v>
      </c>
    </row>
    <row r="95" hidden="1" s="135">
      <c r="A95" t="inlineStr">
        <is>
          <t>17/10/25</t>
        </is>
      </c>
      <c r="B95" t="inlineStr">
        <is>
          <t>42552394TERMINAL 1 CARDS SETTL. 17/10/25</t>
        </is>
      </c>
      <c r="C95" t="inlineStr">
        <is>
          <t>000000000000000</t>
        </is>
      </c>
      <c r="D95" t="inlineStr">
        <is>
          <t>17/10/25</t>
        </is>
      </c>
      <c r="F95" t="n">
        <v>14392.76</v>
      </c>
      <c r="G95" t="n">
        <v>381515.51</v>
      </c>
    </row>
    <row r="96" hidden="1" s="135">
      <c r="A96" t="inlineStr">
        <is>
          <t>17/10/25</t>
        </is>
      </c>
      <c r="B96" t="inlineStr">
        <is>
          <t>NEFT CR-YESB0000001-SWIGGY LIMITED-ROCKTAIL HOSPITALITY SERVICES-YESBN12025101705389357</t>
        </is>
      </c>
      <c r="C96" t="inlineStr">
        <is>
          <t>YESBN12025101705389357</t>
        </is>
      </c>
      <c r="D96" t="inlineStr">
        <is>
          <t>17/10/25</t>
        </is>
      </c>
      <c r="F96" t="n">
        <v>24683.09</v>
      </c>
      <c r="G96" t="n">
        <v>406198.6</v>
      </c>
    </row>
    <row r="97" hidden="1" s="135">
      <c r="A97" t="inlineStr">
        <is>
          <t>17/10/25</t>
        </is>
      </c>
      <c r="B97" t="inlineStr">
        <is>
          <t>UPI-BHANWRA  RAM-BHANWARJATCHOUDHARY251@OKSBI-SBIN0011306-565615784026-FURNITURE FNF</t>
        </is>
      </c>
      <c r="C97" t="inlineStr">
        <is>
          <t>0000565615784026</t>
        </is>
      </c>
      <c r="D97" t="inlineStr">
        <is>
          <t>17/10/25</t>
        </is>
      </c>
      <c r="E97" t="n">
        <v>16200</v>
      </c>
      <c r="G97" t="n">
        <v>389998.6</v>
      </c>
    </row>
    <row r="98" hidden="1" s="135">
      <c r="A98" t="inlineStr">
        <is>
          <t>17/10/25</t>
        </is>
      </c>
      <c r="B98" t="inlineStr">
        <is>
          <t>UPI-SYED ANSAR ALI-9735000703@YBL-SBIN0002106-565609682617-VALET</t>
        </is>
      </c>
      <c r="C98" t="inlineStr">
        <is>
          <t>0000565609682617</t>
        </is>
      </c>
      <c r="D98" t="inlineStr">
        <is>
          <t>17/10/25</t>
        </is>
      </c>
      <c r="E98" t="n">
        <v>24000</v>
      </c>
      <c r="G98" t="n">
        <v>365998.6</v>
      </c>
    </row>
    <row r="99" hidden="1" s="135">
      <c r="A99" t="inlineStr">
        <is>
          <t>18/10/25</t>
        </is>
      </c>
      <c r="B99" t="inlineStr">
        <is>
          <t>NEFT CR-YESB0000001-ONE 97 COMMUNICATIONS LIMITED SETTL-ROCKTAIL HOSPITALITY SERVICES-YESBN12025101802308425</t>
        </is>
      </c>
      <c r="C99" t="inlineStr">
        <is>
          <t>YESBN12025101802308425</t>
        </is>
      </c>
      <c r="D99" t="inlineStr">
        <is>
          <t>18/10/25</t>
        </is>
      </c>
      <c r="F99" t="n">
        <v>25752</v>
      </c>
      <c r="G99" t="n">
        <v>391750.6</v>
      </c>
    </row>
    <row r="100" hidden="1" s="135">
      <c r="A100" t="inlineStr">
        <is>
          <t>18/10/25</t>
        </is>
      </c>
      <c r="B100" t="inlineStr">
        <is>
          <t>42552394TERMINAL 1 CARDS SETTL. 18/10/25</t>
        </is>
      </c>
      <c r="C100" t="inlineStr">
        <is>
          <t>000000000000000</t>
        </is>
      </c>
      <c r="D100" t="inlineStr">
        <is>
          <t>18/10/25</t>
        </is>
      </c>
      <c r="F100" t="n">
        <v>8270.74</v>
      </c>
      <c r="G100" t="n">
        <v>400021.34</v>
      </c>
    </row>
    <row r="101" hidden="1" s="135">
      <c r="A101" t="inlineStr">
        <is>
          <t>19/10/25</t>
        </is>
      </c>
      <c r="B101" t="inlineStr">
        <is>
          <t>NEFT CR-YESB0000001-ONE 97 COMMUNICATIONS LIMITED SETTL-ROCKTAIL HOSPITALITY SERVICES-YESBN12025101901417601</t>
        </is>
      </c>
      <c r="C101" t="inlineStr">
        <is>
          <t>YESBN12025101901417601</t>
        </is>
      </c>
      <c r="D101" t="inlineStr">
        <is>
          <t>19/10/25</t>
        </is>
      </c>
      <c r="F101" t="n">
        <v>56196.84</v>
      </c>
      <c r="G101" t="n">
        <v>456218.18</v>
      </c>
    </row>
    <row r="102" hidden="1" s="135">
      <c r="A102" t="inlineStr">
        <is>
          <t>19/10/25</t>
        </is>
      </c>
      <c r="B102" t="inlineStr">
        <is>
          <t>NEFT CR-UTIB0001506-PHONEPE LIMITED-PAYMENT AGGREGATOR ESCROW ACCOUNT-ROCKTAIL HOSPITALITY-UTIBN62025101981036322</t>
        </is>
      </c>
      <c r="C102" t="inlineStr">
        <is>
          <t>UTIBN62025101981036322</t>
        </is>
      </c>
      <c r="D102" t="inlineStr">
        <is>
          <t>19/10/25</t>
        </is>
      </c>
      <c r="F102" t="n">
        <v>129.18</v>
      </c>
      <c r="G102" t="n">
        <v>456347.36</v>
      </c>
    </row>
    <row r="103" hidden="1" s="135">
      <c r="A103" t="inlineStr">
        <is>
          <t>19/10/25</t>
        </is>
      </c>
      <c r="B103" t="inlineStr">
        <is>
          <t>42552394TERMINAL 1 CARDS SETTL. 19/10/25</t>
        </is>
      </c>
      <c r="C103" t="inlineStr">
        <is>
          <t>000000000000000</t>
        </is>
      </c>
      <c r="D103" t="inlineStr">
        <is>
          <t>19/10/25</t>
        </is>
      </c>
      <c r="F103" t="n">
        <v>12533.1</v>
      </c>
      <c r="G103" t="n">
        <v>468880.46</v>
      </c>
    </row>
    <row r="104" hidden="1" s="135">
      <c r="A104" t="inlineStr">
        <is>
          <t>20/10/25</t>
        </is>
      </c>
      <c r="B104" t="inlineStr">
        <is>
          <t>NEFT CR-YESB0000001-ONE 97 COMMUNICATIONS LIMITED SETTL-ROCKTAIL HOSPITALITY SERVICES-YESBN12025102002252754</t>
        </is>
      </c>
      <c r="C104" t="inlineStr">
        <is>
          <t>YESBN12025102002252754</t>
        </is>
      </c>
      <c r="D104" t="inlineStr">
        <is>
          <t>20/10/25</t>
        </is>
      </c>
      <c r="F104" t="n">
        <v>56832.39</v>
      </c>
      <c r="G104" t="n">
        <v>525712.85</v>
      </c>
    </row>
    <row r="105" hidden="1" s="135">
      <c r="A105" t="inlineStr">
        <is>
          <t>20/10/25</t>
        </is>
      </c>
      <c r="B105" t="inlineStr">
        <is>
          <t>NEFT CR-UTIB0001506-PHONEPE LIMITED-PAYMENT AGGREGATOR ESCROW ACCOUNT-ROCKTAIL HOSPITALITY-UTIBN62025102091922015</t>
        </is>
      </c>
      <c r="C105" t="inlineStr">
        <is>
          <t>UTIBN62025102091922015</t>
        </is>
      </c>
      <c r="D105" t="inlineStr">
        <is>
          <t>20/10/25</t>
        </is>
      </c>
      <c r="F105" t="n">
        <v>342.18</v>
      </c>
      <c r="G105" t="n">
        <v>526055.03</v>
      </c>
    </row>
    <row r="106" hidden="1" s="135">
      <c r="A106" t="inlineStr">
        <is>
          <t>20/10/25</t>
        </is>
      </c>
      <c r="B106" t="inlineStr">
        <is>
          <t>NEFT CR-SCBL0036001-AMERICAN EXPRESS BANKING CORP-ROCKTAIL HOSPITALITY SERVICES-SCBLN52025102000534540</t>
        </is>
      </c>
      <c r="C106" t="inlineStr">
        <is>
          <t>SCBLN52025102000534540</t>
        </is>
      </c>
      <c r="D106" t="inlineStr">
        <is>
          <t>20/10/25</t>
        </is>
      </c>
      <c r="F106" t="n">
        <v>2527.06</v>
      </c>
      <c r="G106" t="n">
        <v>528582.09</v>
      </c>
    </row>
    <row r="107" hidden="1" s="135">
      <c r="A107" t="inlineStr">
        <is>
          <t>20/10/25</t>
        </is>
      </c>
      <c r="B107" t="inlineStr">
        <is>
          <t>42552394TERMINAL 1 CARDS SETTL. 20/10/25</t>
        </is>
      </c>
      <c r="C107" t="inlineStr">
        <is>
          <t>000000000000000</t>
        </is>
      </c>
      <c r="D107" t="inlineStr">
        <is>
          <t>20/10/25</t>
        </is>
      </c>
      <c r="F107" t="n">
        <v>21406.83</v>
      </c>
      <c r="G107" t="n">
        <v>549988.92</v>
      </c>
    </row>
    <row r="108" hidden="1" s="135">
      <c r="A108" t="inlineStr">
        <is>
          <t>20/10/25</t>
        </is>
      </c>
      <c r="B108" t="inlineStr">
        <is>
          <t>UPI-TIRUMALA SOUNDS AND -GPAY-11193304431@OKBIZAXIS-UTIB0000553-112946107359-MELA TENT HOUSE</t>
        </is>
      </c>
      <c r="C108" t="inlineStr">
        <is>
          <t>0000112946107359</t>
        </is>
      </c>
      <c r="D108" t="inlineStr">
        <is>
          <t>20/10/25</t>
        </is>
      </c>
      <c r="E108" t="n">
        <v>30000</v>
      </c>
      <c r="G108" t="n">
        <v>519988.92</v>
      </c>
    </row>
    <row r="109">
      <c r="A109" t="inlineStr">
        <is>
          <t>20/10/25</t>
        </is>
      </c>
      <c r="B109" t="inlineStr">
        <is>
          <t>NEFT CR-CITI0000002-ETERNAL LIMITED-ROCKTAIL HOSPITALITY SERVICES-CITIN52025102041871588</t>
        </is>
      </c>
      <c r="C109" t="inlineStr">
        <is>
          <t>CITIN52025102041871588</t>
        </is>
      </c>
      <c r="D109" t="inlineStr">
        <is>
          <t>20/10/25</t>
        </is>
      </c>
      <c r="F109" t="n">
        <v>59058.55</v>
      </c>
      <c r="G109" t="n">
        <v>579047.47</v>
      </c>
    </row>
    <row r="110" hidden="1" s="135">
      <c r="A110" t="inlineStr">
        <is>
          <t>21/10/25</t>
        </is>
      </c>
      <c r="B110" t="inlineStr">
        <is>
          <t>NEFT CR-YESB0000001-ONE 97 COMMUNICATIONS LIMITED SETTL-ROCKTAIL HOSPITALITY SERVICES-YESBN12025102101238588</t>
        </is>
      </c>
      <c r="C110" t="inlineStr">
        <is>
          <t>YESBN12025102101238588</t>
        </is>
      </c>
      <c r="D110" t="inlineStr">
        <is>
          <t>21/10/25</t>
        </is>
      </c>
      <c r="F110" t="n">
        <v>33780.11</v>
      </c>
      <c r="G110" t="n">
        <v>612827.58</v>
      </c>
    </row>
    <row r="111" hidden="1" s="135">
      <c r="A111" t="inlineStr">
        <is>
          <t>21/10/25</t>
        </is>
      </c>
      <c r="B111" t="inlineStr">
        <is>
          <t>NEFT CR-UTIB0001506-PHONEPE LIMITED-PAYMENT AGGREGATOR ESCROW ACCOUNT-ROCKTAIL HOSPITALITY-UTIBN62025102103425474</t>
        </is>
      </c>
      <c r="C111" t="inlineStr">
        <is>
          <t>UTIBN62025102103425474</t>
        </is>
      </c>
      <c r="D111" t="inlineStr">
        <is>
          <t>21/10/25</t>
        </is>
      </c>
      <c r="F111" t="n">
        <v>220</v>
      </c>
      <c r="G111" t="n">
        <v>613047.58</v>
      </c>
    </row>
    <row r="112" hidden="1" s="135">
      <c r="A112" t="inlineStr">
        <is>
          <t>21/10/25</t>
        </is>
      </c>
      <c r="B112" t="inlineStr">
        <is>
          <t>42552394TERMINAL 1 CARDS SETTL. 21/10/25</t>
        </is>
      </c>
      <c r="C112" t="inlineStr">
        <is>
          <t>000000000000000</t>
        </is>
      </c>
      <c r="D112" t="inlineStr">
        <is>
          <t>21/10/25</t>
        </is>
      </c>
      <c r="F112" t="n">
        <v>7579.68</v>
      </c>
      <c r="G112" t="n">
        <v>620627.26</v>
      </c>
    </row>
    <row r="113" hidden="1" s="135">
      <c r="A113" t="inlineStr">
        <is>
          <t>21/10/25</t>
        </is>
      </c>
      <c r="B113" t="inlineStr">
        <is>
          <t>UPI-GAMPA AMBA PRASAD-PRASADUCANMAIL@OKHDFCBANK-HDFC0004262-529463122058-MILK VENDOR</t>
        </is>
      </c>
      <c r="C113" t="inlineStr">
        <is>
          <t>0000529463122058</t>
        </is>
      </c>
      <c r="D113" t="inlineStr">
        <is>
          <t>21/10/25</t>
        </is>
      </c>
      <c r="E113" t="n">
        <v>3570</v>
      </c>
      <c r="G113" t="n">
        <v>617057.26</v>
      </c>
    </row>
    <row r="114" hidden="1" s="135">
      <c r="A114" t="inlineStr">
        <is>
          <t>21/10/25</t>
        </is>
      </c>
      <c r="B114" t="inlineStr">
        <is>
          <t>UPI-THIRUPATHAMMA MUTHUM-9490371940@YBL-CNRB0000033-529460829374-STAFF RENT</t>
        </is>
      </c>
      <c r="C114" t="inlineStr">
        <is>
          <t>0000529460829374</t>
        </is>
      </c>
      <c r="D114" t="inlineStr">
        <is>
          <t>21/10/25</t>
        </is>
      </c>
      <c r="E114" t="n">
        <v>38330</v>
      </c>
      <c r="G114" t="n">
        <v>578727.26</v>
      </c>
    </row>
    <row r="115" hidden="1" s="135">
      <c r="A115" t="inlineStr">
        <is>
          <t>21/10/25</t>
        </is>
      </c>
      <c r="B115" t="inlineStr">
        <is>
          <t>UPI-META ADS-FACEBOOKINDIAO.PAYU@MAIRTEL-AIRP0000001-112990962805-UPIINTENT</t>
        </is>
      </c>
      <c r="C115" t="inlineStr">
        <is>
          <t>0000112990962805</t>
        </is>
      </c>
      <c r="D115" t="inlineStr">
        <is>
          <t>21/10/25</t>
        </is>
      </c>
      <c r="E115" t="n">
        <v>2000</v>
      </c>
      <c r="G115" t="n">
        <v>576727.26</v>
      </c>
    </row>
    <row r="116" hidden="1" s="135">
      <c r="A116" t="inlineStr">
        <is>
          <t>21/10/25</t>
        </is>
      </c>
      <c r="B116" t="inlineStr">
        <is>
          <t>NEFT CR-YESB0000001-SWIGGY LIMITED-ROCKTAIL HOSPITALITY SERVICES-YESBN12025102105523192</t>
        </is>
      </c>
      <c r="C116" t="inlineStr">
        <is>
          <t>YESBN12025102105523192</t>
        </is>
      </c>
      <c r="D116" t="inlineStr">
        <is>
          <t>21/10/25</t>
        </is>
      </c>
      <c r="F116" t="n">
        <v>55234.75</v>
      </c>
      <c r="G116" t="n">
        <v>631962.01</v>
      </c>
    </row>
    <row r="117" hidden="1" s="135">
      <c r="A117" t="inlineStr">
        <is>
          <t>21/10/25</t>
        </is>
      </c>
      <c r="B117" t="inlineStr">
        <is>
          <t>UPI-BADHEY BHARATH-BADHEYBHARATH@OKHDFCBANK-CNRB0000033-566023703445-MELA SOCIALS</t>
        </is>
      </c>
      <c r="C117" t="inlineStr">
        <is>
          <t>0000566023703445</t>
        </is>
      </c>
      <c r="D117" t="inlineStr">
        <is>
          <t>21/10/25</t>
        </is>
      </c>
      <c r="E117" t="n">
        <v>37000</v>
      </c>
      <c r="G117" t="n">
        <v>594962.01</v>
      </c>
    </row>
    <row r="118" hidden="1" s="135">
      <c r="A118" t="inlineStr">
        <is>
          <t>22/10/25</t>
        </is>
      </c>
      <c r="B118" t="inlineStr">
        <is>
          <t>NEFT CR-YESB0000001-ONE 97 COMMUNICATIONS LIMITED SETTL-ROCKTAIL HOSPITALITY SERVICES-YESBN12025102201533266</t>
        </is>
      </c>
      <c r="C118" t="inlineStr">
        <is>
          <t>YESBN12025102201533266</t>
        </is>
      </c>
      <c r="D118" t="inlineStr">
        <is>
          <t>22/10/25</t>
        </is>
      </c>
      <c r="F118" t="n">
        <v>39105.07</v>
      </c>
      <c r="G118" t="n">
        <v>634067.08</v>
      </c>
    </row>
    <row r="119" hidden="1" s="135">
      <c r="A119" t="inlineStr">
        <is>
          <t>22/10/25</t>
        </is>
      </c>
      <c r="B119" t="inlineStr">
        <is>
          <t>NEFT CR-SCBL0036001-AMERICAN EXPRESS BANKING CORP-ROCKTAIL HOSPITALITY SERVICES-SCBLN52025102200524541</t>
        </is>
      </c>
      <c r="C119" t="inlineStr">
        <is>
          <t>SCBLN52025102200524541</t>
        </is>
      </c>
      <c r="D119" t="inlineStr">
        <is>
          <t>22/10/25</t>
        </is>
      </c>
      <c r="F119" t="n">
        <v>1743.24</v>
      </c>
      <c r="G119" t="n">
        <v>635810.3199999999</v>
      </c>
    </row>
    <row r="120" hidden="1" s="135">
      <c r="A120" t="inlineStr">
        <is>
          <t>22/10/25</t>
        </is>
      </c>
      <c r="B120" t="inlineStr">
        <is>
          <t>42552394TERMINAL 1 CARDS SETTL. 22/10/25</t>
        </is>
      </c>
      <c r="C120" t="inlineStr">
        <is>
          <t>000000000000000</t>
        </is>
      </c>
      <c r="D120" t="inlineStr">
        <is>
          <t>22/10/25</t>
        </is>
      </c>
      <c r="F120" t="n">
        <v>3966.01</v>
      </c>
      <c r="G120" t="n">
        <v>639776.33</v>
      </c>
    </row>
    <row r="121" hidden="1" s="135">
      <c r="A121" t="inlineStr">
        <is>
          <t>22/10/25</t>
        </is>
      </c>
      <c r="B121" t="inlineStr">
        <is>
          <t>NEFT CR-UTIB0000052-BUNDL TECHNOLOGIES PRIVATE LIMITED-ROCKTAIL HOSPITALITY SERVICES-UTIBN62025102214786836</t>
        </is>
      </c>
      <c r="C121" t="inlineStr">
        <is>
          <t>UTIBN62025102214786836</t>
        </is>
      </c>
      <c r="D121" t="inlineStr">
        <is>
          <t>22/10/25</t>
        </is>
      </c>
      <c r="F121" t="n">
        <v>27200.41</v>
      </c>
      <c r="G121" t="n">
        <v>666976.74</v>
      </c>
    </row>
    <row r="122">
      <c r="A122" t="inlineStr">
        <is>
          <t>22/10/25</t>
        </is>
      </c>
      <c r="B122" t="inlineStr">
        <is>
          <t>NEFT CR-CITI0000002-ETERNAL LIMITED-ROCKTAIL HOSPITALITY SERVICES-CITIN52025102242479154</t>
        </is>
      </c>
      <c r="C122" t="inlineStr">
        <is>
          <t>CITIN52025102242479154</t>
        </is>
      </c>
      <c r="D122" t="inlineStr">
        <is>
          <t>22/10/25</t>
        </is>
      </c>
      <c r="F122" t="n">
        <v>41686.89</v>
      </c>
      <c r="G122" t="n">
        <v>708663.63</v>
      </c>
    </row>
    <row r="123" hidden="1" s="135">
      <c r="A123" t="inlineStr">
        <is>
          <t>22/10/25</t>
        </is>
      </c>
      <c r="B123" t="inlineStr">
        <is>
          <t>UPI-SHANTH SAI KUMAR-SHANTHSAI@IBL-HDFC0000126-113039786363-RENT</t>
        </is>
      </c>
      <c r="C123" t="inlineStr">
        <is>
          <t>0000113039786363</t>
        </is>
      </c>
      <c r="D123" t="inlineStr">
        <is>
          <t>22/10/25</t>
        </is>
      </c>
      <c r="E123" t="n">
        <v>25000</v>
      </c>
      <c r="G123" t="n">
        <v>683663.63</v>
      </c>
    </row>
    <row r="124" hidden="1" s="135">
      <c r="A124" t="inlineStr">
        <is>
          <t>23/10/25</t>
        </is>
      </c>
      <c r="B124" t="inlineStr">
        <is>
          <t>NEFT CR-YESB0000001-ONE 97 COMMUNICATIONS LIMITED SETTL-ROCKTAIL HOSPITALITY SERVICES-YESBN12025102301234200</t>
        </is>
      </c>
      <c r="C124" t="inlineStr">
        <is>
          <t>YESBN12025102301234200</t>
        </is>
      </c>
      <c r="D124" t="inlineStr">
        <is>
          <t>23/10/25</t>
        </is>
      </c>
      <c r="F124" t="n">
        <v>38836.81</v>
      </c>
      <c r="G124" t="n">
        <v>722500.4399999999</v>
      </c>
    </row>
    <row r="125" hidden="1" s="135">
      <c r="A125" t="inlineStr">
        <is>
          <t>23/10/25</t>
        </is>
      </c>
      <c r="B125" t="inlineStr">
        <is>
          <t>NEFT CR-UTIB0001506-PHONEPE LIMITED-PAYMENT AGGREGATOR ESCROW ACCOUNT-ROCKTAIL HOSPITALITY-UTIBN62025102323642286</t>
        </is>
      </c>
      <c r="C125" t="inlineStr">
        <is>
          <t>UTIBN62025102323642286</t>
        </is>
      </c>
      <c r="D125" t="inlineStr">
        <is>
          <t>23/10/25</t>
        </is>
      </c>
      <c r="F125" t="n">
        <v>110</v>
      </c>
      <c r="G125" t="n">
        <v>722610.4399999999</v>
      </c>
    </row>
    <row r="126" hidden="1" s="135">
      <c r="A126" t="inlineStr">
        <is>
          <t>23/10/25</t>
        </is>
      </c>
      <c r="B126" t="inlineStr">
        <is>
          <t>NEFT CR-SCBL0036001-AMERICAN EXPRESS BANKING CORP-ROCKTAIL HOSPITALITY SERVICES-SCBLN52025102300524874</t>
        </is>
      </c>
      <c r="C126" t="inlineStr">
        <is>
          <t>SCBLN52025102300524874</t>
        </is>
      </c>
      <c r="D126" t="inlineStr">
        <is>
          <t>23/10/25</t>
        </is>
      </c>
      <c r="F126" t="n">
        <v>6198.83</v>
      </c>
      <c r="G126" t="n">
        <v>728809.27</v>
      </c>
    </row>
    <row r="127" hidden="1" s="135">
      <c r="A127" t="inlineStr">
        <is>
          <t>23/10/25</t>
        </is>
      </c>
      <c r="B127" t="inlineStr">
        <is>
          <t>42552394TERMINAL 1 CARDS SETTL. 23/10/25</t>
        </is>
      </c>
      <c r="C127" t="inlineStr">
        <is>
          <t>000000000000000</t>
        </is>
      </c>
      <c r="D127" t="inlineStr">
        <is>
          <t>23/10/25</t>
        </is>
      </c>
      <c r="F127" t="n">
        <v>14447.72</v>
      </c>
      <c r="G127" t="n">
        <v>743256.99</v>
      </c>
    </row>
    <row r="128" hidden="1" s="135">
      <c r="A128" t="inlineStr">
        <is>
          <t>23/10/25</t>
        </is>
      </c>
      <c r="B128" t="inlineStr">
        <is>
          <t>ACH D- PINE LABS PVT LTD-LKFVWNXRS92HQS</t>
        </is>
      </c>
      <c r="C128" t="inlineStr">
        <is>
          <t>0000003320579748</t>
        </is>
      </c>
      <c r="D128" t="inlineStr">
        <is>
          <t>23/10/25</t>
        </is>
      </c>
      <c r="E128" t="n">
        <v>1298</v>
      </c>
      <c r="G128" t="n">
        <v>741958.99</v>
      </c>
    </row>
    <row r="129" hidden="1" s="135">
      <c r="A129" t="inlineStr">
        <is>
          <t>23/10/25</t>
        </is>
      </c>
      <c r="B129" t="inlineStr">
        <is>
          <t>UPI-CRED CLUB-CRED.CLUB@AXISB-UTIB0000114-566210138143-PAYMENT ON CRED</t>
        </is>
      </c>
      <c r="C129" t="inlineStr">
        <is>
          <t>0000566210138143</t>
        </is>
      </c>
      <c r="D129" t="inlineStr">
        <is>
          <t>23/10/25</t>
        </is>
      </c>
      <c r="E129" t="n">
        <v>7487</v>
      </c>
      <c r="G129" t="n">
        <v>734471.99</v>
      </c>
    </row>
    <row r="130" hidden="1" s="135">
      <c r="A130" t="inlineStr">
        <is>
          <t>23/10/25</t>
        </is>
      </c>
      <c r="B130" t="inlineStr">
        <is>
          <t>IMPS-529613166068-HOUSE PARTY-HDFC-XXXXXXXXXX7641-LOAN RETURN</t>
        </is>
      </c>
      <c r="C130" t="inlineStr">
        <is>
          <t>0000529613166068</t>
        </is>
      </c>
      <c r="D130" t="inlineStr">
        <is>
          <t>23/10/25</t>
        </is>
      </c>
      <c r="E130" t="n">
        <v>200000</v>
      </c>
      <c r="G130" t="n">
        <v>534471.99</v>
      </c>
    </row>
    <row r="131" hidden="1" s="135">
      <c r="A131" t="inlineStr">
        <is>
          <t>23/10/25</t>
        </is>
      </c>
      <c r="B131" t="inlineStr">
        <is>
          <t>UPI-WOLFFPACK VENTURES P-ABHISHEK.LADHA11-1@OKAXIS-HDFC0000512-529665135013-LOAN</t>
        </is>
      </c>
      <c r="C131" t="inlineStr">
        <is>
          <t>0000529665135013</t>
        </is>
      </c>
      <c r="D131" t="inlineStr">
        <is>
          <t>23/10/25</t>
        </is>
      </c>
      <c r="F131" t="n">
        <v>50000</v>
      </c>
      <c r="G131" t="n">
        <v>584471.99</v>
      </c>
    </row>
    <row r="132" hidden="1" s="135">
      <c r="A132" t="inlineStr">
        <is>
          <t>23/10/25</t>
        </is>
      </c>
      <c r="B132" t="inlineStr">
        <is>
          <t>VENDOR PAYMENTS - ROCKTAIL HOSPITALITY DR - 57500000326520 - NEFT TRANSITORY ACCOUNT</t>
        </is>
      </c>
      <c r="C132" t="inlineStr">
        <is>
          <t>0000000000000191</t>
        </is>
      </c>
      <c r="D132" t="inlineStr">
        <is>
          <t>23/10/25</t>
        </is>
      </c>
      <c r="E132" t="n">
        <v>562427</v>
      </c>
      <c r="G132" t="n">
        <v>22044.99</v>
      </c>
    </row>
    <row r="133" hidden="1" s="135">
      <c r="A133" t="inlineStr">
        <is>
          <t>23/10/25</t>
        </is>
      </c>
      <c r="B133" t="inlineStr">
        <is>
          <t>NEFT RETURN-INCORRECT ACCOUNT NUMBER-LAXMI AGENCIES-IBKLN92025102303245025</t>
        </is>
      </c>
      <c r="C133" t="inlineStr">
        <is>
          <t>HDFCN52025102352676626</t>
        </is>
      </c>
      <c r="D133" t="inlineStr">
        <is>
          <t>23/10/25</t>
        </is>
      </c>
      <c r="F133" t="n">
        <v>1924</v>
      </c>
      <c r="G133" t="n">
        <v>23968.99</v>
      </c>
    </row>
    <row r="134" hidden="1" s="135">
      <c r="A134" t="inlineStr">
        <is>
          <t>23/10/25</t>
        </is>
      </c>
      <c r="B134" t="inlineStr">
        <is>
          <t>NEFT RETURN-INCORRECT ACCOUNT NUMBER-SRI HANUMAN AGENCIES-KVBLN52025102346825366</t>
        </is>
      </c>
      <c r="C134" t="inlineStr">
        <is>
          <t>HDFCN52025102352676639</t>
        </is>
      </c>
      <c r="D134" t="inlineStr">
        <is>
          <t>23/10/25</t>
        </is>
      </c>
      <c r="F134" t="n">
        <v>7021</v>
      </c>
      <c r="G134" t="n">
        <v>30989.99</v>
      </c>
    </row>
    <row r="135" hidden="1" s="135">
      <c r="A135" t="inlineStr">
        <is>
          <t>24/10/25</t>
        </is>
      </c>
      <c r="B135" t="inlineStr">
        <is>
          <t>NEFT CR-YESB0000001-ONE 97 COMMUNICATIONS LIMITED SETTL-ROCKTAIL HOSPITALITY SERVICES-YESBN12025102401591171</t>
        </is>
      </c>
      <c r="C135" t="inlineStr">
        <is>
          <t>YESBN12025102401591171</t>
        </is>
      </c>
      <c r="D135" t="inlineStr">
        <is>
          <t>24/10/25</t>
        </is>
      </c>
      <c r="F135" t="n">
        <v>19480</v>
      </c>
      <c r="G135" t="n">
        <v>50469.99</v>
      </c>
    </row>
    <row r="136" hidden="1" s="135">
      <c r="A136" t="inlineStr">
        <is>
          <t>24/10/25</t>
        </is>
      </c>
      <c r="B136" t="inlineStr">
        <is>
          <t>42552394TERMINAL 1 CARDS SETTL. 24/10/25</t>
        </is>
      </c>
      <c r="C136" t="inlineStr">
        <is>
          <t>000000000000000</t>
        </is>
      </c>
      <c r="D136" t="inlineStr">
        <is>
          <t>24/10/25</t>
        </is>
      </c>
      <c r="F136" t="n">
        <v>1323.06</v>
      </c>
      <c r="G136" t="n">
        <v>51793.05</v>
      </c>
    </row>
    <row r="137" hidden="1" s="135">
      <c r="A137" t="inlineStr">
        <is>
          <t>24/10/25</t>
        </is>
      </c>
      <c r="B137" t="inlineStr">
        <is>
          <t>NEFT CR-YESB0000001-SWIGGY LIMITED-ROCKTAIL HOSPITALITY SERVICES-YESBN12025102404916414</t>
        </is>
      </c>
      <c r="C137" t="inlineStr">
        <is>
          <t>YESBN12025102404916414</t>
        </is>
      </c>
      <c r="D137" t="inlineStr">
        <is>
          <t>24/10/25</t>
        </is>
      </c>
      <c r="F137" t="n">
        <v>32984.19</v>
      </c>
      <c r="G137" t="n">
        <v>84777.24000000001</v>
      </c>
    </row>
    <row r="138" hidden="1" s="135">
      <c r="A138" t="inlineStr">
        <is>
          <t>24/10/25</t>
        </is>
      </c>
      <c r="B138" t="inlineStr">
        <is>
          <t>UPI-CHIVUKULA UPENDER SH-8332842446@YESCRED-HDFC0009608-566340339670-DIWALI PUJA</t>
        </is>
      </c>
      <c r="C138" t="inlineStr">
        <is>
          <t>0000566340339670</t>
        </is>
      </c>
      <c r="D138" t="inlineStr">
        <is>
          <t>24/10/25</t>
        </is>
      </c>
      <c r="E138" t="n">
        <v>3000</v>
      </c>
      <c r="G138" t="n">
        <v>81777.24000000001</v>
      </c>
    </row>
    <row r="139" hidden="1" s="135">
      <c r="A139" t="inlineStr">
        <is>
          <t>25/10/25</t>
        </is>
      </c>
      <c r="B139" t="inlineStr">
        <is>
          <t>NEFT CR-YESB0000001-ONE 97 COMMUNICATIONS LIMITED SETTL-ROCKTAIL HOSPITALITY SERVICES-YESBN12025102501315902</t>
        </is>
      </c>
      <c r="C139" t="inlineStr">
        <is>
          <t>YESBN12025102501315902</t>
        </is>
      </c>
      <c r="D139" t="inlineStr">
        <is>
          <t>25/10/25</t>
        </is>
      </c>
      <c r="F139" t="n">
        <v>36652.21</v>
      </c>
      <c r="G139" t="n">
        <v>118429.45</v>
      </c>
    </row>
    <row r="140" hidden="1" s="135">
      <c r="A140" t="inlineStr">
        <is>
          <t>25/10/25</t>
        </is>
      </c>
      <c r="B140" t="inlineStr">
        <is>
          <t>NEFT CR-UTIB0001506-PHONEPE LIMITED-PAYMENT AGGREGATOR ESCROW ACCOUNT-ROCKTAIL HOSPITALITY-UTIBN62025102546303839</t>
        </is>
      </c>
      <c r="C140" t="inlineStr">
        <is>
          <t>UTIBN62025102546303839</t>
        </is>
      </c>
      <c r="D140" t="inlineStr">
        <is>
          <t>25/10/25</t>
        </is>
      </c>
      <c r="F140" t="n">
        <v>220</v>
      </c>
      <c r="G140" t="n">
        <v>118649.45</v>
      </c>
    </row>
    <row r="141" hidden="1" s="135">
      <c r="A141" t="inlineStr">
        <is>
          <t>26/10/25</t>
        </is>
      </c>
      <c r="B141" t="inlineStr">
        <is>
          <t>NEFT CR-YESB0000001-ONE 97 COMMUNICATIONS LIMITED SETTL-ROCKTAIL HOSPITALITY SERVICES-YESBN12025102601257886</t>
        </is>
      </c>
      <c r="C141" t="inlineStr">
        <is>
          <t>YESBN12025102601257886</t>
        </is>
      </c>
      <c r="D141" t="inlineStr">
        <is>
          <t>26/10/25</t>
        </is>
      </c>
      <c r="F141" t="n">
        <v>49021.23</v>
      </c>
      <c r="G141" t="n">
        <v>167670.68</v>
      </c>
    </row>
    <row r="142" hidden="1" s="135">
      <c r="A142" t="inlineStr">
        <is>
          <t>26/10/25</t>
        </is>
      </c>
      <c r="B142" t="inlineStr">
        <is>
          <t>NEFT CR-UTIB0001506-PHONEPE LIMITED-PAYMENT AGGREGATOR ESCROW ACCOUNT-ROCKTAIL HOSPITALITY-UTIBN62025102656587443</t>
        </is>
      </c>
      <c r="C142" t="inlineStr">
        <is>
          <t>UTIBN62025102656587443</t>
        </is>
      </c>
      <c r="D142" t="inlineStr">
        <is>
          <t>26/10/25</t>
        </is>
      </c>
      <c r="F142" t="n">
        <v>110</v>
      </c>
      <c r="G142" t="n">
        <v>167780.68</v>
      </c>
    </row>
    <row r="143" hidden="1" s="135">
      <c r="A143" t="inlineStr">
        <is>
          <t>26/10/25</t>
        </is>
      </c>
      <c r="B143" t="inlineStr">
        <is>
          <t>42552394TERMINAL 1 CARDS SETTL. 26/10/25</t>
        </is>
      </c>
      <c r="C143" t="inlineStr">
        <is>
          <t>000000000000000</t>
        </is>
      </c>
      <c r="D143" t="inlineStr">
        <is>
          <t>26/10/25</t>
        </is>
      </c>
      <c r="F143" t="n">
        <v>23146.27</v>
      </c>
      <c r="G143" t="n">
        <v>190926.95</v>
      </c>
    </row>
    <row r="144" hidden="1" s="135">
      <c r="A144" t="inlineStr">
        <is>
          <t>26/10/25</t>
        </is>
      </c>
      <c r="B144" t="inlineStr">
        <is>
          <t>IMPS-529912104492-HOUSE PARTY-HDFC-XXXXXXXXXX7641-ELECTRICITY BILL</t>
        </is>
      </c>
      <c r="C144" t="inlineStr">
        <is>
          <t>0000529912104492</t>
        </is>
      </c>
      <c r="D144" t="inlineStr">
        <is>
          <t>26/10/25</t>
        </is>
      </c>
      <c r="E144" t="n">
        <v>117500</v>
      </c>
      <c r="G144" t="n">
        <v>73426.95</v>
      </c>
    </row>
    <row r="145" hidden="1" s="135">
      <c r="A145" t="inlineStr">
        <is>
          <t>26/10/25</t>
        </is>
      </c>
      <c r="B145" t="inlineStr">
        <is>
          <t>UPI-P ARUN KUMAR-93937475761967@IBL-BARB0ASRAON-113226240320-STAFF RENT</t>
        </is>
      </c>
      <c r="C145" t="inlineStr">
        <is>
          <t>0000113226240320</t>
        </is>
      </c>
      <c r="D145" t="inlineStr">
        <is>
          <t>26/10/25</t>
        </is>
      </c>
      <c r="E145" t="n">
        <v>12751</v>
      </c>
      <c r="G145" t="n">
        <v>60675.95</v>
      </c>
    </row>
    <row r="146" hidden="1" s="135">
      <c r="A146" t="inlineStr">
        <is>
          <t>26/10/25</t>
        </is>
      </c>
      <c r="B146" t="inlineStr">
        <is>
          <t>UPI-SUJOY GHOSH-GSUJOY009@OKHDFCBANK-HDFC0009383-566540142891-STAFF ROOM</t>
        </is>
      </c>
      <c r="C146" t="inlineStr">
        <is>
          <t>0000566540142891</t>
        </is>
      </c>
      <c r="D146" t="inlineStr">
        <is>
          <t>26/10/25</t>
        </is>
      </c>
      <c r="E146" t="n">
        <v>8000</v>
      </c>
      <c r="G146" t="n">
        <v>52675.95</v>
      </c>
    </row>
    <row r="147" hidden="1" s="135">
      <c r="A147" t="inlineStr">
        <is>
          <t>27/10/25</t>
        </is>
      </c>
      <c r="B147" t="inlineStr">
        <is>
          <t>NEFT CR-YESB0000001-ONE 97 COMMUNICATIONS LIMITED SETTL-ROCKTAIL HOSPITALITY SERVICES-YESBN12025102702384026</t>
        </is>
      </c>
      <c r="C147" t="inlineStr">
        <is>
          <t>YESBN12025102702384026</t>
        </is>
      </c>
      <c r="D147" t="inlineStr">
        <is>
          <t>27/10/25</t>
        </is>
      </c>
      <c r="F147" t="n">
        <v>63344.01</v>
      </c>
      <c r="G147" t="n">
        <v>116019.96</v>
      </c>
    </row>
    <row r="148" hidden="1" s="135">
      <c r="A148" t="inlineStr">
        <is>
          <t>27/10/25</t>
        </is>
      </c>
      <c r="B148" t="inlineStr">
        <is>
          <t>NEFT CR-UTIB0001506-PHONEPE LIMITED-PAYMENT AGGREGATOR ESCROW ACCOUNT-ROCKTAIL HOSPITALITY-UTIBN62025102766283201</t>
        </is>
      </c>
      <c r="C148" t="inlineStr">
        <is>
          <t>UTIBN62025102766283201</t>
        </is>
      </c>
      <c r="D148" t="inlineStr">
        <is>
          <t>27/10/25</t>
        </is>
      </c>
      <c r="F148" t="n">
        <v>330</v>
      </c>
      <c r="G148" t="n">
        <v>116349.96</v>
      </c>
    </row>
    <row r="149" hidden="1" s="135">
      <c r="A149" t="inlineStr">
        <is>
          <t>27/10/25</t>
        </is>
      </c>
      <c r="B149" t="inlineStr">
        <is>
          <t>42552394TERMINAL 1 CARDS SETTL. 27/10/25</t>
        </is>
      </c>
      <c r="C149" t="inlineStr">
        <is>
          <t>000000000000000</t>
        </is>
      </c>
      <c r="D149" t="inlineStr">
        <is>
          <t>27/10/25</t>
        </is>
      </c>
      <c r="F149" t="n">
        <v>14880.3</v>
      </c>
      <c r="G149" t="n">
        <v>131230.26</v>
      </c>
    </row>
    <row r="150" hidden="1" s="135">
      <c r="A150" t="inlineStr">
        <is>
          <t>27/10/25</t>
        </is>
      </c>
      <c r="B150" t="inlineStr">
        <is>
          <t>UPI-SATYAJIT   JAUR-SATYAJITJAUR@OKICICI-KKBK0000565-113256799309-LOVE BAKERY</t>
        </is>
      </c>
      <c r="C150" t="inlineStr">
        <is>
          <t>0000113256799309</t>
        </is>
      </c>
      <c r="D150" t="inlineStr">
        <is>
          <t>27/10/25</t>
        </is>
      </c>
      <c r="E150" t="n">
        <v>10318</v>
      </c>
      <c r="G150" t="n">
        <v>120912.26</v>
      </c>
    </row>
    <row r="151">
      <c r="A151" t="inlineStr">
        <is>
          <t>27/10/25</t>
        </is>
      </c>
      <c r="B151" t="inlineStr">
        <is>
          <t>NEFT CR-CITI0000002-ETERNAL LIMITED-ROCKTAIL HOSPITALITY SERVICES-CITIN52025102744279131</t>
        </is>
      </c>
      <c r="C151" t="inlineStr">
        <is>
          <t>CITIN52025102744279131</t>
        </is>
      </c>
      <c r="D151" t="inlineStr">
        <is>
          <t>27/10/25</t>
        </is>
      </c>
      <c r="F151" t="n">
        <v>65157.11</v>
      </c>
      <c r="G151" t="n">
        <v>186069.37</v>
      </c>
    </row>
    <row r="152" hidden="1" s="135">
      <c r="A152" t="inlineStr">
        <is>
          <t>27/10/25</t>
        </is>
      </c>
      <c r="B152" t="inlineStr">
        <is>
          <t>UPI-CHURROLTO FOODS PRIV-CHURROLTO@YBL-HDFC0003974-113265686087-CHUROLTO PURCHASE</t>
        </is>
      </c>
      <c r="C152" t="inlineStr">
        <is>
          <t>0000113265686087</t>
        </is>
      </c>
      <c r="D152" t="inlineStr">
        <is>
          <t>27/10/25</t>
        </is>
      </c>
      <c r="E152" t="n">
        <v>17591</v>
      </c>
      <c r="G152" t="n">
        <v>168478.37</v>
      </c>
    </row>
    <row r="153" hidden="1" s="135">
      <c r="A153" t="inlineStr">
        <is>
          <t>28/10/25</t>
        </is>
      </c>
      <c r="B153" t="inlineStr">
        <is>
          <t>NEFT CR-YESB0000001-ONE 97 COMMUNICATIONS LIMITED SETTL-ROCKTAIL HOSPITALITY SERVICES-YESBN12025102800759935</t>
        </is>
      </c>
      <c r="C153" t="inlineStr">
        <is>
          <t>YESBN12025102800759935</t>
        </is>
      </c>
      <c r="D153" t="inlineStr">
        <is>
          <t>28/10/25</t>
        </is>
      </c>
      <c r="F153" t="n">
        <v>23074.76</v>
      </c>
      <c r="G153" t="n">
        <v>191553.13</v>
      </c>
    </row>
    <row r="154" hidden="1" s="135">
      <c r="A154" t="inlineStr">
        <is>
          <t>28/10/25</t>
        </is>
      </c>
      <c r="B154" t="inlineStr">
        <is>
          <t>42552394TERMINAL 1 CARDS SETTL. 28/10/25</t>
        </is>
      </c>
      <c r="C154" t="inlineStr">
        <is>
          <t>000000000000000</t>
        </is>
      </c>
      <c r="D154" t="inlineStr">
        <is>
          <t>28/10/25</t>
        </is>
      </c>
      <c r="F154" t="n">
        <v>11638.87</v>
      </c>
      <c r="G154" t="n">
        <v>203192</v>
      </c>
    </row>
    <row r="155" hidden="1" s="135">
      <c r="A155" t="inlineStr">
        <is>
          <t>28/10/25</t>
        </is>
      </c>
      <c r="B155" t="inlineStr">
        <is>
          <t>UPI-GAMPA AMBA PRASAD-PRASADUCANMAIL@OKHDFCBANK-HDFC0004262-113296668851-MILK VENDOR</t>
        </is>
      </c>
      <c r="C155" t="inlineStr">
        <is>
          <t>0000113296668851</t>
        </is>
      </c>
      <c r="D155" t="inlineStr">
        <is>
          <t>28/10/25</t>
        </is>
      </c>
      <c r="E155" t="n">
        <v>3570</v>
      </c>
      <c r="G155" t="n">
        <v>199622</v>
      </c>
    </row>
    <row r="156" hidden="1" s="135">
      <c r="A156" t="inlineStr">
        <is>
          <t>28/10/25</t>
        </is>
      </c>
      <c r="B156" t="inlineStr">
        <is>
          <t>NEFT CR-YESB0000001-SWIGGY LIMITED-ROCKTAIL HOSPITALITY SERVICES-YESBN12025102805002383</t>
        </is>
      </c>
      <c r="C156" t="inlineStr">
        <is>
          <t>YESBN12025102805002383</t>
        </is>
      </c>
      <c r="D156" t="inlineStr">
        <is>
          <t>28/10/25</t>
        </is>
      </c>
      <c r="F156" t="n">
        <v>58109.58</v>
      </c>
      <c r="G156" t="n">
        <v>257731.58</v>
      </c>
    </row>
    <row r="157" hidden="1" s="135">
      <c r="A157" t="inlineStr">
        <is>
          <t>29/10/25</t>
        </is>
      </c>
      <c r="B157" t="inlineStr">
        <is>
          <t>UPI-AIRTEL-AIRTEL4.PAYU@ICICI-ICIC0DC0099-530274291644-UPI MANDATE</t>
        </is>
      </c>
      <c r="C157" t="inlineStr">
        <is>
          <t>0000530274291644</t>
        </is>
      </c>
      <c r="D157" t="inlineStr">
        <is>
          <t>29/10/25</t>
        </is>
      </c>
      <c r="E157" t="n">
        <v>4718.82</v>
      </c>
      <c r="G157" t="n">
        <v>253012.76</v>
      </c>
    </row>
    <row r="158" hidden="1" s="135">
      <c r="A158" t="inlineStr">
        <is>
          <t>29/10/25</t>
        </is>
      </c>
      <c r="B158" t="inlineStr">
        <is>
          <t>NEFT CR-YESB0000001-ONE 97 COMMUNICATIONS LIMITED SETTL-ROCKTAIL HOSPITALITY SERVICES-YESBN12025102900875545</t>
        </is>
      </c>
      <c r="C158" t="inlineStr">
        <is>
          <t>YESBN12025102900875545</t>
        </is>
      </c>
      <c r="D158" t="inlineStr">
        <is>
          <t>29/10/25</t>
        </is>
      </c>
      <c r="F158" t="n">
        <v>20033.91</v>
      </c>
      <c r="G158" t="n">
        <v>273046.67</v>
      </c>
    </row>
    <row r="159" hidden="1" s="135">
      <c r="A159" t="inlineStr">
        <is>
          <t>29/10/25</t>
        </is>
      </c>
      <c r="B159" t="inlineStr">
        <is>
          <t>NEFT CR-UTIB0001506-PHONEPE LIMITED-PAYMENT AGGREGATOR ESCROW ACCOUNT-ROCKTAIL HOSPITALITY-UTIBN62025102988649977</t>
        </is>
      </c>
      <c r="C159" t="inlineStr">
        <is>
          <t>UTIBN62025102988649977</t>
        </is>
      </c>
      <c r="D159" t="inlineStr">
        <is>
          <t>29/10/25</t>
        </is>
      </c>
      <c r="F159" t="n">
        <v>286</v>
      </c>
      <c r="G159" t="n">
        <v>273332.67</v>
      </c>
    </row>
    <row r="160" hidden="1" s="135">
      <c r="A160" t="inlineStr">
        <is>
          <t>29/10/25</t>
        </is>
      </c>
      <c r="B160" t="inlineStr">
        <is>
          <t>42552394TERMINAL 1 CARDS SETTL. 29/10/25</t>
        </is>
      </c>
      <c r="C160" t="inlineStr">
        <is>
          <t>000000000000000</t>
        </is>
      </c>
      <c r="D160" t="inlineStr">
        <is>
          <t>29/10/25</t>
        </is>
      </c>
      <c r="F160" t="n">
        <v>5616.99</v>
      </c>
      <c r="G160" t="n">
        <v>278949.66</v>
      </c>
    </row>
    <row r="161" hidden="1" s="135">
      <c r="A161" t="inlineStr">
        <is>
          <t>29/10/25</t>
        </is>
      </c>
      <c r="B161" t="inlineStr">
        <is>
          <t>UPI-SHREY SINGH-SHREYSINGH0501-1@OKHDFCBANK-HDFC0004216-113331491172-LEGAL</t>
        </is>
      </c>
      <c r="C161" t="inlineStr">
        <is>
          <t>0000113331491172</t>
        </is>
      </c>
      <c r="D161" t="inlineStr">
        <is>
          <t>29/10/25</t>
        </is>
      </c>
      <c r="E161" t="n">
        <v>2500</v>
      </c>
      <c r="G161" t="n">
        <v>276449.66</v>
      </c>
    </row>
    <row r="162" hidden="1" s="135">
      <c r="A162" t="inlineStr">
        <is>
          <t>29/10/25</t>
        </is>
      </c>
      <c r="B162" t="inlineStr">
        <is>
          <t>UPI-GHANSHYAM TAK-9032357065TAK-1@OKHDFCBANK-BARB0CHILAK-566868538255-DIWALI SWEETS</t>
        </is>
      </c>
      <c r="C162" t="inlineStr">
        <is>
          <t>0000566868538255</t>
        </is>
      </c>
      <c r="D162" t="inlineStr">
        <is>
          <t>29/10/25</t>
        </is>
      </c>
      <c r="E162" t="n">
        <v>5460</v>
      </c>
      <c r="G162" t="n">
        <v>270989.66</v>
      </c>
    </row>
    <row r="163" hidden="1" s="135">
      <c r="A163" t="inlineStr">
        <is>
          <t>29/10/25</t>
        </is>
      </c>
      <c r="B163" t="inlineStr">
        <is>
          <t>NEFT CR-UTIB0000052-BUNDL TECHNOLOGIES PRIVATE LIMITED-ROCKTAIL HOSPITALITY SERVICES-UTIBN62025102990401735</t>
        </is>
      </c>
      <c r="C163" t="inlineStr">
        <is>
          <t>UTIBN62025102990401735</t>
        </is>
      </c>
      <c r="D163" t="inlineStr">
        <is>
          <t>29/10/25</t>
        </is>
      </c>
      <c r="F163" t="n">
        <v>36388.42</v>
      </c>
      <c r="G163" t="n">
        <v>307378.08</v>
      </c>
    </row>
    <row r="164">
      <c r="A164" t="inlineStr">
        <is>
          <t>29/10/25</t>
        </is>
      </c>
      <c r="B164" t="inlineStr">
        <is>
          <t>NEFT CR-CITI0000002-ETERNAL LIMITED-ROCKTAIL HOSPITALITY SERVICES-CITIN52025102945837468</t>
        </is>
      </c>
      <c r="C164" t="inlineStr">
        <is>
          <t>CITIN52025102945837468</t>
        </is>
      </c>
      <c r="D164" t="inlineStr">
        <is>
          <t>29/10/25</t>
        </is>
      </c>
      <c r="F164" t="n">
        <v>65058.96</v>
      </c>
      <c r="G164" t="n">
        <v>372437.04</v>
      </c>
    </row>
    <row r="165" hidden="1" s="135">
      <c r="A165" t="inlineStr">
        <is>
          <t>30/10/25</t>
        </is>
      </c>
      <c r="B165" t="inlineStr">
        <is>
          <t>NEFT CR-YESB0000001-ONE 97 COMMUNICATIONS LIMITED SETTL-ROCKTAIL HOSPITALITY SERVICES-YESBN12025103001214775</t>
        </is>
      </c>
      <c r="C165" t="inlineStr">
        <is>
          <t>YESBN12025103001214775</t>
        </is>
      </c>
      <c r="D165" t="inlineStr">
        <is>
          <t>30/10/25</t>
        </is>
      </c>
      <c r="F165" t="n">
        <v>18326</v>
      </c>
      <c r="G165" t="n">
        <v>390763.04</v>
      </c>
    </row>
    <row r="166" hidden="1" s="135">
      <c r="A166" t="inlineStr">
        <is>
          <t>30/10/25</t>
        </is>
      </c>
      <c r="B166" t="inlineStr">
        <is>
          <t>NEFT CR-UTIB0001506-PHONEPE LIMITED-PAYMENT AGGREGATOR ESCROW ACCOUNT-ROCKTAIL HOSPITALITY-UTIBN62025103000023706</t>
        </is>
      </c>
      <c r="C166" t="inlineStr">
        <is>
          <t>UTIBN62025103000023706</t>
        </is>
      </c>
      <c r="D166" t="inlineStr">
        <is>
          <t>30/10/25</t>
        </is>
      </c>
      <c r="F166" t="n">
        <v>110</v>
      </c>
      <c r="G166" t="n">
        <v>390873.04</v>
      </c>
    </row>
    <row r="167" hidden="1" s="135">
      <c r="A167" t="inlineStr">
        <is>
          <t>30/10/25</t>
        </is>
      </c>
      <c r="B167" t="inlineStr">
        <is>
          <t>42552394TERMINAL 1 CARDS SETTL. 30/10/25</t>
        </is>
      </c>
      <c r="C167" t="inlineStr">
        <is>
          <t>000000000000000</t>
        </is>
      </c>
      <c r="D167" t="inlineStr">
        <is>
          <t>30/10/25</t>
        </is>
      </c>
      <c r="F167" t="n">
        <v>9881.709999999999</v>
      </c>
      <c r="G167" t="n">
        <v>400754.75</v>
      </c>
    </row>
    <row r="168" hidden="1" s="135">
      <c r="A168" t="inlineStr">
        <is>
          <t>30/10/25</t>
        </is>
      </c>
      <c r="B168" t="inlineStr">
        <is>
          <t>UPI-BUTUKURI CHANDRA RED-CHREDDY332@IBL-UBIN0803944-530301632344-BENNE LEAF</t>
        </is>
      </c>
      <c r="C168" t="inlineStr">
        <is>
          <t>0000530301632344</t>
        </is>
      </c>
      <c r="D168" t="inlineStr">
        <is>
          <t>30/10/25</t>
        </is>
      </c>
      <c r="E168" t="n">
        <v>2000</v>
      </c>
      <c r="G168" t="n">
        <v>398754.75</v>
      </c>
    </row>
    <row r="169" hidden="1" s="135">
      <c r="A169" t="inlineStr">
        <is>
          <t>30/10/25</t>
        </is>
      </c>
      <c r="B169" t="inlineStr">
        <is>
          <t>UPI-BUTUKURI CHANDRA RED-CHREDDY332@IBL-UBIN0803944-566942126755-BENNE</t>
        </is>
      </c>
      <c r="C169" t="inlineStr">
        <is>
          <t>0000566942126755</t>
        </is>
      </c>
      <c r="D169" t="inlineStr">
        <is>
          <t>30/10/25</t>
        </is>
      </c>
      <c r="E169" t="n">
        <v>100</v>
      </c>
      <c r="G169" t="n">
        <v>398654.75</v>
      </c>
    </row>
    <row r="170" hidden="1" s="135">
      <c r="A170" t="inlineStr">
        <is>
          <t>30/10/25</t>
        </is>
      </c>
      <c r="B170" t="inlineStr">
        <is>
          <t>NEFT DR-UTIB0003241-SRINIVAS AGENCY-NETBANK, MUM-HDFCN52025103063055650-JULY VENDOR</t>
        </is>
      </c>
      <c r="C170" t="inlineStr">
        <is>
          <t>HDFCN52025103063055650</t>
        </is>
      </c>
      <c r="D170" t="inlineStr">
        <is>
          <t>30/10/25</t>
        </is>
      </c>
      <c r="E170" t="n">
        <v>150788</v>
      </c>
      <c r="G170" t="n">
        <v>247866.75</v>
      </c>
    </row>
    <row r="171" hidden="1" s="135">
      <c r="A171" t="inlineStr">
        <is>
          <t>30/10/25</t>
        </is>
      </c>
      <c r="B171" t="inlineStr">
        <is>
          <t>UPI-DIGGYREDDY KUSHAL RE-9908441203@YBL-HDFC0004343-113388314228-GAS VENDOR</t>
        </is>
      </c>
      <c r="C171" t="inlineStr">
        <is>
          <t>0000113388314228</t>
        </is>
      </c>
      <c r="D171" t="inlineStr">
        <is>
          <t>30/10/25</t>
        </is>
      </c>
      <c r="E171" t="n">
        <v>71380</v>
      </c>
      <c r="G171" t="n">
        <v>176486.75</v>
      </c>
    </row>
    <row r="172" hidden="1" s="135">
      <c r="A172" t="inlineStr">
        <is>
          <t>31/10/25</t>
        </is>
      </c>
      <c r="B172" t="inlineStr">
        <is>
          <t>NEFT CR-YESB0000001-ONE 97 COMMUNICATIONS LIMITED SETTL-ROCKTAIL HOSPITALITY SERVICES-YESBN12025103101226643</t>
        </is>
      </c>
      <c r="C172" t="inlineStr">
        <is>
          <t>YESBN12025103101226643</t>
        </is>
      </c>
      <c r="D172" t="inlineStr">
        <is>
          <t>31/10/25</t>
        </is>
      </c>
      <c r="F172" t="n">
        <v>32765.24</v>
      </c>
      <c r="G172" t="n">
        <v>209251.99</v>
      </c>
    </row>
    <row r="173" hidden="1" s="135">
      <c r="A173" t="inlineStr">
        <is>
          <t>31/10/25</t>
        </is>
      </c>
      <c r="B173" t="inlineStr">
        <is>
          <t>42552394TERMINAL 1 CARDS SETTL. 31/10/25</t>
        </is>
      </c>
      <c r="C173" t="inlineStr">
        <is>
          <t>000000000000000</t>
        </is>
      </c>
      <c r="D173" t="inlineStr">
        <is>
          <t>31/10/25</t>
        </is>
      </c>
      <c r="F173" t="n">
        <v>8133.02</v>
      </c>
      <c r="G173" t="n">
        <v>217385.01</v>
      </c>
    </row>
    <row r="174"/>
    <row r="175"/>
    <row r="176"/>
    <row r="177"/>
    <row r="178"/>
  </sheetData>
  <autoFilter ref="A10:G173">
    <filterColumn colId="1" hiddenButton="0" showButton="1">
      <filters>
        <filter val="NEFT CR-CITI0000002-ETERNAL LIMITED-ROCKTAIL HOSPITALITY SERVICES-CITIN52025100134584901"/>
        <filter val="NEFT CR-CITI0000002-ETERNAL LIMITED-ROCKTAIL HOSPITALITY SERVICES-CITIN52025100636240957"/>
        <filter val="NEFT CR-CITI0000002-ETERNAL LIMITED-ROCKTAIL HOSPITALITY SERVICES-CITIN52025100837147976"/>
        <filter val="NEFT CR-CITI0000002-ETERNAL LIMITED-ROCKTAIL HOSPITALITY SERVICES-CITIN52025101338860064"/>
        <filter val="NEFT CR-CITI0000002-ETERNAL LIMITED-ROCKTAIL HOSPITALITY SERVICES-CITIN52025101539958263"/>
        <filter val="NEFT CR-CITI0000002-ETERNAL LIMITED-ROCKTAIL HOSPITALITY SERVICES-CITIN52025102041871588"/>
        <filter val="NEFT CR-CITI0000002-ETERNAL LIMITED-ROCKTAIL HOSPITALITY SERVICES-CITIN52025102242479154"/>
        <filter val="NEFT CR-CITI0000002-ETERNAL LIMITED-ROCKTAIL HOSPITALITY SERVICES-CITIN52025102744279131"/>
        <filter val="NEFT CR-CITI0000002-ETERNAL LIMITED-ROCKTAIL HOSPITALITY SERVICES-CITIN52025102945837468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</row>
    <row r="2"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[Promo]</t>
        </is>
      </c>
      <c r="S5" t="inlineStr">
        <is>
          <t>Restaurant Discount [BOGO, Freebies, Gold, Brand pack &amp; others]</t>
        </is>
      </c>
      <c r="T5" t="inlineStr">
        <is>
          <t xml:space="preserve">Brand pack subscription fee </t>
        </is>
      </c>
      <c r="U5" t="inlineStr">
        <is>
          <t xml:space="preserve">Delivery charge discount 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(excludes customer GST)
[(A) + (7) - (8) - (6) - (3)]</t>
        </is>
      </c>
      <c r="Y5" t="inlineStr">
        <is>
          <t>Service fees %</t>
        </is>
      </c>
      <c r="Z5" t="inlineStr">
        <is>
          <t>Service fee
[ (9) * (10) ]</t>
        </is>
      </c>
      <c r="AA5" t="inlineStr">
        <is>
          <t>Payment mechanism fee</t>
        </is>
      </c>
      <c r="AB5" t="inlineStr">
        <is>
          <t>Service fee &amp; payment mechanism fees
[(11) + (12)]</t>
        </is>
      </c>
      <c r="AC5" t="inlineStr">
        <is>
          <t>Taxes on service &amp; payment mechanism fees
(B) * 18%</t>
        </is>
      </c>
      <c r="AD5" t="inlineStr">
        <is>
          <t>Applicable amount for TCS</t>
        </is>
      </c>
      <c r="AE5" t="inlineStr">
        <is>
          <t>Applicable amount for 9(5)</t>
        </is>
      </c>
      <c r="AF5" t="inlineStr">
        <is>
          <t>Tax collected at source</t>
        </is>
      </c>
      <c r="AG5" t="inlineStr">
        <is>
          <t>TCS IGST amount</t>
        </is>
      </c>
      <c r="AH5" t="inlineStr">
        <is>
          <t>TDS 194O amount</t>
        </is>
      </c>
      <c r="AI5" t="inlineStr">
        <is>
          <t>GST paid by Zomato on behalf of restaurant - under section 9(5)</t>
        </is>
      </c>
      <c r="AJ5" t="inlineStr">
        <is>
          <t>GST to be paid by Restaurant partner to Govt.</t>
        </is>
      </c>
      <c r="AK5" t="inlineStr">
        <is>
          <t>Government charges
[(13) + (16) + (17) + (18) + (19)]</t>
        </is>
      </c>
      <c r="AL5" t="inlineStr">
        <is>
          <t>Customer Compensation/Recoupment</t>
        </is>
      </c>
      <c r="AM5" t="inlineStr">
        <is>
          <t>Delivery Charges Recovery</t>
        </is>
      </c>
      <c r="AN5" t="inlineStr">
        <is>
          <t>Amount received in cash (on self delivery orders)</t>
        </is>
      </c>
      <c r="AO5" t="inlineStr">
        <is>
          <t>Credit note/(Debit Note) adjustment</t>
        </is>
      </c>
      <c r="AP5" t="inlineStr">
        <is>
          <t>Promo recovery adjustment</t>
        </is>
      </c>
      <c r="AQ5" t="inlineStr">
        <is>
          <t>Extra Inventory Ads and Misc. (order level deduction)</t>
        </is>
      </c>
      <c r="AR5" t="inlineStr">
        <is>
          <t>Brand loyalty points redemption</t>
        </is>
      </c>
      <c r="AS5" t="inlineStr">
        <is>
          <t>Express Order Fee</t>
        </is>
      </c>
      <c r="AT5" t="inlineStr">
        <is>
          <t>Other order-level deductions
[(21) + (22) + (23) + (24) + (25) + (26) + (27) + (28)]</t>
        </is>
      </c>
      <c r="AU5" t="inlineStr">
        <is>
          <t>Net Deductions
(B) + (C) + (D)</t>
        </is>
      </c>
      <c r="AV5" t="inlineStr">
        <is>
          <t>Net Additions 
(cancellation refund for cancelled orders/Tip for Kitchen Staff for delivered orders)</t>
        </is>
      </c>
      <c r="AW5" t="inlineStr">
        <is>
          <t>Order level Payout
(A) - (E) + (F)</t>
        </is>
      </c>
      <c r="AX5" t="inlineStr">
        <is>
          <t>Settlement status</t>
        </is>
      </c>
      <c r="AY5" t="inlineStr">
        <is>
          <t>Settlement date</t>
        </is>
      </c>
      <c r="AZ5" t="inlineStr">
        <is>
          <t>Bank UTR</t>
        </is>
      </c>
      <c r="BA5" t="inlineStr">
        <is>
          <t>Unsettled Amount</t>
        </is>
      </c>
      <c r="BB5" t="inlineStr">
        <is>
          <t>Customer 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(non-order 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ADS</t>
        </is>
      </c>
      <c r="C13" t="inlineStr">
        <is>
          <t>18557902</t>
        </is>
      </c>
      <c r="D13" t="inlineStr">
        <is>
          <t>33168698</t>
        </is>
      </c>
      <c r="E13" t="inlineStr">
        <is>
          <t>07 January 26 - 11 January 26</t>
        </is>
      </c>
      <c r="F13" t="inlineStr">
        <is>
          <t>settled</t>
        </is>
      </c>
      <c r="G13" t="n">
        <v>4001.61</v>
      </c>
      <c r="H13" t="n">
        <v>4001.61</v>
      </c>
      <c r="I13" t="n">
        <v>0</v>
      </c>
    </row>
    <row r="14">
      <c r="B14" t="inlineStr">
        <is>
          <t>ADS</t>
        </is>
      </c>
      <c r="C14" t="inlineStr">
        <is>
          <t>18557902</t>
        </is>
      </c>
      <c r="D14" t="inlineStr">
        <is>
          <t>33001818</t>
        </is>
      </c>
      <c r="E14" t="inlineStr">
        <is>
          <t>05 January 26 - 06 January 26</t>
        </is>
      </c>
      <c r="F14" t="inlineStr">
        <is>
          <t>settled</t>
        </is>
      </c>
      <c r="G14" t="n">
        <v>892.08</v>
      </c>
      <c r="H14" t="n">
        <v>892.08</v>
      </c>
      <c r="I14" t="n">
        <v>0</v>
      </c>
    </row>
    <row r="15">
      <c r="B15" t="inlineStr">
        <is>
          <t>Total Ads &amp; miscellaneous services</t>
        </is>
      </c>
      <c r="G15" t="n">
        <v>4893.69</v>
      </c>
      <c r="H15" t="n">
        <v>4893.69</v>
      </c>
      <c r="I15" t="n">
        <v>0</v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B17" t="inlineStr">
        <is>
          <t>B) Investments in Hyperpure</t>
        </is>
      </c>
    </row>
    <row r="18">
      <c r="B18" t="inlineStr">
        <is>
          <t>Type</t>
        </is>
      </c>
      <c r="C18" t="inlineStr">
        <is>
          <t>Res id for which deduction created</t>
        </is>
      </c>
      <c r="D18" t="inlineStr">
        <is>
          <t>OrderId</t>
        </is>
      </c>
      <c r="E18" t="inlineStr">
        <is>
          <t>Deduction time period</t>
        </is>
      </c>
      <c r="F18" t="inlineStr">
        <is>
          <t>Settlement Status</t>
        </is>
      </c>
      <c r="G18" t="inlineStr">
        <is>
          <t>Total amount</t>
        </is>
      </c>
      <c r="H18" t="inlineStr">
        <is>
          <t>Adjusted amount</t>
        </is>
      </c>
      <c r="I18" t="inlineStr">
        <is>
          <t>Outstanding amount</t>
        </is>
      </c>
    </row>
    <row r="19">
      <c r="B19" t="inlineStr">
        <is>
          <t>Total Hyperpure</t>
        </is>
      </c>
      <c r="G19" t="n">
        <v>0</v>
      </c>
      <c r="H19" t="n">
        <v>0</v>
      </c>
      <c r="I19" t="n">
        <v>0</v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B21" t="inlineStr">
        <is>
          <t>C) Other deductions</t>
        </is>
      </c>
    </row>
    <row r="22">
      <c r="B22" t="inlineStr">
        <is>
          <t>D) Adjustments from previous weeks</t>
        </is>
      </c>
    </row>
    <row r="23">
      <c r="B23" t="inlineStr">
        <is>
          <t>Total Deductions (A) + (B) + (C)</t>
        </is>
      </c>
      <c r="C23" t="inlineStr"/>
      <c r="D23" t="inlineStr"/>
      <c r="E23" t="inlineStr"/>
      <c r="F23" t="inlineStr"/>
      <c r="G23" t="n">
        <v>4893.69</v>
      </c>
      <c r="H23" t="n">
        <v>4893.69</v>
      </c>
      <c r="I2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</row>
    <row r="2"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[Promo]</t>
        </is>
      </c>
      <c r="S5" t="inlineStr">
        <is>
          <t>Restaurant Discount [BOGO, Freebies, Gold, Brand pack &amp; others]</t>
        </is>
      </c>
      <c r="T5" t="inlineStr">
        <is>
          <t xml:space="preserve">Brand pack subscription fee </t>
        </is>
      </c>
      <c r="U5" t="inlineStr">
        <is>
          <t xml:space="preserve">Delivery charge discount 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(excludes customer GST)
[(A) + (7) - (8) - (6) - (3)]</t>
        </is>
      </c>
      <c r="Y5" t="inlineStr">
        <is>
          <t>Service fees %</t>
        </is>
      </c>
      <c r="Z5" t="inlineStr">
        <is>
          <t>Service fee
[ (9) * (10) ]</t>
        </is>
      </c>
      <c r="AA5" t="inlineStr">
        <is>
          <t>Payment mechanism fee</t>
        </is>
      </c>
      <c r="AB5" t="inlineStr">
        <is>
          <t>Service fee &amp; payment mechanism fees
[(11) + (12)]</t>
        </is>
      </c>
      <c r="AC5" t="inlineStr">
        <is>
          <t>Taxes on service &amp; payment mechanism fees
(B) * 18%</t>
        </is>
      </c>
      <c r="AD5" t="inlineStr">
        <is>
          <t>Applicable amount for TCS</t>
        </is>
      </c>
      <c r="AE5" t="inlineStr">
        <is>
          <t>Applicable amount for 9(5)</t>
        </is>
      </c>
      <c r="AF5" t="inlineStr">
        <is>
          <t>Tax collected at source</t>
        </is>
      </c>
      <c r="AG5" t="inlineStr">
        <is>
          <t>TCS IGST amount</t>
        </is>
      </c>
      <c r="AH5" t="inlineStr">
        <is>
          <t>TDS 194O amount</t>
        </is>
      </c>
      <c r="AI5" t="inlineStr">
        <is>
          <t>GST paid by Zomato on behalf of restaurant - under section 9(5)</t>
        </is>
      </c>
      <c r="AJ5" t="inlineStr">
        <is>
          <t>GST to be paid by Restaurant partner to Govt.</t>
        </is>
      </c>
      <c r="AK5" t="inlineStr">
        <is>
          <t>Government charges
[(13) + (16) + (17) + (18) + (19)]</t>
        </is>
      </c>
      <c r="AL5" t="inlineStr">
        <is>
          <t>Customer Compensation/Recoupment</t>
        </is>
      </c>
      <c r="AM5" t="inlineStr">
        <is>
          <t>Delivery Charges Recovery</t>
        </is>
      </c>
      <c r="AN5" t="inlineStr">
        <is>
          <t>Amount received in cash (on self delivery orders)</t>
        </is>
      </c>
      <c r="AO5" t="inlineStr">
        <is>
          <t>Credit note/(Debit Note) adjustment</t>
        </is>
      </c>
      <c r="AP5" t="inlineStr">
        <is>
          <t>Promo recovery adjustment</t>
        </is>
      </c>
      <c r="AQ5" t="inlineStr">
        <is>
          <t>Extra Inventory Ads and Misc. (order level deduction)</t>
        </is>
      </c>
      <c r="AR5" t="inlineStr">
        <is>
          <t>Brand loyalty points redemption</t>
        </is>
      </c>
      <c r="AS5" t="inlineStr">
        <is>
          <t>Express Order Fee</t>
        </is>
      </c>
      <c r="AT5" t="inlineStr">
        <is>
          <t>Other order-level deductions
[(21) + (22) + (23) + (24) + (25) + (26) + (27) + (28)]</t>
        </is>
      </c>
      <c r="AU5" t="inlineStr">
        <is>
          <t>Net Deductions
(B) + (C) + (D)</t>
        </is>
      </c>
      <c r="AV5" t="inlineStr">
        <is>
          <t>Net Additions 
(cancellation refund for cancelled orders/Tip for Kitchen Staff for delivered orders)</t>
        </is>
      </c>
      <c r="AW5" t="inlineStr">
        <is>
          <t>Order level Payout
(A) - (E) + (F)</t>
        </is>
      </c>
      <c r="AX5" t="inlineStr">
        <is>
          <t>Settlement status</t>
        </is>
      </c>
      <c r="AY5" t="inlineStr">
        <is>
          <t>Settlement date</t>
        </is>
      </c>
      <c r="AZ5" t="inlineStr">
        <is>
          <t>Bank UTR</t>
        </is>
      </c>
      <c r="BA5" t="inlineStr">
        <is>
          <t>Unsettled Amount</t>
        </is>
      </c>
      <c r="BB5" t="inlineStr">
        <is>
          <t>Customer 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(non-order 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ADS</t>
        </is>
      </c>
      <c r="C13" t="inlineStr">
        <is>
          <t>18557902</t>
        </is>
      </c>
      <c r="D13" t="inlineStr">
        <is>
          <t>33318977</t>
        </is>
      </c>
      <c r="E13" t="inlineStr">
        <is>
          <t>14 January 26 - 18 January 26</t>
        </is>
      </c>
      <c r="F13" t="inlineStr">
        <is>
          <t>settled</t>
        </is>
      </c>
      <c r="G13" t="n">
        <v>4001.61</v>
      </c>
      <c r="H13" t="n">
        <v>4001.61</v>
      </c>
      <c r="I13" t="n">
        <v>0</v>
      </c>
    </row>
    <row r="14">
      <c r="B14" t="inlineStr">
        <is>
          <t>ADS</t>
        </is>
      </c>
      <c r="C14" t="inlineStr">
        <is>
          <t>18557902</t>
        </is>
      </c>
      <c r="D14" t="inlineStr">
        <is>
          <t>33168698</t>
        </is>
      </c>
      <c r="E14" t="inlineStr">
        <is>
          <t>12 January 26 - 13 January 26</t>
        </is>
      </c>
      <c r="F14" t="inlineStr">
        <is>
          <t>settled</t>
        </is>
      </c>
      <c r="G14" t="n">
        <v>943.0599999999999</v>
      </c>
      <c r="H14" t="n">
        <v>943.0599999999999</v>
      </c>
      <c r="I14" t="n">
        <v>0</v>
      </c>
    </row>
    <row r="15">
      <c r="B15" t="inlineStr">
        <is>
          <t>Total Ads &amp; miscellaneous services</t>
        </is>
      </c>
      <c r="G15" t="n">
        <v>4944.67</v>
      </c>
      <c r="H15" t="n">
        <v>4944.67</v>
      </c>
      <c r="I15" t="n">
        <v>0</v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B17" t="inlineStr">
        <is>
          <t>B) Investments in Hyperpure</t>
        </is>
      </c>
    </row>
    <row r="18">
      <c r="B18" t="inlineStr">
        <is>
          <t>Type</t>
        </is>
      </c>
      <c r="C18" t="inlineStr">
        <is>
          <t>Res id for which deduction created</t>
        </is>
      </c>
      <c r="D18" t="inlineStr">
        <is>
          <t>OrderId</t>
        </is>
      </c>
      <c r="E18" t="inlineStr">
        <is>
          <t>Deduction time period</t>
        </is>
      </c>
      <c r="F18" t="inlineStr">
        <is>
          <t>Settlement Status</t>
        </is>
      </c>
      <c r="G18" t="inlineStr">
        <is>
          <t>Total amount</t>
        </is>
      </c>
      <c r="H18" t="inlineStr">
        <is>
          <t>Adjusted amount</t>
        </is>
      </c>
      <c r="I18" t="inlineStr">
        <is>
          <t>Outstanding amount</t>
        </is>
      </c>
    </row>
    <row r="19">
      <c r="B19" t="inlineStr">
        <is>
          <t>Total Hyperpure</t>
        </is>
      </c>
      <c r="G19" t="n">
        <v>0</v>
      </c>
      <c r="H19" t="n">
        <v>0</v>
      </c>
      <c r="I19" t="n">
        <v>0</v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B21" t="inlineStr">
        <is>
          <t>C) Other deductions</t>
        </is>
      </c>
    </row>
    <row r="22">
      <c r="B22" t="inlineStr">
        <is>
          <t>D) Adjustments from previous weeks</t>
        </is>
      </c>
    </row>
    <row r="23">
      <c r="B23" t="inlineStr">
        <is>
          <t>Total Deductions (A) + (B) + (C)</t>
        </is>
      </c>
      <c r="C23" t="inlineStr"/>
      <c r="D23" t="inlineStr"/>
      <c r="E23" t="inlineStr"/>
      <c r="F23" t="inlineStr"/>
      <c r="G23" t="n">
        <v>4944.67</v>
      </c>
      <c r="H23" t="n">
        <v>4944.67</v>
      </c>
      <c r="I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Nikhitha</dc:creator>
  <dcterms:created xsi:type="dcterms:W3CDTF">2025-07-09T03:45:13Z</dcterms:created>
  <dcterms:modified xsi:type="dcterms:W3CDTF">2026-01-30T20:28:42Z</dcterms:modified>
  <cp:lastModifiedBy>varun reddy</cp:lastModifiedBy>
  <cp:lastPrinted>2026-01-30T20:02:20Z</cp:lastPrinted>
</cp:coreProperties>
</file>