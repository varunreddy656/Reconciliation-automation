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un\Desktop\Backup AutoRecons\Zomato Auto recons\"/>
    </mc:Choice>
  </mc:AlternateContent>
  <xr:revisionPtr revIDLastSave="0" documentId="13_ncr:1_{9A7E9493-9301-4147-AD6B-3B5BDC647793}" xr6:coauthVersionLast="47" xr6:coauthVersionMax="47" xr10:uidLastSave="{00000000-0000-0000-0000-000000000000}"/>
  <bookViews>
    <workbookView xWindow="-108" yWindow="-108" windowWidth="23256" windowHeight="12576" tabRatio="882" xr2:uid="{00000000-000D-0000-FFFF-FFFF00000000}"/>
  </bookViews>
  <sheets>
    <sheet name="Summary" sheetId="1" r:id="rId1"/>
    <sheet name="Cashflow" sheetId="2" r:id="rId2"/>
    <sheet name="Profit statement" sheetId="8" r:id="rId3"/>
    <sheet name="Discrepancies" sheetId="9" r:id="rId4"/>
    <sheet name="POS" sheetId="10" state="hidden" r:id="rId5"/>
    <sheet name="BANK" sheetId="7" state="hidden" r:id="rId6"/>
  </sheets>
  <definedNames>
    <definedName name="_xlnm._FilterDatabase" localSheetId="5" hidden="1">BANK!$A$10:$G$173</definedName>
    <definedName name="_xlnm.Print_Area" localSheetId="1">Cashflow!$A$1:$I$44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3" i="2" l="1"/>
  <c r="G13" i="2"/>
  <c r="F13" i="2"/>
  <c r="E13" i="2"/>
  <c r="D13" i="2"/>
  <c r="C13" i="2"/>
  <c r="H35" i="2"/>
  <c r="F21" i="9"/>
  <c r="E21" i="9"/>
  <c r="D21" i="9"/>
  <c r="C21" i="9"/>
  <c r="B21" i="9"/>
  <c r="G4" i="2"/>
  <c r="F4" i="2"/>
  <c r="E4" i="2"/>
  <c r="D4" i="2"/>
  <c r="C4" i="2"/>
  <c r="H36" i="2"/>
  <c r="G12" i="9" l="1"/>
  <c r="H31" i="2" l="1"/>
  <c r="H19" i="2"/>
  <c r="Q18" i="2"/>
  <c r="Q20" i="2"/>
  <c r="P20" i="2"/>
  <c r="O20" i="2"/>
  <c r="N20" i="2"/>
  <c r="P19" i="2"/>
  <c r="O19" i="2"/>
  <c r="Q21" i="2"/>
  <c r="P21" i="2"/>
  <c r="N21" i="2"/>
  <c r="Q16" i="2"/>
  <c r="O16" i="2"/>
  <c r="C16" i="1"/>
  <c r="F7" i="8"/>
  <c r="E7" i="8"/>
  <c r="D7" i="8"/>
  <c r="C7" i="8"/>
  <c r="M19" i="2"/>
  <c r="M20" i="2"/>
  <c r="F22" i="9"/>
  <c r="E22" i="9"/>
  <c r="D22" i="9"/>
  <c r="C22" i="9"/>
  <c r="B22" i="9"/>
  <c r="G21" i="9"/>
  <c r="E20" i="9"/>
  <c r="D20" i="9"/>
  <c r="C20" i="9"/>
  <c r="B20" i="9"/>
  <c r="F19" i="9"/>
  <c r="E19" i="9"/>
  <c r="D19" i="9"/>
  <c r="C19" i="9"/>
  <c r="B19" i="9"/>
  <c r="F18" i="9"/>
  <c r="E18" i="9"/>
  <c r="D18" i="9"/>
  <c r="C18" i="9"/>
  <c r="B18" i="9"/>
  <c r="G13" i="9"/>
  <c r="G4" i="9"/>
  <c r="F4" i="9"/>
  <c r="E4" i="9"/>
  <c r="D4" i="9"/>
  <c r="C4" i="9"/>
  <c r="B4" i="9"/>
  <c r="A1" i="9"/>
  <c r="G4" i="8"/>
  <c r="F4" i="8"/>
  <c r="E4" i="8"/>
  <c r="D4" i="8"/>
  <c r="C4" i="8"/>
  <c r="B4" i="8"/>
  <c r="A1" i="8"/>
  <c r="H38" i="2"/>
  <c r="H37" i="2"/>
  <c r="H34" i="2"/>
  <c r="H33" i="2"/>
  <c r="H32" i="2"/>
  <c r="O18" i="2"/>
  <c r="N18" i="2"/>
  <c r="H24" i="2"/>
  <c r="H23" i="2"/>
  <c r="H22" i="2"/>
  <c r="O21" i="2"/>
  <c r="G21" i="2"/>
  <c r="F12" i="8" s="1"/>
  <c r="F21" i="2"/>
  <c r="E21" i="2"/>
  <c r="D21" i="2"/>
  <c r="C21" i="2"/>
  <c r="B12" i="8" s="1"/>
  <c r="H20" i="2"/>
  <c r="G18" i="2"/>
  <c r="F14" i="8" s="1"/>
  <c r="F18" i="2"/>
  <c r="E14" i="8" s="1"/>
  <c r="E18" i="2"/>
  <c r="D14" i="8" s="1"/>
  <c r="D18" i="2"/>
  <c r="C14" i="8" s="1"/>
  <c r="C18" i="2"/>
  <c r="B14" i="8" s="1"/>
  <c r="H17" i="2"/>
  <c r="O17" i="2"/>
  <c r="Q19" i="2"/>
  <c r="N19" i="2"/>
  <c r="E11" i="2"/>
  <c r="D10" i="8" s="1"/>
  <c r="P16" i="2"/>
  <c r="N16" i="2"/>
  <c r="B7" i="8"/>
  <c r="A1" i="2"/>
  <c r="G32" i="1"/>
  <c r="F32" i="1"/>
  <c r="E32" i="1"/>
  <c r="D32" i="1"/>
  <c r="C32" i="1"/>
  <c r="G23" i="1"/>
  <c r="F14" i="1"/>
  <c r="H12" i="1"/>
  <c r="H6" i="1"/>
  <c r="D23" i="1" l="1"/>
  <c r="C12" i="8"/>
  <c r="E23" i="1"/>
  <c r="D12" i="8"/>
  <c r="F23" i="1"/>
  <c r="E12" i="8"/>
  <c r="H18" i="2"/>
  <c r="C10" i="2"/>
  <c r="M16" i="2"/>
  <c r="D11" i="2"/>
  <c r="C10" i="8" s="1"/>
  <c r="G10" i="2"/>
  <c r="Q15" i="2" s="1"/>
  <c r="N17" i="2"/>
  <c r="H19" i="1"/>
  <c r="E14" i="1"/>
  <c r="C23" i="1"/>
  <c r="H23" i="1" s="1"/>
  <c r="G16" i="1"/>
  <c r="P17" i="2"/>
  <c r="G19" i="9"/>
  <c r="F11" i="2"/>
  <c r="F20" i="1" s="1"/>
  <c r="F21" i="1" s="1"/>
  <c r="Q17" i="2"/>
  <c r="G11" i="2"/>
  <c r="F10" i="8" s="1"/>
  <c r="G20" i="9"/>
  <c r="H6" i="2"/>
  <c r="G22" i="9"/>
  <c r="H21" i="2"/>
  <c r="H32" i="1"/>
  <c r="G18" i="9"/>
  <c r="B6" i="8"/>
  <c r="C11" i="2"/>
  <c r="B10" i="8" s="1"/>
  <c r="M21" i="2"/>
  <c r="M17" i="2"/>
  <c r="H12" i="2"/>
  <c r="H11" i="2" s="1"/>
  <c r="D14" i="1"/>
  <c r="E20" i="1"/>
  <c r="E21" i="1" s="1"/>
  <c r="D20" i="1"/>
  <c r="D21" i="1" s="1"/>
  <c r="F16" i="8"/>
  <c r="F10" i="2"/>
  <c r="P15" i="2" s="1"/>
  <c r="E16" i="8"/>
  <c r="F26" i="2"/>
  <c r="F16" i="1"/>
  <c r="E6" i="8"/>
  <c r="E8" i="8" s="1"/>
  <c r="E16" i="1"/>
  <c r="E26" i="2"/>
  <c r="D6" i="8"/>
  <c r="D8" i="8" s="1"/>
  <c r="E10" i="2"/>
  <c r="D6" i="9" s="1"/>
  <c r="D8" i="9" s="1"/>
  <c r="D9" i="9" s="1"/>
  <c r="D16" i="1"/>
  <c r="C6" i="8"/>
  <c r="C8" i="8" s="1"/>
  <c r="H27" i="2"/>
  <c r="G7" i="8"/>
  <c r="H5" i="2"/>
  <c r="H16" i="2"/>
  <c r="H28" i="2"/>
  <c r="H9" i="2"/>
  <c r="H7" i="2"/>
  <c r="G14" i="8"/>
  <c r="G14" i="1"/>
  <c r="G26" i="2"/>
  <c r="G7" i="9"/>
  <c r="F6" i="8"/>
  <c r="F8" i="8" s="1"/>
  <c r="H15" i="2"/>
  <c r="P18" i="2"/>
  <c r="H8" i="2"/>
  <c r="D10" i="2"/>
  <c r="C14" i="1"/>
  <c r="H14" i="2"/>
  <c r="D26" i="2"/>
  <c r="M18" i="2"/>
  <c r="G12" i="8" l="1"/>
  <c r="F6" i="9"/>
  <c r="F8" i="9" s="1"/>
  <c r="F9" i="9" s="1"/>
  <c r="G8" i="1"/>
  <c r="G24" i="1"/>
  <c r="G10" i="1"/>
  <c r="G20" i="1"/>
  <c r="G21" i="1" s="1"/>
  <c r="G17" i="1"/>
  <c r="B8" i="8"/>
  <c r="G6" i="8"/>
  <c r="G8" i="8" s="1"/>
  <c r="E10" i="8"/>
  <c r="G10" i="8" s="1"/>
  <c r="C26" i="2"/>
  <c r="C27" i="1" s="1"/>
  <c r="H14" i="1"/>
  <c r="H29" i="2"/>
  <c r="N10" i="2"/>
  <c r="C20" i="1"/>
  <c r="C21" i="1" s="1"/>
  <c r="H16" i="1"/>
  <c r="F18" i="8"/>
  <c r="F19" i="8" s="1"/>
  <c r="F27" i="1"/>
  <c r="G27" i="1"/>
  <c r="G28" i="1" s="1"/>
  <c r="G25" i="2"/>
  <c r="F8" i="1"/>
  <c r="F25" i="2"/>
  <c r="E6" i="9"/>
  <c r="E8" i="9" s="1"/>
  <c r="E9" i="9" s="1"/>
  <c r="O15" i="2"/>
  <c r="E8" i="1"/>
  <c r="E25" i="2"/>
  <c r="H10" i="2"/>
  <c r="D25" i="2"/>
  <c r="D30" i="2" s="1"/>
  <c r="C6" i="9"/>
  <c r="C8" i="9" s="1"/>
  <c r="C9" i="9" s="1"/>
  <c r="N15" i="2"/>
  <c r="D8" i="1"/>
  <c r="B16" i="8"/>
  <c r="B18" i="8" s="1"/>
  <c r="B19" i="8" s="1"/>
  <c r="C16" i="8"/>
  <c r="C18" i="8" s="1"/>
  <c r="C19" i="8" s="1"/>
  <c r="D27" i="1"/>
  <c r="C8" i="1"/>
  <c r="B6" i="9"/>
  <c r="C25" i="2"/>
  <c r="C30" i="2" s="1"/>
  <c r="M15" i="2"/>
  <c r="E27" i="1"/>
  <c r="D16" i="8"/>
  <c r="D18" i="8" s="1"/>
  <c r="D19" i="8" s="1"/>
  <c r="F30" i="2" l="1"/>
  <c r="F39" i="2" s="1"/>
  <c r="G30" i="2"/>
  <c r="G39" i="2" s="1"/>
  <c r="E30" i="2"/>
  <c r="D17" i="9" s="1"/>
  <c r="D23" i="9" s="1"/>
  <c r="C35" i="1"/>
  <c r="C36" i="1" s="1"/>
  <c r="F28" i="1"/>
  <c r="E28" i="1"/>
  <c r="F24" i="1"/>
  <c r="F10" i="1"/>
  <c r="E17" i="1"/>
  <c r="E10" i="1"/>
  <c r="E24" i="1"/>
  <c r="D28" i="1"/>
  <c r="C28" i="1"/>
  <c r="F17" i="1"/>
  <c r="D17" i="1"/>
  <c r="D10" i="1"/>
  <c r="D24" i="1"/>
  <c r="C17" i="1"/>
  <c r="C10" i="1"/>
  <c r="C24" i="1"/>
  <c r="F35" i="1"/>
  <c r="F36" i="1" s="1"/>
  <c r="E18" i="8"/>
  <c r="E19" i="8" s="1"/>
  <c r="M10" i="2"/>
  <c r="D35" i="1"/>
  <c r="D36" i="1" s="1"/>
  <c r="E35" i="1"/>
  <c r="E36" i="1" s="1"/>
  <c r="G35" i="1"/>
  <c r="G36" i="1" s="1"/>
  <c r="H26" i="2"/>
  <c r="H20" i="1"/>
  <c r="H21" i="1" s="1"/>
  <c r="F17" i="9"/>
  <c r="F23" i="9" s="1"/>
  <c r="E17" i="9"/>
  <c r="E23" i="9" s="1"/>
  <c r="H25" i="2"/>
  <c r="C17" i="9"/>
  <c r="C23" i="9" s="1"/>
  <c r="D39" i="2"/>
  <c r="H8" i="1"/>
  <c r="H27" i="1"/>
  <c r="G16" i="8"/>
  <c r="G18" i="8" s="1"/>
  <c r="G19" i="8" s="1"/>
  <c r="B17" i="9"/>
  <c r="C39" i="2"/>
  <c r="G6" i="9"/>
  <c r="G8" i="9" s="1"/>
  <c r="G9" i="9" s="1"/>
  <c r="B8" i="9"/>
  <c r="B9" i="9" s="1"/>
  <c r="E39" i="2" l="1"/>
  <c r="H30" i="2"/>
  <c r="H39" i="2" s="1"/>
  <c r="H28" i="1"/>
  <c r="H24" i="1"/>
  <c r="H10" i="1"/>
  <c r="H17" i="1"/>
  <c r="H35" i="1"/>
  <c r="H36" i="1" s="1"/>
  <c r="B23" i="9"/>
  <c r="G17" i="9"/>
  <c r="G23" i="9" s="1"/>
</calcChain>
</file>

<file path=xl/sharedStrings.xml><?xml version="1.0" encoding="utf-8"?>
<sst xmlns="http://schemas.openxmlformats.org/spreadsheetml/2006/main" count="754" uniqueCount="418">
  <si>
    <t>Details</t>
  </si>
  <si>
    <t>Total</t>
  </si>
  <si>
    <t>No.of orders</t>
  </si>
  <si>
    <t>Total Income (Number that you see on Zomato dashboard)</t>
  </si>
  <si>
    <t>Avg. order value</t>
  </si>
  <si>
    <t>No of disputed orders</t>
  </si>
  <si>
    <t>Refund amount for disputed orders</t>
  </si>
  <si>
    <t>Discounts</t>
  </si>
  <si>
    <t>Commisonable Amount</t>
  </si>
  <si>
    <t>Commission</t>
  </si>
  <si>
    <t>(Calculated on Sales + GST)</t>
  </si>
  <si>
    <t>Marketing &amp; Ads</t>
  </si>
  <si>
    <t>Other charges &amp; Tax Adjustments</t>
  </si>
  <si>
    <t>Zomato Hyperpure Adjustments</t>
  </si>
  <si>
    <t>Opening Week Adjustments</t>
  </si>
  <si>
    <t>Money received</t>
  </si>
  <si>
    <t>S.No</t>
  </si>
  <si>
    <t>Item sales (Delivered orders)</t>
  </si>
  <si>
    <t>Add:- Packing charges</t>
  </si>
  <si>
    <t>Add:- Compensation paid for cancelled orders</t>
  </si>
  <si>
    <t>Less:- Discount</t>
  </si>
  <si>
    <t xml:space="preserve">Add:- GST </t>
  </si>
  <si>
    <t>Gst</t>
  </si>
  <si>
    <t>Tds</t>
  </si>
  <si>
    <t>Net Sales</t>
  </si>
  <si>
    <t>Less:- Commission</t>
  </si>
  <si>
    <t>Platform Fee</t>
  </si>
  <si>
    <t>Less:- Other Charges</t>
  </si>
  <si>
    <t>Convenience Fee</t>
  </si>
  <si>
    <t>Discount on Service Fee</t>
  </si>
  <si>
    <t>netsales</t>
  </si>
  <si>
    <t>Long Distance Fee</t>
  </si>
  <si>
    <t>disc</t>
  </si>
  <si>
    <t>Merchant Cancellation Charges</t>
  </si>
  <si>
    <t>comm</t>
  </si>
  <si>
    <t>Less:- Refunds</t>
  </si>
  <si>
    <t>tds ecom</t>
  </si>
  <si>
    <t>Paid by Restaurant</t>
  </si>
  <si>
    <t>conve</t>
  </si>
  <si>
    <t>Received by Restaurant</t>
  </si>
  <si>
    <t>othe cha</t>
  </si>
  <si>
    <t>Less:- Marketing Charges</t>
  </si>
  <si>
    <t>tds</t>
  </si>
  <si>
    <t>High Priority</t>
  </si>
  <si>
    <t xml:space="preserve">Call Center Service Fees </t>
  </si>
  <si>
    <t>PocketHero Fee</t>
  </si>
  <si>
    <t>Profit from Zomato</t>
  </si>
  <si>
    <t>Less:- Tax Adjustments</t>
  </si>
  <si>
    <t>TDS deduction for aggrigators</t>
  </si>
  <si>
    <t>TCS</t>
  </si>
  <si>
    <t>GST collected and paid by Zomato</t>
  </si>
  <si>
    <t>Expected Receipts</t>
  </si>
  <si>
    <t>Interim payments</t>
  </si>
  <si>
    <t>Following Week Adjustments</t>
  </si>
  <si>
    <t>Closing Week Adjustments</t>
  </si>
  <si>
    <t>Zomato hyperpure Payment Adjustments</t>
  </si>
  <si>
    <t>EMI Loan deductions</t>
  </si>
  <si>
    <t>Actual receipts</t>
  </si>
  <si>
    <t>Difference</t>
  </si>
  <si>
    <t xml:space="preserve">Note : </t>
  </si>
  <si>
    <t>Date</t>
  </si>
  <si>
    <t>Narration</t>
  </si>
  <si>
    <t>Chq./Ref.No.</t>
  </si>
  <si>
    <t>Value Dt</t>
  </si>
  <si>
    <t>Withdrawal Amt.</t>
  </si>
  <si>
    <t>Deposit Amt.</t>
  </si>
  <si>
    <t>Closing Balance</t>
  </si>
  <si>
    <t>000000000000000</t>
  </si>
  <si>
    <t>01/10/25</t>
  </si>
  <si>
    <t>NEFT CR-YESB0000001-ONE 97 COMMUNICATIONS LIMITED SETTL-ROCKTAIL HOSPITALITY SERVICES-YESBN12025100101816795</t>
  </si>
  <si>
    <t>YESBN12025100101816795</t>
  </si>
  <si>
    <t>NEFT CR-RATN0000999-PINE LABS LIMITED-ROCKTAIL HOSPITALITY SERVICES-RATNN52025100142548753</t>
  </si>
  <si>
    <t>RATNN52025100142548753</t>
  </si>
  <si>
    <t>42552394TERMINAL 1 CARDS SETTL. 01/10/25</t>
  </si>
  <si>
    <t>UPI-8978287178PTYES-8978287178@PTYES-UBIN0813567-564035906635-UPI</t>
  </si>
  <si>
    <t>0000564035906635</t>
  </si>
  <si>
    <t>50200069817641-TPT-NBLCVTK6KLDPDJXS-WOLFFPACK VENTURES PRIVATE LIMITED</t>
  </si>
  <si>
    <t>0000000223256296</t>
  </si>
  <si>
    <t>VENDOR PAYMENTS - ROCKTAIL HOSPITALITY DR - 57500000326520 - NEFT TRANSITORY ACCOUNT</t>
  </si>
  <si>
    <t>0000000000000188</t>
  </si>
  <si>
    <t>UPI-SHREY SINGH-SHREYSINGH0501-1@OKHDFCBANK-HDFC0004216-564012927870-REGISTRATION</t>
  </si>
  <si>
    <t>0000564012927870</t>
  </si>
  <si>
    <t>NEFT RETURN-INCORRECT ACCOUNT NUMBER-LAXMI AGENCIES-IBKLN92025100194760959</t>
  </si>
  <si>
    <t>HDFCN52025100104276617</t>
  </si>
  <si>
    <t>NEFT RETURN-INCORRECT ACCOUNT NUMBER-LAXMI AGENCIES-IBKLN92025100194760962</t>
  </si>
  <si>
    <t>HDFCN52025100104276606</t>
  </si>
  <si>
    <t>NEFT CR-CITI0000002-ETERNAL LIMITED-ROCKTAIL HOSPITALITY SERVICES-CITIN52025100134584901</t>
  </si>
  <si>
    <t>CITIN52025100134584901</t>
  </si>
  <si>
    <t>NEFT CR-UTIB0000052-BUNDL TECHNOLOGIES PRIVATE LIMITED-ROCKTAIL HOSPITALITY SERVICES-UTIBN62025100172850989</t>
  </si>
  <si>
    <t>UTIBN62025100172850989</t>
  </si>
  <si>
    <t>FT - DR - 50200086201346 - SRI CHAKRA ENTERPRISES</t>
  </si>
  <si>
    <t>0000000000000187</t>
  </si>
  <si>
    <t>CQ NO-000187 AMOUNT-100323 TRANSFERS 4 DR - 50200088485779 - NSP ENTERPRISES</t>
  </si>
  <si>
    <t>CQ NO-000187 AMOUNT-100323 TRANSFERS 4 DR - 50200082063860 - AAMODHA ENTERPRISES</t>
  </si>
  <si>
    <t>CQ NO-000187 AMOUNT-100323 TRANSFERS 4 DR - 50200034371828 - SRIHITHA DISTRIBUTORS</t>
  </si>
  <si>
    <t>UPI-SRI LAXMI CHENNAKESA-Q560982817@YBL-YESB0YBLUPI-112039563850-POOJA</t>
  </si>
  <si>
    <t>0000112039563850</t>
  </si>
  <si>
    <t>NEFT CR-YESB0000001-SWIGGY LIMITED-ROCKTAIL HOSPITALITY SERVICES-YESBN12025100106534132</t>
  </si>
  <si>
    <t>YESBN12025100106534132</t>
  </si>
  <si>
    <t>02/10/25</t>
  </si>
  <si>
    <t>NEFT CR-YESB0000001-ONE 97 COMMUNICATIONS LIMITED SETTL-ROCKTAIL HOSPITALITY SERVICES-YESBN12025100202440556</t>
  </si>
  <si>
    <t>YESBN12025100202440556</t>
  </si>
  <si>
    <t>42552394TERMINAL 1 CARDS SETTL. 02/10/25</t>
  </si>
  <si>
    <t>03/10/25</t>
  </si>
  <si>
    <t>NEFT CR-YESB0000001-ONE 97 COMMUNICATIONS LIMITED SETTL-ROCKTAIL HOSPITALITY SERVICES-YESBN12025100302342936</t>
  </si>
  <si>
    <t>YESBN12025100302342936</t>
  </si>
  <si>
    <t>42552394TERMINAL 1 CARDS SETTL. 03/10/25</t>
  </si>
  <si>
    <t>UPI-BHANWRA  RAM-BHANWARJATCHOUDHARY251@OKSBI-SBIN0011306-564239417166-FURNITURE</t>
  </si>
  <si>
    <t>0000564239417166</t>
  </si>
  <si>
    <t>NEFT CR-UTIB0000052-BUNDL TECHNOLOGIES PRIVATE LIMITED-ROCKTAIL HOSPITALITY SERVICES-UTIBN62025100395892591</t>
  </si>
  <si>
    <t>UTIBN62025100395892591</t>
  </si>
  <si>
    <t>04/10/25</t>
  </si>
  <si>
    <t>NEFT CR-YESB0000001-ONE 97 COMMUNICATIONS LIMITED SETTL-ROCKTAIL HOSPITALITY SERVICES-YESBN12025100403632181</t>
  </si>
  <si>
    <t>YESBN12025100403632181</t>
  </si>
  <si>
    <t>42552394TERMINAL 1 CARDS SETTL. 04/10/25</t>
  </si>
  <si>
    <t>UPI-SWIGGY LIMITED-SWIGGY.STORES@AXB-UTIB0000100-527751059928-PAY FOR INTENT</t>
  </si>
  <si>
    <t>0000527751059928</t>
  </si>
  <si>
    <t>05/10/25</t>
  </si>
  <si>
    <t>NEFT CR-YESB0000001-ONE 97 COMMUNICATIONS LIMITED SETTL-ROCKTAIL HOSPITALITY SERVICES-YESBN12025100501829191</t>
  </si>
  <si>
    <t>YESBN12025100501829191</t>
  </si>
  <si>
    <t>42552394TERMINAL 1 CARDS SETTL. 05/10/25</t>
  </si>
  <si>
    <t>SETTLEMENT CHARGE-SEP25-CPY597</t>
  </si>
  <si>
    <t>A. Net Sales</t>
  </si>
  <si>
    <t>Total Income</t>
  </si>
  <si>
    <t>Add- Adjust: Cancelled orders (By Zomato)</t>
  </si>
  <si>
    <t>Net Sales (Number that you see on Numerize app)</t>
  </si>
  <si>
    <t>B.  Less:- Commission</t>
  </si>
  <si>
    <t>C.  Less:- Marketing &amp; Ads</t>
  </si>
  <si>
    <t>D. Less:- Refund on disputed orders</t>
  </si>
  <si>
    <t>E. Other charges</t>
  </si>
  <si>
    <t>F. Profit</t>
  </si>
  <si>
    <t>Percentage</t>
  </si>
  <si>
    <t>A. POS discrepancies</t>
  </si>
  <si>
    <t>Sales as per Zomato</t>
  </si>
  <si>
    <t>Sale as per POS</t>
  </si>
  <si>
    <t>B. Order discrepancies</t>
  </si>
  <si>
    <t>No.of delivered orders for which payment isn't received</t>
  </si>
  <si>
    <t>Value of such orders</t>
  </si>
  <si>
    <t>C. Payment discrepancies</t>
  </si>
  <si>
    <t>Expected receipts in the bank account</t>
  </si>
  <si>
    <t>Investment in Hyperpure</t>
  </si>
  <si>
    <t>Following Week Adjustment</t>
  </si>
  <si>
    <t>Opening Week Adjustment</t>
  </si>
  <si>
    <t>Closing Week Adjustment</t>
  </si>
  <si>
    <t>Actual receipts in the bank</t>
  </si>
  <si>
    <t>Note:</t>
  </si>
  <si>
    <t>06/10/25</t>
  </si>
  <si>
    <t>NEFT CR-YESB0000001-ONE 97 COMMUNICATIONS LIMITED SETTL-ROCKTAIL HOSPITALITY SERVICES-YESBN12025100601953902</t>
  </si>
  <si>
    <t>YESBN12025100601953902</t>
  </si>
  <si>
    <t>EMI 162047443 CHQ S16204744314 1025162047443</t>
  </si>
  <si>
    <t>42552394TERMINAL 1 CARDS SETTL. 06/10/25</t>
  </si>
  <si>
    <t>NEFT CR-CITI0000002-ETERNAL LIMITED-ROCKTAIL HOSPITALITY SERVICES-CITIN52025100636240957</t>
  </si>
  <si>
    <t>CITIN52025100636240957</t>
  </si>
  <si>
    <t>07/10/25</t>
  </si>
  <si>
    <t>NEFT CR-YESB0000001-ONE 97 COMMUNICATIONS LIMITED SETTL-ROCKTAIL HOSPITALITY SERVICES-YESBN12025100701113506</t>
  </si>
  <si>
    <t>YESBN12025100701113506</t>
  </si>
  <si>
    <t>42552394TERMINAL 1 CARDS SETTL. 07/10/25</t>
  </si>
  <si>
    <t>NEFT CR-YESB0000001-SWIGGY LIMITED-ROCKTAIL HOSPITALITY SERVICES-YESBN12025100705709842</t>
  </si>
  <si>
    <t>YESBN12025100705709842</t>
  </si>
  <si>
    <t>08/10/25</t>
  </si>
  <si>
    <t>NEFT CR-YESB0000001-ONE 97 COMMUNICATIONS LIMITED SETTL-ROCKTAIL HOSPITALITY SERVICES-YESBN12025100800862936</t>
  </si>
  <si>
    <t>YESBN12025100800862936</t>
  </si>
  <si>
    <t>42552394TERMINAL 1 CARDS SETTL. 08/10/25</t>
  </si>
  <si>
    <t>NEFT CR-UTIB0000052-BUNDL TECHNOLOGIES PRIVATE LIMITED-ROCKTAIL HOSPITALITY SERVICES-UTIBN62025100849523664</t>
  </si>
  <si>
    <t>UTIBN62025100849523664</t>
  </si>
  <si>
    <t>NEFT CR-CITI0000002-ETERNAL LIMITED-ROCKTAIL HOSPITALITY SERVICES-CITIN52025100837147976</t>
  </si>
  <si>
    <t>CITIN52025100837147976</t>
  </si>
  <si>
    <t>IMPS-528119960741-ASTRANOVA ENTERPRISES-HDFC-XXXXXXXXXX1166-REPAYMENT</t>
  </si>
  <si>
    <t>0000528119960741</t>
  </si>
  <si>
    <t>09/10/25</t>
  </si>
  <si>
    <t>NEFT CR-YESB0000001-ONE 97 COMMUNICATIONS LIMITED SETTL-ROCKTAIL HOSPITALITY SERVICES-YESBN12025100901044475</t>
  </si>
  <si>
    <t>YESBN12025100901044475</t>
  </si>
  <si>
    <t>42552394TERMINAL 1 CARDS SETTL. 09/10/25</t>
  </si>
  <si>
    <t>UPI-HARISH RAGHAVENDRA-HARISH.RAGHAVENDRA26@OKHDFCBANK-ICIC0000069-528262186657-HARISH</t>
  </si>
  <si>
    <t>0000528262186657</t>
  </si>
  <si>
    <t>10/10/25</t>
  </si>
  <si>
    <t>NEFT CR-YESB0000001-ONE 97 COMMUNICATIONS LIMITED SETTL-ROCKTAIL HOSPITALITY SERVICES-YESBN12025101001357483</t>
  </si>
  <si>
    <t>YESBN12025101001357483</t>
  </si>
  <si>
    <t>42552394TERMINAL 1 CARDS SETTL. 10/10/25</t>
  </si>
  <si>
    <t>NEFT CR-YESB0000001-SWIGGY LIMITED-ROCKTAIL HOSPITALITY SERVICES-YESBN12025101005972616</t>
  </si>
  <si>
    <t>YESBN12025101005972616</t>
  </si>
  <si>
    <t>11/10/25</t>
  </si>
  <si>
    <t>NEFT CR-UTIB0001506-PHONEPE LIMITED-PAYMENT AGGREGATOR ESCROW ACCOUNT-ROCKTAIL HOSPITALITY-UTIBN62025101184068608</t>
  </si>
  <si>
    <t>UTIBN62025101184068608</t>
  </si>
  <si>
    <t>NEFT CR-YESB0000001-ONE 97 COMMUNICATIONS LIMITED SETTL-ROCKTAIL HOSPITALITY SERVICES-YESBN12025101102528197</t>
  </si>
  <si>
    <t>YESBN12025101102528197</t>
  </si>
  <si>
    <t>42552394TERMINAL 1 CARDS SETTL. 11/10/25</t>
  </si>
  <si>
    <t>UPI-SYED AITAF HUSSAIN-ALTAFHUSAINN123456789@OKICICI-ANDB0000031-565027520596-SOFA REPAIR</t>
  </si>
  <si>
    <t>0000565027520596</t>
  </si>
  <si>
    <t>12/10/25</t>
  </si>
  <si>
    <t>NEFT CR-YESB0000001-ONE 97 COMMUNICATIONS LIMITED SETTL-ROCKTAIL HOSPITALITY SERVICES-YESBN12025101202583652</t>
  </si>
  <si>
    <t>YESBN12025101202583652</t>
  </si>
  <si>
    <t>NEFT CR-UTIB0001506-PHONEPE LIMITED-PAYMENT AGGREGATOR ESCROW ACCOUNT-ROCKTAIL HOSPITALITY-UTIBN62025101294570095</t>
  </si>
  <si>
    <t>UTIBN62025101294570095</t>
  </si>
  <si>
    <t>42552394TERMINAL 1 CARDS SETTL. 12/10/25</t>
  </si>
  <si>
    <t>UPI-GAMPA AMBA PRASAD-PRASADUCANMAIL@OKHDFCBANK-HDFC0004262-565118092224-MILK VENDOR</t>
  </si>
  <si>
    <t>0000565118092224</t>
  </si>
  <si>
    <t>UPI-Y KARUNAKAR-KARUNAKAR.YARLAGADDA1@YBL-DBSS0IN0136-112558585085-SIGN BOARD</t>
  </si>
  <si>
    <t>0000112558585085</t>
  </si>
  <si>
    <t>UPI-VORUGANTI BHAVANI KA-BHAVANI.KARTHIK1@YBL-CNRB0000033-304188751411-ADV</t>
  </si>
  <si>
    <t>0000304188751411</t>
  </si>
  <si>
    <t>13/10/25</t>
  </si>
  <si>
    <t>NEFT CR-YESB0000001-ONE 97 COMMUNICATIONS LIMITED SETTL-ROCKTAIL HOSPITALITY SERVICES-YESBN12025101301912154</t>
  </si>
  <si>
    <t>YESBN12025101301912154</t>
  </si>
  <si>
    <t>NEFT CR-UTIB0001506-PHONEPE LIMITED-PAYMENT AGGREGATOR ESCROW ACCOUNT-ROCKTAIL HOSPITALITY-UTIBN62025101304389126</t>
  </si>
  <si>
    <t>UTIBN62025101304389126</t>
  </si>
  <si>
    <t>NEFT CR-SCBL0036001-AMERICAN EXPRESS BANKING CORP-ROCKTAIL HOSPITALITY SERVICES-SCBLN52025101300559815</t>
  </si>
  <si>
    <t>SCBLN52025101300559815</t>
  </si>
  <si>
    <t>42552394TERMINAL 1 CARDS SETTL. 13/10/25</t>
  </si>
  <si>
    <t>SALARIES-ROCKTAIL HOSPITALITY SERVICES DR - 57500000326520 - NEFT TRANSITORY ACCOUNT</t>
  </si>
  <si>
    <t>0000000000000190</t>
  </si>
  <si>
    <t>SALARIES-ROCKTAIL HOSPITALITY SERVICES DR - 05122990000036 - SALARY TRANSITORY ACCOUNT - 512</t>
  </si>
  <si>
    <t>0000000000000189</t>
  </si>
  <si>
    <t>NEFT CR-CITI0000002-ETERNAL LIMITED-ROCKTAIL HOSPITALITY SERVICES-CITIN52025101338860064</t>
  </si>
  <si>
    <t>CITIN52025101338860064</t>
  </si>
  <si>
    <t>IMPS-528618159341-NAGILLA HARIKRISHNA-BARB-XXXXXXXXXX0258-S</t>
  </si>
  <si>
    <t>0000528618159341</t>
  </si>
  <si>
    <t>IMPS-528618149756-NAGILLA HARIKRISHNA-BARB-XXXXXXXXXX2369-S</t>
  </si>
  <si>
    <t>0000528618149756</t>
  </si>
  <si>
    <t>14/10/25</t>
  </si>
  <si>
    <t>NEFT CR-UTIB0005040-TAITAI CREAMERY (OPC) PRIVATE LIMITED-ROCKTAIL HOSPITALITY SERVICES-UTIBN62025101417058455</t>
  </si>
  <si>
    <t>UTIBN62025101417058455</t>
  </si>
  <si>
    <t>NEFT CR-UTIB0005040-TAITAI CREAMERY (OPC) PRIVATE LIMITED-ROCKTAIL HOSPITALITY SERVICES-UTIBN62025101417091876</t>
  </si>
  <si>
    <t>UTIBN62025101417091876</t>
  </si>
  <si>
    <t>42552394TERMINAL 1 CARDS SETTL. 14/10/25</t>
  </si>
  <si>
    <t>NEFT CR-YESB0000001-ONE 97 COMMUNICATIONS LIMITED SETTL-ROCKTAIL HOSPITALITY SERVICES-YESBN12025101402196356</t>
  </si>
  <si>
    <t>YESBN12025101402196356</t>
  </si>
  <si>
    <t>UPI-AIRTEL-AIRTEL.PAYU@AXISBANK-UTIB0003156-112638492793-AIRTELPOSTPAIDBILL</t>
  </si>
  <si>
    <t>0000112638492793</t>
  </si>
  <si>
    <t>UPI-MAHANKALI  ANIL-CHANTIANI@YBL-UTIB0001454-112640653774-CARD SWIPE</t>
  </si>
  <si>
    <t>0000112640653774</t>
  </si>
  <si>
    <t>UPI-BHANWRA  RAM-BHANWARJATCHOUDHARY251@OKSBI-SBIN0011306-112645088978-FURNITURE</t>
  </si>
  <si>
    <t>0000112645088978</t>
  </si>
  <si>
    <t>NEFT CR-YESB0000001-SWIGGY LIMITED-ROCKTAIL HOSPITALITY SERVICES-YESBN12025101406117243</t>
  </si>
  <si>
    <t>YESBN12025101406117243</t>
  </si>
  <si>
    <t>15/10/25</t>
  </si>
  <si>
    <t>NEFT CR-YESB0000001-ONE 97 COMMUNICATIONS LIMITED SETTL-ROCKTAIL HOSPITALITY SERVICES-YESBN12025101501310623</t>
  </si>
  <si>
    <t>YESBN12025101501310623</t>
  </si>
  <si>
    <t>NEFT CR-UTIB0001506-PHONEPE LIMITED-PAYMENT AGGREGATOR ESCROW ACCOUNT-ROCKTAIL HOSPITALITY-UTIBN62025101529095027</t>
  </si>
  <si>
    <t>UTIBN62025101529095027</t>
  </si>
  <si>
    <t>42552394TERMINAL 1 CARDS SETTL. 15/10/25</t>
  </si>
  <si>
    <t>UPI-I ANIL KUMAR-ANILTIGER9966@YBL-SBIN0008025-112678952262-UPI</t>
  </si>
  <si>
    <t>0000112678952262</t>
  </si>
  <si>
    <t>NEFT CR-CITI0000002-ETERNAL LIMITED-ROCKTAIL HOSPITALITY SERVICES-CITIN52025101539958263</t>
  </si>
  <si>
    <t>CITIN52025101539958263</t>
  </si>
  <si>
    <t>ACH D- PINE LABS PVT LTD-9YBBY0K45VFHTZ</t>
  </si>
  <si>
    <t>0000003300258297</t>
  </si>
  <si>
    <t>NEFT CR-UTIB0000052-BUNDL TECHNOLOGIES PRIVATE LIMITED-ROCKTAIL HOSPITALITY SERVICES-UTIBN62025101531694003</t>
  </si>
  <si>
    <t>UTIBN62025101531694003</t>
  </si>
  <si>
    <t>16/10/25</t>
  </si>
  <si>
    <t>NEFT CR-YESB0000001-ONE 97 COMMUNICATIONS LIMITED SETTL-ROCKTAIL HOSPITALITY SERVICES-YESBN12025101601861177</t>
  </si>
  <si>
    <t>YESBN12025101601861177</t>
  </si>
  <si>
    <t>42552394TERMINAL 1 CARDS SETTL. 16/10/25</t>
  </si>
  <si>
    <t>17/10/25</t>
  </si>
  <si>
    <t>NEFT CR-YESB0000001-ONE 97 COMMUNICATIONS LIMITED SETTL-ROCKTAIL HOSPITALITY SERVICES-YESBN12025101700504184</t>
  </si>
  <si>
    <t>YESBN12025101700504184</t>
  </si>
  <si>
    <t>42552394TERMINAL 1 CARDS SETTL. 17/10/25</t>
  </si>
  <si>
    <t>NEFT CR-YESB0000001-SWIGGY LIMITED-ROCKTAIL HOSPITALITY SERVICES-YESBN12025101705389357</t>
  </si>
  <si>
    <t>YESBN12025101705389357</t>
  </si>
  <si>
    <t>UPI-BHANWRA  RAM-BHANWARJATCHOUDHARY251@OKSBI-SBIN0011306-565615784026-FURNITURE FNF</t>
  </si>
  <si>
    <t>0000565615784026</t>
  </si>
  <si>
    <t>UPI-SYED ANSAR ALI-9735000703@YBL-SBIN0002106-565609682617-VALET</t>
  </si>
  <si>
    <t>0000565609682617</t>
  </si>
  <si>
    <t>18/10/25</t>
  </si>
  <si>
    <t>NEFT CR-YESB0000001-ONE 97 COMMUNICATIONS LIMITED SETTL-ROCKTAIL HOSPITALITY SERVICES-YESBN12025101802308425</t>
  </si>
  <si>
    <t>YESBN12025101802308425</t>
  </si>
  <si>
    <t>42552394TERMINAL 1 CARDS SETTL. 18/10/25</t>
  </si>
  <si>
    <t>19/10/25</t>
  </si>
  <si>
    <t>NEFT CR-YESB0000001-ONE 97 COMMUNICATIONS LIMITED SETTL-ROCKTAIL HOSPITALITY SERVICES-YESBN12025101901417601</t>
  </si>
  <si>
    <t>YESBN12025101901417601</t>
  </si>
  <si>
    <t>NEFT CR-UTIB0001506-PHONEPE LIMITED-PAYMENT AGGREGATOR ESCROW ACCOUNT-ROCKTAIL HOSPITALITY-UTIBN62025101981036322</t>
  </si>
  <si>
    <t>UTIBN62025101981036322</t>
  </si>
  <si>
    <t>42552394TERMINAL 1 CARDS SETTL. 19/10/25</t>
  </si>
  <si>
    <t>20/10/25</t>
  </si>
  <si>
    <t>NEFT CR-YESB0000001-ONE 97 COMMUNICATIONS LIMITED SETTL-ROCKTAIL HOSPITALITY SERVICES-YESBN12025102002252754</t>
  </si>
  <si>
    <t>YESBN12025102002252754</t>
  </si>
  <si>
    <t>NEFT CR-UTIB0001506-PHONEPE LIMITED-PAYMENT AGGREGATOR ESCROW ACCOUNT-ROCKTAIL HOSPITALITY-UTIBN62025102091922015</t>
  </si>
  <si>
    <t>UTIBN62025102091922015</t>
  </si>
  <si>
    <t>NEFT CR-SCBL0036001-AMERICAN EXPRESS BANKING CORP-ROCKTAIL HOSPITALITY SERVICES-SCBLN52025102000534540</t>
  </si>
  <si>
    <t>SCBLN52025102000534540</t>
  </si>
  <si>
    <t>42552394TERMINAL 1 CARDS SETTL. 20/10/25</t>
  </si>
  <si>
    <t>UPI-TIRUMALA SOUNDS AND -GPAY-11193304431@OKBIZAXIS-UTIB0000553-112946107359-MELA TENT HOUSE</t>
  </si>
  <si>
    <t>0000112946107359</t>
  </si>
  <si>
    <t>NEFT CR-CITI0000002-ETERNAL LIMITED-ROCKTAIL HOSPITALITY SERVICES-CITIN52025102041871588</t>
  </si>
  <si>
    <t>CITIN52025102041871588</t>
  </si>
  <si>
    <t>21/10/25</t>
  </si>
  <si>
    <t>NEFT CR-YESB0000001-ONE 97 COMMUNICATIONS LIMITED SETTL-ROCKTAIL HOSPITALITY SERVICES-YESBN12025102101238588</t>
  </si>
  <si>
    <t>YESBN12025102101238588</t>
  </si>
  <si>
    <t>NEFT CR-UTIB0001506-PHONEPE LIMITED-PAYMENT AGGREGATOR ESCROW ACCOUNT-ROCKTAIL HOSPITALITY-UTIBN62025102103425474</t>
  </si>
  <si>
    <t>UTIBN62025102103425474</t>
  </si>
  <si>
    <t>42552394TERMINAL 1 CARDS SETTL. 21/10/25</t>
  </si>
  <si>
    <t>UPI-GAMPA AMBA PRASAD-PRASADUCANMAIL@OKHDFCBANK-HDFC0004262-529463122058-MILK VENDOR</t>
  </si>
  <si>
    <t>0000529463122058</t>
  </si>
  <si>
    <t>UPI-THIRUPATHAMMA MUTHUM-9490371940@YBL-CNRB0000033-529460829374-STAFF RENT</t>
  </si>
  <si>
    <t>0000529460829374</t>
  </si>
  <si>
    <t>UPI-META ADS-FACEBOOKINDIAO.PAYU@MAIRTEL-AIRP0000001-112990962805-UPIINTENT</t>
  </si>
  <si>
    <t>0000112990962805</t>
  </si>
  <si>
    <t>NEFT CR-YESB0000001-SWIGGY LIMITED-ROCKTAIL HOSPITALITY SERVICES-YESBN12025102105523192</t>
  </si>
  <si>
    <t>YESBN12025102105523192</t>
  </si>
  <si>
    <t>UPI-BADHEY BHARATH-BADHEYBHARATH@OKHDFCBANK-CNRB0000033-566023703445-MELA SOCIALS</t>
  </si>
  <si>
    <t>0000566023703445</t>
  </si>
  <si>
    <t>22/10/25</t>
  </si>
  <si>
    <t>NEFT CR-YESB0000001-ONE 97 COMMUNICATIONS LIMITED SETTL-ROCKTAIL HOSPITALITY SERVICES-YESBN12025102201533266</t>
  </si>
  <si>
    <t>YESBN12025102201533266</t>
  </si>
  <si>
    <t>NEFT CR-SCBL0036001-AMERICAN EXPRESS BANKING CORP-ROCKTAIL HOSPITALITY SERVICES-SCBLN52025102200524541</t>
  </si>
  <si>
    <t>SCBLN52025102200524541</t>
  </si>
  <si>
    <t>42552394TERMINAL 1 CARDS SETTL. 22/10/25</t>
  </si>
  <si>
    <t>NEFT CR-UTIB0000052-BUNDL TECHNOLOGIES PRIVATE LIMITED-ROCKTAIL HOSPITALITY SERVICES-UTIBN62025102214786836</t>
  </si>
  <si>
    <t>UTIBN62025102214786836</t>
  </si>
  <si>
    <t>NEFT CR-CITI0000002-ETERNAL LIMITED-ROCKTAIL HOSPITALITY SERVICES-CITIN52025102242479154</t>
  </si>
  <si>
    <t>CITIN52025102242479154</t>
  </si>
  <si>
    <t>UPI-SHANTH SAI KUMAR-SHANTHSAI@IBL-HDFC0000126-113039786363-RENT</t>
  </si>
  <si>
    <t>0000113039786363</t>
  </si>
  <si>
    <t>23/10/25</t>
  </si>
  <si>
    <t>NEFT CR-YESB0000001-ONE 97 COMMUNICATIONS LIMITED SETTL-ROCKTAIL HOSPITALITY SERVICES-YESBN12025102301234200</t>
  </si>
  <si>
    <t>YESBN12025102301234200</t>
  </si>
  <si>
    <t>NEFT CR-UTIB0001506-PHONEPE LIMITED-PAYMENT AGGREGATOR ESCROW ACCOUNT-ROCKTAIL HOSPITALITY-UTIBN62025102323642286</t>
  </si>
  <si>
    <t>UTIBN62025102323642286</t>
  </si>
  <si>
    <t>NEFT CR-SCBL0036001-AMERICAN EXPRESS BANKING CORP-ROCKTAIL HOSPITALITY SERVICES-SCBLN52025102300524874</t>
  </si>
  <si>
    <t>SCBLN52025102300524874</t>
  </si>
  <si>
    <t>42552394TERMINAL 1 CARDS SETTL. 23/10/25</t>
  </si>
  <si>
    <t>ACH D- PINE LABS PVT LTD-LKFVWNXRS92HQS</t>
  </si>
  <si>
    <t>0000003320579748</t>
  </si>
  <si>
    <t>UPI-CRED CLUB-CRED.CLUB@AXISB-UTIB0000114-566210138143-PAYMENT ON CRED</t>
  </si>
  <si>
    <t>0000566210138143</t>
  </si>
  <si>
    <t>IMPS-529613166068-HOUSE PARTY-HDFC-XXXXXXXXXX7641-LOAN RETURN</t>
  </si>
  <si>
    <t>0000529613166068</t>
  </si>
  <si>
    <t>UPI-WOLFFPACK VENTURES P-ABHISHEK.LADHA11-1@OKAXIS-HDFC0000512-529665135013-LOAN</t>
  </si>
  <si>
    <t>0000529665135013</t>
  </si>
  <si>
    <t>0000000000000191</t>
  </si>
  <si>
    <t>NEFT RETURN-INCORRECT ACCOUNT NUMBER-LAXMI AGENCIES-IBKLN92025102303245025</t>
  </si>
  <si>
    <t>HDFCN52025102352676626</t>
  </si>
  <si>
    <t>NEFT RETURN-INCORRECT ACCOUNT NUMBER-SRI HANUMAN AGENCIES-KVBLN52025102346825366</t>
  </si>
  <si>
    <t>HDFCN52025102352676639</t>
  </si>
  <si>
    <t>24/10/25</t>
  </si>
  <si>
    <t>NEFT CR-YESB0000001-ONE 97 COMMUNICATIONS LIMITED SETTL-ROCKTAIL HOSPITALITY SERVICES-YESBN12025102401591171</t>
  </si>
  <si>
    <t>YESBN12025102401591171</t>
  </si>
  <si>
    <t>42552394TERMINAL 1 CARDS SETTL. 24/10/25</t>
  </si>
  <si>
    <t>NEFT CR-YESB0000001-SWIGGY LIMITED-ROCKTAIL HOSPITALITY SERVICES-YESBN12025102404916414</t>
  </si>
  <si>
    <t>YESBN12025102404916414</t>
  </si>
  <si>
    <t>UPI-CHIVUKULA UPENDER SH-8332842446@YESCRED-HDFC0009608-566340339670-DIWALI PUJA</t>
  </si>
  <si>
    <t>0000566340339670</t>
  </si>
  <si>
    <t>25/10/25</t>
  </si>
  <si>
    <t>NEFT CR-YESB0000001-ONE 97 COMMUNICATIONS LIMITED SETTL-ROCKTAIL HOSPITALITY SERVICES-YESBN12025102501315902</t>
  </si>
  <si>
    <t>YESBN12025102501315902</t>
  </si>
  <si>
    <t>NEFT CR-UTIB0001506-PHONEPE LIMITED-PAYMENT AGGREGATOR ESCROW ACCOUNT-ROCKTAIL HOSPITALITY-UTIBN62025102546303839</t>
  </si>
  <si>
    <t>UTIBN62025102546303839</t>
  </si>
  <si>
    <t>26/10/25</t>
  </si>
  <si>
    <t>NEFT CR-YESB0000001-ONE 97 COMMUNICATIONS LIMITED SETTL-ROCKTAIL HOSPITALITY SERVICES-YESBN12025102601257886</t>
  </si>
  <si>
    <t>YESBN12025102601257886</t>
  </si>
  <si>
    <t>NEFT CR-UTIB0001506-PHONEPE LIMITED-PAYMENT AGGREGATOR ESCROW ACCOUNT-ROCKTAIL HOSPITALITY-UTIBN62025102656587443</t>
  </si>
  <si>
    <t>UTIBN62025102656587443</t>
  </si>
  <si>
    <t>42552394TERMINAL 1 CARDS SETTL. 26/10/25</t>
  </si>
  <si>
    <t>IMPS-529912104492-HOUSE PARTY-HDFC-XXXXXXXXXX7641-ELECTRICITY BILL</t>
  </si>
  <si>
    <t>0000529912104492</t>
  </si>
  <si>
    <t>UPI-P ARUN KUMAR-93937475761967@IBL-BARB0ASRAON-113226240320-STAFF RENT</t>
  </si>
  <si>
    <t>0000113226240320</t>
  </si>
  <si>
    <t>UPI-SUJOY GHOSH-GSUJOY009@OKHDFCBANK-HDFC0009383-566540142891-STAFF ROOM</t>
  </si>
  <si>
    <t>0000566540142891</t>
  </si>
  <si>
    <t>27/10/25</t>
  </si>
  <si>
    <t>NEFT CR-YESB0000001-ONE 97 COMMUNICATIONS LIMITED SETTL-ROCKTAIL HOSPITALITY SERVICES-YESBN12025102702384026</t>
  </si>
  <si>
    <t>YESBN12025102702384026</t>
  </si>
  <si>
    <t>NEFT CR-UTIB0001506-PHONEPE LIMITED-PAYMENT AGGREGATOR ESCROW ACCOUNT-ROCKTAIL HOSPITALITY-UTIBN62025102766283201</t>
  </si>
  <si>
    <t>UTIBN62025102766283201</t>
  </si>
  <si>
    <t>42552394TERMINAL 1 CARDS SETTL. 27/10/25</t>
  </si>
  <si>
    <t>UPI-SATYAJIT   JAUR-SATYAJITJAUR@OKICICI-KKBK0000565-113256799309-LOVE BAKERY</t>
  </si>
  <si>
    <t>0000113256799309</t>
  </si>
  <si>
    <t>NEFT CR-CITI0000002-ETERNAL LIMITED-ROCKTAIL HOSPITALITY SERVICES-CITIN52025102744279131</t>
  </si>
  <si>
    <t>CITIN52025102744279131</t>
  </si>
  <si>
    <t>UPI-CHURROLTO FOODS PRIV-CHURROLTO@YBL-HDFC0003974-113265686087-CHUROLTO PURCHASE</t>
  </si>
  <si>
    <t>0000113265686087</t>
  </si>
  <si>
    <t>28/10/25</t>
  </si>
  <si>
    <t>NEFT CR-YESB0000001-ONE 97 COMMUNICATIONS LIMITED SETTL-ROCKTAIL HOSPITALITY SERVICES-YESBN12025102800759935</t>
  </si>
  <si>
    <t>YESBN12025102800759935</t>
  </si>
  <si>
    <t>42552394TERMINAL 1 CARDS SETTL. 28/10/25</t>
  </si>
  <si>
    <t>UPI-GAMPA AMBA PRASAD-PRASADUCANMAIL@OKHDFCBANK-HDFC0004262-113296668851-MILK VENDOR</t>
  </si>
  <si>
    <t>0000113296668851</t>
  </si>
  <si>
    <t>NEFT CR-YESB0000001-SWIGGY LIMITED-ROCKTAIL HOSPITALITY SERVICES-YESBN12025102805002383</t>
  </si>
  <si>
    <t>YESBN12025102805002383</t>
  </si>
  <si>
    <t>29/10/25</t>
  </si>
  <si>
    <t>UPI-AIRTEL-AIRTEL4.PAYU@ICICI-ICIC0DC0099-530274291644-UPI MANDATE</t>
  </si>
  <si>
    <t>0000530274291644</t>
  </si>
  <si>
    <t>NEFT CR-YESB0000001-ONE 97 COMMUNICATIONS LIMITED SETTL-ROCKTAIL HOSPITALITY SERVICES-YESBN12025102900875545</t>
  </si>
  <si>
    <t>YESBN12025102900875545</t>
  </si>
  <si>
    <t>NEFT CR-UTIB0001506-PHONEPE LIMITED-PAYMENT AGGREGATOR ESCROW ACCOUNT-ROCKTAIL HOSPITALITY-UTIBN62025102988649977</t>
  </si>
  <si>
    <t>UTIBN62025102988649977</t>
  </si>
  <si>
    <t>42552394TERMINAL 1 CARDS SETTL. 29/10/25</t>
  </si>
  <si>
    <t>UPI-SHREY SINGH-SHREYSINGH0501-1@OKHDFCBANK-HDFC0004216-113331491172-LEGAL</t>
  </si>
  <si>
    <t>0000113331491172</t>
  </si>
  <si>
    <t>UPI-GHANSHYAM TAK-9032357065TAK-1@OKHDFCBANK-BARB0CHILAK-566868538255-DIWALI SWEETS</t>
  </si>
  <si>
    <t>0000566868538255</t>
  </si>
  <si>
    <t>NEFT CR-UTIB0000052-BUNDL TECHNOLOGIES PRIVATE LIMITED-ROCKTAIL HOSPITALITY SERVICES-UTIBN62025102990401735</t>
  </si>
  <si>
    <t>UTIBN62025102990401735</t>
  </si>
  <si>
    <t>NEFT CR-CITI0000002-ETERNAL LIMITED-ROCKTAIL HOSPITALITY SERVICES-CITIN52025102945837468</t>
  </si>
  <si>
    <t>CITIN52025102945837468</t>
  </si>
  <si>
    <t>30/10/25</t>
  </si>
  <si>
    <t>NEFT CR-YESB0000001-ONE 97 COMMUNICATIONS LIMITED SETTL-ROCKTAIL HOSPITALITY SERVICES-YESBN12025103001214775</t>
  </si>
  <si>
    <t>YESBN12025103001214775</t>
  </si>
  <si>
    <t>NEFT CR-UTIB0001506-PHONEPE LIMITED-PAYMENT AGGREGATOR ESCROW ACCOUNT-ROCKTAIL HOSPITALITY-UTIBN62025103000023706</t>
  </si>
  <si>
    <t>UTIBN62025103000023706</t>
  </si>
  <si>
    <t>42552394TERMINAL 1 CARDS SETTL. 30/10/25</t>
  </si>
  <si>
    <t>UPI-BUTUKURI CHANDRA RED-CHREDDY332@IBL-UBIN0803944-530301632344-BENNE LEAF</t>
  </si>
  <si>
    <t>0000530301632344</t>
  </si>
  <si>
    <t>UPI-BUTUKURI CHANDRA RED-CHREDDY332@IBL-UBIN0803944-566942126755-BENNE</t>
  </si>
  <si>
    <t>0000566942126755</t>
  </si>
  <si>
    <t>NEFT DR-UTIB0003241-SRINIVAS AGENCY-NETBANK, MUM-HDFCN52025103063055650-JULY VENDOR</t>
  </si>
  <si>
    <t>HDFCN52025103063055650</t>
  </si>
  <si>
    <t>UPI-DIGGYREDDY KUSHAL RE-9908441203@YBL-HDFC0004343-113388314228-GAS VENDOR</t>
  </si>
  <si>
    <t>0000113388314228</t>
  </si>
  <si>
    <t>31/10/25</t>
  </si>
  <si>
    <t>NEFT CR-YESB0000001-ONE 97 COMMUNICATIONS LIMITED SETTL-ROCKTAIL HOSPITALITY SERVICES-YESBN12025103101226643</t>
  </si>
  <si>
    <t>YESBN12025103101226643</t>
  </si>
  <si>
    <t>42552394TERMINAL 1 CARDS SETTL. 31/10/25</t>
  </si>
  <si>
    <t>Service Fee Reversal</t>
  </si>
  <si>
    <t>Zomato Cash Flow   - July - 2026</t>
  </si>
  <si>
    <t>Zomato Profit Statement - July - 2026</t>
  </si>
  <si>
    <t>Zomato Discrepancies  - July - 2026</t>
  </si>
  <si>
    <t>Zomato Summary  - July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</si>
</sst>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1">
    <font>
      <sz val="11"/>
      <name val="Calibri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0"/>
      <color rgb="FF000000"/>
      <name val="Aptos Narrow"/>
      <family val="1"/>
      <scheme val="minor"/>
    </font>
    <font>
      <sz val="11"/>
      <name val="Cambria"/>
      <family val="1"/>
    </font>
    <font>
      <sz val="10"/>
      <color rgb="FF000000"/>
      <name val="Cambria"/>
      <family val="1"/>
    </font>
    <font>
      <sz val="11"/>
      <color theme="1"/>
      <name val="Cambria"/>
      <family val="1"/>
    </font>
    <font>
      <sz val="11"/>
      <color rgb="FF000000"/>
      <name val="Cambria"/>
      <family val="1"/>
    </font>
    <font>
      <b/>
      <sz val="16"/>
      <color rgb="FF000000"/>
      <name val="Cambria"/>
      <family val="1"/>
    </font>
    <font>
      <sz val="10"/>
      <color rgb="FF000000"/>
      <name val="Aptos Narrow"/>
      <family val="2"/>
      <scheme val="minor"/>
    </font>
    <font>
      <b/>
      <sz val="10"/>
      <name val="Cambria"/>
      <family val="1"/>
    </font>
    <font>
      <sz val="10"/>
      <name val="Cambria"/>
      <family val="1"/>
    </font>
    <font>
      <b/>
      <sz val="1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4"/>
      <color rgb="FF000000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rgb="FF000000"/>
      <name val="Calibri"/>
      <family val="2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3"/>
      <color theme="1"/>
      <name val="Calibri"/>
      <family val="2"/>
    </font>
    <font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</borders>
  <cellStyleXfs count="11">
    <xf numFmtId="0" fontId="0" fillId="0" borderId="0"/>
    <xf numFmtId="43" fontId="30" fillId="0" borderId="0"/>
    <xf numFmtId="0" fontId="6" fillId="0" borderId="0"/>
    <xf numFmtId="0" fontId="12" fillId="0" borderId="0"/>
    <xf numFmtId="9" fontId="30" fillId="0" borderId="0"/>
    <xf numFmtId="0" fontId="4" fillId="0" borderId="0"/>
    <xf numFmtId="0" fontId="30" fillId="0" borderId="0"/>
    <xf numFmtId="9" fontId="30" fillId="0" borderId="0"/>
    <xf numFmtId="0" fontId="16" fillId="0" borderId="0"/>
    <xf numFmtId="0" fontId="30" fillId="0" borderId="0"/>
    <xf numFmtId="0" fontId="30" fillId="0" borderId="0"/>
  </cellStyleXfs>
  <cellXfs count="148">
    <xf numFmtId="0" fontId="0" fillId="0" borderId="0" xfId="0"/>
    <xf numFmtId="2" fontId="7" fillId="0" borderId="0" xfId="0" applyNumberFormat="1" applyFont="1"/>
    <xf numFmtId="10" fontId="7" fillId="0" borderId="0" xfId="0" applyNumberFormat="1" applyFont="1"/>
    <xf numFmtId="10" fontId="10" fillId="0" borderId="0" xfId="0" applyNumberFormat="1" applyFont="1"/>
    <xf numFmtId="2" fontId="10" fillId="0" borderId="0" xfId="0" applyNumberFormat="1" applyFont="1"/>
    <xf numFmtId="0" fontId="9" fillId="0" borderId="0" xfId="0" applyFont="1" applyAlignment="1">
      <alignment wrapText="1"/>
    </xf>
    <xf numFmtId="0" fontId="11" fillId="0" borderId="0" xfId="0" applyFont="1"/>
    <xf numFmtId="0" fontId="9" fillId="0" borderId="0" xfId="0" applyFont="1"/>
    <xf numFmtId="4" fontId="7" fillId="0" borderId="0" xfId="0" applyNumberFormat="1" applyFont="1"/>
    <xf numFmtId="0" fontId="13" fillId="0" borderId="0" xfId="0" applyFont="1"/>
    <xf numFmtId="0" fontId="14" fillId="0" borderId="0" xfId="0" applyFont="1"/>
    <xf numFmtId="10" fontId="7" fillId="0" borderId="0" xfId="4" applyNumberFormat="1" applyFont="1"/>
    <xf numFmtId="0" fontId="15" fillId="0" borderId="0" xfId="0" applyFont="1"/>
    <xf numFmtId="0" fontId="17" fillId="0" borderId="38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3" fillId="0" borderId="24" xfId="0" applyFont="1" applyBorder="1" applyAlignment="1">
      <alignment wrapText="1"/>
    </xf>
    <xf numFmtId="0" fontId="3" fillId="0" borderId="14" xfId="0" applyFont="1" applyBorder="1"/>
    <xf numFmtId="0" fontId="3" fillId="0" borderId="0" xfId="0" applyFont="1" applyAlignment="1">
      <alignment wrapText="1"/>
    </xf>
    <xf numFmtId="0" fontId="3" fillId="0" borderId="14" xfId="0" applyFont="1" applyBorder="1" applyAlignment="1">
      <alignment wrapText="1"/>
    </xf>
    <xf numFmtId="0" fontId="3" fillId="0" borderId="25" xfId="0" applyFont="1" applyBorder="1" applyAlignment="1">
      <alignment wrapText="1"/>
    </xf>
    <xf numFmtId="10" fontId="3" fillId="0" borderId="14" xfId="0" applyNumberFormat="1" applyFont="1" applyBorder="1" applyAlignment="1">
      <alignment wrapText="1"/>
    </xf>
    <xf numFmtId="10" fontId="3" fillId="0" borderId="14" xfId="0" applyNumberFormat="1" applyFont="1" applyBorder="1" applyAlignment="1">
      <alignment horizontal="right"/>
    </xf>
    <xf numFmtId="2" fontId="3" fillId="0" borderId="14" xfId="0" applyNumberFormat="1" applyFont="1" applyBorder="1" applyAlignment="1">
      <alignment horizontal="right"/>
    </xf>
    <xf numFmtId="2" fontId="3" fillId="0" borderId="0" xfId="0" applyNumberFormat="1" applyFont="1" applyAlignment="1">
      <alignment wrapText="1"/>
    </xf>
    <xf numFmtId="2" fontId="3" fillId="0" borderId="14" xfId="0" applyNumberFormat="1" applyFont="1" applyBorder="1" applyAlignment="1">
      <alignment wrapText="1"/>
    </xf>
    <xf numFmtId="0" fontId="3" fillId="0" borderId="26" xfId="0" applyFont="1" applyBorder="1" applyAlignment="1">
      <alignment wrapText="1"/>
    </xf>
    <xf numFmtId="10" fontId="3" fillId="0" borderId="29" xfId="0" applyNumberFormat="1" applyFont="1" applyBorder="1" applyAlignment="1">
      <alignment horizontal="right"/>
    </xf>
    <xf numFmtId="9" fontId="3" fillId="0" borderId="14" xfId="4" applyFont="1" applyBorder="1" applyAlignment="1">
      <alignment horizontal="right"/>
    </xf>
    <xf numFmtId="9" fontId="3" fillId="0" borderId="0" xfId="4" applyFont="1" applyAlignment="1">
      <alignment horizontal="right"/>
    </xf>
    <xf numFmtId="10" fontId="3" fillId="0" borderId="14" xfId="4" applyNumberFormat="1" applyFont="1" applyBorder="1" applyAlignment="1">
      <alignment horizontal="right"/>
    </xf>
    <xf numFmtId="0" fontId="3" fillId="0" borderId="27" xfId="0" applyFont="1" applyBorder="1" applyAlignment="1">
      <alignment wrapText="1"/>
    </xf>
    <xf numFmtId="10" fontId="3" fillId="0" borderId="14" xfId="0" applyNumberFormat="1" applyFont="1" applyBorder="1"/>
    <xf numFmtId="10" fontId="3" fillId="0" borderId="0" xfId="0" applyNumberFormat="1" applyFont="1"/>
    <xf numFmtId="0" fontId="3" fillId="0" borderId="20" xfId="0" applyFont="1" applyBorder="1" applyAlignment="1">
      <alignment wrapText="1"/>
    </xf>
    <xf numFmtId="10" fontId="3" fillId="0" borderId="23" xfId="0" applyNumberFormat="1" applyFont="1" applyBorder="1"/>
    <xf numFmtId="10" fontId="3" fillId="0" borderId="21" xfId="0" applyNumberFormat="1" applyFont="1" applyBorder="1"/>
    <xf numFmtId="0" fontId="21" fillId="0" borderId="0" xfId="0" applyFont="1"/>
    <xf numFmtId="0" fontId="5" fillId="0" borderId="0" xfId="0" applyFont="1" applyAlignment="1">
      <alignment horizontal="center" vertical="center"/>
    </xf>
    <xf numFmtId="0" fontId="22" fillId="0" borderId="3" xfId="0" applyFont="1" applyBorder="1"/>
    <xf numFmtId="10" fontId="22" fillId="0" borderId="3" xfId="0" applyNumberFormat="1" applyFont="1" applyBorder="1" applyAlignment="1">
      <alignment horizontal="right"/>
    </xf>
    <xf numFmtId="10" fontId="22" fillId="0" borderId="3" xfId="0" applyNumberFormat="1" applyFont="1" applyBorder="1"/>
    <xf numFmtId="2" fontId="20" fillId="0" borderId="7" xfId="0" applyNumberFormat="1" applyFont="1" applyBorder="1"/>
    <xf numFmtId="0" fontId="22" fillId="0" borderId="0" xfId="0" applyFont="1" applyAlignment="1">
      <alignment horizontal="center"/>
    </xf>
    <xf numFmtId="0" fontId="22" fillId="0" borderId="9" xfId="0" applyFont="1" applyBorder="1"/>
    <xf numFmtId="10" fontId="22" fillId="0" borderId="6" xfId="0" applyNumberFormat="1" applyFont="1" applyBorder="1" applyAlignment="1">
      <alignment horizontal="right"/>
    </xf>
    <xf numFmtId="10" fontId="22" fillId="0" borderId="12" xfId="0" applyNumberFormat="1" applyFont="1" applyBorder="1" applyAlignment="1">
      <alignment horizontal="right"/>
    </xf>
    <xf numFmtId="0" fontId="25" fillId="0" borderId="17" xfId="0" applyFont="1" applyBorder="1" applyAlignment="1">
      <alignment horizontal="center"/>
    </xf>
    <xf numFmtId="0" fontId="20" fillId="0" borderId="5" xfId="0" applyFont="1" applyBorder="1"/>
    <xf numFmtId="0" fontId="20" fillId="0" borderId="3" xfId="0" applyFont="1" applyBorder="1"/>
    <xf numFmtId="0" fontId="22" fillId="0" borderId="8" xfId="0" applyFont="1" applyBorder="1"/>
    <xf numFmtId="0" fontId="27" fillId="0" borderId="0" xfId="0" applyFont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28" fillId="0" borderId="8" xfId="0" applyFont="1" applyBorder="1"/>
    <xf numFmtId="0" fontId="20" fillId="0" borderId="2" xfId="0" applyFont="1" applyBorder="1"/>
    <xf numFmtId="0" fontId="29" fillId="0" borderId="8" xfId="0" applyFont="1" applyBorder="1"/>
    <xf numFmtId="0" fontId="29" fillId="0" borderId="2" xfId="0" applyFont="1" applyBorder="1"/>
    <xf numFmtId="0" fontId="22" fillId="0" borderId="11" xfId="0" applyFont="1" applyBorder="1"/>
    <xf numFmtId="0" fontId="20" fillId="0" borderId="37" xfId="0" applyFont="1" applyBorder="1" applyAlignment="1">
      <alignment horizontal="center"/>
    </xf>
    <xf numFmtId="0" fontId="20" fillId="0" borderId="7" xfId="0" applyFont="1" applyBorder="1" applyAlignment="1">
      <alignment vertical="center"/>
    </xf>
    <xf numFmtId="2" fontId="25" fillId="0" borderId="1" xfId="0" applyNumberFormat="1" applyFont="1" applyBorder="1"/>
    <xf numFmtId="2" fontId="25" fillId="0" borderId="39" xfId="0" applyNumberFormat="1" applyFont="1" applyBorder="1" applyAlignment="1">
      <alignment horizontal="center" vertical="center" wrapText="1"/>
    </xf>
    <xf numFmtId="2" fontId="20" fillId="0" borderId="1" xfId="1" applyNumberFormat="1" applyFont="1" applyBorder="1" applyAlignment="1">
      <alignment horizontal="center" vertical="center"/>
    </xf>
    <xf numFmtId="2" fontId="22" fillId="0" borderId="3" xfId="0" applyNumberFormat="1" applyFont="1" applyBorder="1"/>
    <xf numFmtId="2" fontId="22" fillId="0" borderId="3" xfId="1" applyNumberFormat="1" applyFont="1" applyBorder="1" applyAlignment="1">
      <alignment horizontal="right" vertical="center"/>
    </xf>
    <xf numFmtId="2" fontId="22" fillId="0" borderId="4" xfId="1" applyNumberFormat="1" applyFont="1" applyBorder="1" applyAlignment="1">
      <alignment horizontal="right" vertical="top"/>
    </xf>
    <xf numFmtId="2" fontId="26" fillId="0" borderId="3" xfId="1" applyNumberFormat="1" applyFont="1" applyBorder="1" applyAlignment="1">
      <alignment horizontal="right" vertical="center"/>
    </xf>
    <xf numFmtId="2" fontId="20" fillId="0" borderId="5" xfId="0" applyNumberFormat="1" applyFont="1" applyBorder="1"/>
    <xf numFmtId="2" fontId="20" fillId="0" borderId="5" xfId="1" applyNumberFormat="1" applyFont="1" applyBorder="1" applyAlignment="1">
      <alignment horizontal="right" vertical="center"/>
    </xf>
    <xf numFmtId="2" fontId="20" fillId="0" borderId="5" xfId="1" applyNumberFormat="1" applyFont="1" applyBorder="1" applyAlignment="1">
      <alignment horizontal="right" vertical="top"/>
    </xf>
    <xf numFmtId="2" fontId="20" fillId="0" borderId="16" xfId="0" applyNumberFormat="1" applyFont="1" applyBorder="1"/>
    <xf numFmtId="2" fontId="20" fillId="0" borderId="16" xfId="1" applyNumberFormat="1" applyFont="1" applyBorder="1" applyAlignment="1">
      <alignment horizontal="right" vertical="center"/>
    </xf>
    <xf numFmtId="2" fontId="22" fillId="0" borderId="18" xfId="0" applyNumberFormat="1" applyFont="1" applyBorder="1"/>
    <xf numFmtId="2" fontId="22" fillId="0" borderId="22" xfId="1" applyNumberFormat="1" applyFont="1" applyBorder="1" applyAlignment="1">
      <alignment horizontal="right" vertical="center"/>
    </xf>
    <xf numFmtId="2" fontId="22" fillId="0" borderId="19" xfId="1" applyNumberFormat="1" applyFont="1" applyBorder="1" applyAlignment="1">
      <alignment horizontal="right" vertical="top"/>
    </xf>
    <xf numFmtId="2" fontId="22" fillId="0" borderId="22" xfId="1" applyNumberFormat="1" applyFont="1" applyBorder="1" applyAlignment="1">
      <alignment horizontal="right" vertical="top"/>
    </xf>
    <xf numFmtId="2" fontId="22" fillId="0" borderId="24" xfId="0" applyNumberFormat="1" applyFont="1" applyBorder="1"/>
    <xf numFmtId="2" fontId="22" fillId="0" borderId="14" xfId="1" applyNumberFormat="1" applyFont="1" applyBorder="1" applyAlignment="1">
      <alignment horizontal="right" vertical="center"/>
    </xf>
    <xf numFmtId="2" fontId="22" fillId="0" borderId="0" xfId="1" applyNumberFormat="1" applyFont="1" applyAlignment="1">
      <alignment horizontal="right" vertical="top"/>
    </xf>
    <xf numFmtId="2" fontId="22" fillId="0" borderId="14" xfId="1" applyNumberFormat="1" applyFont="1" applyBorder="1" applyAlignment="1">
      <alignment horizontal="right" vertical="top"/>
    </xf>
    <xf numFmtId="2" fontId="22" fillId="0" borderId="14" xfId="0" applyNumberFormat="1" applyFont="1" applyBorder="1"/>
    <xf numFmtId="2" fontId="22" fillId="0" borderId="0" xfId="1" applyNumberFormat="1" applyFont="1" applyAlignment="1">
      <alignment horizontal="right" vertical="center"/>
    </xf>
    <xf numFmtId="2" fontId="26" fillId="0" borderId="3" xfId="1" applyNumberFormat="1" applyFont="1" applyBorder="1" applyAlignment="1">
      <alignment horizontal="right" vertical="top"/>
    </xf>
    <xf numFmtId="2" fontId="5" fillId="0" borderId="0" xfId="1" applyNumberFormat="1" applyFont="1" applyAlignment="1">
      <alignment horizontal="right" vertical="top"/>
    </xf>
    <xf numFmtId="2" fontId="5" fillId="0" borderId="0" xfId="1" applyNumberFormat="1" applyFont="1" applyAlignment="1">
      <alignment horizontal="right" vertical="center"/>
    </xf>
    <xf numFmtId="2" fontId="25" fillId="0" borderId="5" xfId="1" applyNumberFormat="1" applyFont="1" applyBorder="1" applyAlignment="1">
      <alignment horizontal="right" vertical="top"/>
    </xf>
    <xf numFmtId="2" fontId="20" fillId="0" borderId="7" xfId="1" applyNumberFormat="1" applyFont="1" applyBorder="1" applyAlignment="1">
      <alignment horizontal="right" vertical="center"/>
    </xf>
    <xf numFmtId="2" fontId="22" fillId="0" borderId="3" xfId="1" applyNumberFormat="1" applyFont="1" applyBorder="1"/>
    <xf numFmtId="2" fontId="20" fillId="0" borderId="5" xfId="1" applyNumberFormat="1" applyFont="1" applyBorder="1"/>
    <xf numFmtId="2" fontId="22" fillId="0" borderId="3" xfId="1" applyNumberFormat="1" applyFont="1" applyBorder="1" applyAlignment="1">
      <alignment horizontal="right" vertical="top"/>
    </xf>
    <xf numFmtId="2" fontId="22" fillId="0" borderId="3" xfId="1" applyNumberFormat="1" applyFont="1" applyBorder="1" applyAlignment="1">
      <alignment vertical="top"/>
    </xf>
    <xf numFmtId="2" fontId="22" fillId="0" borderId="9" xfId="1" applyNumberFormat="1" applyFont="1" applyBorder="1" applyAlignment="1">
      <alignment vertical="top"/>
    </xf>
    <xf numFmtId="2" fontId="20" fillId="0" borderId="9" xfId="1" applyNumberFormat="1" applyFont="1" applyBorder="1" applyAlignment="1">
      <alignment vertical="top"/>
    </xf>
    <xf numFmtId="2" fontId="22" fillId="0" borderId="9" xfId="1" applyNumberFormat="1" applyFont="1" applyBorder="1" applyAlignment="1">
      <alignment horizontal="right" vertical="top"/>
    </xf>
    <xf numFmtId="2" fontId="20" fillId="0" borderId="1" xfId="1" applyNumberFormat="1" applyFont="1" applyBorder="1" applyAlignment="1">
      <alignment vertical="top"/>
    </xf>
    <xf numFmtId="2" fontId="20" fillId="0" borderId="10" xfId="1" applyNumberFormat="1" applyFont="1" applyBorder="1" applyAlignment="1">
      <alignment vertical="top"/>
    </xf>
    <xf numFmtId="2" fontId="3" fillId="0" borderId="15" xfId="1" applyNumberFormat="1" applyFont="1" applyBorder="1"/>
    <xf numFmtId="2" fontId="3" fillId="0" borderId="14" xfId="1" applyNumberFormat="1" applyFont="1" applyBorder="1"/>
    <xf numFmtId="2" fontId="3" fillId="0" borderId="0" xfId="1" applyNumberFormat="1" applyFont="1" applyAlignment="1">
      <alignment wrapText="1"/>
    </xf>
    <xf numFmtId="2" fontId="3" fillId="0" borderId="14" xfId="1" applyNumberFormat="1" applyFont="1" applyBorder="1" applyAlignment="1">
      <alignment wrapText="1"/>
    </xf>
    <xf numFmtId="2" fontId="3" fillId="0" borderId="14" xfId="1" applyNumberFormat="1" applyFont="1" applyBorder="1" applyAlignment="1">
      <alignment horizontal="right"/>
    </xf>
    <xf numFmtId="2" fontId="3" fillId="0" borderId="0" xfId="1" applyNumberFormat="1" applyFont="1" applyAlignment="1">
      <alignment horizontal="right"/>
    </xf>
    <xf numFmtId="2" fontId="3" fillId="0" borderId="0" xfId="1" applyNumberFormat="1" applyFont="1" applyAlignment="1">
      <alignment horizontal="right" wrapText="1"/>
    </xf>
    <xf numFmtId="2" fontId="3" fillId="0" borderId="14" xfId="1" applyNumberFormat="1" applyFont="1" applyBorder="1" applyAlignment="1">
      <alignment horizontal="right" wrapText="1"/>
    </xf>
    <xf numFmtId="2" fontId="3" fillId="0" borderId="29" xfId="1" applyNumberFormat="1" applyFont="1" applyBorder="1" applyAlignment="1">
      <alignment horizontal="right"/>
    </xf>
    <xf numFmtId="2" fontId="3" fillId="0" borderId="15" xfId="1" applyNumberFormat="1" applyFont="1" applyBorder="1" applyAlignment="1">
      <alignment horizontal="right"/>
    </xf>
    <xf numFmtId="2" fontId="3" fillId="0" borderId="30" xfId="1" applyNumberFormat="1" applyFont="1" applyBorder="1"/>
    <xf numFmtId="2" fontId="3" fillId="0" borderId="34" xfId="1" applyNumberFormat="1" applyFont="1" applyBorder="1"/>
    <xf numFmtId="2" fontId="3" fillId="0" borderId="33" xfId="1" applyNumberFormat="1" applyFont="1" applyBorder="1" applyAlignment="1">
      <alignment horizontal="right"/>
    </xf>
    <xf numFmtId="2" fontId="3" fillId="0" borderId="31" xfId="1" applyNumberFormat="1" applyFont="1" applyBorder="1"/>
    <xf numFmtId="2" fontId="3" fillId="0" borderId="35" xfId="1" applyNumberFormat="1" applyFont="1" applyBorder="1"/>
    <xf numFmtId="2" fontId="3" fillId="0" borderId="36" xfId="1" applyNumberFormat="1" applyFont="1" applyBorder="1"/>
    <xf numFmtId="49" fontId="20" fillId="0" borderId="3" xfId="0" applyNumberFormat="1" applyFont="1" applyBorder="1" applyAlignment="1">
      <alignment horizontal="right"/>
    </xf>
    <xf numFmtId="49" fontId="22" fillId="0" borderId="3" xfId="0" applyNumberFormat="1" applyFont="1" applyBorder="1" applyAlignment="1">
      <alignment horizontal="right"/>
    </xf>
    <xf numFmtId="49" fontId="22" fillId="0" borderId="8" xfId="0" applyNumberFormat="1" applyFont="1" applyBorder="1" applyAlignment="1">
      <alignment horizontal="right"/>
    </xf>
    <xf numFmtId="2" fontId="3" fillId="0" borderId="0" xfId="1" applyNumberFormat="1" applyFont="1"/>
    <xf numFmtId="0" fontId="7" fillId="0" borderId="14" xfId="0" applyFont="1" applyBorder="1"/>
    <xf numFmtId="2" fontId="2" fillId="0" borderId="14" xfId="1" applyNumberFormat="1" applyFont="1" applyBorder="1" applyAlignment="1">
      <alignment horizontal="right"/>
    </xf>
    <xf numFmtId="0" fontId="7" fillId="0" borderId="0" xfId="0" applyFont="1"/>
    <xf numFmtId="0" fontId="5" fillId="0" borderId="0" xfId="0" applyFont="1"/>
    <xf numFmtId="0" fontId="0" fillId="0" borderId="0" xfId="0"/>
    <xf numFmtId="43" fontId="20" fillId="0" borderId="28" xfId="1" applyFont="1" applyBorder="1" applyAlignment="1">
      <alignment horizontal="center" vertical="center"/>
    </xf>
    <xf numFmtId="43" fontId="20" fillId="0" borderId="32" xfId="1" applyFont="1" applyBorder="1" applyAlignment="1">
      <alignment horizontal="center" vertical="center"/>
    </xf>
    <xf numFmtId="43" fontId="7" fillId="0" borderId="0" xfId="0" applyNumberFormat="1" applyFont="1"/>
    <xf numFmtId="43" fontId="3" fillId="0" borderId="14" xfId="1" applyFont="1" applyBorder="1" applyAlignment="1">
      <alignment horizontal="right"/>
    </xf>
    <xf numFmtId="43" fontId="3" fillId="0" borderId="0" xfId="1" applyFont="1" applyAlignment="1">
      <alignment wrapText="1"/>
    </xf>
    <xf numFmtId="43" fontId="3" fillId="0" borderId="14" xfId="1" applyFont="1" applyBorder="1" applyAlignment="1">
      <alignment wrapText="1"/>
    </xf>
    <xf numFmtId="43" fontId="3" fillId="0" borderId="14" xfId="1" applyFont="1" applyBorder="1"/>
    <xf numFmtId="43" fontId="5" fillId="0" borderId="0" xfId="1" applyFont="1" applyAlignment="1">
      <alignment horizontal="right" vertical="center"/>
    </xf>
    <xf numFmtId="43" fontId="5" fillId="0" borderId="0" xfId="1" applyFont="1" applyAlignment="1">
      <alignment horizontal="right" vertical="top"/>
    </xf>
    <xf numFmtId="43" fontId="8" fillId="2" borderId="0" xfId="0" applyNumberFormat="1" applyFont="1" applyFill="1"/>
    <xf numFmtId="43" fontId="7" fillId="0" borderId="0" xfId="1" applyFont="1"/>
    <xf numFmtId="43" fontId="20" fillId="0" borderId="39" xfId="1" applyFont="1" applyBorder="1" applyAlignment="1">
      <alignment horizontal="center" vertical="center" wrapText="1"/>
    </xf>
    <xf numFmtId="43" fontId="5" fillId="0" borderId="0" xfId="0" applyNumberFormat="1" applyFont="1"/>
    <xf numFmtId="43" fontId="20" fillId="0" borderId="13" xfId="1" applyFont="1" applyBorder="1" applyAlignment="1">
      <alignment horizontal="center" vertical="center" wrapText="1"/>
    </xf>
    <xf numFmtId="43" fontId="22" fillId="0" borderId="3" xfId="1" applyFont="1" applyBorder="1"/>
    <xf numFmtId="0" fontId="0" fillId="0" borderId="0" xfId="0"/>
    <xf numFmtId="0" fontId="7" fillId="0" borderId="0" xfId="0" applyFont="1"/>
    <xf numFmtId="2" fontId="1" fillId="0" borderId="29" xfId="1" applyNumberFormat="1" applyFont="1" applyBorder="1"/>
    <xf numFmtId="0" fontId="18" fillId="0" borderId="0" xfId="0" applyFont="1" applyAlignment="1">
      <alignment horizontal="center"/>
    </xf>
    <xf numFmtId="0" fontId="7" fillId="0" borderId="0" xfId="0" applyFont="1"/>
    <xf numFmtId="0" fontId="19" fillId="0" borderId="0" xfId="0" applyFont="1" applyAlignment="1">
      <alignment horizontal="center" wrapText="1"/>
    </xf>
    <xf numFmtId="17" fontId="17" fillId="0" borderId="0" xfId="0" applyNumberFormat="1" applyFont="1" applyAlignment="1">
      <alignment horizontal="center" wrapText="1"/>
    </xf>
    <xf numFmtId="0" fontId="24" fillId="0" borderId="0" xfId="0" applyFont="1" applyAlignment="1">
      <alignment horizontal="center"/>
    </xf>
    <xf numFmtId="0" fontId="5" fillId="0" borderId="0" xfId="0" applyFont="1"/>
    <xf numFmtId="43" fontId="5" fillId="0" borderId="0" xfId="1" applyFont="1" applyAlignment="1">
      <alignment horizontal="right" vertical="center"/>
    </xf>
    <xf numFmtId="43" fontId="5" fillId="0" borderId="0" xfId="1" applyFont="1" applyAlignment="1">
      <alignment horizontal="right" vertical="top"/>
    </xf>
    <xf numFmtId="0" fontId="23" fillId="0" borderId="0" xfId="0" applyFont="1" applyAlignment="1">
      <alignment horizontal="center"/>
    </xf>
    <xf numFmtId="0" fontId="5" fillId="0" borderId="6" xfId="0" applyFont="1" applyBorder="1"/>
  </cellXfs>
  <cellStyles count="11">
    <cellStyle name="Comma" xfId="1" builtinId="3"/>
    <cellStyle name="Normal" xfId="0" builtinId="0"/>
    <cellStyle name="Normal 2" xfId="2" xr:uid="{00000000-0005-0000-0000-000002000000}"/>
    <cellStyle name="Normal 25" xfId="9" xr:uid="{00000000-0005-0000-0000-000009000000}"/>
    <cellStyle name="Normal 3" xfId="3" xr:uid="{00000000-0005-0000-0000-000003000000}"/>
    <cellStyle name="Normal 4" xfId="5" xr:uid="{00000000-0005-0000-0000-000005000000}"/>
    <cellStyle name="Normal 5" xfId="6" xr:uid="{00000000-0005-0000-0000-000006000000}"/>
    <cellStyle name="Normal 6" xfId="8" xr:uid="{00000000-0005-0000-0000-000008000000}"/>
    <cellStyle name="Normal 7" xfId="10" xr:uid="{00000000-0005-0000-0000-00000A000000}"/>
    <cellStyle name="Percent" xfId="4" builtinId="5"/>
    <cellStyle name="Percent 2" xfId="7" xr:uid="{00000000-0005-0000-0000-000007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56744</xdr:colOff>
      <xdr:row>37</xdr:row>
      <xdr:rowOff>0</xdr:rowOff>
    </xdr:from>
    <xdr:to>
      <xdr:col>7</xdr:col>
      <xdr:colOff>836899</xdr:colOff>
      <xdr:row>41</xdr:row>
      <xdr:rowOff>90090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4637A3-409E-46F0-9DC7-FC81C591C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1999" y="6128426"/>
          <a:ext cx="780155" cy="70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106365</xdr:colOff>
      <xdr:row>39</xdr:row>
      <xdr:rowOff>120804</xdr:rowOff>
    </xdr:from>
    <xdr:to>
      <xdr:col>7</xdr:col>
      <xdr:colOff>967840</xdr:colOff>
      <xdr:row>43</xdr:row>
      <xdr:rowOff>157976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0693DF-2860-4A81-A288-74D797DE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95438" y="7768682"/>
          <a:ext cx="861475" cy="78058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167640</xdr:colOff>
      <xdr:row>19</xdr:row>
      <xdr:rowOff>121920</xdr:rowOff>
    </xdr:from>
    <xdr:to>
      <xdr:col>6</xdr:col>
      <xdr:colOff>875285</xdr:colOff>
      <xdr:row>22</xdr:row>
      <xdr:rowOff>115420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F5C96-4879-4B0E-9F27-9110A8498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03820" y="3741420"/>
          <a:ext cx="707645" cy="6412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22860</xdr:colOff>
      <xdr:row>23</xdr:row>
      <xdr:rowOff>137160</xdr:rowOff>
    </xdr:from>
    <xdr:to>
      <xdr:col>6</xdr:col>
      <xdr:colOff>730505</xdr:colOff>
      <xdr:row>27</xdr:row>
      <xdr:rowOff>46840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AF11FF-A38C-4B35-B863-058CF7427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0940" y="4472940"/>
          <a:ext cx="707645" cy="64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J1007"/>
  <sheetViews>
    <sheetView showGridLines="0" tabSelected="1" topLeftCell="A10" zoomScale="94" zoomScaleNormal="100" workbookViewId="0">
      <selection activeCell="C39" sqref="C39"/>
    </sheetView>
  </sheetViews>
  <sheetFormatPr defaultColWidth="12.5546875" defaultRowHeight="15" customHeight="1"/>
  <cols>
    <col min="1" max="1" width="4.88671875" style="117" customWidth="1"/>
    <col min="2" max="2" width="52.44140625" style="117" customWidth="1"/>
    <col min="3" max="4" width="12.77734375" style="117" bestFit="1" customWidth="1"/>
    <col min="5" max="5" width="12.5546875" style="117" bestFit="1" customWidth="1"/>
    <col min="6" max="6" width="13.109375" style="117" bestFit="1" customWidth="1"/>
    <col min="7" max="7" width="12.88671875" style="117" customWidth="1"/>
    <col min="8" max="8" width="14" style="117" bestFit="1" customWidth="1"/>
    <col min="9" max="10" width="12.5546875" style="117" customWidth="1"/>
    <col min="11" max="16384" width="12.5546875" style="117"/>
  </cols>
  <sheetData>
    <row r="1" spans="2:9" ht="15" customHeight="1">
      <c r="B1" s="138"/>
      <c r="C1" s="139"/>
      <c r="D1" s="139"/>
      <c r="E1" s="139"/>
      <c r="F1" s="139"/>
      <c r="G1" s="139"/>
      <c r="H1" s="139"/>
      <c r="I1" s="6"/>
    </row>
    <row r="2" spans="2:9" ht="16.5" customHeight="1">
      <c r="B2" s="140" t="s">
        <v>417</v>
      </c>
      <c r="C2" s="139"/>
      <c r="D2" s="139"/>
      <c r="E2" s="139"/>
      <c r="F2" s="139"/>
      <c r="G2" s="139"/>
      <c r="H2" s="139"/>
    </row>
    <row r="3" spans="2:9" ht="12" customHeight="1" thickBot="1">
      <c r="B3" s="141"/>
      <c r="C3" s="139"/>
      <c r="D3" s="139"/>
      <c r="E3" s="139"/>
      <c r="F3" s="139"/>
      <c r="G3" s="139"/>
      <c r="H3" s="139"/>
    </row>
    <row r="4" spans="2:9" ht="15" customHeight="1" thickBot="1">
      <c r="B4" s="13" t="s">
        <v>0</v>
      </c>
      <c r="C4" s="120"/>
      <c r="D4" s="121"/>
      <c r="E4" s="120"/>
      <c r="F4" s="121"/>
      <c r="G4" s="120"/>
      <c r="H4" s="14" t="s">
        <v>1</v>
      </c>
    </row>
    <row r="5" spans="2:9" ht="12" customHeight="1">
      <c r="B5" s="15"/>
      <c r="C5" s="16"/>
      <c r="D5" s="17"/>
      <c r="E5" s="16"/>
      <c r="F5" s="17"/>
      <c r="G5" s="18"/>
      <c r="H5" s="16"/>
    </row>
    <row r="6" spans="2:9" ht="12" customHeight="1">
      <c r="B6" s="15" t="s">
        <v>2</v>
      </c>
      <c r="C6" s="15"/>
      <c r="D6" s="15"/>
      <c r="E6" s="15"/>
      <c r="F6" s="15"/>
      <c r="G6" s="99"/>
      <c r="H6" s="96">
        <f>SUM(C6:G6)</f>
        <v>0</v>
      </c>
    </row>
    <row r="7" spans="2:9" ht="12" customHeight="1">
      <c r="B7" s="15"/>
      <c r="C7" s="96"/>
      <c r="D7" s="97"/>
      <c r="E7" s="96"/>
      <c r="F7" s="97"/>
      <c r="G7" s="98"/>
      <c r="H7" s="96"/>
    </row>
    <row r="8" spans="2:9" ht="12" customHeight="1">
      <c r="B8" s="15" t="s">
        <v>3</v>
      </c>
      <c r="C8" s="99">
        <f>Cashflow!C10</f>
        <v>0</v>
      </c>
      <c r="D8" s="100">
        <f>Cashflow!D10</f>
        <v>0</v>
      </c>
      <c r="E8" s="99">
        <f>Cashflow!E10</f>
        <v>0</v>
      </c>
      <c r="F8" s="100">
        <f>Cashflow!F10</f>
        <v>0</v>
      </c>
      <c r="G8" s="99">
        <f>Cashflow!G10</f>
        <v>0</v>
      </c>
      <c r="H8" s="96">
        <f>SUM(C8:G8)</f>
        <v>0</v>
      </c>
    </row>
    <row r="9" spans="2:9" ht="12" customHeight="1">
      <c r="B9" s="15"/>
      <c r="C9" s="96"/>
      <c r="D9" s="97"/>
      <c r="E9" s="96"/>
      <c r="F9" s="97"/>
      <c r="G9" s="98"/>
      <c r="H9" s="96"/>
    </row>
    <row r="10" spans="2:9" ht="12" customHeight="1">
      <c r="B10" s="19" t="s">
        <v>4</v>
      </c>
      <c r="C10" s="137">
        <f>IFERROR(C8/C6,)</f>
        <v>0</v>
      </c>
      <c r="D10" s="137">
        <f t="shared" ref="D10:H10" si="0">IFERROR(D8/D6,)</f>
        <v>0</v>
      </c>
      <c r="E10" s="137">
        <f t="shared" si="0"/>
        <v>0</v>
      </c>
      <c r="F10" s="137">
        <f t="shared" si="0"/>
        <v>0</v>
      </c>
      <c r="G10" s="137">
        <f t="shared" si="0"/>
        <v>0</v>
      </c>
      <c r="H10" s="137">
        <f t="shared" si="0"/>
        <v>0</v>
      </c>
      <c r="I10" s="122"/>
    </row>
    <row r="11" spans="2:9" ht="12" customHeight="1">
      <c r="B11" s="15"/>
      <c r="C11" s="96"/>
      <c r="D11" s="97"/>
      <c r="E11" s="96"/>
      <c r="F11" s="97"/>
      <c r="G11" s="98"/>
      <c r="H11" s="96"/>
    </row>
    <row r="12" spans="2:9" ht="12" customHeight="1">
      <c r="B12" s="15" t="s">
        <v>5</v>
      </c>
      <c r="C12" s="99">
        <v>0</v>
      </c>
      <c r="D12" s="100">
        <v>0</v>
      </c>
      <c r="E12" s="99">
        <v>0</v>
      </c>
      <c r="F12" s="100">
        <v>0</v>
      </c>
      <c r="G12" s="99">
        <v>0</v>
      </c>
      <c r="H12" s="99">
        <f>SUM(C12:G12)</f>
        <v>0</v>
      </c>
    </row>
    <row r="13" spans="2:9" ht="12" customHeight="1">
      <c r="B13" s="15"/>
      <c r="C13" s="99"/>
      <c r="D13" s="101"/>
      <c r="E13" s="99"/>
      <c r="F13" s="101"/>
      <c r="G13" s="102"/>
      <c r="H13" s="99"/>
    </row>
    <row r="14" spans="2:9" ht="12" customHeight="1">
      <c r="B14" s="19" t="s">
        <v>6</v>
      </c>
      <c r="C14" s="103">
        <f>Cashflow!C18</f>
        <v>0</v>
      </c>
      <c r="D14" s="103">
        <f>Cashflow!D18</f>
        <v>0</v>
      </c>
      <c r="E14" s="103">
        <f>Cashflow!E18</f>
        <v>0</v>
      </c>
      <c r="F14" s="103">
        <f>Cashflow!F18</f>
        <v>0</v>
      </c>
      <c r="G14" s="103">
        <f>Cashflow!G18</f>
        <v>0</v>
      </c>
      <c r="H14" s="104">
        <f>SUM(C14:G14)</f>
        <v>0</v>
      </c>
    </row>
    <row r="15" spans="2:9" ht="12" customHeight="1">
      <c r="B15" s="15"/>
      <c r="C15" s="99"/>
      <c r="D15" s="101"/>
      <c r="E15" s="99"/>
      <c r="F15" s="101"/>
      <c r="G15" s="102"/>
      <c r="H15" s="99"/>
    </row>
    <row r="16" spans="2:9" ht="14.4" customHeight="1">
      <c r="B16" s="15" t="s">
        <v>7</v>
      </c>
      <c r="C16" s="99">
        <f>Cashflow!C8</f>
        <v>0</v>
      </c>
      <c r="D16" s="100">
        <f>Cashflow!D8</f>
        <v>0</v>
      </c>
      <c r="E16" s="99">
        <f>Cashflow!E8</f>
        <v>0</v>
      </c>
      <c r="F16" s="100">
        <f>Cashflow!F8</f>
        <v>0</v>
      </c>
      <c r="G16" s="99">
        <f>Cashflow!G8</f>
        <v>0</v>
      </c>
      <c r="H16" s="96">
        <f>SUM(C16:G16)</f>
        <v>0</v>
      </c>
    </row>
    <row r="17" spans="2:10" ht="15" customHeight="1">
      <c r="B17" s="15"/>
      <c r="C17" s="20">
        <f>IFERROR(C16/C8,)</f>
        <v>0</v>
      </c>
      <c r="D17" s="20">
        <f t="shared" ref="D17:E17" si="1">IFERROR(D16/D8,)</f>
        <v>0</v>
      </c>
      <c r="E17" s="20">
        <f t="shared" si="1"/>
        <v>0</v>
      </c>
      <c r="F17" s="20">
        <f t="shared" ref="F17" si="2">IFERROR(F16/F8,)</f>
        <v>0</v>
      </c>
      <c r="G17" s="20">
        <f t="shared" ref="G17" si="3">IFERROR(G16/G8,)</f>
        <v>0</v>
      </c>
      <c r="H17" s="20">
        <f t="shared" ref="H17" si="4">IFERROR(H16/H8,)</f>
        <v>0</v>
      </c>
    </row>
    <row r="18" spans="2:10" ht="15" customHeight="1">
      <c r="B18" s="115"/>
      <c r="D18" s="115"/>
      <c r="F18" s="115"/>
      <c r="H18" s="115"/>
    </row>
    <row r="19" spans="2:10" ht="12" customHeight="1">
      <c r="B19" s="15" t="s">
        <v>8</v>
      </c>
      <c r="C19" s="116"/>
      <c r="D19" s="116"/>
      <c r="E19" s="116"/>
      <c r="F19" s="116"/>
      <c r="G19" s="116"/>
      <c r="H19" s="104">
        <f>SUM(C19:G19)</f>
        <v>0</v>
      </c>
    </row>
    <row r="20" spans="2:10" ht="17.399999999999999" customHeight="1">
      <c r="B20" s="25" t="s">
        <v>9</v>
      </c>
      <c r="C20" s="105">
        <f>Cashflow!C11</f>
        <v>0</v>
      </c>
      <c r="D20" s="106">
        <f>Cashflow!D11</f>
        <v>0</v>
      </c>
      <c r="E20" s="105">
        <f>Cashflow!E11</f>
        <v>0</v>
      </c>
      <c r="F20" s="106">
        <f>Cashflow!F11</f>
        <v>0</v>
      </c>
      <c r="G20" s="105">
        <f>Cashflow!G11</f>
        <v>0</v>
      </c>
      <c r="H20" s="96">
        <f>SUM(C20:G20)</f>
        <v>0</v>
      </c>
      <c r="J20" s="2"/>
    </row>
    <row r="21" spans="2:10" ht="19.2" customHeight="1">
      <c r="B21" s="19" t="s">
        <v>10</v>
      </c>
      <c r="C21" s="26">
        <f>IFERROR(C20/C19,)</f>
        <v>0</v>
      </c>
      <c r="D21" s="26">
        <f t="shared" ref="D21:H21" si="5">IFERROR(D20/D19,)</f>
        <v>0</v>
      </c>
      <c r="E21" s="26">
        <f t="shared" si="5"/>
        <v>0</v>
      </c>
      <c r="F21" s="26">
        <f t="shared" si="5"/>
        <v>0</v>
      </c>
      <c r="G21" s="26">
        <f t="shared" si="5"/>
        <v>0</v>
      </c>
      <c r="H21" s="26">
        <f t="shared" si="5"/>
        <v>0</v>
      </c>
      <c r="J21" s="3"/>
    </row>
    <row r="22" spans="2:10" ht="12" customHeight="1">
      <c r="B22" s="15"/>
      <c r="C22" s="123"/>
      <c r="D22" s="124"/>
      <c r="E22" s="123"/>
      <c r="F22" s="124"/>
      <c r="G22" s="125"/>
      <c r="H22" s="123"/>
      <c r="J22" s="3"/>
    </row>
    <row r="23" spans="2:10" ht="12" customHeight="1">
      <c r="B23" s="19" t="s">
        <v>11</v>
      </c>
      <c r="C23" s="103">
        <f>Cashflow!C21</f>
        <v>0</v>
      </c>
      <c r="D23" s="107">
        <f>Cashflow!D21</f>
        <v>0</v>
      </c>
      <c r="E23" s="103">
        <f>Cashflow!E21</f>
        <v>0</v>
      </c>
      <c r="F23" s="107">
        <f>Cashflow!F21</f>
        <v>0</v>
      </c>
      <c r="G23" s="103">
        <f>Cashflow!G21</f>
        <v>0</v>
      </c>
      <c r="H23" s="95">
        <f>SUM(C23:G23)</f>
        <v>0</v>
      </c>
    </row>
    <row r="24" spans="2:10" ht="13.8" customHeight="1">
      <c r="B24" s="15"/>
      <c r="C24" s="21">
        <f>IFERROR(C23/C8,)</f>
        <v>0</v>
      </c>
      <c r="D24" s="21">
        <f t="shared" ref="D24:H24" si="6">IFERROR(D23/D8,)</f>
        <v>0</v>
      </c>
      <c r="E24" s="21">
        <f t="shared" si="6"/>
        <v>0</v>
      </c>
      <c r="F24" s="21">
        <f t="shared" si="6"/>
        <v>0</v>
      </c>
      <c r="G24" s="21">
        <f t="shared" si="6"/>
        <v>0</v>
      </c>
      <c r="H24" s="21">
        <f t="shared" si="6"/>
        <v>0</v>
      </c>
    </row>
    <row r="25" spans="2:10" ht="12" customHeight="1">
      <c r="B25" s="15"/>
      <c r="C25" s="22"/>
      <c r="D25" s="23"/>
      <c r="E25" s="22"/>
      <c r="F25" s="23"/>
      <c r="G25" s="24"/>
      <c r="H25" s="22"/>
    </row>
    <row r="26" spans="2:10" ht="8.4" customHeight="1">
      <c r="B26" s="15"/>
      <c r="C26" s="27"/>
      <c r="D26" s="28"/>
      <c r="E26" s="29"/>
      <c r="F26" s="28"/>
      <c r="G26" s="27"/>
      <c r="H26" s="22"/>
    </row>
    <row r="27" spans="2:10" ht="15" customHeight="1">
      <c r="B27" s="30" t="s">
        <v>12</v>
      </c>
      <c r="C27" s="108">
        <f>Cashflow!C13+Cashflow!C26</f>
        <v>0</v>
      </c>
      <c r="D27" s="109">
        <f>Cashflow!D13+Cashflow!D26</f>
        <v>0</v>
      </c>
      <c r="E27" s="108">
        <f>Cashflow!E13+Cashflow!E26</f>
        <v>0</v>
      </c>
      <c r="F27" s="109">
        <f>Cashflow!F13+Cashflow!F26</f>
        <v>0</v>
      </c>
      <c r="G27" s="108">
        <f>Cashflow!G13+Cashflow!G26</f>
        <v>0</v>
      </c>
      <c r="H27" s="110">
        <f>SUM(C27:G27)</f>
        <v>0</v>
      </c>
    </row>
    <row r="28" spans="2:10" ht="15.6" customHeight="1">
      <c r="B28" s="15"/>
      <c r="C28" s="31">
        <f>IFERROR(C27/C8,)</f>
        <v>0</v>
      </c>
      <c r="D28" s="31">
        <f t="shared" ref="D28:H28" si="7">IFERROR(D27/D8,)</f>
        <v>0</v>
      </c>
      <c r="E28" s="31">
        <f t="shared" si="7"/>
        <v>0</v>
      </c>
      <c r="F28" s="31">
        <f t="shared" si="7"/>
        <v>0</v>
      </c>
      <c r="G28" s="31">
        <f t="shared" si="7"/>
        <v>0</v>
      </c>
      <c r="H28" s="31">
        <f t="shared" si="7"/>
        <v>0</v>
      </c>
    </row>
    <row r="29" spans="2:10" ht="3" customHeight="1">
      <c r="B29" s="15"/>
      <c r="C29" s="31"/>
      <c r="D29" s="32"/>
      <c r="E29" s="31"/>
      <c r="F29" s="32"/>
      <c r="G29" s="31"/>
      <c r="H29" s="21"/>
    </row>
    <row r="30" spans="2:10" ht="12" customHeight="1">
      <c r="B30" s="15"/>
      <c r="C30" s="126"/>
      <c r="D30" s="124"/>
      <c r="E30" s="126"/>
      <c r="F30" s="124"/>
      <c r="G30" s="125"/>
      <c r="H30" s="123"/>
    </row>
    <row r="31" spans="2:10" s="136" customFormat="1" ht="12" customHeight="1">
      <c r="B31" s="15"/>
      <c r="C31" s="126"/>
      <c r="D31" s="124"/>
      <c r="E31" s="126"/>
      <c r="F31" s="124"/>
      <c r="G31" s="125"/>
      <c r="H31" s="123"/>
    </row>
    <row r="32" spans="2:10" ht="12" customHeight="1">
      <c r="B32" s="15" t="s">
        <v>13</v>
      </c>
      <c r="C32" s="96">
        <f>Cashflow!C36</f>
        <v>0</v>
      </c>
      <c r="D32" s="96">
        <f>Cashflow!D36</f>
        <v>0</v>
      </c>
      <c r="E32" s="96">
        <f>Cashflow!E36</f>
        <v>0</v>
      </c>
      <c r="F32" s="96">
        <f>Cashflow!F36</f>
        <v>0</v>
      </c>
      <c r="G32" s="96">
        <f>Cashflow!G36</f>
        <v>0</v>
      </c>
      <c r="H32" s="96">
        <f>SUM(C32:G32)</f>
        <v>0</v>
      </c>
    </row>
    <row r="33" spans="2:10" ht="2.4" customHeight="1">
      <c r="B33" s="15"/>
      <c r="C33" s="96"/>
      <c r="D33" s="114"/>
      <c r="E33" s="96"/>
      <c r="F33" s="114"/>
      <c r="G33" s="96"/>
      <c r="H33" s="96"/>
    </row>
    <row r="34" spans="2:10" ht="12" customHeight="1">
      <c r="B34" s="15"/>
      <c r="C34" s="96"/>
      <c r="D34" s="97"/>
      <c r="E34" s="96"/>
      <c r="F34" s="97"/>
      <c r="G34" s="98"/>
      <c r="H34" s="99"/>
    </row>
    <row r="35" spans="2:10" ht="12" customHeight="1">
      <c r="B35" s="15" t="s">
        <v>15</v>
      </c>
      <c r="C35" s="96">
        <f>C8-C14-C20-C23-C27-C32</f>
        <v>0</v>
      </c>
      <c r="D35" s="96">
        <f>D8-D14-D20-D23-D27-D32</f>
        <v>0</v>
      </c>
      <c r="E35" s="96">
        <f>E8-E14-E20-E23-E27-E32</f>
        <v>0</v>
      </c>
      <c r="F35" s="96">
        <f>F8-F14-F20-F23-F27-F32+Cashflow!F31</f>
        <v>0</v>
      </c>
      <c r="G35" s="96">
        <f>G8-G14-G20-G23-G27-G32</f>
        <v>0</v>
      </c>
      <c r="H35" s="96">
        <f>SUM(C35:G35)</f>
        <v>0</v>
      </c>
      <c r="J35" s="4"/>
    </row>
    <row r="36" spans="2:10" ht="17.25" customHeight="1" thickBot="1">
      <c r="B36" s="33"/>
      <c r="C36" s="34">
        <f>IFERROR(C35/$C$8,)</f>
        <v>0</v>
      </c>
      <c r="D36" s="35">
        <f>IFERROR(D35/$D$8,)</f>
        <v>0</v>
      </c>
      <c r="E36" s="34">
        <f>IFERROR(E35/$E$8,)</f>
        <v>0</v>
      </c>
      <c r="F36" s="35">
        <f>IFERROR(F35/F8,)</f>
        <v>0</v>
      </c>
      <c r="G36" s="34">
        <f>IFERROR(G35/G8,)</f>
        <v>0</v>
      </c>
      <c r="H36" s="34">
        <f>IFERROR(H35/H8,)</f>
        <v>0</v>
      </c>
      <c r="J36" s="4"/>
    </row>
    <row r="37" spans="2:10" ht="12" customHeight="1">
      <c r="B37" s="5"/>
    </row>
    <row r="38" spans="2:10" ht="12" customHeight="1">
      <c r="B38" s="9"/>
    </row>
    <row r="39" spans="2:10" ht="12" customHeight="1">
      <c r="B39" s="10"/>
      <c r="C39" s="1"/>
    </row>
    <row r="40" spans="2:10" ht="12" customHeight="1">
      <c r="B40" s="10"/>
      <c r="C40" s="4"/>
    </row>
    <row r="41" spans="2:10" ht="12" customHeight="1"/>
    <row r="42" spans="2:10" ht="12" customHeight="1">
      <c r="B42" s="5"/>
    </row>
    <row r="43" spans="2:10" ht="12" customHeight="1">
      <c r="B43" s="5"/>
    </row>
    <row r="44" spans="2:10" ht="12" customHeight="1">
      <c r="B44" s="5"/>
    </row>
    <row r="45" spans="2:10" ht="12" customHeight="1">
      <c r="B45" s="5"/>
    </row>
    <row r="46" spans="2:10" ht="12" customHeight="1">
      <c r="B46" s="5"/>
    </row>
    <row r="47" spans="2:10" ht="12" customHeight="1">
      <c r="B47" s="5"/>
    </row>
    <row r="48" spans="2:10" ht="12" customHeight="1">
      <c r="B48" s="5"/>
    </row>
    <row r="49" spans="2:2" ht="12" customHeight="1">
      <c r="B49" s="5"/>
    </row>
    <row r="50" spans="2:2" ht="12" customHeight="1">
      <c r="B50" s="5"/>
    </row>
    <row r="51" spans="2:2" ht="12" customHeight="1">
      <c r="B51" s="5"/>
    </row>
    <row r="52" spans="2:2" ht="12" customHeight="1">
      <c r="B52" s="5"/>
    </row>
    <row r="53" spans="2:2" ht="12" customHeight="1">
      <c r="B53" s="5"/>
    </row>
    <row r="54" spans="2:2" ht="12" customHeight="1">
      <c r="B54" s="5"/>
    </row>
    <row r="55" spans="2:2" ht="12" customHeight="1">
      <c r="B55" s="5"/>
    </row>
    <row r="56" spans="2:2" ht="12" customHeight="1">
      <c r="B56" s="5"/>
    </row>
    <row r="57" spans="2:2" ht="12" customHeight="1">
      <c r="B57" s="5"/>
    </row>
    <row r="58" spans="2:2" ht="12" customHeight="1">
      <c r="B58" s="5"/>
    </row>
    <row r="59" spans="2:2" ht="12" customHeight="1">
      <c r="B59" s="5"/>
    </row>
    <row r="60" spans="2:2" ht="12" customHeight="1">
      <c r="B60" s="5"/>
    </row>
    <row r="61" spans="2:2" ht="12" customHeight="1">
      <c r="B61" s="5"/>
    </row>
    <row r="62" spans="2:2" ht="12" customHeight="1">
      <c r="B62" s="5"/>
    </row>
    <row r="63" spans="2:2" ht="12" customHeight="1">
      <c r="B63" s="5"/>
    </row>
    <row r="64" spans="2:2" ht="12" customHeight="1">
      <c r="B64" s="5"/>
    </row>
    <row r="65" spans="2:2" ht="12" customHeight="1">
      <c r="B65" s="5"/>
    </row>
    <row r="66" spans="2:2" ht="12" customHeight="1">
      <c r="B66" s="5"/>
    </row>
    <row r="67" spans="2:2" ht="12" customHeight="1">
      <c r="B67" s="5"/>
    </row>
    <row r="68" spans="2:2" ht="12" customHeight="1">
      <c r="B68" s="5"/>
    </row>
    <row r="69" spans="2:2" ht="12" customHeight="1">
      <c r="B69" s="5"/>
    </row>
    <row r="70" spans="2:2" ht="12" customHeight="1">
      <c r="B70" s="5"/>
    </row>
    <row r="71" spans="2:2" ht="12" customHeight="1">
      <c r="B71" s="5"/>
    </row>
    <row r="72" spans="2:2" ht="12" customHeight="1">
      <c r="B72" s="5"/>
    </row>
    <row r="73" spans="2:2" ht="12" customHeight="1">
      <c r="B73" s="5"/>
    </row>
    <row r="74" spans="2:2" ht="12" customHeight="1">
      <c r="B74" s="5"/>
    </row>
    <row r="75" spans="2:2" ht="12" customHeight="1">
      <c r="B75" s="5"/>
    </row>
    <row r="76" spans="2:2" ht="12" customHeight="1">
      <c r="B76" s="5"/>
    </row>
    <row r="77" spans="2:2" ht="12" customHeight="1">
      <c r="B77" s="5"/>
    </row>
    <row r="78" spans="2:2" ht="12" customHeight="1">
      <c r="B78" s="5"/>
    </row>
    <row r="79" spans="2:2" ht="12" customHeight="1">
      <c r="B79" s="5"/>
    </row>
    <row r="80" spans="2:2" ht="12" customHeight="1">
      <c r="B80" s="5"/>
    </row>
    <row r="81" spans="2:2" ht="12" customHeight="1">
      <c r="B81" s="5"/>
    </row>
    <row r="82" spans="2:2" ht="12" customHeight="1">
      <c r="B82" s="5"/>
    </row>
    <row r="83" spans="2:2" ht="12" customHeight="1">
      <c r="B83" s="5"/>
    </row>
    <row r="84" spans="2:2" ht="12" customHeight="1">
      <c r="B84" s="5"/>
    </row>
    <row r="85" spans="2:2" ht="12" customHeight="1">
      <c r="B85" s="5"/>
    </row>
    <row r="86" spans="2:2" ht="12" customHeight="1">
      <c r="B86" s="5"/>
    </row>
    <row r="87" spans="2:2" ht="12" customHeight="1">
      <c r="B87" s="5"/>
    </row>
    <row r="88" spans="2:2" ht="12" customHeight="1">
      <c r="B88" s="5"/>
    </row>
    <row r="89" spans="2:2" ht="12" customHeight="1">
      <c r="B89" s="5"/>
    </row>
    <row r="90" spans="2:2" ht="12" customHeight="1">
      <c r="B90" s="5"/>
    </row>
    <row r="91" spans="2:2" ht="12" customHeight="1">
      <c r="B91" s="5"/>
    </row>
    <row r="92" spans="2:2" ht="12" customHeight="1">
      <c r="B92" s="5"/>
    </row>
    <row r="93" spans="2:2" ht="12" customHeight="1">
      <c r="B93" s="5"/>
    </row>
    <row r="94" spans="2:2" ht="12" customHeight="1">
      <c r="B94" s="5"/>
    </row>
    <row r="95" spans="2:2" ht="12" customHeight="1">
      <c r="B95" s="5"/>
    </row>
    <row r="96" spans="2:2" ht="12" customHeight="1">
      <c r="B96" s="5"/>
    </row>
    <row r="97" spans="2:2" ht="12" customHeight="1">
      <c r="B97" s="5"/>
    </row>
    <row r="98" spans="2:2" ht="12" customHeight="1">
      <c r="B98" s="5"/>
    </row>
    <row r="99" spans="2:2" ht="12" customHeight="1">
      <c r="B99" s="5"/>
    </row>
    <row r="100" spans="2:2" ht="12" customHeight="1">
      <c r="B100" s="5"/>
    </row>
    <row r="101" spans="2:2" ht="12" customHeight="1">
      <c r="B101" s="5"/>
    </row>
    <row r="102" spans="2:2" ht="12" customHeight="1">
      <c r="B102" s="5"/>
    </row>
    <row r="103" spans="2:2" ht="12" customHeight="1">
      <c r="B103" s="5"/>
    </row>
    <row r="104" spans="2:2" ht="12" customHeight="1">
      <c r="B104" s="5"/>
    </row>
    <row r="105" spans="2:2" ht="12" customHeight="1">
      <c r="B105" s="5"/>
    </row>
    <row r="106" spans="2:2" ht="12" customHeight="1">
      <c r="B106" s="5"/>
    </row>
    <row r="107" spans="2:2" ht="12" customHeight="1">
      <c r="B107" s="5"/>
    </row>
    <row r="108" spans="2:2" ht="12" customHeight="1">
      <c r="B108" s="5"/>
    </row>
    <row r="109" spans="2:2" ht="12" customHeight="1">
      <c r="B109" s="5"/>
    </row>
    <row r="110" spans="2:2" ht="12" customHeight="1">
      <c r="B110" s="5"/>
    </row>
    <row r="111" spans="2:2" ht="12" customHeight="1">
      <c r="B111" s="5"/>
    </row>
    <row r="112" spans="2:2" ht="12" customHeight="1">
      <c r="B112" s="5"/>
    </row>
    <row r="113" spans="2:2" ht="12" customHeight="1">
      <c r="B113" s="5"/>
    </row>
    <row r="114" spans="2:2" ht="12" customHeight="1">
      <c r="B114" s="5"/>
    </row>
    <row r="115" spans="2:2" ht="12" customHeight="1">
      <c r="B115" s="5"/>
    </row>
    <row r="116" spans="2:2" ht="12" customHeight="1">
      <c r="B116" s="5"/>
    </row>
    <row r="117" spans="2:2" ht="12" customHeight="1">
      <c r="B117" s="5"/>
    </row>
    <row r="118" spans="2:2" ht="12" customHeight="1">
      <c r="B118" s="5"/>
    </row>
    <row r="119" spans="2:2" ht="12" customHeight="1">
      <c r="B119" s="5"/>
    </row>
    <row r="120" spans="2:2" ht="12" customHeight="1">
      <c r="B120" s="5"/>
    </row>
    <row r="121" spans="2:2" ht="12" customHeight="1">
      <c r="B121" s="5"/>
    </row>
    <row r="122" spans="2:2" ht="12" customHeight="1">
      <c r="B122" s="5"/>
    </row>
    <row r="123" spans="2:2" ht="12" customHeight="1">
      <c r="B123" s="5"/>
    </row>
    <row r="124" spans="2:2" ht="12" customHeight="1">
      <c r="B124" s="5"/>
    </row>
    <row r="125" spans="2:2" ht="12" customHeight="1">
      <c r="B125" s="5"/>
    </row>
    <row r="126" spans="2:2" ht="12" customHeight="1">
      <c r="B126" s="5"/>
    </row>
    <row r="127" spans="2:2" ht="12" customHeight="1">
      <c r="B127" s="5"/>
    </row>
    <row r="128" spans="2:2" ht="12" customHeight="1">
      <c r="B128" s="5"/>
    </row>
    <row r="129" spans="2:2" ht="12" customHeight="1">
      <c r="B129" s="5"/>
    </row>
    <row r="130" spans="2:2" ht="12" customHeight="1">
      <c r="B130" s="5"/>
    </row>
    <row r="131" spans="2:2" ht="12" customHeight="1">
      <c r="B131" s="5"/>
    </row>
    <row r="132" spans="2:2" ht="12" customHeight="1">
      <c r="B132" s="5"/>
    </row>
    <row r="133" spans="2:2" ht="12" customHeight="1">
      <c r="B133" s="5"/>
    </row>
    <row r="134" spans="2:2" ht="12" customHeight="1">
      <c r="B134" s="5"/>
    </row>
    <row r="135" spans="2:2" ht="12" customHeight="1">
      <c r="B135" s="5"/>
    </row>
    <row r="136" spans="2:2" ht="12" customHeight="1">
      <c r="B136" s="5"/>
    </row>
    <row r="137" spans="2:2" ht="12" customHeight="1">
      <c r="B137" s="5"/>
    </row>
    <row r="138" spans="2:2" ht="12" customHeight="1">
      <c r="B138" s="5"/>
    </row>
    <row r="139" spans="2:2" ht="12" customHeight="1">
      <c r="B139" s="5"/>
    </row>
    <row r="140" spans="2:2" ht="12" customHeight="1">
      <c r="B140" s="5"/>
    </row>
    <row r="141" spans="2:2" ht="12" customHeight="1">
      <c r="B141" s="5"/>
    </row>
    <row r="142" spans="2:2" ht="12" customHeight="1">
      <c r="B142" s="5"/>
    </row>
    <row r="143" spans="2:2" ht="12" customHeight="1">
      <c r="B143" s="5"/>
    </row>
    <row r="144" spans="2:2" ht="12" customHeight="1">
      <c r="B144" s="5"/>
    </row>
    <row r="145" spans="2:2" ht="12" customHeight="1">
      <c r="B145" s="5"/>
    </row>
    <row r="146" spans="2:2" ht="12" customHeight="1">
      <c r="B146" s="5"/>
    </row>
    <row r="147" spans="2:2" ht="12" customHeight="1">
      <c r="B147" s="5"/>
    </row>
    <row r="148" spans="2:2" ht="12" customHeight="1">
      <c r="B148" s="5"/>
    </row>
    <row r="149" spans="2:2" ht="12" customHeight="1">
      <c r="B149" s="5"/>
    </row>
    <row r="150" spans="2:2" ht="12" customHeight="1">
      <c r="B150" s="5"/>
    </row>
    <row r="151" spans="2:2" ht="12" customHeight="1">
      <c r="B151" s="5"/>
    </row>
    <row r="152" spans="2:2" ht="12" customHeight="1">
      <c r="B152" s="5"/>
    </row>
    <row r="153" spans="2:2" ht="12" customHeight="1">
      <c r="B153" s="5"/>
    </row>
    <row r="154" spans="2:2" ht="12" customHeight="1">
      <c r="B154" s="5"/>
    </row>
    <row r="155" spans="2:2" ht="12" customHeight="1">
      <c r="B155" s="5"/>
    </row>
    <row r="156" spans="2:2" ht="12" customHeight="1">
      <c r="B156" s="5"/>
    </row>
    <row r="157" spans="2:2" ht="12" customHeight="1">
      <c r="B157" s="5"/>
    </row>
    <row r="158" spans="2:2" ht="12" customHeight="1">
      <c r="B158" s="5"/>
    </row>
    <row r="159" spans="2:2" ht="12" customHeight="1">
      <c r="B159" s="5"/>
    </row>
    <row r="160" spans="2:2" ht="12" customHeight="1">
      <c r="B160" s="5"/>
    </row>
    <row r="161" spans="2:2" ht="12" customHeight="1">
      <c r="B161" s="5"/>
    </row>
    <row r="162" spans="2:2" ht="12" customHeight="1">
      <c r="B162" s="5"/>
    </row>
    <row r="163" spans="2:2" ht="12" customHeight="1">
      <c r="B163" s="5"/>
    </row>
    <row r="164" spans="2:2" ht="12" customHeight="1">
      <c r="B164" s="5"/>
    </row>
    <row r="165" spans="2:2" ht="12" customHeight="1">
      <c r="B165" s="5"/>
    </row>
    <row r="166" spans="2:2" ht="12" customHeight="1">
      <c r="B166" s="5"/>
    </row>
    <row r="167" spans="2:2" ht="12" customHeight="1">
      <c r="B167" s="5"/>
    </row>
    <row r="168" spans="2:2" ht="12" customHeight="1">
      <c r="B168" s="5"/>
    </row>
    <row r="169" spans="2:2" ht="12" customHeight="1">
      <c r="B169" s="5"/>
    </row>
    <row r="170" spans="2:2" ht="12" customHeight="1">
      <c r="B170" s="5"/>
    </row>
    <row r="171" spans="2:2" ht="12" customHeight="1">
      <c r="B171" s="5"/>
    </row>
    <row r="172" spans="2:2" ht="12" customHeight="1">
      <c r="B172" s="5"/>
    </row>
    <row r="173" spans="2:2" ht="12" customHeight="1">
      <c r="B173" s="5"/>
    </row>
    <row r="174" spans="2:2" ht="12" customHeight="1">
      <c r="B174" s="5"/>
    </row>
    <row r="175" spans="2:2" ht="12" customHeight="1">
      <c r="B175" s="5"/>
    </row>
    <row r="176" spans="2:2" ht="12" customHeight="1">
      <c r="B176" s="5"/>
    </row>
    <row r="177" spans="2:2" ht="12" customHeight="1">
      <c r="B177" s="5"/>
    </row>
    <row r="178" spans="2:2" ht="12" customHeight="1">
      <c r="B178" s="5"/>
    </row>
    <row r="179" spans="2:2" ht="12" customHeight="1">
      <c r="B179" s="5"/>
    </row>
    <row r="180" spans="2:2" ht="12" customHeight="1">
      <c r="B180" s="5"/>
    </row>
    <row r="181" spans="2:2" ht="12" customHeight="1">
      <c r="B181" s="5"/>
    </row>
    <row r="182" spans="2:2" ht="12" customHeight="1">
      <c r="B182" s="5"/>
    </row>
    <row r="183" spans="2:2" ht="12" customHeight="1">
      <c r="B183" s="5"/>
    </row>
    <row r="184" spans="2:2" ht="12" customHeight="1">
      <c r="B184" s="5"/>
    </row>
    <row r="185" spans="2:2" ht="12" customHeight="1">
      <c r="B185" s="5"/>
    </row>
    <row r="186" spans="2:2" ht="12" customHeight="1">
      <c r="B186" s="5"/>
    </row>
    <row r="187" spans="2:2" ht="12" customHeight="1">
      <c r="B187" s="5"/>
    </row>
    <row r="188" spans="2:2" ht="12" customHeight="1">
      <c r="B188" s="5"/>
    </row>
    <row r="189" spans="2:2" ht="12" customHeight="1">
      <c r="B189" s="5"/>
    </row>
    <row r="190" spans="2:2" ht="12" customHeight="1">
      <c r="B190" s="5"/>
    </row>
    <row r="191" spans="2:2" ht="12" customHeight="1">
      <c r="B191" s="5"/>
    </row>
    <row r="192" spans="2:2" ht="12" customHeight="1">
      <c r="B192" s="5"/>
    </row>
    <row r="193" spans="2:2" ht="12" customHeight="1">
      <c r="B193" s="5"/>
    </row>
    <row r="194" spans="2:2" ht="12" customHeight="1">
      <c r="B194" s="5"/>
    </row>
    <row r="195" spans="2:2" ht="12" customHeight="1">
      <c r="B195" s="5"/>
    </row>
    <row r="196" spans="2:2" ht="12" customHeight="1">
      <c r="B196" s="5"/>
    </row>
    <row r="197" spans="2:2" ht="12" customHeight="1">
      <c r="B197" s="5"/>
    </row>
    <row r="198" spans="2:2" ht="12" customHeight="1">
      <c r="B198" s="5"/>
    </row>
    <row r="199" spans="2:2" ht="12" customHeight="1">
      <c r="B199" s="5"/>
    </row>
    <row r="200" spans="2:2" ht="12" customHeight="1">
      <c r="B200" s="5"/>
    </row>
    <row r="201" spans="2:2" ht="12" customHeight="1">
      <c r="B201" s="5"/>
    </row>
    <row r="202" spans="2:2" ht="12" customHeight="1">
      <c r="B202" s="5"/>
    </row>
    <row r="203" spans="2:2" ht="12" customHeight="1">
      <c r="B203" s="5"/>
    </row>
    <row r="204" spans="2:2" ht="12" customHeight="1">
      <c r="B204" s="5"/>
    </row>
    <row r="205" spans="2:2" ht="12" customHeight="1">
      <c r="B205" s="5"/>
    </row>
    <row r="206" spans="2:2" ht="12" customHeight="1">
      <c r="B206" s="5"/>
    </row>
    <row r="207" spans="2:2" ht="12" customHeight="1">
      <c r="B207" s="5"/>
    </row>
    <row r="208" spans="2:2" ht="12" customHeight="1">
      <c r="B208" s="5"/>
    </row>
    <row r="209" spans="2:2" ht="12" customHeight="1">
      <c r="B209" s="5"/>
    </row>
    <row r="210" spans="2:2" ht="12" customHeight="1">
      <c r="B210" s="5"/>
    </row>
    <row r="211" spans="2:2" ht="12" customHeight="1">
      <c r="B211" s="5"/>
    </row>
    <row r="212" spans="2:2" ht="12" customHeight="1">
      <c r="B212" s="5"/>
    </row>
    <row r="213" spans="2:2" ht="12" customHeight="1">
      <c r="B213" s="5"/>
    </row>
    <row r="214" spans="2:2" ht="12" customHeight="1">
      <c r="B214" s="5"/>
    </row>
    <row r="215" spans="2:2" ht="12" customHeight="1">
      <c r="B215" s="5"/>
    </row>
    <row r="216" spans="2:2" ht="12" customHeight="1">
      <c r="B216" s="5"/>
    </row>
    <row r="217" spans="2:2" ht="12" customHeight="1">
      <c r="B217" s="5"/>
    </row>
    <row r="218" spans="2:2" ht="12" customHeight="1">
      <c r="B218" s="5"/>
    </row>
    <row r="219" spans="2:2" ht="12" customHeight="1">
      <c r="B219" s="5"/>
    </row>
    <row r="220" spans="2:2" ht="12" customHeight="1">
      <c r="B220" s="5"/>
    </row>
    <row r="221" spans="2:2" ht="12" customHeight="1">
      <c r="B221" s="5"/>
    </row>
    <row r="222" spans="2:2" ht="12" customHeight="1">
      <c r="B222" s="5"/>
    </row>
    <row r="223" spans="2:2" ht="12" customHeight="1">
      <c r="B223" s="5"/>
    </row>
    <row r="224" spans="2:2" ht="12" customHeight="1">
      <c r="B224" s="5"/>
    </row>
    <row r="225" spans="2:2" ht="12" customHeight="1">
      <c r="B225" s="5"/>
    </row>
    <row r="226" spans="2:2" ht="12" customHeight="1">
      <c r="B226" s="5"/>
    </row>
    <row r="227" spans="2:2" ht="12" customHeight="1">
      <c r="B227" s="5"/>
    </row>
    <row r="228" spans="2:2" ht="12" customHeight="1">
      <c r="B228" s="5"/>
    </row>
    <row r="229" spans="2:2" ht="12" customHeight="1">
      <c r="B229" s="5"/>
    </row>
    <row r="230" spans="2:2" ht="12" customHeight="1">
      <c r="B230" s="5"/>
    </row>
    <row r="231" spans="2:2" ht="12" customHeight="1">
      <c r="B231" s="5"/>
    </row>
    <row r="232" spans="2:2" ht="12" customHeight="1">
      <c r="B232" s="5"/>
    </row>
    <row r="233" spans="2:2" ht="12" customHeight="1">
      <c r="B233" s="5"/>
    </row>
    <row r="234" spans="2:2" ht="12" customHeight="1">
      <c r="B234" s="5"/>
    </row>
    <row r="235" spans="2:2" ht="12" customHeight="1">
      <c r="B235" s="5"/>
    </row>
    <row r="236" spans="2:2" ht="12" customHeight="1">
      <c r="B236" s="5"/>
    </row>
    <row r="237" spans="2:2" ht="12" customHeight="1"/>
    <row r="238" spans="2:2" ht="12" customHeight="1"/>
    <row r="239" spans="2:2" ht="12" customHeight="1"/>
    <row r="240" spans="2:2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3.8" customHeight="1"/>
    <row r="249" ht="13.8" customHeight="1"/>
    <row r="250" ht="13.8" customHeight="1"/>
    <row r="251" ht="13.8" customHeight="1"/>
    <row r="252" ht="13.8" customHeight="1"/>
    <row r="253" ht="13.8" customHeight="1"/>
    <row r="254" ht="13.8" customHeight="1"/>
    <row r="255" ht="13.8" customHeight="1"/>
    <row r="256" ht="13.8" customHeight="1"/>
    <row r="257" ht="13.8" customHeight="1"/>
    <row r="258" ht="13.8" customHeight="1"/>
    <row r="259" ht="13.8" customHeight="1"/>
    <row r="260" ht="13.8" customHeight="1"/>
    <row r="261" ht="13.8" customHeight="1"/>
    <row r="262" ht="13.8" customHeight="1"/>
    <row r="263" ht="13.8" customHeight="1"/>
    <row r="264" ht="13.8" customHeight="1"/>
    <row r="265" ht="13.8" customHeight="1"/>
    <row r="266" ht="13.8" customHeight="1"/>
    <row r="267" ht="13.8" customHeight="1"/>
    <row r="268" ht="13.8" customHeight="1"/>
    <row r="269" ht="13.8" customHeight="1"/>
    <row r="270" ht="13.8" customHeight="1"/>
    <row r="271" ht="13.8" customHeight="1"/>
    <row r="272" ht="13.8" customHeight="1"/>
    <row r="273" ht="13.8" customHeight="1"/>
    <row r="274" ht="13.8" customHeight="1"/>
    <row r="275" ht="13.8" customHeight="1"/>
    <row r="276" ht="13.8" customHeight="1"/>
    <row r="277" ht="13.8" customHeight="1"/>
    <row r="278" ht="13.8" customHeight="1"/>
    <row r="279" ht="13.8" customHeight="1"/>
    <row r="280" ht="13.8" customHeight="1"/>
    <row r="281" ht="13.8" customHeight="1"/>
    <row r="282" ht="13.8" customHeight="1"/>
    <row r="283" ht="13.8" customHeight="1"/>
    <row r="284" ht="13.8" customHeight="1"/>
    <row r="285" ht="13.8" customHeight="1"/>
    <row r="286" ht="13.8" customHeight="1"/>
    <row r="287" ht="13.8" customHeight="1"/>
    <row r="288" ht="13.8" customHeight="1"/>
    <row r="289" ht="13.8" customHeight="1"/>
    <row r="290" ht="13.8" customHeight="1"/>
    <row r="291" ht="13.8" customHeight="1"/>
    <row r="292" ht="13.8" customHeight="1"/>
    <row r="293" ht="13.8" customHeight="1"/>
    <row r="294" ht="13.8" customHeight="1"/>
    <row r="295" ht="13.8" customHeight="1"/>
    <row r="296" ht="13.8" customHeight="1"/>
    <row r="297" ht="13.8" customHeight="1"/>
    <row r="298" ht="13.8" customHeight="1"/>
    <row r="299" ht="13.8" customHeight="1"/>
    <row r="300" ht="13.8" customHeight="1"/>
    <row r="301" ht="13.8" customHeight="1"/>
    <row r="302" ht="13.8" customHeight="1"/>
    <row r="303" ht="13.8" customHeight="1"/>
    <row r="304" ht="13.8" customHeight="1"/>
    <row r="305" ht="13.8" customHeight="1"/>
    <row r="306" ht="13.8" customHeight="1"/>
    <row r="307" ht="13.8" customHeight="1"/>
    <row r="308" ht="13.8" customHeight="1"/>
    <row r="309" ht="13.8" customHeight="1"/>
    <row r="310" ht="13.8" customHeight="1"/>
    <row r="311" ht="13.8" customHeight="1"/>
    <row r="312" ht="13.8" customHeight="1"/>
    <row r="313" ht="13.8" customHeight="1"/>
    <row r="314" ht="13.8" customHeight="1"/>
    <row r="315" ht="13.8" customHeight="1"/>
    <row r="316" ht="13.8" customHeight="1"/>
    <row r="317" ht="13.8" customHeight="1"/>
    <row r="318" ht="13.8" customHeight="1"/>
    <row r="319" ht="13.8" customHeight="1"/>
    <row r="320" ht="13.8" customHeight="1"/>
    <row r="321" ht="13.8" customHeight="1"/>
    <row r="322" ht="13.8" customHeight="1"/>
    <row r="323" ht="13.8" customHeight="1"/>
    <row r="324" ht="13.8" customHeight="1"/>
    <row r="325" ht="13.8" customHeight="1"/>
    <row r="326" ht="13.8" customHeight="1"/>
    <row r="327" ht="13.8" customHeight="1"/>
    <row r="328" ht="13.8" customHeight="1"/>
    <row r="329" ht="13.8" customHeight="1"/>
    <row r="330" ht="13.8" customHeight="1"/>
    <row r="331" ht="13.8" customHeight="1"/>
    <row r="332" ht="13.8" customHeight="1"/>
    <row r="333" ht="13.8" customHeight="1"/>
    <row r="334" ht="13.8" customHeight="1"/>
    <row r="335" ht="13.8" customHeight="1"/>
    <row r="336" ht="13.8" customHeight="1"/>
    <row r="337" ht="13.8" customHeight="1"/>
    <row r="338" ht="13.8" customHeight="1"/>
    <row r="339" ht="13.8" customHeight="1"/>
    <row r="340" ht="13.8" customHeight="1"/>
    <row r="341" ht="13.8" customHeight="1"/>
    <row r="342" ht="13.8" customHeight="1"/>
    <row r="343" ht="13.8" customHeight="1"/>
    <row r="344" ht="13.8" customHeight="1"/>
    <row r="345" ht="13.8" customHeight="1"/>
    <row r="346" ht="13.8" customHeight="1"/>
    <row r="347" ht="13.8" customHeight="1"/>
    <row r="348" ht="13.8" customHeight="1"/>
    <row r="349" ht="13.8" customHeight="1"/>
    <row r="350" ht="13.8" customHeight="1"/>
    <row r="351" ht="13.8" customHeight="1"/>
    <row r="352" ht="13.8" customHeight="1"/>
    <row r="353" ht="13.8" customHeight="1"/>
    <row r="354" ht="13.8" customHeight="1"/>
    <row r="355" ht="13.8" customHeight="1"/>
    <row r="356" ht="13.8" customHeight="1"/>
    <row r="357" ht="13.8" customHeight="1"/>
    <row r="358" ht="13.8" customHeight="1"/>
    <row r="359" ht="13.8" customHeight="1"/>
    <row r="360" ht="13.8" customHeight="1"/>
    <row r="361" ht="13.8" customHeight="1"/>
    <row r="362" ht="13.8" customHeight="1"/>
    <row r="363" ht="13.8" customHeight="1"/>
    <row r="364" ht="13.8" customHeight="1"/>
    <row r="365" ht="13.8" customHeight="1"/>
    <row r="366" ht="13.8" customHeight="1"/>
    <row r="367" ht="13.8" customHeight="1"/>
    <row r="368" ht="13.8" customHeight="1"/>
    <row r="369" ht="13.8" customHeight="1"/>
    <row r="370" ht="13.8" customHeight="1"/>
    <row r="371" ht="13.8" customHeight="1"/>
    <row r="372" ht="13.8" customHeight="1"/>
    <row r="373" ht="13.8" customHeight="1"/>
    <row r="374" ht="13.8" customHeight="1"/>
    <row r="375" ht="13.8" customHeight="1"/>
    <row r="376" ht="13.8" customHeight="1"/>
    <row r="377" ht="13.8" customHeight="1"/>
    <row r="378" ht="13.8" customHeight="1"/>
    <row r="379" ht="13.8" customHeight="1"/>
    <row r="380" ht="13.8" customHeight="1"/>
    <row r="381" ht="13.8" customHeight="1"/>
    <row r="382" ht="13.8" customHeight="1"/>
    <row r="383" ht="13.8" customHeight="1"/>
    <row r="384" ht="13.8" customHeight="1"/>
    <row r="385" ht="13.8" customHeight="1"/>
    <row r="386" ht="13.8" customHeight="1"/>
    <row r="387" ht="13.8" customHeight="1"/>
    <row r="388" ht="13.8" customHeight="1"/>
    <row r="389" ht="13.8" customHeight="1"/>
    <row r="390" ht="13.8" customHeight="1"/>
    <row r="391" ht="13.8" customHeight="1"/>
    <row r="392" ht="13.8" customHeight="1"/>
    <row r="393" ht="13.8" customHeight="1"/>
    <row r="394" ht="13.8" customHeight="1"/>
    <row r="395" ht="13.8" customHeight="1"/>
    <row r="396" ht="13.8" customHeight="1"/>
    <row r="397" ht="13.8" customHeight="1"/>
    <row r="398" ht="13.8" customHeight="1"/>
    <row r="399" ht="13.8" customHeight="1"/>
    <row r="400" ht="13.8" customHeight="1"/>
    <row r="401" ht="13.8" customHeight="1"/>
    <row r="402" ht="13.8" customHeight="1"/>
    <row r="403" ht="13.8" customHeight="1"/>
    <row r="404" ht="13.8" customHeight="1"/>
    <row r="405" ht="13.8" customHeight="1"/>
    <row r="406" ht="13.8" customHeight="1"/>
    <row r="407" ht="13.8" customHeight="1"/>
    <row r="408" ht="13.8" customHeight="1"/>
    <row r="409" ht="13.8" customHeight="1"/>
    <row r="410" ht="13.8" customHeight="1"/>
    <row r="411" ht="13.8" customHeight="1"/>
    <row r="412" ht="13.8" customHeight="1"/>
    <row r="413" ht="13.8" customHeight="1"/>
    <row r="414" ht="13.8" customHeight="1"/>
    <row r="415" ht="13.8" customHeight="1"/>
    <row r="416" ht="13.8" customHeight="1"/>
    <row r="417" ht="13.8" customHeight="1"/>
    <row r="418" ht="13.8" customHeight="1"/>
    <row r="419" ht="13.8" customHeight="1"/>
    <row r="420" ht="13.8" customHeight="1"/>
    <row r="421" ht="13.8" customHeight="1"/>
    <row r="422" ht="13.8" customHeight="1"/>
    <row r="423" ht="13.8" customHeight="1"/>
    <row r="424" ht="13.8" customHeight="1"/>
    <row r="425" ht="13.8" customHeight="1"/>
    <row r="426" ht="13.8" customHeight="1"/>
    <row r="427" ht="13.8" customHeight="1"/>
    <row r="428" ht="13.8" customHeight="1"/>
    <row r="429" ht="13.8" customHeight="1"/>
    <row r="430" ht="13.8" customHeight="1"/>
    <row r="431" ht="13.8" customHeight="1"/>
    <row r="432" ht="13.8" customHeight="1"/>
    <row r="433" ht="13.8" customHeight="1"/>
    <row r="434" ht="13.8" customHeight="1"/>
    <row r="435" ht="13.8" customHeight="1"/>
    <row r="436" ht="13.8" customHeight="1"/>
    <row r="437" ht="13.8" customHeight="1"/>
    <row r="438" ht="13.8" customHeight="1"/>
    <row r="439" ht="13.8" customHeight="1"/>
    <row r="440" ht="13.8" customHeight="1"/>
    <row r="441" ht="13.8" customHeight="1"/>
    <row r="442" ht="13.8" customHeight="1"/>
    <row r="443" ht="13.8" customHeight="1"/>
    <row r="444" ht="13.8" customHeight="1"/>
    <row r="445" ht="13.8" customHeight="1"/>
    <row r="446" ht="13.8" customHeight="1"/>
    <row r="447" ht="13.8" customHeight="1"/>
    <row r="448" ht="13.8" customHeight="1"/>
    <row r="449" ht="13.8" customHeight="1"/>
    <row r="450" ht="13.8" customHeight="1"/>
    <row r="451" ht="13.8" customHeight="1"/>
    <row r="452" ht="13.8" customHeight="1"/>
    <row r="453" ht="13.8" customHeight="1"/>
    <row r="454" ht="13.8" customHeight="1"/>
    <row r="455" ht="13.8" customHeight="1"/>
    <row r="456" ht="13.8" customHeight="1"/>
    <row r="457" ht="13.8" customHeight="1"/>
    <row r="458" ht="13.8" customHeight="1"/>
    <row r="459" ht="13.8" customHeight="1"/>
    <row r="460" ht="13.8" customHeight="1"/>
    <row r="461" ht="13.8" customHeight="1"/>
    <row r="462" ht="13.8" customHeight="1"/>
    <row r="463" ht="13.8" customHeight="1"/>
    <row r="464" ht="13.8" customHeight="1"/>
    <row r="465" ht="13.8" customHeight="1"/>
    <row r="466" ht="13.8" customHeight="1"/>
    <row r="467" ht="13.8" customHeight="1"/>
    <row r="468" ht="13.8" customHeight="1"/>
    <row r="469" ht="13.8" customHeight="1"/>
    <row r="470" ht="13.8" customHeight="1"/>
    <row r="471" ht="13.8" customHeight="1"/>
    <row r="472" ht="13.8" customHeight="1"/>
    <row r="473" ht="13.8" customHeight="1"/>
    <row r="474" ht="13.8" customHeight="1"/>
    <row r="475" ht="13.8" customHeight="1"/>
    <row r="476" ht="13.8" customHeight="1"/>
    <row r="477" ht="13.8" customHeight="1"/>
    <row r="478" ht="13.8" customHeight="1"/>
    <row r="479" ht="13.8" customHeight="1"/>
    <row r="480" ht="13.8" customHeight="1"/>
    <row r="481" ht="13.8" customHeight="1"/>
    <row r="482" ht="13.8" customHeight="1"/>
    <row r="483" ht="13.8" customHeight="1"/>
    <row r="484" ht="13.8" customHeight="1"/>
    <row r="485" ht="13.8" customHeight="1"/>
    <row r="486" ht="13.8" customHeight="1"/>
    <row r="487" ht="13.8" customHeight="1"/>
    <row r="488" ht="13.8" customHeight="1"/>
    <row r="489" ht="13.8" customHeight="1"/>
    <row r="490" ht="13.8" customHeight="1"/>
    <row r="491" ht="13.8" customHeight="1"/>
    <row r="492" ht="13.8" customHeight="1"/>
    <row r="493" ht="13.8" customHeight="1"/>
    <row r="494" ht="13.8" customHeight="1"/>
    <row r="495" ht="13.8" customHeight="1"/>
    <row r="496" ht="13.8" customHeight="1"/>
    <row r="497" ht="13.8" customHeight="1"/>
    <row r="498" ht="13.8" customHeight="1"/>
    <row r="499" ht="13.8" customHeight="1"/>
    <row r="500" ht="13.8" customHeight="1"/>
    <row r="501" ht="13.8" customHeight="1"/>
    <row r="502" ht="13.8" customHeight="1"/>
    <row r="503" ht="13.8" customHeight="1"/>
    <row r="504" ht="13.8" customHeight="1"/>
    <row r="505" ht="13.8" customHeight="1"/>
    <row r="506" ht="13.8" customHeight="1"/>
    <row r="507" ht="13.8" customHeight="1"/>
    <row r="508" ht="13.8" customHeight="1"/>
    <row r="509" ht="13.8" customHeight="1"/>
    <row r="510" ht="13.8" customHeight="1"/>
    <row r="511" ht="13.8" customHeight="1"/>
    <row r="512" ht="13.8" customHeight="1"/>
    <row r="513" ht="13.8" customHeight="1"/>
    <row r="514" ht="13.8" customHeight="1"/>
    <row r="515" ht="13.8" customHeight="1"/>
    <row r="516" ht="13.8" customHeight="1"/>
    <row r="517" ht="13.8" customHeight="1"/>
    <row r="518" ht="13.8" customHeight="1"/>
    <row r="519" ht="13.8" customHeight="1"/>
    <row r="520" ht="13.8" customHeight="1"/>
    <row r="521" ht="13.8" customHeight="1"/>
    <row r="522" ht="13.8" customHeight="1"/>
    <row r="523" ht="13.8" customHeight="1"/>
    <row r="524" ht="13.8" customHeight="1"/>
    <row r="525" ht="13.8" customHeight="1"/>
    <row r="526" ht="13.8" customHeight="1"/>
    <row r="527" ht="13.8" customHeight="1"/>
    <row r="528" ht="13.8" customHeight="1"/>
    <row r="529" ht="13.8" customHeight="1"/>
    <row r="530" ht="13.8" customHeight="1"/>
    <row r="531" ht="13.8" customHeight="1"/>
    <row r="532" ht="13.8" customHeight="1"/>
    <row r="533" ht="13.8" customHeight="1"/>
    <row r="534" ht="13.8" customHeight="1"/>
    <row r="535" ht="13.8" customHeight="1"/>
    <row r="536" ht="13.8" customHeight="1"/>
    <row r="537" ht="13.8" customHeight="1"/>
    <row r="538" ht="13.8" customHeight="1"/>
    <row r="539" ht="13.8" customHeight="1"/>
    <row r="540" ht="13.8" customHeight="1"/>
    <row r="541" ht="13.8" customHeight="1"/>
    <row r="542" ht="13.8" customHeight="1"/>
    <row r="543" ht="13.8" customHeight="1"/>
    <row r="544" ht="13.8" customHeight="1"/>
    <row r="545" ht="13.8" customHeight="1"/>
    <row r="546" ht="13.8" customHeight="1"/>
    <row r="547" ht="13.8" customHeight="1"/>
    <row r="548" ht="13.8" customHeight="1"/>
    <row r="549" ht="13.8" customHeight="1"/>
    <row r="550" ht="13.8" customHeight="1"/>
    <row r="551" ht="13.8" customHeight="1"/>
    <row r="552" ht="13.8" customHeight="1"/>
    <row r="553" ht="13.8" customHeight="1"/>
    <row r="554" ht="13.8" customHeight="1"/>
    <row r="555" ht="13.8" customHeight="1"/>
    <row r="556" ht="13.8" customHeight="1"/>
    <row r="557" ht="13.8" customHeight="1"/>
    <row r="558" ht="13.8" customHeight="1"/>
    <row r="559" ht="13.8" customHeight="1"/>
    <row r="560" ht="13.8" customHeight="1"/>
    <row r="561" ht="13.8" customHeight="1"/>
    <row r="562" ht="13.8" customHeight="1"/>
    <row r="563" ht="13.8" customHeight="1"/>
    <row r="564" ht="13.8" customHeight="1"/>
    <row r="565" ht="13.8" customHeight="1"/>
    <row r="566" ht="13.8" customHeight="1"/>
    <row r="567" ht="13.8" customHeight="1"/>
    <row r="568" ht="13.8" customHeight="1"/>
    <row r="569" ht="13.8" customHeight="1"/>
    <row r="570" ht="13.8" customHeight="1"/>
    <row r="571" ht="13.8" customHeight="1"/>
    <row r="572" ht="13.8" customHeight="1"/>
    <row r="573" ht="13.8" customHeight="1"/>
    <row r="574" ht="13.8" customHeight="1"/>
    <row r="575" ht="13.8" customHeight="1"/>
    <row r="576" ht="13.8" customHeight="1"/>
    <row r="577" ht="13.8" customHeight="1"/>
    <row r="578" ht="13.8" customHeight="1"/>
    <row r="579" ht="13.8" customHeight="1"/>
    <row r="580" ht="13.8" customHeight="1"/>
    <row r="581" ht="13.8" customHeight="1"/>
    <row r="582" ht="13.8" customHeight="1"/>
    <row r="583" ht="13.8" customHeight="1"/>
    <row r="584" ht="13.8" customHeight="1"/>
    <row r="585" ht="13.8" customHeight="1"/>
    <row r="586" ht="13.8" customHeight="1"/>
    <row r="587" ht="13.8" customHeight="1"/>
    <row r="588" ht="13.8" customHeight="1"/>
    <row r="589" ht="13.8" customHeight="1"/>
    <row r="590" ht="13.8" customHeight="1"/>
    <row r="591" ht="13.8" customHeight="1"/>
    <row r="592" ht="13.8" customHeight="1"/>
    <row r="593" ht="13.8" customHeight="1"/>
    <row r="594" ht="13.8" customHeight="1"/>
    <row r="595" ht="13.8" customHeight="1"/>
    <row r="596" ht="13.8" customHeight="1"/>
    <row r="597" ht="13.8" customHeight="1"/>
    <row r="598" ht="13.8" customHeight="1"/>
    <row r="599" ht="13.8" customHeight="1"/>
    <row r="600" ht="13.8" customHeight="1"/>
    <row r="601" ht="13.8" customHeight="1"/>
    <row r="602" ht="13.8" customHeight="1"/>
    <row r="603" ht="13.8" customHeight="1"/>
    <row r="604" ht="13.8" customHeight="1"/>
    <row r="605" ht="13.8" customHeight="1"/>
    <row r="606" ht="13.8" customHeight="1"/>
    <row r="607" ht="13.8" customHeight="1"/>
    <row r="608" ht="13.8" customHeight="1"/>
    <row r="609" ht="13.8" customHeight="1"/>
    <row r="610" ht="13.8" customHeight="1"/>
    <row r="611" ht="13.8" customHeight="1"/>
    <row r="612" ht="13.8" customHeight="1"/>
    <row r="613" ht="13.8" customHeight="1"/>
    <row r="614" ht="13.8" customHeight="1"/>
    <row r="615" ht="13.8" customHeight="1"/>
    <row r="616" ht="13.8" customHeight="1"/>
    <row r="617" ht="13.8" customHeight="1"/>
    <row r="618" ht="13.8" customHeight="1"/>
    <row r="619" ht="13.8" customHeight="1"/>
    <row r="620" ht="13.8" customHeight="1"/>
    <row r="621" ht="13.8" customHeight="1"/>
    <row r="622" ht="13.8" customHeight="1"/>
    <row r="623" ht="13.8" customHeight="1"/>
    <row r="624" ht="13.8" customHeight="1"/>
    <row r="625" ht="13.8" customHeight="1"/>
    <row r="626" ht="13.8" customHeight="1"/>
    <row r="627" ht="13.8" customHeight="1"/>
    <row r="628" ht="13.8" customHeight="1"/>
    <row r="629" ht="13.8" customHeight="1"/>
    <row r="630" ht="13.8" customHeight="1"/>
    <row r="631" ht="13.8" customHeight="1"/>
    <row r="632" ht="13.8" customHeight="1"/>
    <row r="633" ht="13.8" customHeight="1"/>
    <row r="634" ht="13.8" customHeight="1"/>
    <row r="635" ht="13.8" customHeight="1"/>
    <row r="636" ht="13.8" customHeight="1"/>
    <row r="637" ht="13.8" customHeight="1"/>
    <row r="638" ht="13.8" customHeight="1"/>
    <row r="639" ht="13.8" customHeight="1"/>
    <row r="640" ht="13.8" customHeight="1"/>
    <row r="641" ht="13.8" customHeight="1"/>
    <row r="642" ht="13.8" customHeight="1"/>
    <row r="643" ht="13.8" customHeight="1"/>
    <row r="644" ht="13.8" customHeight="1"/>
    <row r="645" ht="13.8" customHeight="1"/>
    <row r="646" ht="13.8" customHeight="1"/>
    <row r="647" ht="13.8" customHeight="1"/>
    <row r="648" ht="13.8" customHeight="1"/>
    <row r="649" ht="13.8" customHeight="1"/>
    <row r="650" ht="13.8" customHeight="1"/>
    <row r="651" ht="13.8" customHeight="1"/>
    <row r="652" ht="13.8" customHeight="1"/>
    <row r="653" ht="13.8" customHeight="1"/>
    <row r="654" ht="13.8" customHeight="1"/>
    <row r="655" ht="13.8" customHeight="1"/>
    <row r="656" ht="13.8" customHeight="1"/>
    <row r="657" ht="13.8" customHeight="1"/>
    <row r="658" ht="13.8" customHeight="1"/>
    <row r="659" ht="13.8" customHeight="1"/>
    <row r="660" ht="13.8" customHeight="1"/>
    <row r="661" ht="13.8" customHeight="1"/>
    <row r="662" ht="13.8" customHeight="1"/>
    <row r="663" ht="13.8" customHeight="1"/>
    <row r="664" ht="13.8" customHeight="1"/>
    <row r="665" ht="13.8" customHeight="1"/>
    <row r="666" ht="13.8" customHeight="1"/>
    <row r="667" ht="13.8" customHeight="1"/>
    <row r="668" ht="13.8" customHeight="1"/>
    <row r="669" ht="13.8" customHeight="1"/>
    <row r="670" ht="13.8" customHeight="1"/>
    <row r="671" ht="13.8" customHeight="1"/>
    <row r="672" ht="13.8" customHeight="1"/>
    <row r="673" ht="13.8" customHeight="1"/>
    <row r="674" ht="13.8" customHeight="1"/>
    <row r="675" ht="13.8" customHeight="1"/>
    <row r="676" ht="13.8" customHeight="1"/>
    <row r="677" ht="13.8" customHeight="1"/>
    <row r="678" ht="13.8" customHeight="1"/>
    <row r="679" ht="13.8" customHeight="1"/>
    <row r="680" ht="13.8" customHeight="1"/>
    <row r="681" ht="13.8" customHeight="1"/>
    <row r="682" ht="13.8" customHeight="1"/>
    <row r="683" ht="13.8" customHeight="1"/>
    <row r="684" ht="13.8" customHeight="1"/>
    <row r="685" ht="13.8" customHeight="1"/>
    <row r="686" ht="13.8" customHeight="1"/>
    <row r="687" ht="13.8" customHeight="1"/>
    <row r="688" ht="13.8" customHeight="1"/>
    <row r="689" ht="13.8" customHeight="1"/>
    <row r="690" ht="13.8" customHeight="1"/>
    <row r="691" ht="13.8" customHeight="1"/>
    <row r="692" ht="13.8" customHeight="1"/>
    <row r="693" ht="13.8" customHeight="1"/>
    <row r="694" ht="13.8" customHeight="1"/>
    <row r="695" ht="13.8" customHeight="1"/>
    <row r="696" ht="13.8" customHeight="1"/>
    <row r="697" ht="13.8" customHeight="1"/>
    <row r="698" ht="13.8" customHeight="1"/>
    <row r="699" ht="13.8" customHeight="1"/>
    <row r="700" ht="13.8" customHeight="1"/>
    <row r="701" ht="13.8" customHeight="1"/>
    <row r="702" ht="13.8" customHeight="1"/>
    <row r="703" ht="13.8" customHeight="1"/>
    <row r="704" ht="13.8" customHeight="1"/>
    <row r="705" ht="13.8" customHeight="1"/>
    <row r="706" ht="13.8" customHeight="1"/>
    <row r="707" ht="13.8" customHeight="1"/>
    <row r="708" ht="13.8" customHeight="1"/>
    <row r="709" ht="13.8" customHeight="1"/>
    <row r="710" ht="13.8" customHeight="1"/>
    <row r="711" ht="13.8" customHeight="1"/>
    <row r="712" ht="13.8" customHeight="1"/>
    <row r="713" ht="13.8" customHeight="1"/>
    <row r="714" ht="13.8" customHeight="1"/>
    <row r="715" ht="13.8" customHeight="1"/>
    <row r="716" ht="13.8" customHeight="1"/>
    <row r="717" ht="13.8" customHeight="1"/>
    <row r="718" ht="13.8" customHeight="1"/>
    <row r="719" ht="13.8" customHeight="1"/>
    <row r="720" ht="13.8" customHeight="1"/>
    <row r="721" ht="13.8" customHeight="1"/>
    <row r="722" ht="13.8" customHeight="1"/>
    <row r="723" ht="13.8" customHeight="1"/>
    <row r="724" ht="13.8" customHeight="1"/>
    <row r="725" ht="13.8" customHeight="1"/>
    <row r="726" ht="13.8" customHeight="1"/>
    <row r="727" ht="13.8" customHeight="1"/>
    <row r="728" ht="13.8" customHeight="1"/>
    <row r="729" ht="13.8" customHeight="1"/>
    <row r="730" ht="13.8" customHeight="1"/>
    <row r="731" ht="13.8" customHeight="1"/>
    <row r="732" ht="13.8" customHeight="1"/>
    <row r="733" ht="13.8" customHeight="1"/>
    <row r="734" ht="13.8" customHeight="1"/>
    <row r="735" ht="13.8" customHeight="1"/>
    <row r="736" ht="13.8" customHeight="1"/>
    <row r="737" ht="13.8" customHeight="1"/>
    <row r="738" ht="13.8" customHeight="1"/>
    <row r="739" ht="13.8" customHeight="1"/>
    <row r="740" ht="13.8" customHeight="1"/>
    <row r="741" ht="13.8" customHeight="1"/>
    <row r="742" ht="13.8" customHeight="1"/>
    <row r="743" ht="13.8" customHeight="1"/>
    <row r="744" ht="13.8" customHeight="1"/>
    <row r="745" ht="13.8" customHeight="1"/>
    <row r="746" ht="13.8" customHeight="1"/>
    <row r="747" ht="13.8" customHeight="1"/>
    <row r="748" ht="13.8" customHeight="1"/>
    <row r="749" ht="13.8" customHeight="1"/>
    <row r="750" ht="13.8" customHeight="1"/>
    <row r="751" ht="13.8" customHeight="1"/>
    <row r="752" ht="13.8" customHeight="1"/>
    <row r="753" ht="13.8" customHeight="1"/>
    <row r="754" ht="13.8" customHeight="1"/>
    <row r="755" ht="13.8" customHeight="1"/>
    <row r="756" ht="13.8" customHeight="1"/>
    <row r="757" ht="13.8" customHeight="1"/>
    <row r="758" ht="13.8" customHeight="1"/>
    <row r="759" ht="13.8" customHeight="1"/>
    <row r="760" ht="13.8" customHeight="1"/>
    <row r="761" ht="13.8" customHeight="1"/>
    <row r="762" ht="13.8" customHeight="1"/>
    <row r="763" ht="13.8" customHeight="1"/>
    <row r="764" ht="13.8" customHeight="1"/>
    <row r="765" ht="13.8" customHeight="1"/>
    <row r="766" ht="13.8" customHeight="1"/>
    <row r="767" ht="13.8" customHeight="1"/>
    <row r="768" ht="13.8" customHeight="1"/>
    <row r="769" ht="13.8" customHeight="1"/>
    <row r="770" ht="13.8" customHeight="1"/>
    <row r="771" ht="13.8" customHeight="1"/>
    <row r="772" ht="13.8" customHeight="1"/>
    <row r="773" ht="13.8" customHeight="1"/>
    <row r="774" ht="13.8" customHeight="1"/>
    <row r="775" ht="13.8" customHeight="1"/>
    <row r="776" ht="13.8" customHeight="1"/>
    <row r="777" ht="13.8" customHeight="1"/>
    <row r="778" ht="13.8" customHeight="1"/>
    <row r="779" ht="13.8" customHeight="1"/>
    <row r="780" ht="13.8" customHeight="1"/>
    <row r="781" ht="13.8" customHeight="1"/>
    <row r="782" ht="13.8" customHeight="1"/>
    <row r="783" ht="13.8" customHeight="1"/>
    <row r="784" ht="13.8" customHeight="1"/>
    <row r="785" ht="13.8" customHeight="1"/>
    <row r="786" ht="13.8" customHeight="1"/>
    <row r="787" ht="13.8" customHeight="1"/>
    <row r="788" ht="13.8" customHeight="1"/>
    <row r="789" ht="13.8" customHeight="1"/>
    <row r="790" ht="13.8" customHeight="1"/>
    <row r="791" ht="13.8" customHeight="1"/>
    <row r="792" ht="13.8" customHeight="1"/>
    <row r="793" ht="13.8" customHeight="1"/>
    <row r="794" ht="13.8" customHeight="1"/>
    <row r="795" ht="13.8" customHeight="1"/>
    <row r="796" ht="13.8" customHeight="1"/>
    <row r="797" ht="13.8" customHeight="1"/>
    <row r="798" ht="13.8" customHeight="1"/>
    <row r="799" ht="13.8" customHeight="1"/>
    <row r="800" ht="13.8" customHeight="1"/>
    <row r="801" ht="13.8" customHeight="1"/>
    <row r="802" ht="13.8" customHeight="1"/>
    <row r="803" ht="13.8" customHeight="1"/>
    <row r="804" ht="13.8" customHeight="1"/>
    <row r="805" ht="13.8" customHeight="1"/>
    <row r="806" ht="13.8" customHeight="1"/>
    <row r="807" ht="13.8" customHeight="1"/>
    <row r="808" ht="13.8" customHeight="1"/>
    <row r="809" ht="13.8" customHeight="1"/>
    <row r="810" ht="13.8" customHeight="1"/>
    <row r="811" ht="13.8" customHeight="1"/>
    <row r="812" ht="13.8" customHeight="1"/>
    <row r="813" ht="13.8" customHeight="1"/>
    <row r="814" ht="13.8" customHeight="1"/>
    <row r="815" ht="13.8" customHeight="1"/>
    <row r="816" ht="13.8" customHeight="1"/>
    <row r="817" ht="13.8" customHeight="1"/>
    <row r="818" ht="13.8" customHeight="1"/>
    <row r="819" ht="13.8" customHeight="1"/>
    <row r="820" ht="13.8" customHeight="1"/>
    <row r="821" ht="13.8" customHeight="1"/>
    <row r="822" ht="13.8" customHeight="1"/>
    <row r="823" ht="13.8" customHeight="1"/>
    <row r="824" ht="13.8" customHeight="1"/>
    <row r="825" ht="13.8" customHeight="1"/>
    <row r="826" ht="13.8" customHeight="1"/>
    <row r="827" ht="13.8" customHeight="1"/>
    <row r="828" ht="13.8" customHeight="1"/>
    <row r="829" ht="13.8" customHeight="1"/>
    <row r="830" ht="13.8" customHeight="1"/>
    <row r="831" ht="13.8" customHeight="1"/>
    <row r="832" ht="13.8" customHeight="1"/>
    <row r="833" ht="13.8" customHeight="1"/>
    <row r="834" ht="13.8" customHeight="1"/>
    <row r="835" ht="13.8" customHeight="1"/>
    <row r="836" ht="13.8" customHeight="1"/>
    <row r="837" ht="13.8" customHeight="1"/>
    <row r="838" ht="13.8" customHeight="1"/>
    <row r="839" ht="13.8" customHeight="1"/>
    <row r="840" ht="13.8" customHeight="1"/>
    <row r="841" ht="13.8" customHeight="1"/>
    <row r="842" ht="13.8" customHeight="1"/>
    <row r="843" ht="13.8" customHeight="1"/>
    <row r="844" ht="13.8" customHeight="1"/>
    <row r="845" ht="13.8" customHeight="1"/>
    <row r="846" ht="13.8" customHeight="1"/>
    <row r="847" ht="13.8" customHeight="1"/>
    <row r="848" ht="13.8" customHeight="1"/>
    <row r="849" ht="13.8" customHeight="1"/>
    <row r="850" ht="13.8" customHeight="1"/>
    <row r="851" ht="13.8" customHeight="1"/>
    <row r="852" ht="13.8" customHeight="1"/>
    <row r="853" ht="13.8" customHeight="1"/>
    <row r="854" ht="13.8" customHeight="1"/>
    <row r="855" ht="13.8" customHeight="1"/>
    <row r="856" ht="13.8" customHeight="1"/>
    <row r="857" ht="13.8" customHeight="1"/>
    <row r="858" ht="13.8" customHeight="1"/>
    <row r="859" ht="13.8" customHeight="1"/>
    <row r="860" ht="13.8" customHeight="1"/>
    <row r="861" ht="13.8" customHeight="1"/>
    <row r="862" ht="13.8" customHeight="1"/>
    <row r="863" ht="13.8" customHeight="1"/>
    <row r="864" ht="13.8" customHeight="1"/>
    <row r="865" ht="13.8" customHeight="1"/>
    <row r="866" ht="13.8" customHeight="1"/>
    <row r="867" ht="13.8" customHeight="1"/>
    <row r="868" ht="13.8" customHeight="1"/>
    <row r="869" ht="13.8" customHeight="1"/>
    <row r="870" ht="13.8" customHeight="1"/>
    <row r="871" ht="13.8" customHeight="1"/>
    <row r="872" ht="13.8" customHeight="1"/>
    <row r="873" ht="13.8" customHeight="1"/>
    <row r="874" ht="13.8" customHeight="1"/>
    <row r="875" ht="13.8" customHeight="1"/>
    <row r="876" ht="13.8" customHeight="1"/>
    <row r="877" ht="13.8" customHeight="1"/>
    <row r="878" ht="13.8" customHeight="1"/>
    <row r="879" ht="13.8" customHeight="1"/>
    <row r="880" ht="13.8" customHeight="1"/>
    <row r="881" ht="13.8" customHeight="1"/>
    <row r="882" ht="13.8" customHeight="1"/>
    <row r="883" ht="13.8" customHeight="1"/>
    <row r="884" ht="13.8" customHeight="1"/>
    <row r="885" ht="13.8" customHeight="1"/>
    <row r="886" ht="13.8" customHeight="1"/>
    <row r="887" ht="13.8" customHeight="1"/>
    <row r="888" ht="13.8" customHeight="1"/>
    <row r="889" ht="13.8" customHeight="1"/>
    <row r="890" ht="13.8" customHeight="1"/>
    <row r="891" ht="13.8" customHeight="1"/>
    <row r="892" ht="13.8" customHeight="1"/>
    <row r="893" ht="13.8" customHeight="1"/>
    <row r="894" ht="13.8" customHeight="1"/>
    <row r="895" ht="13.8" customHeight="1"/>
    <row r="896" ht="13.8" customHeight="1"/>
    <row r="897" ht="13.8" customHeight="1"/>
    <row r="898" ht="13.8" customHeight="1"/>
    <row r="899" ht="13.8" customHeight="1"/>
    <row r="900" ht="13.8" customHeight="1"/>
    <row r="901" ht="13.8" customHeight="1"/>
    <row r="902" ht="13.8" customHeight="1"/>
    <row r="903" ht="13.8" customHeight="1"/>
    <row r="904" ht="13.8" customHeight="1"/>
    <row r="905" ht="13.8" customHeight="1"/>
    <row r="906" ht="13.8" customHeight="1"/>
    <row r="907" ht="13.8" customHeight="1"/>
    <row r="908" ht="13.8" customHeight="1"/>
    <row r="909" ht="13.8" customHeight="1"/>
    <row r="910" ht="13.8" customHeight="1"/>
    <row r="911" ht="13.8" customHeight="1"/>
    <row r="912" ht="13.8" customHeight="1"/>
    <row r="913" ht="13.8" customHeight="1"/>
    <row r="914" ht="13.8" customHeight="1"/>
    <row r="915" ht="13.8" customHeight="1"/>
    <row r="916" ht="13.8" customHeight="1"/>
    <row r="917" ht="13.8" customHeight="1"/>
    <row r="918" ht="13.8" customHeight="1"/>
    <row r="919" ht="13.8" customHeight="1"/>
    <row r="920" ht="13.8" customHeight="1"/>
    <row r="921" ht="13.8" customHeight="1"/>
    <row r="922" ht="13.8" customHeight="1"/>
    <row r="923" ht="13.8" customHeight="1"/>
    <row r="924" ht="13.8" customHeight="1"/>
    <row r="925" ht="13.8" customHeight="1"/>
    <row r="926" ht="13.8" customHeight="1"/>
    <row r="927" ht="13.8" customHeight="1"/>
    <row r="928" ht="13.8" customHeight="1"/>
    <row r="929" ht="13.8" customHeight="1"/>
    <row r="930" ht="13.8" customHeight="1"/>
    <row r="931" ht="13.8" customHeight="1"/>
    <row r="932" ht="13.8" customHeight="1"/>
    <row r="933" ht="13.8" customHeight="1"/>
    <row r="934" ht="13.8" customHeight="1"/>
    <row r="935" ht="13.8" customHeight="1"/>
    <row r="936" ht="13.8" customHeight="1"/>
    <row r="937" ht="13.8" customHeight="1"/>
    <row r="938" ht="13.8" customHeight="1"/>
    <row r="939" ht="13.8" customHeight="1"/>
    <row r="940" ht="13.8" customHeight="1"/>
    <row r="941" ht="13.8" customHeight="1"/>
    <row r="942" ht="13.8" customHeight="1"/>
    <row r="943" ht="13.8" customHeight="1"/>
    <row r="944" ht="13.8" customHeight="1"/>
    <row r="945" ht="13.8" customHeight="1"/>
    <row r="946" ht="13.8" customHeight="1"/>
    <row r="947" ht="13.8" customHeight="1"/>
    <row r="948" ht="13.8" customHeight="1"/>
    <row r="949" ht="13.8" customHeight="1"/>
    <row r="950" ht="13.8" customHeight="1"/>
    <row r="951" ht="13.8" customHeight="1"/>
    <row r="952" ht="13.8" customHeight="1"/>
    <row r="953" ht="13.8" customHeight="1"/>
    <row r="954" ht="13.8" customHeight="1"/>
    <row r="955" ht="13.8" customHeight="1"/>
    <row r="956" ht="13.8" customHeight="1"/>
    <row r="957" ht="13.8" customHeight="1"/>
    <row r="958" ht="13.8" customHeight="1"/>
    <row r="959" ht="13.8" customHeight="1"/>
    <row r="960" ht="13.8" customHeight="1"/>
    <row r="961" ht="13.8" customHeight="1"/>
    <row r="962" ht="13.8" customHeight="1"/>
    <row r="963" ht="13.8" customHeight="1"/>
    <row r="964" ht="13.8" customHeight="1"/>
    <row r="965" ht="13.8" customHeight="1"/>
    <row r="966" ht="13.8" customHeight="1"/>
    <row r="967" ht="13.8" customHeight="1"/>
    <row r="968" ht="13.8" customHeight="1"/>
    <row r="969" ht="13.8" customHeight="1"/>
    <row r="970" ht="13.8" customHeight="1"/>
    <row r="971" ht="13.8" customHeight="1"/>
    <row r="972" ht="13.8" customHeight="1"/>
    <row r="973" ht="13.8" customHeight="1"/>
    <row r="974" ht="13.8" customHeight="1"/>
    <row r="975" ht="13.8" customHeight="1"/>
    <row r="976" ht="13.8" customHeight="1"/>
    <row r="977" ht="13.8" customHeight="1"/>
    <row r="978" ht="13.8" customHeight="1"/>
    <row r="979" ht="13.8" customHeight="1"/>
    <row r="980" ht="13.8" customHeight="1"/>
    <row r="981" ht="13.8" customHeight="1"/>
    <row r="982" ht="13.8" customHeight="1"/>
    <row r="983" ht="13.8" customHeight="1"/>
    <row r="984" ht="13.8" customHeight="1"/>
    <row r="985" ht="13.8" customHeight="1"/>
    <row r="986" ht="13.8" customHeight="1"/>
    <row r="987" ht="13.8" customHeight="1"/>
    <row r="988" ht="13.8" customHeight="1"/>
    <row r="989" ht="13.8" customHeight="1"/>
    <row r="990" ht="13.8" customHeight="1"/>
    <row r="991" ht="13.8" customHeight="1"/>
    <row r="992" ht="13.8" customHeight="1"/>
    <row r="993" ht="13.8" customHeight="1"/>
    <row r="994" ht="13.8" customHeight="1"/>
    <row r="995" ht="13.8" customHeight="1"/>
    <row r="996" ht="13.8" customHeight="1"/>
    <row r="997" ht="13.8" customHeight="1"/>
    <row r="998" ht="13.8" customHeight="1"/>
    <row r="999" ht="13.8" customHeight="1"/>
    <row r="1000" ht="13.8" customHeight="1"/>
    <row r="1001" ht="13.8" customHeight="1"/>
    <row r="1002" ht="13.8" customHeight="1"/>
    <row r="1003" ht="13.8" customHeight="1"/>
    <row r="1004" ht="13.8" customHeight="1"/>
    <row r="1005" ht="13.8" customHeight="1"/>
    <row r="1006" ht="13.8" customHeight="1"/>
    <row r="1007" ht="13.8" customHeight="1"/>
  </sheetData>
  <mergeCells count="3">
    <mergeCell ref="B1:H1"/>
    <mergeCell ref="B2:H2"/>
    <mergeCell ref="B3:H3"/>
  </mergeCells>
  <pageMargins left="0.7" right="0.7" top="0.75" bottom="0.75" header="0.3" footer="0.3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Q44"/>
  <sheetViews>
    <sheetView showGridLines="0" topLeftCell="A14" zoomScale="82" zoomScaleNormal="82" workbookViewId="0">
      <selection activeCell="C33" sqref="C33"/>
    </sheetView>
  </sheetViews>
  <sheetFormatPr defaultRowHeight="14.4"/>
  <cols>
    <col min="1" max="1" width="5.21875" style="118" bestFit="1" customWidth="1"/>
    <col min="2" max="2" width="37" style="118" bestFit="1" customWidth="1"/>
    <col min="3" max="4" width="15.77734375" style="127" customWidth="1"/>
    <col min="5" max="7" width="15.77734375" style="128" customWidth="1"/>
    <col min="8" max="8" width="15.77734375" style="118" customWidth="1"/>
    <col min="9" max="9" width="12.109375" style="117" bestFit="1" customWidth="1"/>
    <col min="10" max="11" width="11.21875" style="117" bestFit="1" customWidth="1"/>
    <col min="12" max="12" width="9.44140625" style="117" bestFit="1" customWidth="1"/>
    <col min="13" max="13" width="12.109375" style="117" bestFit="1" customWidth="1"/>
    <col min="14" max="14" width="10.109375" style="117" bestFit="1" customWidth="1"/>
    <col min="15" max="15" width="9.44140625" style="117" bestFit="1" customWidth="1"/>
    <col min="16" max="16" width="10.109375" style="117" bestFit="1" customWidth="1"/>
    <col min="17" max="18" width="8.88671875" style="117" customWidth="1"/>
    <col min="19" max="16384" width="8.88671875" style="117"/>
  </cols>
  <sheetData>
    <row r="1" spans="1:17" ht="18" customHeight="1">
      <c r="A1" s="146">
        <f>Summary!B1</f>
        <v>0</v>
      </c>
      <c r="B1" s="143"/>
      <c r="C1" s="144"/>
      <c r="D1" s="144"/>
      <c r="E1" s="145"/>
      <c r="F1" s="145"/>
      <c r="G1" s="145"/>
      <c r="H1" s="143"/>
      <c r="I1" s="7"/>
      <c r="J1" s="7"/>
      <c r="K1" s="7"/>
      <c r="L1" s="7"/>
    </row>
    <row r="2" spans="1:17" ht="15.6" customHeight="1">
      <c r="A2" s="142" t="s">
        <v>414</v>
      </c>
      <c r="B2" s="143"/>
      <c r="C2" s="144"/>
      <c r="D2" s="144"/>
      <c r="E2" s="145"/>
      <c r="F2" s="145"/>
      <c r="G2" s="145"/>
      <c r="H2" s="143"/>
    </row>
    <row r="3" spans="1:17" ht="15" customHeight="1" thickBot="1">
      <c r="A3" s="46"/>
      <c r="B3" s="46"/>
      <c r="C3" s="46"/>
      <c r="D3" s="46"/>
      <c r="E3" s="46"/>
      <c r="F3" s="46"/>
      <c r="G3" s="46"/>
      <c r="H3" s="46"/>
    </row>
    <row r="4" spans="1:17" ht="15" customHeight="1" thickBot="1">
      <c r="A4" s="59" t="s">
        <v>16</v>
      </c>
      <c r="B4" s="60" t="s">
        <v>0</v>
      </c>
      <c r="C4" s="61">
        <f>Summary!C4</f>
        <v>0</v>
      </c>
      <c r="D4" s="61">
        <f>Summary!D4</f>
        <v>0</v>
      </c>
      <c r="E4" s="61">
        <f>Summary!E4</f>
        <v>0</v>
      </c>
      <c r="F4" s="61">
        <f>Summary!F4</f>
        <v>0</v>
      </c>
      <c r="G4" s="61">
        <f>Summary!G4</f>
        <v>0</v>
      </c>
      <c r="H4" s="61" t="s">
        <v>1</v>
      </c>
    </row>
    <row r="5" spans="1:17">
      <c r="A5" s="111">
        <v>1</v>
      </c>
      <c r="B5" s="62" t="s">
        <v>17</v>
      </c>
      <c r="C5" s="63"/>
      <c r="D5" s="63"/>
      <c r="E5" s="88"/>
      <c r="F5" s="64"/>
      <c r="G5" s="64"/>
      <c r="H5" s="88">
        <f>SUM(C5:G5)</f>
        <v>0</v>
      </c>
      <c r="I5" s="122"/>
      <c r="J5" s="122"/>
    </row>
    <row r="6" spans="1:17">
      <c r="A6" s="112"/>
      <c r="B6" s="62" t="s">
        <v>18</v>
      </c>
      <c r="C6" s="62"/>
      <c r="D6" s="62"/>
      <c r="E6" s="62"/>
      <c r="F6" s="62"/>
      <c r="G6" s="88"/>
      <c r="H6" s="88">
        <f>SUM(C6:G6)</f>
        <v>0</v>
      </c>
      <c r="I6" s="122"/>
      <c r="K6" s="122"/>
    </row>
    <row r="7" spans="1:17">
      <c r="A7" s="112"/>
      <c r="B7" s="62" t="s">
        <v>19</v>
      </c>
      <c r="C7" s="65"/>
      <c r="D7" s="65"/>
      <c r="E7" s="88"/>
      <c r="F7" s="88"/>
      <c r="G7" s="88"/>
      <c r="H7" s="88">
        <f>SUM(C7:G7)</f>
        <v>0</v>
      </c>
      <c r="I7" s="122"/>
      <c r="J7" s="122"/>
      <c r="K7" s="122"/>
      <c r="L7" s="122"/>
      <c r="M7" s="122"/>
    </row>
    <row r="8" spans="1:17">
      <c r="A8" s="112"/>
      <c r="B8" s="62" t="s">
        <v>20</v>
      </c>
      <c r="C8" s="63"/>
      <c r="D8" s="63"/>
      <c r="E8" s="88"/>
      <c r="F8" s="88"/>
      <c r="G8" s="88"/>
      <c r="H8" s="88">
        <f>SUM(C8:G8)</f>
        <v>0</v>
      </c>
      <c r="I8" s="122"/>
      <c r="J8" s="122"/>
      <c r="K8" s="122"/>
      <c r="L8" s="122"/>
      <c r="M8" s="122"/>
      <c r="N8" s="122"/>
      <c r="O8" s="122"/>
      <c r="P8" s="122"/>
    </row>
    <row r="9" spans="1:17">
      <c r="A9" s="112"/>
      <c r="B9" s="62" t="s">
        <v>21</v>
      </c>
      <c r="C9" s="63"/>
      <c r="D9" s="63"/>
      <c r="E9" s="88"/>
      <c r="F9" s="88"/>
      <c r="G9" s="88"/>
      <c r="H9" s="88">
        <f>SUM(C9:G9)</f>
        <v>0</v>
      </c>
      <c r="I9" s="11"/>
      <c r="J9" s="122"/>
      <c r="M9" s="117" t="s">
        <v>22</v>
      </c>
      <c r="N9" s="117" t="s">
        <v>23</v>
      </c>
    </row>
    <row r="10" spans="1:17">
      <c r="A10" s="112"/>
      <c r="B10" s="66" t="s">
        <v>24</v>
      </c>
      <c r="C10" s="67">
        <f>C5+C6+C9+C7-C8</f>
        <v>0</v>
      </c>
      <c r="D10" s="67">
        <f t="shared" ref="D10:H10" si="0">D5+D6+D9+D7-D8</f>
        <v>0</v>
      </c>
      <c r="E10" s="68">
        <f t="shared" si="0"/>
        <v>0</v>
      </c>
      <c r="F10" s="68">
        <f t="shared" si="0"/>
        <v>0</v>
      </c>
      <c r="G10" s="68">
        <f>G5+G6+G9+G7-G8</f>
        <v>0</v>
      </c>
      <c r="H10" s="68">
        <f t="shared" si="0"/>
        <v>0</v>
      </c>
      <c r="I10" s="122"/>
      <c r="J10" s="1"/>
      <c r="M10" s="1">
        <f>H10-H29</f>
        <v>0</v>
      </c>
      <c r="N10" s="117">
        <f>H12*100/118</f>
        <v>0</v>
      </c>
    </row>
    <row r="11" spans="1:17" ht="15" customHeight="1" thickBot="1">
      <c r="A11" s="111">
        <v>2</v>
      </c>
      <c r="B11" s="69" t="s">
        <v>25</v>
      </c>
      <c r="C11" s="70">
        <f t="shared" ref="C11:H11" si="1">C12</f>
        <v>0</v>
      </c>
      <c r="D11" s="70">
        <f t="shared" si="1"/>
        <v>0</v>
      </c>
      <c r="E11" s="70">
        <f t="shared" si="1"/>
        <v>0</v>
      </c>
      <c r="F11" s="70">
        <f t="shared" si="1"/>
        <v>0</v>
      </c>
      <c r="G11" s="70">
        <f t="shared" si="1"/>
        <v>0</v>
      </c>
      <c r="H11" s="70">
        <f t="shared" si="1"/>
        <v>0</v>
      </c>
      <c r="J11" s="8"/>
      <c r="K11" s="1"/>
    </row>
    <row r="12" spans="1:17">
      <c r="A12" s="113"/>
      <c r="B12" s="71" t="s">
        <v>26</v>
      </c>
      <c r="C12" s="72"/>
      <c r="D12" s="72"/>
      <c r="E12" s="73"/>
      <c r="F12" s="74"/>
      <c r="G12" s="74"/>
      <c r="H12" s="74">
        <f>SUM(C12:G12)</f>
        <v>0</v>
      </c>
      <c r="I12" s="122"/>
      <c r="J12" s="122"/>
      <c r="K12" s="122"/>
    </row>
    <row r="13" spans="1:17">
      <c r="A13" s="111">
        <v>3</v>
      </c>
      <c r="B13" s="66" t="s">
        <v>27</v>
      </c>
      <c r="C13" s="67">
        <f>C14+C16-C15+C17</f>
        <v>0</v>
      </c>
      <c r="D13" s="67">
        <f t="shared" ref="D13:H13" si="2">D14+D16-D15+D17</f>
        <v>0</v>
      </c>
      <c r="E13" s="67">
        <f t="shared" si="2"/>
        <v>0</v>
      </c>
      <c r="F13" s="67">
        <f t="shared" si="2"/>
        <v>0</v>
      </c>
      <c r="G13" s="67">
        <f t="shared" si="2"/>
        <v>0</v>
      </c>
      <c r="H13" s="67">
        <f t="shared" si="2"/>
        <v>0</v>
      </c>
    </row>
    <row r="14" spans="1:17">
      <c r="A14" s="113"/>
      <c r="B14" s="75" t="s">
        <v>28</v>
      </c>
      <c r="C14" s="76"/>
      <c r="D14" s="76"/>
      <c r="E14" s="77"/>
      <c r="F14" s="78"/>
      <c r="G14" s="78"/>
      <c r="H14" s="78">
        <f>SUM(C14:G14)</f>
        <v>0</v>
      </c>
      <c r="I14" s="122"/>
      <c r="J14" s="122"/>
      <c r="K14" s="122"/>
      <c r="L14" s="122"/>
    </row>
    <row r="15" spans="1:17">
      <c r="A15" s="113"/>
      <c r="B15" s="79" t="s">
        <v>29</v>
      </c>
      <c r="C15" s="76"/>
      <c r="D15" s="80"/>
      <c r="E15" s="78"/>
      <c r="F15" s="78"/>
      <c r="G15" s="77"/>
      <c r="H15" s="78">
        <f>SUM(C15:G15)</f>
        <v>0</v>
      </c>
      <c r="I15" s="122"/>
      <c r="J15" s="122"/>
      <c r="K15" s="122"/>
      <c r="L15" s="122" t="s">
        <v>30</v>
      </c>
      <c r="M15" s="1">
        <f>C10+C8-C29</f>
        <v>0</v>
      </c>
      <c r="N15" s="1">
        <f>D10+D8-D29</f>
        <v>0</v>
      </c>
      <c r="O15" s="1">
        <f>E10+E8-E29</f>
        <v>0</v>
      </c>
      <c r="P15" s="1">
        <f>F10+F8-F29</f>
        <v>0</v>
      </c>
      <c r="Q15" s="1">
        <f>G10+G8-G29</f>
        <v>0</v>
      </c>
    </row>
    <row r="16" spans="1:17">
      <c r="A16" s="112"/>
      <c r="B16" s="62" t="s">
        <v>31</v>
      </c>
      <c r="C16" s="63"/>
      <c r="D16" s="65"/>
      <c r="E16" s="81"/>
      <c r="F16" s="81"/>
      <c r="G16" s="88"/>
      <c r="H16" s="88">
        <f>SUM(C16:G16)</f>
        <v>0</v>
      </c>
      <c r="L16" s="122" t="s">
        <v>32</v>
      </c>
      <c r="M16" s="1">
        <f>C8</f>
        <v>0</v>
      </c>
      <c r="N16" s="1">
        <f>D8</f>
        <v>0</v>
      </c>
      <c r="O16" s="1">
        <f>E8</f>
        <v>0</v>
      </c>
      <c r="P16" s="1">
        <f>F8</f>
        <v>0</v>
      </c>
      <c r="Q16" s="1">
        <f>G8</f>
        <v>0</v>
      </c>
    </row>
    <row r="17" spans="1:17">
      <c r="A17" s="111">
        <v>4</v>
      </c>
      <c r="B17" s="62" t="s">
        <v>33</v>
      </c>
      <c r="C17" s="63">
        <v>0</v>
      </c>
      <c r="D17" s="63">
        <v>0</v>
      </c>
      <c r="E17" s="81">
        <v>0</v>
      </c>
      <c r="F17" s="88">
        <v>0</v>
      </c>
      <c r="G17" s="88">
        <v>0</v>
      </c>
      <c r="H17" s="88">
        <f>SUM(C17:G17)</f>
        <v>0</v>
      </c>
      <c r="L17" s="117" t="s">
        <v>34</v>
      </c>
      <c r="M17" s="1">
        <f>C12-C15</f>
        <v>0</v>
      </c>
      <c r="N17" s="1">
        <f>D12-D15</f>
        <v>0</v>
      </c>
      <c r="O17" s="1">
        <f>E12-E15</f>
        <v>0</v>
      </c>
      <c r="P17" s="1">
        <f>F12-F15</f>
        <v>0</v>
      </c>
      <c r="Q17" s="1">
        <f>G12-G15</f>
        <v>0</v>
      </c>
    </row>
    <row r="18" spans="1:17" ht="14.4" customHeight="1">
      <c r="A18" s="112"/>
      <c r="B18" s="66" t="s">
        <v>35</v>
      </c>
      <c r="C18" s="67">
        <f>SUM(C19:C20)</f>
        <v>0</v>
      </c>
      <c r="D18" s="67">
        <f>SUM(D19:D20)</f>
        <v>0</v>
      </c>
      <c r="E18" s="67">
        <f>SUM(E19:E20)</f>
        <v>0</v>
      </c>
      <c r="F18" s="67">
        <f>SUM(F19:F20)</f>
        <v>0</v>
      </c>
      <c r="G18" s="67">
        <f>SUM(G19:G20)</f>
        <v>0</v>
      </c>
      <c r="H18" s="68">
        <f>H19+H20</f>
        <v>0</v>
      </c>
      <c r="J18" s="122"/>
      <c r="L18" s="122" t="s">
        <v>36</v>
      </c>
      <c r="M18" s="1">
        <f>C27</f>
        <v>0</v>
      </c>
      <c r="N18" s="1">
        <f>D27</f>
        <v>0</v>
      </c>
      <c r="O18" s="1">
        <f>E27</f>
        <v>0</v>
      </c>
      <c r="P18" s="1">
        <f>F27</f>
        <v>0</v>
      </c>
      <c r="Q18" s="1">
        <f>G27</f>
        <v>0</v>
      </c>
    </row>
    <row r="19" spans="1:17">
      <c r="A19" s="111"/>
      <c r="B19" s="62" t="s">
        <v>37</v>
      </c>
      <c r="C19" s="63"/>
      <c r="D19" s="63"/>
      <c r="E19" s="88"/>
      <c r="F19" s="88"/>
      <c r="G19" s="88"/>
      <c r="H19" s="88">
        <f>SUM(C19:G19)</f>
        <v>0</v>
      </c>
      <c r="L19" s="129" t="s">
        <v>38</v>
      </c>
      <c r="M19" s="1">
        <f>C14</f>
        <v>0</v>
      </c>
      <c r="N19" s="1">
        <f>D14</f>
        <v>0</v>
      </c>
      <c r="O19" s="1">
        <f>E14</f>
        <v>0</v>
      </c>
      <c r="P19" s="1">
        <f>F14</f>
        <v>0</v>
      </c>
      <c r="Q19" s="1">
        <f>G14</f>
        <v>0</v>
      </c>
    </row>
    <row r="20" spans="1:17">
      <c r="A20" s="111">
        <v>5</v>
      </c>
      <c r="B20" s="62" t="s">
        <v>39</v>
      </c>
      <c r="C20" s="63">
        <v>0</v>
      </c>
      <c r="D20" s="63">
        <v>0</v>
      </c>
      <c r="E20" s="88">
        <v>0</v>
      </c>
      <c r="F20" s="88">
        <v>0</v>
      </c>
      <c r="G20" s="88">
        <v>0</v>
      </c>
      <c r="H20" s="88">
        <f>SUM(C20:G20)</f>
        <v>0</v>
      </c>
      <c r="L20" s="117" t="s">
        <v>40</v>
      </c>
      <c r="M20" s="1">
        <f>C16</f>
        <v>0</v>
      </c>
      <c r="N20" s="1">
        <f>D16</f>
        <v>0</v>
      </c>
      <c r="O20" s="1">
        <f>E16</f>
        <v>0</v>
      </c>
      <c r="P20" s="1">
        <f>F16</f>
        <v>0</v>
      </c>
      <c r="Q20" s="1">
        <f>G16</f>
        <v>0</v>
      </c>
    </row>
    <row r="21" spans="1:17" ht="17.399999999999999" customHeight="1">
      <c r="A21" s="112"/>
      <c r="B21" s="66" t="s">
        <v>41</v>
      </c>
      <c r="C21" s="67">
        <f t="shared" ref="C21:H21" si="3">C22+C23+C24</f>
        <v>0</v>
      </c>
      <c r="D21" s="67">
        <f t="shared" si="3"/>
        <v>0</v>
      </c>
      <c r="E21" s="68">
        <f t="shared" si="3"/>
        <v>0</v>
      </c>
      <c r="F21" s="68">
        <f t="shared" si="3"/>
        <v>0</v>
      </c>
      <c r="G21" s="68">
        <f t="shared" si="3"/>
        <v>0</v>
      </c>
      <c r="H21" s="68">
        <f t="shared" si="3"/>
        <v>0</v>
      </c>
      <c r="L21" s="117" t="s">
        <v>42</v>
      </c>
      <c r="M21" s="117">
        <f>(C12*100/118)*2%</f>
        <v>0</v>
      </c>
      <c r="N21" s="117">
        <f>(D12*100/118)*2%</f>
        <v>0</v>
      </c>
      <c r="O21" s="117">
        <f>(E12*100/118)*2%</f>
        <v>0</v>
      </c>
      <c r="P21" s="117">
        <f>(F12*100/118)*2%</f>
        <v>0</v>
      </c>
      <c r="Q21" s="117">
        <f>(G12*100/118)*2%</f>
        <v>0</v>
      </c>
    </row>
    <row r="22" spans="1:17" ht="19.2" customHeight="1">
      <c r="A22" s="112"/>
      <c r="B22" s="62" t="s">
        <v>43</v>
      </c>
      <c r="C22" s="63">
        <v>0</v>
      </c>
      <c r="D22" s="63">
        <v>0</v>
      </c>
      <c r="E22" s="88">
        <v>0</v>
      </c>
      <c r="F22" s="88">
        <v>0</v>
      </c>
      <c r="G22" s="88">
        <v>0</v>
      </c>
      <c r="H22" s="88">
        <f>SUM(C22:G22)</f>
        <v>0</v>
      </c>
      <c r="J22" s="130"/>
      <c r="K22" s="130"/>
    </row>
    <row r="23" spans="1:17">
      <c r="A23" s="112"/>
      <c r="B23" s="62" t="s">
        <v>44</v>
      </c>
      <c r="C23" s="63">
        <v>0</v>
      </c>
      <c r="D23" s="63">
        <v>0</v>
      </c>
      <c r="E23" s="88">
        <v>0</v>
      </c>
      <c r="F23" s="88">
        <v>0</v>
      </c>
      <c r="G23" s="88">
        <v>0</v>
      </c>
      <c r="H23" s="88">
        <f>SUM(C23:G23)</f>
        <v>0</v>
      </c>
    </row>
    <row r="24" spans="1:17">
      <c r="A24" s="112"/>
      <c r="B24" s="62" t="s">
        <v>45</v>
      </c>
      <c r="C24" s="63">
        <v>0</v>
      </c>
      <c r="D24" s="63">
        <v>0</v>
      </c>
      <c r="E24" s="88">
        <v>0</v>
      </c>
      <c r="F24" s="88">
        <v>0</v>
      </c>
      <c r="G24" s="88">
        <v>0</v>
      </c>
      <c r="H24" s="88">
        <f>SUM(C24:G24)</f>
        <v>0</v>
      </c>
      <c r="M24" s="122"/>
    </row>
    <row r="25" spans="1:17">
      <c r="A25" s="111">
        <v>6</v>
      </c>
      <c r="B25" s="66" t="s">
        <v>46</v>
      </c>
      <c r="C25" s="67">
        <f>C10-C11-C18-C21-C13-C29</f>
        <v>0</v>
      </c>
      <c r="D25" s="67">
        <f>D10-D11-D18-D21-D13-D29</f>
        <v>0</v>
      </c>
      <c r="E25" s="67">
        <f>E10-E11-E18-E21-E13-E29</f>
        <v>0</v>
      </c>
      <c r="F25" s="67">
        <f>F10-F11-F18-F21-F13-F29</f>
        <v>0</v>
      </c>
      <c r="G25" s="67">
        <f>G10-G11-G18-G21-G13-G29</f>
        <v>0</v>
      </c>
      <c r="H25" s="67">
        <f>H10-H11-H18-H21-H13-H29</f>
        <v>0</v>
      </c>
    </row>
    <row r="26" spans="1:17">
      <c r="A26" s="112"/>
      <c r="B26" s="66" t="s">
        <v>47</v>
      </c>
      <c r="C26" s="67">
        <f t="shared" ref="C26:H26" si="4">SUM(C27:C29)</f>
        <v>0</v>
      </c>
      <c r="D26" s="67">
        <f t="shared" si="4"/>
        <v>0</v>
      </c>
      <c r="E26" s="67">
        <f t="shared" si="4"/>
        <v>0</v>
      </c>
      <c r="F26" s="67">
        <f t="shared" si="4"/>
        <v>0</v>
      </c>
      <c r="G26" s="67">
        <f t="shared" si="4"/>
        <v>0</v>
      </c>
      <c r="H26" s="67">
        <f t="shared" si="4"/>
        <v>0</v>
      </c>
    </row>
    <row r="27" spans="1:17">
      <c r="A27" s="112"/>
      <c r="B27" s="62" t="s">
        <v>48</v>
      </c>
      <c r="C27" s="63"/>
      <c r="D27" s="63"/>
      <c r="E27" s="82"/>
      <c r="F27" s="88"/>
      <c r="G27" s="88"/>
      <c r="H27" s="88">
        <f>SUM(C27:G27)</f>
        <v>0</v>
      </c>
    </row>
    <row r="28" spans="1:17" ht="15" customHeight="1">
      <c r="A28" s="112"/>
      <c r="B28" s="62" t="s">
        <v>49</v>
      </c>
      <c r="C28" s="63"/>
      <c r="D28" s="83"/>
      <c r="E28" s="88"/>
      <c r="F28" s="82"/>
      <c r="G28" s="88"/>
      <c r="H28" s="88">
        <f>SUM(C28:G28)</f>
        <v>0</v>
      </c>
    </row>
    <row r="29" spans="1:17" ht="15.6" customHeight="1">
      <c r="A29" s="111">
        <v>7</v>
      </c>
      <c r="B29" s="62" t="s">
        <v>50</v>
      </c>
      <c r="C29" s="63"/>
      <c r="D29" s="63"/>
      <c r="E29" s="88"/>
      <c r="F29" s="88"/>
      <c r="G29" s="88"/>
      <c r="H29" s="88">
        <f>SUM(C29:G29)</f>
        <v>0</v>
      </c>
    </row>
    <row r="30" spans="1:17">
      <c r="A30" s="111"/>
      <c r="B30" s="66" t="s">
        <v>51</v>
      </c>
      <c r="C30" s="67">
        <f>C25-C27-C28-C34</f>
        <v>0</v>
      </c>
      <c r="D30" s="67">
        <f t="shared" ref="D30:H30" si="5">D25-D27-D28-D34</f>
        <v>0</v>
      </c>
      <c r="E30" s="67">
        <f t="shared" si="5"/>
        <v>0</v>
      </c>
      <c r="F30" s="67">
        <f t="shared" si="5"/>
        <v>0</v>
      </c>
      <c r="G30" s="67">
        <f t="shared" si="5"/>
        <v>0</v>
      </c>
      <c r="H30" s="67">
        <f t="shared" si="5"/>
        <v>0</v>
      </c>
      <c r="J30" s="122"/>
    </row>
    <row r="31" spans="1:17">
      <c r="A31" s="112"/>
      <c r="B31" s="62" t="s">
        <v>413</v>
      </c>
      <c r="C31" s="63">
        <v>0</v>
      </c>
      <c r="D31" s="63">
        <v>0</v>
      </c>
      <c r="E31" s="63">
        <v>0</v>
      </c>
      <c r="F31" s="63">
        <v>0</v>
      </c>
      <c r="G31" s="63">
        <v>0</v>
      </c>
      <c r="H31" s="63">
        <f t="shared" ref="H31:H38" si="6">SUM(C31:G31)</f>
        <v>0</v>
      </c>
      <c r="J31" s="122"/>
    </row>
    <row r="32" spans="1:17">
      <c r="A32" s="112"/>
      <c r="B32" s="62" t="s">
        <v>52</v>
      </c>
      <c r="C32" s="63">
        <v>0</v>
      </c>
      <c r="D32" s="63">
        <v>0</v>
      </c>
      <c r="E32" s="88">
        <v>0</v>
      </c>
      <c r="F32" s="88">
        <v>0</v>
      </c>
      <c r="G32" s="88">
        <v>0</v>
      </c>
      <c r="H32" s="88">
        <f t="shared" si="6"/>
        <v>0</v>
      </c>
    </row>
    <row r="33" spans="1:10">
      <c r="A33" s="112"/>
      <c r="B33" s="62" t="s">
        <v>14</v>
      </c>
      <c r="C33" s="63">
        <v>0</v>
      </c>
      <c r="D33" s="63">
        <v>0</v>
      </c>
      <c r="E33" s="88">
        <v>0</v>
      </c>
      <c r="F33" s="88">
        <v>0</v>
      </c>
      <c r="G33" s="88">
        <v>0</v>
      </c>
      <c r="H33" s="88">
        <f t="shared" si="6"/>
        <v>0</v>
      </c>
    </row>
    <row r="34" spans="1:10">
      <c r="A34" s="112"/>
      <c r="B34" s="62" t="s">
        <v>53</v>
      </c>
      <c r="C34" s="63">
        <v>0</v>
      </c>
      <c r="D34" s="63">
        <v>0</v>
      </c>
      <c r="E34" s="88">
        <v>0</v>
      </c>
      <c r="F34" s="88">
        <v>0</v>
      </c>
      <c r="G34" s="88">
        <v>0</v>
      </c>
      <c r="H34" s="88">
        <f t="shared" si="6"/>
        <v>0</v>
      </c>
    </row>
    <row r="35" spans="1:10">
      <c r="A35" s="112"/>
      <c r="B35" s="62" t="s">
        <v>54</v>
      </c>
      <c r="C35" s="63">
        <v>0</v>
      </c>
      <c r="D35" s="63">
        <v>0</v>
      </c>
      <c r="E35" s="88">
        <v>0</v>
      </c>
      <c r="F35" s="88">
        <v>0</v>
      </c>
      <c r="G35" s="88">
        <v>0</v>
      </c>
      <c r="H35" s="88">
        <f t="shared" si="6"/>
        <v>0</v>
      </c>
    </row>
    <row r="36" spans="1:10">
      <c r="A36" s="112"/>
      <c r="B36" s="62" t="s">
        <v>55</v>
      </c>
      <c r="C36" s="63">
        <v>0</v>
      </c>
      <c r="D36" s="63">
        <v>0</v>
      </c>
      <c r="E36" s="88">
        <v>0</v>
      </c>
      <c r="F36" s="88">
        <v>0</v>
      </c>
      <c r="G36" s="88">
        <v>0</v>
      </c>
      <c r="H36" s="88">
        <f t="shared" si="6"/>
        <v>0</v>
      </c>
    </row>
    <row r="37" spans="1:10">
      <c r="A37" s="112"/>
      <c r="B37" s="62" t="s">
        <v>56</v>
      </c>
      <c r="C37" s="63">
        <v>0</v>
      </c>
      <c r="D37" s="63">
        <v>0</v>
      </c>
      <c r="E37" s="88">
        <v>0</v>
      </c>
      <c r="F37" s="88">
        <v>0</v>
      </c>
      <c r="G37" s="88">
        <v>0</v>
      </c>
      <c r="H37" s="88">
        <f t="shared" si="6"/>
        <v>0</v>
      </c>
    </row>
    <row r="38" spans="1:10">
      <c r="A38" s="111">
        <v>8</v>
      </c>
      <c r="B38" s="66" t="s">
        <v>57</v>
      </c>
      <c r="C38" s="67">
        <v>0</v>
      </c>
      <c r="D38" s="67">
        <v>0</v>
      </c>
      <c r="E38" s="68">
        <v>0</v>
      </c>
      <c r="F38" s="84">
        <v>0</v>
      </c>
      <c r="G38" s="84">
        <v>0</v>
      </c>
      <c r="H38" s="84">
        <f t="shared" si="6"/>
        <v>0</v>
      </c>
      <c r="J38" s="1"/>
    </row>
    <row r="39" spans="1:10" ht="15" customHeight="1" thickBot="1">
      <c r="A39" s="147"/>
      <c r="B39" s="41" t="s">
        <v>58</v>
      </c>
      <c r="C39" s="85">
        <f>C30-C38-C36+C33+C35</f>
        <v>0</v>
      </c>
      <c r="D39" s="85">
        <f>D30-D38-D36-D33+D35</f>
        <v>0</v>
      </c>
      <c r="E39" s="85">
        <f>E30-E38-E36-E33+E35</f>
        <v>0</v>
      </c>
      <c r="F39" s="85">
        <f>F30-F38-F36-F33+F35-F34-F32</f>
        <v>0</v>
      </c>
      <c r="G39" s="85">
        <f>G30-G38-G36-G33+G35</f>
        <v>0</v>
      </c>
      <c r="H39" s="85">
        <f>H30-H38-H36+H33+H35-H34-H32</f>
        <v>0</v>
      </c>
    </row>
    <row r="40" spans="1:10">
      <c r="A40" s="12"/>
    </row>
    <row r="41" spans="1:10">
      <c r="B41" s="12" t="s">
        <v>59</v>
      </c>
    </row>
    <row r="44" spans="1:10">
      <c r="B44" s="127"/>
    </row>
  </sheetData>
  <mergeCells count="2">
    <mergeCell ref="A2:H2"/>
    <mergeCell ref="A1:H1"/>
  </mergeCells>
  <pageMargins left="0.7" right="0.7" top="0.75" bottom="0.75" header="0.3" footer="0.3"/>
  <pageSetup paperSize="9" scale="7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pageSetUpPr fitToPage="1"/>
  </sheetPr>
  <dimension ref="A1:H37"/>
  <sheetViews>
    <sheetView showGridLines="0" zoomScaleNormal="100" workbookViewId="0">
      <selection activeCell="A2" sqref="A2:G2"/>
    </sheetView>
  </sheetViews>
  <sheetFormatPr defaultRowHeight="13.8"/>
  <cols>
    <col min="1" max="1" width="45.5546875" style="117" bestFit="1" customWidth="1"/>
    <col min="2" max="3" width="12.77734375" style="117" bestFit="1" customWidth="1"/>
    <col min="4" max="4" width="13.33203125" style="117" bestFit="1" customWidth="1"/>
    <col min="5" max="5" width="13.109375" style="117" bestFit="1" customWidth="1"/>
    <col min="6" max="6" width="12.33203125" style="117" customWidth="1"/>
    <col min="7" max="7" width="14" style="117" bestFit="1" customWidth="1"/>
    <col min="8" max="9" width="8.88671875" style="117" customWidth="1"/>
    <col min="10" max="16384" width="8.88671875" style="117"/>
  </cols>
  <sheetData>
    <row r="1" spans="1:8" ht="18" customHeight="1">
      <c r="A1" s="138">
        <f>Summary!B1</f>
        <v>0</v>
      </c>
      <c r="B1" s="139"/>
      <c r="C1" s="139"/>
      <c r="D1" s="139"/>
      <c r="E1" s="139"/>
      <c r="F1" s="139"/>
      <c r="G1" s="139"/>
      <c r="H1" s="118"/>
    </row>
    <row r="2" spans="1:8" ht="15.6" customHeight="1">
      <c r="A2" s="140" t="s">
        <v>415</v>
      </c>
      <c r="B2" s="139"/>
      <c r="C2" s="139"/>
      <c r="D2" s="139"/>
      <c r="E2" s="139"/>
      <c r="F2" s="139"/>
      <c r="G2" s="139"/>
      <c r="H2" s="118"/>
    </row>
    <row r="3" spans="1:8" ht="18" customHeight="1" thickBot="1">
      <c r="A3" s="50"/>
      <c r="B3" s="42"/>
      <c r="C3" s="42"/>
      <c r="D3" s="42"/>
      <c r="E3" s="42"/>
      <c r="F3" s="42"/>
      <c r="G3" s="42"/>
      <c r="H3" s="118"/>
    </row>
    <row r="4" spans="1:8" ht="15" customHeight="1" thickBot="1">
      <c r="A4" s="51" t="s">
        <v>0</v>
      </c>
      <c r="B4" s="131">
        <f>Summary!C4</f>
        <v>0</v>
      </c>
      <c r="C4" s="131">
        <f>Summary!D4</f>
        <v>0</v>
      </c>
      <c r="D4" s="131">
        <f>Summary!E4</f>
        <v>0</v>
      </c>
      <c r="E4" s="131">
        <f>Summary!F4</f>
        <v>0</v>
      </c>
      <c r="F4" s="131">
        <f>Summary!G4</f>
        <v>0</v>
      </c>
      <c r="G4" s="131" t="str">
        <f>Summary!H4</f>
        <v>Total</v>
      </c>
      <c r="H4" s="37"/>
    </row>
    <row r="5" spans="1:8" ht="14.4" customHeight="1">
      <c r="A5" s="52" t="s">
        <v>122</v>
      </c>
      <c r="B5" s="38"/>
      <c r="C5" s="38"/>
      <c r="D5" s="38"/>
      <c r="E5" s="38"/>
      <c r="F5" s="43"/>
      <c r="G5" s="43"/>
      <c r="H5" s="118"/>
    </row>
    <row r="6" spans="1:8" ht="14.4" customHeight="1">
      <c r="A6" s="49" t="s">
        <v>123</v>
      </c>
      <c r="B6" s="88">
        <f>Cashflow!C5+Cashflow!C6+Cashflow!C9-Cashflow!C8-Cashflow!C29</f>
        <v>0</v>
      </c>
      <c r="C6" s="88">
        <f>Cashflow!D5+Cashflow!D6+Cashflow!D9-Cashflow!D8-Cashflow!D29</f>
        <v>0</v>
      </c>
      <c r="D6" s="88">
        <f>Cashflow!E5+Cashflow!E6+Cashflow!E9-Cashflow!E8-Cashflow!E29</f>
        <v>0</v>
      </c>
      <c r="E6" s="88">
        <f>Cashflow!F5+Cashflow!F6+Cashflow!F9-Cashflow!F8-Cashflow!F29</f>
        <v>0</v>
      </c>
      <c r="F6" s="88">
        <f>Cashflow!G5+Cashflow!G6+Cashflow!G9-Cashflow!G8-Cashflow!G29</f>
        <v>0</v>
      </c>
      <c r="G6" s="92">
        <f>SUM(B6:F6)</f>
        <v>0</v>
      </c>
      <c r="H6" s="118"/>
    </row>
    <row r="7" spans="1:8" ht="15" customHeight="1" thickBot="1">
      <c r="A7" s="49" t="s">
        <v>124</v>
      </c>
      <c r="B7" s="89">
        <f>Cashflow!C7</f>
        <v>0</v>
      </c>
      <c r="C7" s="89">
        <f>Cashflow!D7</f>
        <v>0</v>
      </c>
      <c r="D7" s="89">
        <f>Cashflow!E7</f>
        <v>0</v>
      </c>
      <c r="E7" s="89">
        <f>Cashflow!F7</f>
        <v>0</v>
      </c>
      <c r="F7" s="89">
        <f>Cashflow!G7</f>
        <v>0</v>
      </c>
      <c r="G7" s="92">
        <f>SUM(B7:F7)</f>
        <v>0</v>
      </c>
      <c r="H7" s="118"/>
    </row>
    <row r="8" spans="1:8" ht="15" customHeight="1" thickBot="1">
      <c r="A8" s="53" t="s">
        <v>125</v>
      </c>
      <c r="B8" s="93">
        <f t="shared" ref="B8:G8" si="0">B6+B7</f>
        <v>0</v>
      </c>
      <c r="C8" s="93">
        <f t="shared" si="0"/>
        <v>0</v>
      </c>
      <c r="D8" s="93">
        <f t="shared" si="0"/>
        <v>0</v>
      </c>
      <c r="E8" s="93">
        <f t="shared" si="0"/>
        <v>0</v>
      </c>
      <c r="F8" s="93">
        <f t="shared" si="0"/>
        <v>0</v>
      </c>
      <c r="G8" s="94">
        <f t="shared" si="0"/>
        <v>0</v>
      </c>
      <c r="H8" s="118"/>
    </row>
    <row r="9" spans="1:8" ht="14.4" customHeight="1">
      <c r="A9" s="49"/>
      <c r="B9" s="89"/>
      <c r="C9" s="89"/>
      <c r="D9" s="89"/>
      <c r="E9" s="89"/>
      <c r="F9" s="90"/>
      <c r="G9" s="90"/>
      <c r="H9" s="118"/>
    </row>
    <row r="10" spans="1:8" ht="14.4" customHeight="1">
      <c r="A10" s="54" t="s">
        <v>126</v>
      </c>
      <c r="B10" s="89">
        <f>Cashflow!C11</f>
        <v>0</v>
      </c>
      <c r="C10" s="89">
        <f>Cashflow!D11</f>
        <v>0</v>
      </c>
      <c r="D10" s="89">
        <f>Cashflow!E11</f>
        <v>0</v>
      </c>
      <c r="E10" s="89">
        <f>Cashflow!F11</f>
        <v>0</v>
      </c>
      <c r="F10" s="89">
        <f>Cashflow!G11</f>
        <v>0</v>
      </c>
      <c r="G10" s="92">
        <f>SUM(B10:F10)</f>
        <v>0</v>
      </c>
      <c r="H10" s="118"/>
    </row>
    <row r="11" spans="1:8" ht="14.4" customHeight="1">
      <c r="A11" s="49"/>
      <c r="B11" s="89"/>
      <c r="C11" s="89"/>
      <c r="D11" s="89"/>
      <c r="E11" s="89"/>
      <c r="F11" s="90"/>
      <c r="G11" s="91"/>
      <c r="H11" s="118"/>
    </row>
    <row r="12" spans="1:8" ht="14.4" customHeight="1">
      <c r="A12" s="54" t="s">
        <v>127</v>
      </c>
      <c r="B12" s="89">
        <f>Cashflow!C21</f>
        <v>0</v>
      </c>
      <c r="C12" s="89">
        <f>Cashflow!D21</f>
        <v>0</v>
      </c>
      <c r="D12" s="89">
        <f>Cashflow!E21</f>
        <v>0</v>
      </c>
      <c r="E12" s="89">
        <f>Cashflow!F21</f>
        <v>0</v>
      </c>
      <c r="F12" s="89">
        <f>Cashflow!G21</f>
        <v>0</v>
      </c>
      <c r="G12" s="92">
        <f>SUM(B12:F12)</f>
        <v>0</v>
      </c>
      <c r="H12" s="118"/>
    </row>
    <row r="13" spans="1:8" ht="14.4" customHeight="1">
      <c r="A13" s="49"/>
      <c r="B13" s="89"/>
      <c r="C13" s="89"/>
      <c r="D13" s="89"/>
      <c r="E13" s="89"/>
      <c r="F13" s="90"/>
      <c r="G13" s="91"/>
      <c r="H13" s="118"/>
    </row>
    <row r="14" spans="1:8" ht="14.4" customHeight="1">
      <c r="A14" s="54" t="s">
        <v>128</v>
      </c>
      <c r="B14" s="89">
        <f>Cashflow!C18</f>
        <v>0</v>
      </c>
      <c r="C14" s="89">
        <f>Cashflow!D18</f>
        <v>0</v>
      </c>
      <c r="D14" s="89">
        <f>Cashflow!E18</f>
        <v>0</v>
      </c>
      <c r="E14" s="89">
        <f>Cashflow!F18</f>
        <v>0</v>
      </c>
      <c r="F14" s="89">
        <f>Cashflow!G18</f>
        <v>0</v>
      </c>
      <c r="G14" s="92">
        <f>SUM(B14:F14)</f>
        <v>0</v>
      </c>
      <c r="H14" s="118"/>
    </row>
    <row r="15" spans="1:8" ht="14.4" customHeight="1">
      <c r="A15" s="49"/>
      <c r="B15" s="89"/>
      <c r="C15" s="89"/>
      <c r="D15" s="89"/>
      <c r="E15" s="89"/>
      <c r="F15" s="90"/>
      <c r="G15" s="91"/>
      <c r="H15" s="118"/>
    </row>
    <row r="16" spans="1:8" ht="14.4" customHeight="1">
      <c r="A16" s="54" t="s">
        <v>129</v>
      </c>
      <c r="B16" s="89">
        <f>Cashflow!C13</f>
        <v>0</v>
      </c>
      <c r="C16" s="89">
        <f>Cashflow!D13</f>
        <v>0</v>
      </c>
      <c r="D16" s="89">
        <f>Cashflow!E13</f>
        <v>0</v>
      </c>
      <c r="E16" s="89">
        <f>Cashflow!F13</f>
        <v>0</v>
      </c>
      <c r="F16" s="89">
        <f>Cashflow!G13</f>
        <v>0</v>
      </c>
      <c r="G16" s="92">
        <f>SUM(B16:F16)</f>
        <v>0</v>
      </c>
      <c r="H16" s="118"/>
    </row>
    <row r="17" spans="1:8" ht="15" customHeight="1" thickBot="1">
      <c r="A17" s="49"/>
      <c r="B17" s="89"/>
      <c r="C17" s="89"/>
      <c r="D17" s="89"/>
      <c r="E17" s="89"/>
      <c r="F17" s="90"/>
      <c r="G17" s="90"/>
      <c r="H17" s="118"/>
    </row>
    <row r="18" spans="1:8" ht="14.4" customHeight="1" thickBot="1">
      <c r="A18" s="55" t="s">
        <v>130</v>
      </c>
      <c r="B18" s="93">
        <f t="shared" ref="B18:G18" si="1">B8-B10-B12-B14-B16</f>
        <v>0</v>
      </c>
      <c r="C18" s="93">
        <f t="shared" si="1"/>
        <v>0</v>
      </c>
      <c r="D18" s="93">
        <f t="shared" si="1"/>
        <v>0</v>
      </c>
      <c r="E18" s="93">
        <f t="shared" si="1"/>
        <v>0</v>
      </c>
      <c r="F18" s="93">
        <f t="shared" si="1"/>
        <v>0</v>
      </c>
      <c r="G18" s="94">
        <f t="shared" si="1"/>
        <v>0</v>
      </c>
      <c r="H18" s="118"/>
    </row>
    <row r="19" spans="1:8" ht="15" customHeight="1" thickBot="1">
      <c r="A19" s="56" t="s">
        <v>131</v>
      </c>
      <c r="B19" s="44">
        <f>IFERROR(B18/B8,0)</f>
        <v>0</v>
      </c>
      <c r="C19" s="44">
        <f>IFERROR(C18/C8,0)</f>
        <v>0</v>
      </c>
      <c r="D19" s="44">
        <f>IFERROR(D18/D8,0)</f>
        <v>0</v>
      </c>
      <c r="E19" s="44">
        <f>IFERROR(E18/E8,0)</f>
        <v>0</v>
      </c>
      <c r="F19" s="44">
        <f>IFERROR(F18/F8,0)</f>
        <v>0</v>
      </c>
      <c r="G19" s="45" t="e">
        <f>G18/G8</f>
        <v>#DIV/0!</v>
      </c>
      <c r="H19" s="118"/>
    </row>
    <row r="20" spans="1:8" ht="14.4" customHeight="1">
      <c r="B20" s="118"/>
      <c r="C20" s="118"/>
      <c r="D20" s="118"/>
      <c r="E20" s="118"/>
      <c r="F20" s="118"/>
      <c r="G20" s="118"/>
      <c r="H20" s="118"/>
    </row>
    <row r="21" spans="1:8" ht="17.399999999999999" customHeight="1">
      <c r="B21" s="132"/>
      <c r="C21" s="132"/>
      <c r="D21" s="132"/>
      <c r="E21" s="132"/>
      <c r="F21" s="132"/>
      <c r="G21" s="132"/>
      <c r="H21" s="118"/>
    </row>
    <row r="22" spans="1:8" ht="19.2" customHeight="1">
      <c r="B22" s="132"/>
      <c r="C22" s="132"/>
      <c r="D22" s="132"/>
      <c r="E22" s="132"/>
      <c r="F22" s="132"/>
      <c r="G22" s="132"/>
      <c r="H22" s="118"/>
    </row>
    <row r="23" spans="1:8" ht="14.4" customHeight="1">
      <c r="B23" s="132"/>
      <c r="C23" s="132"/>
      <c r="D23" s="132"/>
      <c r="E23" s="132"/>
      <c r="F23" s="132"/>
      <c r="G23" s="132"/>
      <c r="H23" s="118"/>
    </row>
    <row r="24" spans="1:8" ht="14.4" customHeight="1">
      <c r="B24" s="118"/>
      <c r="C24" s="118"/>
      <c r="D24" s="118"/>
      <c r="E24" s="118"/>
      <c r="F24" s="118"/>
      <c r="G24" s="118"/>
      <c r="H24" s="118"/>
    </row>
    <row r="25" spans="1:8" ht="14.4" customHeight="1">
      <c r="B25" s="132"/>
      <c r="C25" s="132"/>
      <c r="D25" s="132"/>
      <c r="E25" s="132"/>
      <c r="F25" s="132"/>
      <c r="G25" s="132"/>
      <c r="H25" s="118"/>
    </row>
    <row r="26" spans="1:8" ht="14.4" customHeight="1">
      <c r="B26" s="118"/>
      <c r="C26" s="118"/>
      <c r="D26" s="118"/>
      <c r="E26" s="118"/>
      <c r="F26" s="118"/>
      <c r="G26" s="118"/>
      <c r="H26" s="118"/>
    </row>
    <row r="27" spans="1:8" ht="8.4" customHeight="1">
      <c r="B27" s="118"/>
      <c r="C27" s="118"/>
      <c r="D27" s="118"/>
      <c r="E27" s="118"/>
      <c r="F27" s="118"/>
      <c r="G27" s="118"/>
      <c r="H27" s="118"/>
    </row>
    <row r="28" spans="1:8" ht="15" customHeight="1">
      <c r="B28" s="118"/>
      <c r="C28" s="118"/>
      <c r="D28" s="118"/>
      <c r="E28" s="118"/>
      <c r="F28" s="118"/>
      <c r="G28" s="118"/>
      <c r="H28" s="118"/>
    </row>
    <row r="29" spans="1:8" ht="15.6" customHeight="1">
      <c r="B29" s="118"/>
      <c r="C29" s="118"/>
      <c r="D29" s="118"/>
      <c r="E29" s="118"/>
      <c r="F29" s="118"/>
      <c r="G29" s="118"/>
      <c r="H29" s="118"/>
    </row>
    <row r="30" spans="1:8" ht="14.4" customHeight="1">
      <c r="B30" s="118"/>
      <c r="C30" s="118"/>
      <c r="D30" s="118"/>
      <c r="E30" s="118"/>
      <c r="F30" s="118"/>
      <c r="G30" s="118"/>
      <c r="H30" s="118"/>
    </row>
    <row r="31" spans="1:8" ht="14.4" customHeight="1">
      <c r="B31" s="118"/>
      <c r="C31" s="118"/>
      <c r="D31" s="118"/>
      <c r="E31" s="118"/>
      <c r="F31" s="118"/>
      <c r="G31" s="118"/>
      <c r="H31" s="118"/>
    </row>
    <row r="32" spans="1:8" ht="14.4" customHeight="1">
      <c r="B32" s="118"/>
      <c r="C32" s="118"/>
      <c r="D32" s="118"/>
      <c r="E32" s="118"/>
      <c r="F32" s="118"/>
      <c r="G32" s="118"/>
      <c r="H32" s="118"/>
    </row>
    <row r="33" spans="2:8" ht="14.4" customHeight="1">
      <c r="B33" s="118"/>
      <c r="C33" s="118"/>
      <c r="D33" s="118"/>
      <c r="E33" s="118"/>
      <c r="F33" s="118"/>
      <c r="G33" s="118"/>
      <c r="H33" s="118"/>
    </row>
    <row r="34" spans="2:8" ht="14.4" customHeight="1">
      <c r="B34" s="118"/>
      <c r="C34" s="118"/>
      <c r="D34" s="118"/>
      <c r="E34" s="118"/>
      <c r="F34" s="118"/>
      <c r="G34" s="118"/>
      <c r="H34" s="118"/>
    </row>
    <row r="35" spans="2:8" ht="14.4" customHeight="1">
      <c r="B35" s="118"/>
      <c r="C35" s="118"/>
      <c r="D35" s="118"/>
      <c r="E35" s="118"/>
      <c r="F35" s="118"/>
      <c r="G35" s="118"/>
      <c r="H35" s="118"/>
    </row>
    <row r="36" spans="2:8" ht="14.4" customHeight="1">
      <c r="B36" s="118"/>
      <c r="C36" s="118"/>
      <c r="D36" s="118"/>
      <c r="E36" s="118"/>
      <c r="F36" s="118"/>
      <c r="G36" s="118"/>
      <c r="H36" s="118"/>
    </row>
    <row r="37" spans="2:8" ht="14.4" customHeight="1">
      <c r="B37" s="118"/>
      <c r="C37" s="118"/>
      <c r="D37" s="118"/>
      <c r="E37" s="118"/>
      <c r="F37" s="118"/>
      <c r="G37" s="118"/>
      <c r="H37" s="118"/>
    </row>
  </sheetData>
  <mergeCells count="2">
    <mergeCell ref="A1:G1"/>
    <mergeCell ref="A2:G2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H38"/>
  <sheetViews>
    <sheetView showGridLines="0" zoomScaleNormal="100" workbookViewId="0">
      <selection activeCell="A2" sqref="A2:G2"/>
    </sheetView>
  </sheetViews>
  <sheetFormatPr defaultRowHeight="13.8"/>
  <cols>
    <col min="1" max="1" width="46.21875" style="117" customWidth="1"/>
    <col min="2" max="3" width="12" style="117" bestFit="1" customWidth="1"/>
    <col min="4" max="4" width="13.33203125" style="117" bestFit="1" customWidth="1"/>
    <col min="5" max="5" width="13.109375" style="117" bestFit="1" customWidth="1"/>
    <col min="6" max="6" width="12.6640625" style="117" customWidth="1"/>
    <col min="7" max="7" width="12.33203125" style="117" bestFit="1" customWidth="1"/>
    <col min="8" max="9" width="8.88671875" style="117" customWidth="1"/>
    <col min="10" max="16384" width="8.88671875" style="117"/>
  </cols>
  <sheetData>
    <row r="1" spans="1:8" ht="14.4" customHeight="1">
      <c r="A1" s="138">
        <f>Summary!B1</f>
        <v>0</v>
      </c>
      <c r="B1" s="139"/>
      <c r="C1" s="139"/>
      <c r="D1" s="139"/>
      <c r="E1" s="139"/>
      <c r="F1" s="139"/>
      <c r="G1" s="139"/>
      <c r="H1" s="36"/>
    </row>
    <row r="2" spans="1:8" ht="15.6" customHeight="1">
      <c r="A2" s="140" t="s">
        <v>416</v>
      </c>
      <c r="B2" s="139"/>
      <c r="C2" s="139"/>
      <c r="D2" s="139"/>
      <c r="E2" s="139"/>
      <c r="F2" s="139"/>
      <c r="G2" s="139"/>
      <c r="H2" s="118"/>
    </row>
    <row r="3" spans="1:8" ht="15" customHeight="1" thickBot="1">
      <c r="A3" s="118"/>
      <c r="B3" s="118"/>
      <c r="C3" s="118"/>
      <c r="D3" s="118"/>
      <c r="E3" s="118"/>
      <c r="F3" s="118"/>
      <c r="G3" s="118"/>
      <c r="H3" s="118"/>
    </row>
    <row r="4" spans="1:8" ht="15" customHeight="1" thickBot="1">
      <c r="A4" s="57" t="s">
        <v>0</v>
      </c>
      <c r="B4" s="133">
        <f>Summary!C4</f>
        <v>0</v>
      </c>
      <c r="C4" s="133">
        <f>Summary!D4</f>
        <v>0</v>
      </c>
      <c r="D4" s="133">
        <f>Summary!E4</f>
        <v>0</v>
      </c>
      <c r="E4" s="133">
        <f>Summary!F4</f>
        <v>0</v>
      </c>
      <c r="F4" s="133">
        <f>Summary!G4</f>
        <v>0</v>
      </c>
      <c r="G4" s="133" t="str">
        <f>Summary!H4</f>
        <v>Total</v>
      </c>
      <c r="H4" s="37"/>
    </row>
    <row r="5" spans="1:8" ht="14.4" customHeight="1">
      <c r="A5" s="48" t="s">
        <v>132</v>
      </c>
      <c r="B5" s="38"/>
      <c r="C5" s="38"/>
      <c r="D5" s="38"/>
      <c r="E5" s="38"/>
      <c r="F5" s="38"/>
      <c r="G5" s="38"/>
      <c r="H5" s="118"/>
    </row>
    <row r="6" spans="1:8" ht="14.4" customHeight="1">
      <c r="A6" s="38" t="s">
        <v>133</v>
      </c>
      <c r="B6" s="86">
        <f>Cashflow!C10</f>
        <v>0</v>
      </c>
      <c r="C6" s="86">
        <f>Cashflow!D10</f>
        <v>0</v>
      </c>
      <c r="D6" s="86">
        <f>Cashflow!E10</f>
        <v>0</v>
      </c>
      <c r="E6" s="86">
        <f>Cashflow!F10</f>
        <v>0</v>
      </c>
      <c r="F6" s="86">
        <f>Cashflow!G10</f>
        <v>0</v>
      </c>
      <c r="G6" s="86">
        <f>SUM(B6:F6)</f>
        <v>0</v>
      </c>
      <c r="H6" s="118"/>
    </row>
    <row r="7" spans="1:8" ht="14.4" customHeight="1">
      <c r="A7" s="38" t="s">
        <v>134</v>
      </c>
      <c r="B7" s="86"/>
      <c r="C7" s="86"/>
      <c r="D7" s="86"/>
      <c r="E7" s="86"/>
      <c r="F7" s="86"/>
      <c r="G7" s="86">
        <f>SUM(B7:F7)</f>
        <v>0</v>
      </c>
      <c r="H7" s="118"/>
    </row>
    <row r="8" spans="1:8" ht="14.4" customHeight="1">
      <c r="A8" s="47" t="s">
        <v>58</v>
      </c>
      <c r="B8" s="87">
        <f t="shared" ref="B8:G8" si="0">B7-B6</f>
        <v>0</v>
      </c>
      <c r="C8" s="87">
        <f t="shared" si="0"/>
        <v>0</v>
      </c>
      <c r="D8" s="87">
        <f t="shared" si="0"/>
        <v>0</v>
      </c>
      <c r="E8" s="87">
        <f t="shared" si="0"/>
        <v>0</v>
      </c>
      <c r="F8" s="87">
        <f t="shared" si="0"/>
        <v>0</v>
      </c>
      <c r="G8" s="87">
        <f t="shared" si="0"/>
        <v>0</v>
      </c>
      <c r="H8" s="118"/>
    </row>
    <row r="9" spans="1:8" ht="14.4" customHeight="1">
      <c r="A9" s="38"/>
      <c r="B9" s="39">
        <f>IFERROR(B8/B6,)</f>
        <v>0</v>
      </c>
      <c r="C9" s="39">
        <f>IFERROR(C8/C6,0)</f>
        <v>0</v>
      </c>
      <c r="D9" s="39">
        <f>IFERROR(D8/D6,0)</f>
        <v>0</v>
      </c>
      <c r="E9" s="39">
        <f>IFERROR(E8/E6,0)</f>
        <v>0</v>
      </c>
      <c r="F9" s="39">
        <f>IFERROR(F8/F6,0)</f>
        <v>0</v>
      </c>
      <c r="G9" s="39">
        <f>IFERROR(G8/G6,0)</f>
        <v>0</v>
      </c>
      <c r="H9" s="118"/>
    </row>
    <row r="10" spans="1:8" ht="14.4" customHeight="1">
      <c r="A10" s="38"/>
      <c r="B10" s="40"/>
      <c r="C10" s="40"/>
      <c r="D10" s="40"/>
      <c r="E10" s="40"/>
      <c r="F10" s="40"/>
      <c r="G10" s="40"/>
      <c r="H10" s="118"/>
    </row>
    <row r="11" spans="1:8" ht="14.4" customHeight="1">
      <c r="A11" s="48" t="s">
        <v>135</v>
      </c>
      <c r="B11" s="134"/>
      <c r="C11" s="134"/>
      <c r="D11" s="134"/>
      <c r="E11" s="134"/>
      <c r="F11" s="134"/>
      <c r="G11" s="134"/>
      <c r="H11" s="118"/>
    </row>
    <row r="12" spans="1:8" ht="14.4" customHeight="1">
      <c r="A12" s="38" t="s">
        <v>136</v>
      </c>
      <c r="B12" s="86">
        <v>0</v>
      </c>
      <c r="C12" s="86">
        <v>0</v>
      </c>
      <c r="D12" s="86">
        <v>0</v>
      </c>
      <c r="E12" s="86">
        <v>0</v>
      </c>
      <c r="F12" s="86">
        <v>0</v>
      </c>
      <c r="G12" s="86">
        <f>SUM(B12:F12)</f>
        <v>0</v>
      </c>
      <c r="H12" s="118"/>
    </row>
    <row r="13" spans="1:8" ht="14.4" customHeight="1">
      <c r="A13" s="38" t="s">
        <v>137</v>
      </c>
      <c r="B13" s="86">
        <v>0</v>
      </c>
      <c r="C13" s="86">
        <v>0</v>
      </c>
      <c r="D13" s="86">
        <v>0</v>
      </c>
      <c r="E13" s="86">
        <v>0</v>
      </c>
      <c r="F13" s="86">
        <v>0</v>
      </c>
      <c r="G13" s="86">
        <f>SUM(B13:F13)</f>
        <v>0</v>
      </c>
      <c r="H13" s="118"/>
    </row>
    <row r="14" spans="1:8" ht="14.4" customHeight="1">
      <c r="A14" s="38"/>
      <c r="B14" s="86"/>
      <c r="C14" s="86"/>
      <c r="D14" s="86"/>
      <c r="E14" s="86"/>
      <c r="F14" s="86"/>
      <c r="G14" s="86"/>
      <c r="H14" s="118"/>
    </row>
    <row r="15" spans="1:8" ht="14.4" customHeight="1">
      <c r="A15" s="38"/>
      <c r="B15" s="62"/>
      <c r="C15" s="62"/>
      <c r="D15" s="62"/>
      <c r="E15" s="62"/>
      <c r="F15" s="62"/>
      <c r="G15" s="62"/>
      <c r="H15" s="118"/>
    </row>
    <row r="16" spans="1:8" ht="14.4" customHeight="1">
      <c r="A16" s="48" t="s">
        <v>138</v>
      </c>
      <c r="B16" s="62"/>
      <c r="C16" s="62"/>
      <c r="D16" s="62"/>
      <c r="E16" s="62"/>
      <c r="F16" s="62"/>
      <c r="G16" s="62"/>
      <c r="H16" s="118"/>
    </row>
    <row r="17" spans="1:8" ht="14.4" customHeight="1">
      <c r="A17" s="38" t="s">
        <v>139</v>
      </c>
      <c r="B17" s="86">
        <f>Cashflow!C30</f>
        <v>0</v>
      </c>
      <c r="C17" s="86">
        <f>Cashflow!D30</f>
        <v>0</v>
      </c>
      <c r="D17" s="86">
        <f>Cashflow!E30</f>
        <v>0</v>
      </c>
      <c r="E17" s="86">
        <f>Cashflow!F30</f>
        <v>0</v>
      </c>
      <c r="F17" s="86">
        <f>Cashflow!G30</f>
        <v>0</v>
      </c>
      <c r="G17" s="86">
        <f t="shared" ref="G17:G22" si="1">SUM(B17:F17)</f>
        <v>0</v>
      </c>
      <c r="H17" s="118"/>
    </row>
    <row r="18" spans="1:8" ht="14.4" customHeight="1">
      <c r="A18" s="38" t="s">
        <v>140</v>
      </c>
      <c r="B18" s="86">
        <f>Cashflow!C36</f>
        <v>0</v>
      </c>
      <c r="C18" s="86">
        <f>Cashflow!D36</f>
        <v>0</v>
      </c>
      <c r="D18" s="86">
        <f>Cashflow!E36</f>
        <v>0</v>
      </c>
      <c r="E18" s="86">
        <f>Cashflow!F36</f>
        <v>0</v>
      </c>
      <c r="F18" s="86">
        <f>Cashflow!G36</f>
        <v>0</v>
      </c>
      <c r="G18" s="86">
        <f t="shared" si="1"/>
        <v>0</v>
      </c>
      <c r="H18" s="118"/>
    </row>
    <row r="19" spans="1:8" ht="14.4" customHeight="1">
      <c r="A19" s="38" t="s">
        <v>141</v>
      </c>
      <c r="B19" s="86">
        <f>Cashflow!C34</f>
        <v>0</v>
      </c>
      <c r="C19" s="86">
        <f>Cashflow!D34</f>
        <v>0</v>
      </c>
      <c r="D19" s="86">
        <f>Cashflow!E34</f>
        <v>0</v>
      </c>
      <c r="E19" s="86">
        <f>Cashflow!F34</f>
        <v>0</v>
      </c>
      <c r="F19" s="86">
        <f>Cashflow!G34</f>
        <v>0</v>
      </c>
      <c r="G19" s="86">
        <f t="shared" si="1"/>
        <v>0</v>
      </c>
      <c r="H19" s="118"/>
    </row>
    <row r="20" spans="1:8" ht="14.4" customHeight="1">
      <c r="A20" s="38" t="s">
        <v>142</v>
      </c>
      <c r="B20" s="86">
        <f>Cashflow!C33</f>
        <v>0</v>
      </c>
      <c r="C20" s="86">
        <f>Cashflow!D33</f>
        <v>0</v>
      </c>
      <c r="D20" s="86">
        <f>Cashflow!E33</f>
        <v>0</v>
      </c>
      <c r="E20" s="86">
        <f>Cashflow!F33</f>
        <v>0</v>
      </c>
      <c r="F20" s="86">
        <v>0</v>
      </c>
      <c r="G20" s="86">
        <f t="shared" si="1"/>
        <v>0</v>
      </c>
      <c r="H20" s="118"/>
    </row>
    <row r="21" spans="1:8" ht="14.4" customHeight="1">
      <c r="A21" s="38" t="s">
        <v>143</v>
      </c>
      <c r="B21" s="86">
        <f>Cashflow!C35</f>
        <v>0</v>
      </c>
      <c r="C21" s="86">
        <f>Cashflow!D35</f>
        <v>0</v>
      </c>
      <c r="D21" s="86">
        <f>Cashflow!E35</f>
        <v>0</v>
      </c>
      <c r="E21" s="86">
        <f>Cashflow!F35</f>
        <v>0</v>
      </c>
      <c r="F21" s="86">
        <f>Cashflow!G35</f>
        <v>0</v>
      </c>
      <c r="G21" s="86">
        <f t="shared" si="1"/>
        <v>0</v>
      </c>
      <c r="H21" s="118"/>
    </row>
    <row r="22" spans="1:8" ht="17.399999999999999" customHeight="1">
      <c r="A22" s="38" t="s">
        <v>144</v>
      </c>
      <c r="B22" s="86">
        <f>Cashflow!C38</f>
        <v>0</v>
      </c>
      <c r="C22" s="86">
        <f>Cashflow!D38</f>
        <v>0</v>
      </c>
      <c r="D22" s="86">
        <f>Cashflow!E38</f>
        <v>0</v>
      </c>
      <c r="E22" s="86">
        <f>Cashflow!F38</f>
        <v>0</v>
      </c>
      <c r="F22" s="86">
        <f>Cashflow!G38</f>
        <v>0</v>
      </c>
      <c r="G22" s="86">
        <f t="shared" si="1"/>
        <v>0</v>
      </c>
      <c r="H22" s="118"/>
    </row>
    <row r="23" spans="1:8" ht="19.2" customHeight="1" thickBot="1">
      <c r="A23" s="58" t="s">
        <v>58</v>
      </c>
      <c r="B23" s="41">
        <f>B17-B22-B18+B20</f>
        <v>0</v>
      </c>
      <c r="C23" s="41">
        <f>C17-C22-C18</f>
        <v>0</v>
      </c>
      <c r="D23" s="41">
        <f>D17-D22-D18</f>
        <v>0</v>
      </c>
      <c r="E23" s="41">
        <f>E17-E22-E18-E19</f>
        <v>0</v>
      </c>
      <c r="F23" s="41">
        <f>F17-F22-F18+F21</f>
        <v>0</v>
      </c>
      <c r="G23" s="41">
        <f>G17-G22-G18+G20-G19</f>
        <v>0</v>
      </c>
      <c r="H23" s="118"/>
    </row>
    <row r="24" spans="1:8" ht="14.4" customHeight="1">
      <c r="A24" s="118"/>
      <c r="B24" s="118"/>
      <c r="C24" s="118"/>
      <c r="D24" s="118"/>
      <c r="E24" s="118"/>
      <c r="F24" s="118"/>
      <c r="G24" s="118"/>
      <c r="H24" s="118"/>
    </row>
    <row r="25" spans="1:8" ht="14.4" customHeight="1">
      <c r="A25" s="12" t="s">
        <v>145</v>
      </c>
      <c r="B25" s="118"/>
      <c r="C25" s="118"/>
      <c r="D25" s="118"/>
      <c r="E25" s="118"/>
      <c r="F25" s="118"/>
      <c r="G25" s="118"/>
      <c r="H25" s="118"/>
    </row>
    <row r="26" spans="1:8" ht="14.4" customHeight="1">
      <c r="A26" s="118"/>
      <c r="B26" s="118"/>
      <c r="C26" s="118"/>
      <c r="D26" s="118"/>
      <c r="E26" s="118"/>
      <c r="F26" s="118"/>
      <c r="G26" s="118"/>
      <c r="H26" s="118"/>
    </row>
    <row r="27" spans="1:8" ht="14.4" customHeight="1">
      <c r="A27" s="118"/>
      <c r="B27" s="118"/>
      <c r="C27" s="118"/>
      <c r="D27" s="118"/>
      <c r="E27" s="118"/>
      <c r="F27" s="118"/>
      <c r="G27" s="118"/>
      <c r="H27" s="118"/>
    </row>
    <row r="28" spans="1:8" ht="8.4" customHeight="1">
      <c r="B28" s="118"/>
      <c r="C28" s="118"/>
      <c r="D28" s="118"/>
      <c r="E28" s="118"/>
      <c r="F28" s="118"/>
      <c r="G28" s="118"/>
      <c r="H28" s="118"/>
    </row>
    <row r="29" spans="1:8" ht="15" customHeight="1">
      <c r="B29" s="118"/>
      <c r="C29" s="118"/>
      <c r="D29" s="118"/>
      <c r="E29" s="118"/>
      <c r="F29" s="118"/>
      <c r="G29" s="118"/>
      <c r="H29" s="118"/>
    </row>
    <row r="30" spans="1:8" ht="15.6" customHeight="1">
      <c r="B30" s="118"/>
      <c r="C30" s="118"/>
      <c r="D30" s="118"/>
      <c r="E30" s="118"/>
      <c r="F30" s="118"/>
      <c r="G30" s="118"/>
      <c r="H30" s="118"/>
    </row>
    <row r="31" spans="1:8" ht="14.4" customHeight="1">
      <c r="B31" s="118"/>
      <c r="C31" s="118"/>
      <c r="D31" s="118"/>
      <c r="E31" s="118"/>
      <c r="F31" s="118"/>
      <c r="G31" s="118"/>
      <c r="H31" s="118"/>
    </row>
    <row r="32" spans="1:8" ht="14.4" customHeight="1">
      <c r="B32" s="118"/>
      <c r="C32" s="118"/>
      <c r="D32" s="118"/>
      <c r="E32" s="118"/>
      <c r="F32" s="118"/>
      <c r="G32" s="118"/>
      <c r="H32" s="118"/>
    </row>
    <row r="33" spans="2:8" ht="14.4" customHeight="1">
      <c r="B33" s="118"/>
      <c r="C33" s="118"/>
      <c r="D33" s="118"/>
      <c r="E33" s="118"/>
      <c r="F33" s="118"/>
      <c r="G33" s="118"/>
      <c r="H33" s="118"/>
    </row>
    <row r="34" spans="2:8" ht="14.4" customHeight="1">
      <c r="B34" s="118"/>
      <c r="C34" s="118"/>
      <c r="D34" s="118"/>
      <c r="E34" s="118"/>
      <c r="F34" s="118"/>
      <c r="G34" s="118"/>
      <c r="H34" s="118"/>
    </row>
    <row r="35" spans="2:8" ht="14.4" customHeight="1">
      <c r="B35" s="118"/>
      <c r="C35" s="118"/>
      <c r="D35" s="118"/>
      <c r="E35" s="118"/>
      <c r="F35" s="118"/>
      <c r="G35" s="118"/>
      <c r="H35" s="118"/>
    </row>
    <row r="36" spans="2:8" ht="14.4" customHeight="1">
      <c r="B36" s="118"/>
      <c r="C36" s="118"/>
      <c r="D36" s="118"/>
      <c r="E36" s="118"/>
      <c r="F36" s="118"/>
      <c r="G36" s="118"/>
      <c r="H36" s="118"/>
    </row>
    <row r="37" spans="2:8" ht="14.4" customHeight="1">
      <c r="B37" s="118"/>
      <c r="C37" s="118"/>
      <c r="D37" s="118"/>
      <c r="E37" s="118"/>
      <c r="F37" s="118"/>
      <c r="G37" s="118"/>
      <c r="H37" s="118"/>
    </row>
    <row r="38" spans="2:8" ht="14.4" customHeight="1">
      <c r="B38" s="118"/>
      <c r="C38" s="118"/>
      <c r="D38" s="118"/>
      <c r="E38" s="118"/>
      <c r="F38" s="118"/>
      <c r="G38" s="118"/>
      <c r="H38" s="118"/>
    </row>
  </sheetData>
  <mergeCells count="2">
    <mergeCell ref="A2:G2"/>
    <mergeCell ref="A1:G1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1"/>
  <sheetViews>
    <sheetView workbookViewId="0"/>
  </sheetViews>
  <sheetFormatPr defaultRowHeight="14.4"/>
  <cols>
    <col min="2" max="2" width="8.88671875" style="119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 filterMode="1"/>
  <dimension ref="A5:G178"/>
  <sheetViews>
    <sheetView workbookViewId="0">
      <selection activeCell="D96" sqref="D96"/>
    </sheetView>
  </sheetViews>
  <sheetFormatPr defaultRowHeight="14.4"/>
  <cols>
    <col min="1" max="1" width="10.33203125" style="119" bestFit="1" customWidth="1"/>
    <col min="6" max="6" width="12.21875" style="119" customWidth="1"/>
  </cols>
  <sheetData>
    <row r="5" spans="1:7">
      <c r="B5">
        <v>1</v>
      </c>
      <c r="C5">
        <v>2</v>
      </c>
      <c r="D5">
        <v>3</v>
      </c>
      <c r="E5">
        <v>4</v>
      </c>
      <c r="F5">
        <v>5</v>
      </c>
    </row>
    <row r="10" spans="1:7">
      <c r="A10" s="135" t="s">
        <v>60</v>
      </c>
      <c r="B10" s="135" t="s">
        <v>61</v>
      </c>
      <c r="C10" s="135" t="s">
        <v>62</v>
      </c>
      <c r="D10" s="135" t="s">
        <v>63</v>
      </c>
      <c r="E10" s="135" t="s">
        <v>64</v>
      </c>
      <c r="F10" s="135" t="s">
        <v>65</v>
      </c>
      <c r="G10" s="135" t="s">
        <v>66</v>
      </c>
    </row>
    <row r="11" spans="1:7" hidden="1">
      <c r="A11" s="135" t="s">
        <v>68</v>
      </c>
      <c r="B11" s="135" t="s">
        <v>69</v>
      </c>
      <c r="C11" s="135" t="s">
        <v>70</v>
      </c>
      <c r="D11" s="135" t="s">
        <v>68</v>
      </c>
      <c r="E11" s="135"/>
      <c r="F11" s="135">
        <v>28308.11</v>
      </c>
      <c r="G11" s="135">
        <v>369938.81</v>
      </c>
    </row>
    <row r="12" spans="1:7" hidden="1">
      <c r="A12" s="135" t="s">
        <v>68</v>
      </c>
      <c r="B12" s="135" t="s">
        <v>71</v>
      </c>
      <c r="C12" s="135" t="s">
        <v>72</v>
      </c>
      <c r="D12" s="135" t="s">
        <v>68</v>
      </c>
      <c r="E12" s="135"/>
      <c r="F12" s="135">
        <v>988.02</v>
      </c>
      <c r="G12" s="135">
        <v>370926.83</v>
      </c>
    </row>
    <row r="13" spans="1:7" hidden="1">
      <c r="A13" s="135" t="s">
        <v>68</v>
      </c>
      <c r="B13" s="135" t="s">
        <v>73</v>
      </c>
      <c r="C13" s="135" t="s">
        <v>67</v>
      </c>
      <c r="D13" s="135" t="s">
        <v>68</v>
      </c>
      <c r="E13" s="135"/>
      <c r="F13" s="135">
        <v>4135.0600000000004</v>
      </c>
      <c r="G13" s="135">
        <v>375061.89</v>
      </c>
    </row>
    <row r="14" spans="1:7" hidden="1">
      <c r="A14" s="135" t="s">
        <v>68</v>
      </c>
      <c r="B14" s="135" t="s">
        <v>74</v>
      </c>
      <c r="C14" s="135" t="s">
        <v>75</v>
      </c>
      <c r="D14" s="135" t="s">
        <v>68</v>
      </c>
      <c r="E14" s="135">
        <v>165</v>
      </c>
      <c r="F14" s="135"/>
      <c r="G14" s="135">
        <v>374896.89</v>
      </c>
    </row>
    <row r="15" spans="1:7" hidden="1">
      <c r="A15" s="135" t="s">
        <v>68</v>
      </c>
      <c r="B15" s="135" t="s">
        <v>76</v>
      </c>
      <c r="C15" s="135" t="s">
        <v>77</v>
      </c>
      <c r="D15" s="135" t="s">
        <v>68</v>
      </c>
      <c r="E15" s="135"/>
      <c r="F15" s="135">
        <v>200000</v>
      </c>
      <c r="G15" s="135">
        <v>574896.89</v>
      </c>
    </row>
    <row r="16" spans="1:7" hidden="1">
      <c r="A16" s="135" t="s">
        <v>68</v>
      </c>
      <c r="B16" s="135" t="s">
        <v>78</v>
      </c>
      <c r="C16" s="135" t="s">
        <v>79</v>
      </c>
      <c r="D16" s="135" t="s">
        <v>68</v>
      </c>
      <c r="E16" s="135">
        <v>390734</v>
      </c>
      <c r="F16" s="135"/>
      <c r="G16" s="135">
        <v>184162.89</v>
      </c>
    </row>
    <row r="17" spans="1:7" hidden="1">
      <c r="A17" s="135" t="s">
        <v>68</v>
      </c>
      <c r="B17" s="135" t="s">
        <v>80</v>
      </c>
      <c r="C17" s="135" t="s">
        <v>81</v>
      </c>
      <c r="D17" s="135" t="s">
        <v>68</v>
      </c>
      <c r="E17" s="135">
        <v>8700</v>
      </c>
      <c r="F17" s="135"/>
      <c r="G17" s="135">
        <v>175462.89</v>
      </c>
    </row>
    <row r="18" spans="1:7" hidden="1">
      <c r="A18" s="135" t="s">
        <v>68</v>
      </c>
      <c r="B18" s="135" t="s">
        <v>82</v>
      </c>
      <c r="C18" s="135" t="s">
        <v>83</v>
      </c>
      <c r="D18" s="135" t="s">
        <v>68</v>
      </c>
      <c r="E18" s="135"/>
      <c r="F18" s="135">
        <v>8322</v>
      </c>
      <c r="G18" s="135">
        <v>183784.89</v>
      </c>
    </row>
    <row r="19" spans="1:7" hidden="1">
      <c r="A19" s="135" t="s">
        <v>68</v>
      </c>
      <c r="B19" s="135" t="s">
        <v>84</v>
      </c>
      <c r="C19" s="135" t="s">
        <v>85</v>
      </c>
      <c r="D19" s="135" t="s">
        <v>68</v>
      </c>
      <c r="E19" s="135"/>
      <c r="F19" s="135">
        <v>8316</v>
      </c>
      <c r="G19" s="135">
        <v>192100.89</v>
      </c>
    </row>
    <row r="20" spans="1:7">
      <c r="A20" s="135" t="s">
        <v>68</v>
      </c>
      <c r="B20" s="135" t="s">
        <v>86</v>
      </c>
      <c r="C20" s="135" t="s">
        <v>87</v>
      </c>
      <c r="D20" s="135" t="s">
        <v>68</v>
      </c>
      <c r="E20" s="135"/>
      <c r="F20" s="135">
        <v>22470.51</v>
      </c>
      <c r="G20" s="135">
        <v>214571.4</v>
      </c>
    </row>
    <row r="21" spans="1:7" hidden="1">
      <c r="A21" s="135" t="s">
        <v>68</v>
      </c>
      <c r="B21" s="135" t="s">
        <v>88</v>
      </c>
      <c r="C21" s="135" t="s">
        <v>89</v>
      </c>
      <c r="D21" s="135" t="s">
        <v>68</v>
      </c>
      <c r="E21" s="135"/>
      <c r="F21" s="135">
        <v>28624.05</v>
      </c>
      <c r="G21" s="135">
        <v>243195.45</v>
      </c>
    </row>
    <row r="22" spans="1:7" hidden="1">
      <c r="A22" s="135" t="s">
        <v>68</v>
      </c>
      <c r="B22" s="135" t="s">
        <v>90</v>
      </c>
      <c r="C22" s="135" t="s">
        <v>91</v>
      </c>
      <c r="D22" s="135" t="s">
        <v>68</v>
      </c>
      <c r="E22" s="135">
        <v>68400</v>
      </c>
      <c r="F22" s="135"/>
      <c r="G22" s="135">
        <v>174795.45</v>
      </c>
    </row>
    <row r="23" spans="1:7" hidden="1">
      <c r="A23" s="135" t="s">
        <v>68</v>
      </c>
      <c r="B23" s="135" t="s">
        <v>92</v>
      </c>
      <c r="C23" s="135" t="s">
        <v>67</v>
      </c>
      <c r="D23" s="135" t="s">
        <v>68</v>
      </c>
      <c r="E23" s="135">
        <v>12843</v>
      </c>
      <c r="F23" s="135"/>
      <c r="G23" s="135">
        <v>161952.45000000001</v>
      </c>
    </row>
    <row r="24" spans="1:7" hidden="1">
      <c r="A24" s="135" t="s">
        <v>68</v>
      </c>
      <c r="B24" s="135" t="s">
        <v>93</v>
      </c>
      <c r="C24" s="135" t="s">
        <v>67</v>
      </c>
      <c r="D24" s="135" t="s">
        <v>68</v>
      </c>
      <c r="E24" s="135">
        <v>16560</v>
      </c>
      <c r="F24" s="135"/>
      <c r="G24" s="135">
        <v>145392.45000000001</v>
      </c>
    </row>
    <row r="25" spans="1:7" hidden="1">
      <c r="A25" s="135" t="s">
        <v>68</v>
      </c>
      <c r="B25" s="135" t="s">
        <v>94</v>
      </c>
      <c r="C25" s="135" t="s">
        <v>67</v>
      </c>
      <c r="D25" s="135" t="s">
        <v>68</v>
      </c>
      <c r="E25" s="135">
        <v>2520</v>
      </c>
      <c r="F25" s="135"/>
      <c r="G25" s="135">
        <v>142872.45000000001</v>
      </c>
    </row>
    <row r="26" spans="1:7" hidden="1">
      <c r="A26" s="135" t="s">
        <v>68</v>
      </c>
      <c r="B26" s="135" t="s">
        <v>95</v>
      </c>
      <c r="C26" s="135" t="s">
        <v>96</v>
      </c>
      <c r="D26" s="135" t="s">
        <v>68</v>
      </c>
      <c r="E26" s="135">
        <v>1651</v>
      </c>
      <c r="F26" s="135"/>
      <c r="G26" s="135">
        <v>141221.45000000001</v>
      </c>
    </row>
    <row r="27" spans="1:7" hidden="1">
      <c r="A27" s="135" t="s">
        <v>68</v>
      </c>
      <c r="B27" s="135" t="s">
        <v>97</v>
      </c>
      <c r="C27" s="135" t="s">
        <v>98</v>
      </c>
      <c r="D27" s="135" t="s">
        <v>68</v>
      </c>
      <c r="E27" s="135"/>
      <c r="F27" s="135">
        <v>37494.720000000001</v>
      </c>
      <c r="G27" s="135">
        <v>178716.17</v>
      </c>
    </row>
    <row r="28" spans="1:7" hidden="1">
      <c r="A28" s="135" t="s">
        <v>99</v>
      </c>
      <c r="B28" s="135" t="s">
        <v>100</v>
      </c>
      <c r="C28" s="135" t="s">
        <v>101</v>
      </c>
      <c r="D28" s="135" t="s">
        <v>99</v>
      </c>
      <c r="E28" s="135"/>
      <c r="F28" s="135">
        <v>28924.86</v>
      </c>
      <c r="G28" s="135">
        <v>207641.03</v>
      </c>
    </row>
    <row r="29" spans="1:7" hidden="1">
      <c r="A29" s="135" t="s">
        <v>99</v>
      </c>
      <c r="B29" s="135" t="s">
        <v>102</v>
      </c>
      <c r="C29" s="135" t="s">
        <v>67</v>
      </c>
      <c r="D29" s="135" t="s">
        <v>99</v>
      </c>
      <c r="E29" s="135"/>
      <c r="F29" s="135">
        <v>6676.28</v>
      </c>
      <c r="G29" s="135">
        <v>214317.31</v>
      </c>
    </row>
    <row r="30" spans="1:7" hidden="1">
      <c r="A30" s="135" t="s">
        <v>103</v>
      </c>
      <c r="B30" s="135" t="s">
        <v>104</v>
      </c>
      <c r="C30" s="135" t="s">
        <v>105</v>
      </c>
      <c r="D30" s="135" t="s">
        <v>103</v>
      </c>
      <c r="E30" s="135"/>
      <c r="F30" s="135">
        <v>38471.910000000003</v>
      </c>
      <c r="G30" s="135">
        <v>252789.22</v>
      </c>
    </row>
    <row r="31" spans="1:7" hidden="1">
      <c r="A31" s="135" t="s">
        <v>103</v>
      </c>
      <c r="B31" s="135" t="s">
        <v>106</v>
      </c>
      <c r="C31" s="135" t="s">
        <v>67</v>
      </c>
      <c r="D31" s="135" t="s">
        <v>103</v>
      </c>
      <c r="E31" s="135"/>
      <c r="F31" s="135">
        <v>13411.99</v>
      </c>
      <c r="G31" s="135">
        <v>266201.21000000002</v>
      </c>
    </row>
    <row r="32" spans="1:7" hidden="1">
      <c r="A32" s="135" t="s">
        <v>103</v>
      </c>
      <c r="B32" s="135" t="s">
        <v>107</v>
      </c>
      <c r="C32" s="135" t="s">
        <v>108</v>
      </c>
      <c r="D32" s="135" t="s">
        <v>103</v>
      </c>
      <c r="E32" s="135">
        <v>35000</v>
      </c>
      <c r="F32" s="135"/>
      <c r="G32" s="135">
        <v>231201.21</v>
      </c>
    </row>
    <row r="33" spans="1:7" hidden="1">
      <c r="A33" s="135" t="s">
        <v>103</v>
      </c>
      <c r="B33" s="135" t="s">
        <v>109</v>
      </c>
      <c r="C33" s="135" t="s">
        <v>110</v>
      </c>
      <c r="D33" s="135" t="s">
        <v>103</v>
      </c>
      <c r="E33" s="135"/>
      <c r="F33" s="135">
        <v>13038.51</v>
      </c>
      <c r="G33" s="135">
        <v>244239.72</v>
      </c>
    </row>
    <row r="34" spans="1:7" hidden="1">
      <c r="A34" s="135" t="s">
        <v>111</v>
      </c>
      <c r="B34" s="135" t="s">
        <v>112</v>
      </c>
      <c r="C34" s="135" t="s">
        <v>113</v>
      </c>
      <c r="D34" s="135" t="s">
        <v>111</v>
      </c>
      <c r="E34" s="135"/>
      <c r="F34" s="135">
        <v>53035</v>
      </c>
      <c r="G34" s="135">
        <v>297274.71999999997</v>
      </c>
    </row>
    <row r="35" spans="1:7" hidden="1">
      <c r="A35" s="135" t="s">
        <v>111</v>
      </c>
      <c r="B35" s="135" t="s">
        <v>114</v>
      </c>
      <c r="C35" s="135" t="s">
        <v>67</v>
      </c>
      <c r="D35" s="135" t="s">
        <v>111</v>
      </c>
      <c r="E35" s="135"/>
      <c r="F35" s="135">
        <v>10812.69</v>
      </c>
      <c r="G35" s="135">
        <v>308087.40999999997</v>
      </c>
    </row>
    <row r="36" spans="1:7" hidden="1">
      <c r="A36" s="135" t="s">
        <v>111</v>
      </c>
      <c r="B36" s="135" t="s">
        <v>115</v>
      </c>
      <c r="C36" s="135" t="s">
        <v>116</v>
      </c>
      <c r="D36" s="135" t="s">
        <v>111</v>
      </c>
      <c r="E36" s="135">
        <v>856</v>
      </c>
      <c r="F36" s="135"/>
      <c r="G36" s="135">
        <v>307231.40999999997</v>
      </c>
    </row>
    <row r="37" spans="1:7" hidden="1">
      <c r="A37" s="135" t="s">
        <v>117</v>
      </c>
      <c r="B37" s="135" t="s">
        <v>118</v>
      </c>
      <c r="C37" s="135" t="s">
        <v>119</v>
      </c>
      <c r="D37" s="135" t="s">
        <v>117</v>
      </c>
      <c r="E37" s="135"/>
      <c r="F37" s="135">
        <v>72645.73</v>
      </c>
      <c r="G37" s="135">
        <v>379877.14</v>
      </c>
    </row>
    <row r="38" spans="1:7" hidden="1">
      <c r="A38" s="135" t="s">
        <v>117</v>
      </c>
      <c r="B38" s="135" t="s">
        <v>120</v>
      </c>
      <c r="C38" s="135" t="s">
        <v>67</v>
      </c>
      <c r="D38" s="135" t="s">
        <v>117</v>
      </c>
      <c r="E38" s="135"/>
      <c r="F38" s="135">
        <v>17370.830000000002</v>
      </c>
      <c r="G38" s="135">
        <v>397247.97</v>
      </c>
    </row>
    <row r="39" spans="1:7" hidden="1">
      <c r="A39" s="135" t="s">
        <v>117</v>
      </c>
      <c r="B39" s="135" t="s">
        <v>121</v>
      </c>
      <c r="C39" s="135" t="s">
        <v>67</v>
      </c>
      <c r="D39" s="135" t="s">
        <v>117</v>
      </c>
      <c r="E39" s="135">
        <v>37.76</v>
      </c>
      <c r="F39" s="135"/>
      <c r="G39" s="135">
        <v>397210.21</v>
      </c>
    </row>
    <row r="40" spans="1:7" hidden="1">
      <c r="A40" s="135" t="s">
        <v>146</v>
      </c>
      <c r="B40" s="135" t="s">
        <v>147</v>
      </c>
      <c r="C40" s="135" t="s">
        <v>148</v>
      </c>
      <c r="D40" s="135" t="s">
        <v>146</v>
      </c>
      <c r="E40" s="135"/>
      <c r="F40" s="135">
        <v>65856.98</v>
      </c>
      <c r="G40" s="135">
        <v>463067.19</v>
      </c>
    </row>
    <row r="41" spans="1:7" hidden="1">
      <c r="A41" s="135" t="s">
        <v>146</v>
      </c>
      <c r="B41" s="135" t="s">
        <v>149</v>
      </c>
      <c r="C41" s="135" t="s">
        <v>67</v>
      </c>
      <c r="D41" s="135" t="s">
        <v>146</v>
      </c>
      <c r="E41" s="135">
        <v>70666</v>
      </c>
      <c r="F41" s="135"/>
      <c r="G41" s="135">
        <v>392401.19</v>
      </c>
    </row>
    <row r="42" spans="1:7" hidden="1">
      <c r="A42" s="135" t="s">
        <v>146</v>
      </c>
      <c r="B42" s="135" t="s">
        <v>150</v>
      </c>
      <c r="C42" s="135" t="s">
        <v>67</v>
      </c>
      <c r="D42" s="135" t="s">
        <v>146</v>
      </c>
      <c r="E42" s="135"/>
      <c r="F42" s="135">
        <v>1635.17</v>
      </c>
      <c r="G42" s="135">
        <v>394036.36</v>
      </c>
    </row>
    <row r="43" spans="1:7">
      <c r="A43" s="135" t="s">
        <v>146</v>
      </c>
      <c r="B43" s="135" t="s">
        <v>151</v>
      </c>
      <c r="C43" s="135" t="s">
        <v>152</v>
      </c>
      <c r="D43" s="135" t="s">
        <v>146</v>
      </c>
      <c r="E43" s="135"/>
      <c r="F43" s="135">
        <v>61201.16</v>
      </c>
      <c r="G43" s="135">
        <v>455237.52</v>
      </c>
    </row>
    <row r="44" spans="1:7" hidden="1">
      <c r="A44" s="135" t="s">
        <v>153</v>
      </c>
      <c r="B44" s="135" t="s">
        <v>154</v>
      </c>
      <c r="C44" s="135" t="s">
        <v>155</v>
      </c>
      <c r="D44" s="135" t="s">
        <v>153</v>
      </c>
      <c r="E44" s="135"/>
      <c r="F44" s="135">
        <v>24613.360000000001</v>
      </c>
      <c r="G44" s="135">
        <v>479850.88</v>
      </c>
    </row>
    <row r="45" spans="1:7" hidden="1">
      <c r="A45" s="135" t="s">
        <v>153</v>
      </c>
      <c r="B45" s="135" t="s">
        <v>156</v>
      </c>
      <c r="C45" s="135" t="s">
        <v>67</v>
      </c>
      <c r="D45" s="135" t="s">
        <v>153</v>
      </c>
      <c r="E45" s="135"/>
      <c r="F45" s="135">
        <v>9641.7900000000009</v>
      </c>
      <c r="G45" s="135">
        <v>489492.67</v>
      </c>
    </row>
    <row r="46" spans="1:7" hidden="1">
      <c r="A46" s="135" t="s">
        <v>153</v>
      </c>
      <c r="B46" s="135" t="s">
        <v>157</v>
      </c>
      <c r="C46" s="135" t="s">
        <v>158</v>
      </c>
      <c r="D46" s="135" t="s">
        <v>153</v>
      </c>
      <c r="E46" s="135"/>
      <c r="F46" s="135">
        <v>83057.259999999995</v>
      </c>
      <c r="G46" s="135">
        <v>572549.93000000005</v>
      </c>
    </row>
    <row r="47" spans="1:7" hidden="1">
      <c r="A47" s="135" t="s">
        <v>159</v>
      </c>
      <c r="B47" s="135" t="s">
        <v>160</v>
      </c>
      <c r="C47" s="135" t="s">
        <v>161</v>
      </c>
      <c r="D47" s="135" t="s">
        <v>159</v>
      </c>
      <c r="E47" s="135"/>
      <c r="F47" s="135">
        <v>17786</v>
      </c>
      <c r="G47" s="135">
        <v>590335.93000000005</v>
      </c>
    </row>
    <row r="48" spans="1:7" hidden="1">
      <c r="A48" s="135" t="s">
        <v>159</v>
      </c>
      <c r="B48" s="135" t="s">
        <v>162</v>
      </c>
      <c r="C48" s="135" t="s">
        <v>67</v>
      </c>
      <c r="D48" s="135" t="s">
        <v>159</v>
      </c>
      <c r="E48" s="135"/>
      <c r="F48" s="135">
        <v>5938.15</v>
      </c>
      <c r="G48" s="135">
        <v>596274.07999999996</v>
      </c>
    </row>
    <row r="49" spans="1:7" hidden="1">
      <c r="A49" s="135" t="s">
        <v>159</v>
      </c>
      <c r="B49" s="135" t="s">
        <v>163</v>
      </c>
      <c r="C49" s="135" t="s">
        <v>164</v>
      </c>
      <c r="D49" s="135" t="s">
        <v>159</v>
      </c>
      <c r="E49" s="135"/>
      <c r="F49" s="135">
        <v>18504.91</v>
      </c>
      <c r="G49" s="135">
        <v>614778.99</v>
      </c>
    </row>
    <row r="50" spans="1:7">
      <c r="A50" s="135" t="s">
        <v>159</v>
      </c>
      <c r="B50" s="135" t="s">
        <v>165</v>
      </c>
      <c r="C50" s="135" t="s">
        <v>166</v>
      </c>
      <c r="D50" s="135" t="s">
        <v>159</v>
      </c>
      <c r="E50" s="135"/>
      <c r="F50" s="135">
        <v>50928.19</v>
      </c>
      <c r="G50" s="135">
        <v>665707.18000000005</v>
      </c>
    </row>
    <row r="51" spans="1:7" hidden="1">
      <c r="A51" s="135" t="s">
        <v>159</v>
      </c>
      <c r="B51" s="135" t="s">
        <v>167</v>
      </c>
      <c r="C51" s="135" t="s">
        <v>168</v>
      </c>
      <c r="D51" s="135" t="s">
        <v>159</v>
      </c>
      <c r="E51" s="135"/>
      <c r="F51" s="135">
        <v>200000</v>
      </c>
      <c r="G51" s="135">
        <v>865707.18</v>
      </c>
    </row>
    <row r="52" spans="1:7" hidden="1">
      <c r="A52" s="135" t="s">
        <v>169</v>
      </c>
      <c r="B52" s="135" t="s">
        <v>170</v>
      </c>
      <c r="C52" s="135" t="s">
        <v>171</v>
      </c>
      <c r="D52" s="135" t="s">
        <v>169</v>
      </c>
      <c r="E52" s="135"/>
      <c r="F52" s="135">
        <v>21882</v>
      </c>
      <c r="G52" s="135">
        <v>887589.18</v>
      </c>
    </row>
    <row r="53" spans="1:7" hidden="1">
      <c r="A53" s="135" t="s">
        <v>169</v>
      </c>
      <c r="B53" s="135" t="s">
        <v>172</v>
      </c>
      <c r="C53" s="135" t="s">
        <v>67</v>
      </c>
      <c r="D53" s="135" t="s">
        <v>169</v>
      </c>
      <c r="E53" s="135"/>
      <c r="F53" s="135">
        <v>4616</v>
      </c>
      <c r="G53" s="135">
        <v>892205.18</v>
      </c>
    </row>
    <row r="54" spans="1:7" hidden="1">
      <c r="A54" s="135" t="s">
        <v>169</v>
      </c>
      <c r="B54" s="135" t="s">
        <v>173</v>
      </c>
      <c r="C54" s="135" t="s">
        <v>174</v>
      </c>
      <c r="D54" s="135" t="s">
        <v>169</v>
      </c>
      <c r="E54" s="135">
        <v>15000</v>
      </c>
      <c r="F54" s="135"/>
      <c r="G54" s="135">
        <v>877205.18</v>
      </c>
    </row>
    <row r="55" spans="1:7" hidden="1">
      <c r="A55" s="135" t="s">
        <v>175</v>
      </c>
      <c r="B55" s="135" t="s">
        <v>176</v>
      </c>
      <c r="C55" s="135" t="s">
        <v>177</v>
      </c>
      <c r="D55" s="135" t="s">
        <v>175</v>
      </c>
      <c r="E55" s="135"/>
      <c r="F55" s="135">
        <v>26001.279999999999</v>
      </c>
      <c r="G55" s="135">
        <v>903206.46</v>
      </c>
    </row>
    <row r="56" spans="1:7" hidden="1">
      <c r="A56" s="135" t="s">
        <v>175</v>
      </c>
      <c r="B56" s="135" t="s">
        <v>178</v>
      </c>
      <c r="C56" s="135" t="s">
        <v>67</v>
      </c>
      <c r="D56" s="135" t="s">
        <v>175</v>
      </c>
      <c r="E56" s="135"/>
      <c r="F56" s="135">
        <v>865</v>
      </c>
      <c r="G56" s="135">
        <v>904071.46</v>
      </c>
    </row>
    <row r="57" spans="1:7" hidden="1">
      <c r="A57" s="135" t="s">
        <v>175</v>
      </c>
      <c r="B57" s="135" t="s">
        <v>179</v>
      </c>
      <c r="C57" s="135" t="s">
        <v>180</v>
      </c>
      <c r="D57" s="135" t="s">
        <v>175</v>
      </c>
      <c r="E57" s="135"/>
      <c r="F57" s="135">
        <v>9952.07</v>
      </c>
      <c r="G57" s="135">
        <v>914023.53</v>
      </c>
    </row>
    <row r="58" spans="1:7" hidden="1">
      <c r="A58" s="135" t="s">
        <v>181</v>
      </c>
      <c r="B58" s="135" t="s">
        <v>182</v>
      </c>
      <c r="C58" s="135" t="s">
        <v>183</v>
      </c>
      <c r="D58" s="135" t="s">
        <v>181</v>
      </c>
      <c r="E58" s="135"/>
      <c r="F58" s="135">
        <v>1526.84</v>
      </c>
      <c r="G58" s="135">
        <v>915550.37</v>
      </c>
    </row>
    <row r="59" spans="1:7" hidden="1">
      <c r="A59" s="135" t="s">
        <v>181</v>
      </c>
      <c r="B59" s="135" t="s">
        <v>184</v>
      </c>
      <c r="C59" s="135" t="s">
        <v>185</v>
      </c>
      <c r="D59" s="135" t="s">
        <v>181</v>
      </c>
      <c r="E59" s="135"/>
      <c r="F59" s="135">
        <v>27767.83</v>
      </c>
      <c r="G59" s="135">
        <v>943318.2</v>
      </c>
    </row>
    <row r="60" spans="1:7" hidden="1">
      <c r="A60" s="135" t="s">
        <v>181</v>
      </c>
      <c r="B60" s="135" t="s">
        <v>186</v>
      </c>
      <c r="C60" s="135" t="s">
        <v>67</v>
      </c>
      <c r="D60" s="135" t="s">
        <v>181</v>
      </c>
      <c r="E60" s="135"/>
      <c r="F60" s="135">
        <v>8196.67</v>
      </c>
      <c r="G60" s="135">
        <v>951514.87</v>
      </c>
    </row>
    <row r="61" spans="1:7" hidden="1">
      <c r="A61" s="135" t="s">
        <v>181</v>
      </c>
      <c r="B61" s="135" t="s">
        <v>187</v>
      </c>
      <c r="C61" s="135" t="s">
        <v>188</v>
      </c>
      <c r="D61" s="135" t="s">
        <v>181</v>
      </c>
      <c r="E61" s="135">
        <v>5000</v>
      </c>
      <c r="F61" s="135"/>
      <c r="G61" s="135">
        <v>946514.87</v>
      </c>
    </row>
    <row r="62" spans="1:7" hidden="1">
      <c r="A62" s="135" t="s">
        <v>189</v>
      </c>
      <c r="B62" s="135" t="s">
        <v>190</v>
      </c>
      <c r="C62" s="135" t="s">
        <v>191</v>
      </c>
      <c r="D62" s="135" t="s">
        <v>189</v>
      </c>
      <c r="E62" s="135"/>
      <c r="F62" s="135">
        <v>84506.26</v>
      </c>
      <c r="G62" s="135">
        <v>1031021.13</v>
      </c>
    </row>
    <row r="63" spans="1:7" hidden="1">
      <c r="A63" s="135" t="s">
        <v>189</v>
      </c>
      <c r="B63" s="135" t="s">
        <v>192</v>
      </c>
      <c r="C63" s="135" t="s">
        <v>193</v>
      </c>
      <c r="D63" s="135" t="s">
        <v>189</v>
      </c>
      <c r="E63" s="135"/>
      <c r="F63" s="135">
        <v>2151.1799999999998</v>
      </c>
      <c r="G63" s="135">
        <v>1033172.31</v>
      </c>
    </row>
    <row r="64" spans="1:7" hidden="1">
      <c r="A64" s="135" t="s">
        <v>189</v>
      </c>
      <c r="B64" s="135" t="s">
        <v>194</v>
      </c>
      <c r="C64" s="135" t="s">
        <v>67</v>
      </c>
      <c r="D64" s="135" t="s">
        <v>189</v>
      </c>
      <c r="E64" s="135"/>
      <c r="F64" s="135">
        <v>15719.66</v>
      </c>
      <c r="G64" s="135">
        <v>1048891.97</v>
      </c>
    </row>
    <row r="65" spans="1:7" hidden="1">
      <c r="A65" s="135" t="s">
        <v>189</v>
      </c>
      <c r="B65" s="135" t="s">
        <v>195</v>
      </c>
      <c r="C65" s="135" t="s">
        <v>196</v>
      </c>
      <c r="D65" s="135" t="s">
        <v>189</v>
      </c>
      <c r="E65" s="135">
        <v>4641</v>
      </c>
      <c r="F65" s="135"/>
      <c r="G65" s="135">
        <v>1044250.97</v>
      </c>
    </row>
    <row r="66" spans="1:7" hidden="1">
      <c r="A66" s="135" t="s">
        <v>189</v>
      </c>
      <c r="B66" s="135" t="s">
        <v>197</v>
      </c>
      <c r="C66" s="135" t="s">
        <v>198</v>
      </c>
      <c r="D66" s="135" t="s">
        <v>189</v>
      </c>
      <c r="E66" s="135">
        <v>5000</v>
      </c>
      <c r="F66" s="135"/>
      <c r="G66" s="135">
        <v>1039250.97</v>
      </c>
    </row>
    <row r="67" spans="1:7" hidden="1">
      <c r="A67" s="135" t="s">
        <v>189</v>
      </c>
      <c r="B67" s="135" t="s">
        <v>199</v>
      </c>
      <c r="C67" s="135" t="s">
        <v>200</v>
      </c>
      <c r="D67" s="135" t="s">
        <v>189</v>
      </c>
      <c r="E67" s="135">
        <v>10000</v>
      </c>
      <c r="F67" s="135"/>
      <c r="G67" s="135">
        <v>1029250.97</v>
      </c>
    </row>
    <row r="68" spans="1:7" hidden="1">
      <c r="A68" s="135" t="s">
        <v>201</v>
      </c>
      <c r="B68" s="135" t="s">
        <v>202</v>
      </c>
      <c r="C68" s="135" t="s">
        <v>203</v>
      </c>
      <c r="D68" s="135" t="s">
        <v>201</v>
      </c>
      <c r="E68" s="135"/>
      <c r="F68" s="135">
        <v>58079.77</v>
      </c>
      <c r="G68" s="135">
        <v>1087330.74</v>
      </c>
    </row>
    <row r="69" spans="1:7" hidden="1">
      <c r="A69" s="135" t="s">
        <v>201</v>
      </c>
      <c r="B69" s="135" t="s">
        <v>204</v>
      </c>
      <c r="C69" s="135" t="s">
        <v>205</v>
      </c>
      <c r="D69" s="135" t="s">
        <v>201</v>
      </c>
      <c r="E69" s="135"/>
      <c r="F69" s="135">
        <v>1257.29</v>
      </c>
      <c r="G69" s="135">
        <v>1088588.03</v>
      </c>
    </row>
    <row r="70" spans="1:7" hidden="1">
      <c r="A70" s="135" t="s">
        <v>201</v>
      </c>
      <c r="B70" s="135" t="s">
        <v>206</v>
      </c>
      <c r="C70" s="135" t="s">
        <v>207</v>
      </c>
      <c r="D70" s="135" t="s">
        <v>201</v>
      </c>
      <c r="E70" s="135"/>
      <c r="F70" s="135">
        <v>1335.14</v>
      </c>
      <c r="G70" s="135">
        <v>1089923.17</v>
      </c>
    </row>
    <row r="71" spans="1:7" hidden="1">
      <c r="A71" s="135" t="s">
        <v>201</v>
      </c>
      <c r="B71" s="135" t="s">
        <v>208</v>
      </c>
      <c r="C71" s="135" t="s">
        <v>67</v>
      </c>
      <c r="D71" s="135" t="s">
        <v>201</v>
      </c>
      <c r="E71" s="135"/>
      <c r="F71" s="135">
        <v>8984.17</v>
      </c>
      <c r="G71" s="135">
        <v>1098907.3400000001</v>
      </c>
    </row>
    <row r="72" spans="1:7" hidden="1">
      <c r="A72" s="135" t="s">
        <v>201</v>
      </c>
      <c r="B72" s="135" t="s">
        <v>209</v>
      </c>
      <c r="C72" s="135" t="s">
        <v>210</v>
      </c>
      <c r="D72" s="135" t="s">
        <v>201</v>
      </c>
      <c r="E72" s="135">
        <v>519134</v>
      </c>
      <c r="F72" s="135"/>
      <c r="G72" s="135">
        <v>579773.34</v>
      </c>
    </row>
    <row r="73" spans="1:7" hidden="1">
      <c r="A73" s="135" t="s">
        <v>201</v>
      </c>
      <c r="B73" s="135" t="s">
        <v>211</v>
      </c>
      <c r="C73" s="135" t="s">
        <v>212</v>
      </c>
      <c r="D73" s="135" t="s">
        <v>201</v>
      </c>
      <c r="E73" s="135">
        <v>164400</v>
      </c>
      <c r="F73" s="135"/>
      <c r="G73" s="135">
        <v>415373.34</v>
      </c>
    </row>
    <row r="74" spans="1:7">
      <c r="A74" s="135" t="s">
        <v>201</v>
      </c>
      <c r="B74" s="135" t="s">
        <v>213</v>
      </c>
      <c r="C74" s="135" t="s">
        <v>214</v>
      </c>
      <c r="D74" s="135" t="s">
        <v>201</v>
      </c>
      <c r="E74" s="135"/>
      <c r="F74" s="135">
        <v>42965.13</v>
      </c>
      <c r="G74" s="135">
        <v>458338.47</v>
      </c>
    </row>
    <row r="75" spans="1:7" hidden="1">
      <c r="A75" s="135" t="s">
        <v>201</v>
      </c>
      <c r="B75" s="135" t="s">
        <v>215</v>
      </c>
      <c r="C75" s="135" t="s">
        <v>216</v>
      </c>
      <c r="D75" s="135" t="s">
        <v>201</v>
      </c>
      <c r="E75" s="135">
        <v>200000</v>
      </c>
      <c r="F75" s="135"/>
      <c r="G75" s="135">
        <v>258338.47</v>
      </c>
    </row>
    <row r="76" spans="1:7" hidden="1">
      <c r="A76" s="135" t="s">
        <v>201</v>
      </c>
      <c r="B76" s="135" t="s">
        <v>217</v>
      </c>
      <c r="C76" s="135" t="s">
        <v>218</v>
      </c>
      <c r="D76" s="135" t="s">
        <v>201</v>
      </c>
      <c r="E76" s="135">
        <v>200000</v>
      </c>
      <c r="F76" s="135"/>
      <c r="G76" s="135">
        <v>58338.47</v>
      </c>
    </row>
    <row r="77" spans="1:7" hidden="1">
      <c r="A77" s="135" t="s">
        <v>219</v>
      </c>
      <c r="B77" s="135" t="s">
        <v>220</v>
      </c>
      <c r="C77" s="135" t="s">
        <v>221</v>
      </c>
      <c r="D77" s="135" t="s">
        <v>219</v>
      </c>
      <c r="E77" s="135"/>
      <c r="F77" s="135">
        <v>75600</v>
      </c>
      <c r="G77" s="135">
        <v>133938.47</v>
      </c>
    </row>
    <row r="78" spans="1:7" hidden="1">
      <c r="A78" s="135" t="s">
        <v>219</v>
      </c>
      <c r="B78" s="135" t="s">
        <v>222</v>
      </c>
      <c r="C78" s="135" t="s">
        <v>223</v>
      </c>
      <c r="D78" s="135" t="s">
        <v>219</v>
      </c>
      <c r="E78" s="135"/>
      <c r="F78" s="135">
        <v>27381</v>
      </c>
      <c r="G78" s="135">
        <v>161319.47</v>
      </c>
    </row>
    <row r="79" spans="1:7" hidden="1">
      <c r="A79" s="135" t="s">
        <v>219</v>
      </c>
      <c r="B79" s="135" t="s">
        <v>224</v>
      </c>
      <c r="C79" s="135" t="s">
        <v>67</v>
      </c>
      <c r="D79" s="135" t="s">
        <v>219</v>
      </c>
      <c r="E79" s="135"/>
      <c r="F79" s="135">
        <v>1475.19</v>
      </c>
      <c r="G79" s="135">
        <v>162794.66</v>
      </c>
    </row>
    <row r="80" spans="1:7" hidden="1">
      <c r="A80" s="135" t="s">
        <v>219</v>
      </c>
      <c r="B80" s="135" t="s">
        <v>225</v>
      </c>
      <c r="C80" s="135" t="s">
        <v>226</v>
      </c>
      <c r="D80" s="135" t="s">
        <v>219</v>
      </c>
      <c r="E80" s="135"/>
      <c r="F80" s="135">
        <v>69263.45</v>
      </c>
      <c r="G80" s="135">
        <v>232058.11</v>
      </c>
    </row>
    <row r="81" spans="1:7" hidden="1">
      <c r="A81" s="135" t="s">
        <v>219</v>
      </c>
      <c r="B81" s="135" t="s">
        <v>227</v>
      </c>
      <c r="C81" s="135" t="s">
        <v>228</v>
      </c>
      <c r="D81" s="135" t="s">
        <v>219</v>
      </c>
      <c r="E81" s="135">
        <v>211.94</v>
      </c>
      <c r="F81" s="135"/>
      <c r="G81" s="135">
        <v>231846.17</v>
      </c>
    </row>
    <row r="82" spans="1:7" hidden="1">
      <c r="A82" s="135" t="s">
        <v>219</v>
      </c>
      <c r="B82" s="135" t="s">
        <v>229</v>
      </c>
      <c r="C82" s="135" t="s">
        <v>230</v>
      </c>
      <c r="D82" s="135" t="s">
        <v>219</v>
      </c>
      <c r="E82" s="135">
        <v>25000</v>
      </c>
      <c r="F82" s="135"/>
      <c r="G82" s="135">
        <v>206846.17</v>
      </c>
    </row>
    <row r="83" spans="1:7" hidden="1">
      <c r="A83" s="135" t="s">
        <v>219</v>
      </c>
      <c r="B83" s="135" t="s">
        <v>231</v>
      </c>
      <c r="C83" s="135" t="s">
        <v>232</v>
      </c>
      <c r="D83" s="135" t="s">
        <v>219</v>
      </c>
      <c r="E83" s="135">
        <v>33984</v>
      </c>
      <c r="F83" s="135"/>
      <c r="G83" s="135">
        <v>172862.17</v>
      </c>
    </row>
    <row r="84" spans="1:7" hidden="1">
      <c r="A84" s="135" t="s">
        <v>219</v>
      </c>
      <c r="B84" s="135" t="s">
        <v>233</v>
      </c>
      <c r="C84" s="135" t="s">
        <v>234</v>
      </c>
      <c r="D84" s="135" t="s">
        <v>219</v>
      </c>
      <c r="E84" s="135"/>
      <c r="F84" s="135">
        <v>22017.22</v>
      </c>
      <c r="G84" s="135">
        <v>194879.39</v>
      </c>
    </row>
    <row r="85" spans="1:7" hidden="1">
      <c r="A85" s="135" t="s">
        <v>235</v>
      </c>
      <c r="B85" s="135" t="s">
        <v>236</v>
      </c>
      <c r="C85" s="135" t="s">
        <v>237</v>
      </c>
      <c r="D85" s="135" t="s">
        <v>235</v>
      </c>
      <c r="E85" s="135"/>
      <c r="F85" s="135">
        <v>30576.54</v>
      </c>
      <c r="G85" s="135">
        <v>225455.93</v>
      </c>
    </row>
    <row r="86" spans="1:7" hidden="1">
      <c r="A86" s="135" t="s">
        <v>235</v>
      </c>
      <c r="B86" s="135" t="s">
        <v>238</v>
      </c>
      <c r="C86" s="135" t="s">
        <v>239</v>
      </c>
      <c r="D86" s="135" t="s">
        <v>235</v>
      </c>
      <c r="E86" s="135"/>
      <c r="F86" s="135">
        <v>24849.71</v>
      </c>
      <c r="G86" s="135">
        <v>250305.64</v>
      </c>
    </row>
    <row r="87" spans="1:7" hidden="1">
      <c r="A87" s="135" t="s">
        <v>235</v>
      </c>
      <c r="B87" s="135" t="s">
        <v>240</v>
      </c>
      <c r="C87" s="135" t="s">
        <v>67</v>
      </c>
      <c r="D87" s="135" t="s">
        <v>235</v>
      </c>
      <c r="E87" s="135"/>
      <c r="F87" s="135">
        <v>1403.68</v>
      </c>
      <c r="G87" s="135">
        <v>251709.32</v>
      </c>
    </row>
    <row r="88" spans="1:7" hidden="1">
      <c r="A88" s="135" t="s">
        <v>235</v>
      </c>
      <c r="B88" s="135" t="s">
        <v>241</v>
      </c>
      <c r="C88" s="135" t="s">
        <v>242</v>
      </c>
      <c r="D88" s="135" t="s">
        <v>235</v>
      </c>
      <c r="E88" s="135">
        <v>16650</v>
      </c>
      <c r="F88" s="135"/>
      <c r="G88" s="135">
        <v>235059.32</v>
      </c>
    </row>
    <row r="89" spans="1:7">
      <c r="A89" s="135" t="s">
        <v>235</v>
      </c>
      <c r="B89" s="135" t="s">
        <v>243</v>
      </c>
      <c r="C89" s="135" t="s">
        <v>244</v>
      </c>
      <c r="D89" s="135" t="s">
        <v>235</v>
      </c>
      <c r="E89" s="135"/>
      <c r="F89" s="135">
        <v>54593.95</v>
      </c>
      <c r="G89" s="135">
        <v>289653.27</v>
      </c>
    </row>
    <row r="90" spans="1:7" hidden="1">
      <c r="A90" s="135" t="s">
        <v>235</v>
      </c>
      <c r="B90" s="135" t="s">
        <v>245</v>
      </c>
      <c r="C90" s="135" t="s">
        <v>246</v>
      </c>
      <c r="D90" s="135" t="s">
        <v>235</v>
      </c>
      <c r="E90" s="135">
        <v>408</v>
      </c>
      <c r="F90" s="135"/>
      <c r="G90" s="135">
        <v>289245.27</v>
      </c>
    </row>
    <row r="91" spans="1:7" hidden="1">
      <c r="A91" s="135" t="s">
        <v>235</v>
      </c>
      <c r="B91" s="135" t="s">
        <v>247</v>
      </c>
      <c r="C91" s="135" t="s">
        <v>248</v>
      </c>
      <c r="D91" s="135" t="s">
        <v>235</v>
      </c>
      <c r="E91" s="135"/>
      <c r="F91" s="135">
        <v>26065.61</v>
      </c>
      <c r="G91" s="135">
        <v>315310.88</v>
      </c>
    </row>
    <row r="92" spans="1:7" hidden="1">
      <c r="A92" s="135" t="s">
        <v>249</v>
      </c>
      <c r="B92" s="135" t="s">
        <v>250</v>
      </c>
      <c r="C92" s="135" t="s">
        <v>251</v>
      </c>
      <c r="D92" s="135" t="s">
        <v>249</v>
      </c>
      <c r="E92" s="135"/>
      <c r="F92" s="135">
        <v>26861.69</v>
      </c>
      <c r="G92" s="135">
        <v>342172.57</v>
      </c>
    </row>
    <row r="93" spans="1:7" hidden="1">
      <c r="A93" s="135" t="s">
        <v>249</v>
      </c>
      <c r="B93" s="135" t="s">
        <v>252</v>
      </c>
      <c r="C93" s="135" t="s">
        <v>67</v>
      </c>
      <c r="D93" s="135" t="s">
        <v>249</v>
      </c>
      <c r="E93" s="135"/>
      <c r="F93" s="135">
        <v>6184.19</v>
      </c>
      <c r="G93" s="135">
        <v>348356.76</v>
      </c>
    </row>
    <row r="94" spans="1:7" hidden="1">
      <c r="A94" s="135" t="s">
        <v>253</v>
      </c>
      <c r="B94" s="135" t="s">
        <v>254</v>
      </c>
      <c r="C94" s="135" t="s">
        <v>255</v>
      </c>
      <c r="D94" s="135" t="s">
        <v>253</v>
      </c>
      <c r="E94" s="135"/>
      <c r="F94" s="135">
        <v>18765.990000000002</v>
      </c>
      <c r="G94" s="135">
        <v>367122.75</v>
      </c>
    </row>
    <row r="95" spans="1:7" hidden="1">
      <c r="A95" s="135" t="s">
        <v>253</v>
      </c>
      <c r="B95" s="135" t="s">
        <v>256</v>
      </c>
      <c r="C95" s="135" t="s">
        <v>67</v>
      </c>
      <c r="D95" s="135" t="s">
        <v>253</v>
      </c>
      <c r="E95" s="135"/>
      <c r="F95" s="135">
        <v>14392.76</v>
      </c>
      <c r="G95" s="135">
        <v>381515.51</v>
      </c>
    </row>
    <row r="96" spans="1:7" hidden="1">
      <c r="A96" s="135" t="s">
        <v>253</v>
      </c>
      <c r="B96" s="135" t="s">
        <v>257</v>
      </c>
      <c r="C96" s="135" t="s">
        <v>258</v>
      </c>
      <c r="D96" s="135" t="s">
        <v>253</v>
      </c>
      <c r="E96" s="135"/>
      <c r="F96" s="135">
        <v>24683.09</v>
      </c>
      <c r="G96" s="135">
        <v>406198.6</v>
      </c>
    </row>
    <row r="97" spans="1:7" hidden="1">
      <c r="A97" s="135" t="s">
        <v>253</v>
      </c>
      <c r="B97" s="135" t="s">
        <v>259</v>
      </c>
      <c r="C97" s="135" t="s">
        <v>260</v>
      </c>
      <c r="D97" s="135" t="s">
        <v>253</v>
      </c>
      <c r="E97" s="135">
        <v>16200</v>
      </c>
      <c r="F97" s="135"/>
      <c r="G97" s="135">
        <v>389998.6</v>
      </c>
    </row>
    <row r="98" spans="1:7" hidden="1">
      <c r="A98" s="135" t="s">
        <v>253</v>
      </c>
      <c r="B98" s="135" t="s">
        <v>261</v>
      </c>
      <c r="C98" s="135" t="s">
        <v>262</v>
      </c>
      <c r="D98" s="135" t="s">
        <v>253</v>
      </c>
      <c r="E98" s="135">
        <v>24000</v>
      </c>
      <c r="F98" s="135"/>
      <c r="G98" s="135">
        <v>365998.6</v>
      </c>
    </row>
    <row r="99" spans="1:7" hidden="1">
      <c r="A99" s="135" t="s">
        <v>263</v>
      </c>
      <c r="B99" s="135" t="s">
        <v>264</v>
      </c>
      <c r="C99" s="135" t="s">
        <v>265</v>
      </c>
      <c r="D99" s="135" t="s">
        <v>263</v>
      </c>
      <c r="E99" s="135"/>
      <c r="F99" s="135">
        <v>25752</v>
      </c>
      <c r="G99" s="135">
        <v>391750.6</v>
      </c>
    </row>
    <row r="100" spans="1:7" hidden="1">
      <c r="A100" s="135" t="s">
        <v>263</v>
      </c>
      <c r="B100" s="135" t="s">
        <v>266</v>
      </c>
      <c r="C100" s="135" t="s">
        <v>67</v>
      </c>
      <c r="D100" s="135" t="s">
        <v>263</v>
      </c>
      <c r="E100" s="135"/>
      <c r="F100" s="135">
        <v>8270.74</v>
      </c>
      <c r="G100" s="135">
        <v>400021.34</v>
      </c>
    </row>
    <row r="101" spans="1:7" hidden="1">
      <c r="A101" s="135" t="s">
        <v>267</v>
      </c>
      <c r="B101" s="135" t="s">
        <v>268</v>
      </c>
      <c r="C101" s="135" t="s">
        <v>269</v>
      </c>
      <c r="D101" s="135" t="s">
        <v>267</v>
      </c>
      <c r="E101" s="135"/>
      <c r="F101" s="135">
        <v>56196.84</v>
      </c>
      <c r="G101" s="135">
        <v>456218.18</v>
      </c>
    </row>
    <row r="102" spans="1:7" hidden="1">
      <c r="A102" s="135" t="s">
        <v>267</v>
      </c>
      <c r="B102" s="135" t="s">
        <v>270</v>
      </c>
      <c r="C102" s="135" t="s">
        <v>271</v>
      </c>
      <c r="D102" s="135" t="s">
        <v>267</v>
      </c>
      <c r="E102" s="135"/>
      <c r="F102" s="135">
        <v>129.18</v>
      </c>
      <c r="G102" s="135">
        <v>456347.36</v>
      </c>
    </row>
    <row r="103" spans="1:7" hidden="1">
      <c r="A103" s="135" t="s">
        <v>267</v>
      </c>
      <c r="B103" s="135" t="s">
        <v>272</v>
      </c>
      <c r="C103" s="135" t="s">
        <v>67</v>
      </c>
      <c r="D103" s="135" t="s">
        <v>267</v>
      </c>
      <c r="E103" s="135"/>
      <c r="F103" s="135">
        <v>12533.1</v>
      </c>
      <c r="G103" s="135">
        <v>468880.46</v>
      </c>
    </row>
    <row r="104" spans="1:7" hidden="1">
      <c r="A104" s="135" t="s">
        <v>273</v>
      </c>
      <c r="B104" s="135" t="s">
        <v>274</v>
      </c>
      <c r="C104" s="135" t="s">
        <v>275</v>
      </c>
      <c r="D104" s="135" t="s">
        <v>273</v>
      </c>
      <c r="E104" s="135"/>
      <c r="F104" s="135">
        <v>56832.39</v>
      </c>
      <c r="G104" s="135">
        <v>525712.85</v>
      </c>
    </row>
    <row r="105" spans="1:7" hidden="1">
      <c r="A105" s="135" t="s">
        <v>273</v>
      </c>
      <c r="B105" s="135" t="s">
        <v>276</v>
      </c>
      <c r="C105" s="135" t="s">
        <v>277</v>
      </c>
      <c r="D105" s="135" t="s">
        <v>273</v>
      </c>
      <c r="E105" s="135"/>
      <c r="F105" s="135">
        <v>342.18</v>
      </c>
      <c r="G105" s="135">
        <v>526055.03</v>
      </c>
    </row>
    <row r="106" spans="1:7" hidden="1">
      <c r="A106" s="135" t="s">
        <v>273</v>
      </c>
      <c r="B106" s="135" t="s">
        <v>278</v>
      </c>
      <c r="C106" s="135" t="s">
        <v>279</v>
      </c>
      <c r="D106" s="135" t="s">
        <v>273</v>
      </c>
      <c r="E106" s="135"/>
      <c r="F106" s="135">
        <v>2527.06</v>
      </c>
      <c r="G106" s="135">
        <v>528582.09</v>
      </c>
    </row>
    <row r="107" spans="1:7" hidden="1">
      <c r="A107" s="135" t="s">
        <v>273</v>
      </c>
      <c r="B107" s="135" t="s">
        <v>280</v>
      </c>
      <c r="C107" s="135" t="s">
        <v>67</v>
      </c>
      <c r="D107" s="135" t="s">
        <v>273</v>
      </c>
      <c r="E107" s="135"/>
      <c r="F107" s="135">
        <v>21406.83</v>
      </c>
      <c r="G107" s="135">
        <v>549988.92000000004</v>
      </c>
    </row>
    <row r="108" spans="1:7" hidden="1">
      <c r="A108" s="135" t="s">
        <v>273</v>
      </c>
      <c r="B108" s="135" t="s">
        <v>281</v>
      </c>
      <c r="C108" s="135" t="s">
        <v>282</v>
      </c>
      <c r="D108" s="135" t="s">
        <v>273</v>
      </c>
      <c r="E108" s="135">
        <v>30000</v>
      </c>
      <c r="F108" s="135"/>
      <c r="G108" s="135">
        <v>519988.92</v>
      </c>
    </row>
    <row r="109" spans="1:7">
      <c r="A109" s="135" t="s">
        <v>273</v>
      </c>
      <c r="B109" s="135" t="s">
        <v>283</v>
      </c>
      <c r="C109" s="135" t="s">
        <v>284</v>
      </c>
      <c r="D109" s="135" t="s">
        <v>273</v>
      </c>
      <c r="E109" s="135"/>
      <c r="F109" s="135">
        <v>59058.55</v>
      </c>
      <c r="G109" s="135">
        <v>579047.47</v>
      </c>
    </row>
    <row r="110" spans="1:7" hidden="1">
      <c r="A110" s="135" t="s">
        <v>285</v>
      </c>
      <c r="B110" s="135" t="s">
        <v>286</v>
      </c>
      <c r="C110" s="135" t="s">
        <v>287</v>
      </c>
      <c r="D110" s="135" t="s">
        <v>285</v>
      </c>
      <c r="E110" s="135"/>
      <c r="F110" s="135">
        <v>33780.11</v>
      </c>
      <c r="G110" s="135">
        <v>612827.57999999996</v>
      </c>
    </row>
    <row r="111" spans="1:7" hidden="1">
      <c r="A111" s="135" t="s">
        <v>285</v>
      </c>
      <c r="B111" s="135" t="s">
        <v>288</v>
      </c>
      <c r="C111" s="135" t="s">
        <v>289</v>
      </c>
      <c r="D111" s="135" t="s">
        <v>285</v>
      </c>
      <c r="E111" s="135"/>
      <c r="F111" s="135">
        <v>220</v>
      </c>
      <c r="G111" s="135">
        <v>613047.57999999996</v>
      </c>
    </row>
    <row r="112" spans="1:7" hidden="1">
      <c r="A112" s="135" t="s">
        <v>285</v>
      </c>
      <c r="B112" s="135" t="s">
        <v>290</v>
      </c>
      <c r="C112" s="135" t="s">
        <v>67</v>
      </c>
      <c r="D112" s="135" t="s">
        <v>285</v>
      </c>
      <c r="E112" s="135"/>
      <c r="F112" s="135">
        <v>7579.68</v>
      </c>
      <c r="G112" s="135">
        <v>620627.26</v>
      </c>
    </row>
    <row r="113" spans="1:7" hidden="1">
      <c r="A113" s="135" t="s">
        <v>285</v>
      </c>
      <c r="B113" s="135" t="s">
        <v>291</v>
      </c>
      <c r="C113" s="135" t="s">
        <v>292</v>
      </c>
      <c r="D113" s="135" t="s">
        <v>285</v>
      </c>
      <c r="E113" s="135">
        <v>3570</v>
      </c>
      <c r="F113" s="135"/>
      <c r="G113" s="135">
        <v>617057.26</v>
      </c>
    </row>
    <row r="114" spans="1:7" hidden="1">
      <c r="A114" s="135" t="s">
        <v>285</v>
      </c>
      <c r="B114" s="135" t="s">
        <v>293</v>
      </c>
      <c r="C114" s="135" t="s">
        <v>294</v>
      </c>
      <c r="D114" s="135" t="s">
        <v>285</v>
      </c>
      <c r="E114" s="135">
        <v>38330</v>
      </c>
      <c r="F114" s="135"/>
      <c r="G114" s="135">
        <v>578727.26</v>
      </c>
    </row>
    <row r="115" spans="1:7" hidden="1">
      <c r="A115" s="135" t="s">
        <v>285</v>
      </c>
      <c r="B115" s="135" t="s">
        <v>295</v>
      </c>
      <c r="C115" s="135" t="s">
        <v>296</v>
      </c>
      <c r="D115" s="135" t="s">
        <v>285</v>
      </c>
      <c r="E115" s="135">
        <v>2000</v>
      </c>
      <c r="F115" s="135"/>
      <c r="G115" s="135">
        <v>576727.26</v>
      </c>
    </row>
    <row r="116" spans="1:7" hidden="1">
      <c r="A116" s="135" t="s">
        <v>285</v>
      </c>
      <c r="B116" s="135" t="s">
        <v>297</v>
      </c>
      <c r="C116" s="135" t="s">
        <v>298</v>
      </c>
      <c r="D116" s="135" t="s">
        <v>285</v>
      </c>
      <c r="E116" s="135"/>
      <c r="F116" s="135">
        <v>55234.75</v>
      </c>
      <c r="G116" s="135">
        <v>631962.01</v>
      </c>
    </row>
    <row r="117" spans="1:7" hidden="1">
      <c r="A117" s="135" t="s">
        <v>285</v>
      </c>
      <c r="B117" s="135" t="s">
        <v>299</v>
      </c>
      <c r="C117" s="135" t="s">
        <v>300</v>
      </c>
      <c r="D117" s="135" t="s">
        <v>285</v>
      </c>
      <c r="E117" s="135">
        <v>37000</v>
      </c>
      <c r="F117" s="135"/>
      <c r="G117" s="135">
        <v>594962.01</v>
      </c>
    </row>
    <row r="118" spans="1:7" hidden="1">
      <c r="A118" s="135" t="s">
        <v>301</v>
      </c>
      <c r="B118" s="135" t="s">
        <v>302</v>
      </c>
      <c r="C118" s="135" t="s">
        <v>303</v>
      </c>
      <c r="D118" s="135" t="s">
        <v>301</v>
      </c>
      <c r="E118" s="135"/>
      <c r="F118" s="135">
        <v>39105.07</v>
      </c>
      <c r="G118" s="135">
        <v>634067.07999999996</v>
      </c>
    </row>
    <row r="119" spans="1:7" hidden="1">
      <c r="A119" s="135" t="s">
        <v>301</v>
      </c>
      <c r="B119" s="135" t="s">
        <v>304</v>
      </c>
      <c r="C119" s="135" t="s">
        <v>305</v>
      </c>
      <c r="D119" s="135" t="s">
        <v>301</v>
      </c>
      <c r="E119" s="135"/>
      <c r="F119" s="135">
        <v>1743.24</v>
      </c>
      <c r="G119" s="135">
        <v>635810.31999999995</v>
      </c>
    </row>
    <row r="120" spans="1:7" hidden="1">
      <c r="A120" s="135" t="s">
        <v>301</v>
      </c>
      <c r="B120" s="135" t="s">
        <v>306</v>
      </c>
      <c r="C120" s="135" t="s">
        <v>67</v>
      </c>
      <c r="D120" s="135" t="s">
        <v>301</v>
      </c>
      <c r="E120" s="135"/>
      <c r="F120" s="135">
        <v>3966.01</v>
      </c>
      <c r="G120" s="135">
        <v>639776.32999999996</v>
      </c>
    </row>
    <row r="121" spans="1:7" hidden="1">
      <c r="A121" s="135" t="s">
        <v>301</v>
      </c>
      <c r="B121" s="135" t="s">
        <v>307</v>
      </c>
      <c r="C121" s="135" t="s">
        <v>308</v>
      </c>
      <c r="D121" s="135" t="s">
        <v>301</v>
      </c>
      <c r="E121" s="135"/>
      <c r="F121" s="135">
        <v>27200.41</v>
      </c>
      <c r="G121" s="135">
        <v>666976.74</v>
      </c>
    </row>
    <row r="122" spans="1:7">
      <c r="A122" s="135" t="s">
        <v>301</v>
      </c>
      <c r="B122" s="135" t="s">
        <v>309</v>
      </c>
      <c r="C122" s="135" t="s">
        <v>310</v>
      </c>
      <c r="D122" s="135" t="s">
        <v>301</v>
      </c>
      <c r="E122" s="135"/>
      <c r="F122" s="135">
        <v>41686.89</v>
      </c>
      <c r="G122" s="135">
        <v>708663.63</v>
      </c>
    </row>
    <row r="123" spans="1:7" hidden="1">
      <c r="A123" s="135" t="s">
        <v>301</v>
      </c>
      <c r="B123" s="135" t="s">
        <v>311</v>
      </c>
      <c r="C123" s="135" t="s">
        <v>312</v>
      </c>
      <c r="D123" s="135" t="s">
        <v>301</v>
      </c>
      <c r="E123" s="135">
        <v>25000</v>
      </c>
      <c r="F123" s="135"/>
      <c r="G123" s="135">
        <v>683663.63</v>
      </c>
    </row>
    <row r="124" spans="1:7" hidden="1">
      <c r="A124" s="135" t="s">
        <v>313</v>
      </c>
      <c r="B124" s="135" t="s">
        <v>314</v>
      </c>
      <c r="C124" s="135" t="s">
        <v>315</v>
      </c>
      <c r="D124" s="135" t="s">
        <v>313</v>
      </c>
      <c r="E124" s="135"/>
      <c r="F124" s="135">
        <v>38836.81</v>
      </c>
      <c r="G124" s="135">
        <v>722500.44</v>
      </c>
    </row>
    <row r="125" spans="1:7" hidden="1">
      <c r="A125" s="135" t="s">
        <v>313</v>
      </c>
      <c r="B125" s="135" t="s">
        <v>316</v>
      </c>
      <c r="C125" s="135" t="s">
        <v>317</v>
      </c>
      <c r="D125" s="135" t="s">
        <v>313</v>
      </c>
      <c r="E125" s="135"/>
      <c r="F125" s="135">
        <v>110</v>
      </c>
      <c r="G125" s="135">
        <v>722610.44</v>
      </c>
    </row>
    <row r="126" spans="1:7" hidden="1">
      <c r="A126" s="135" t="s">
        <v>313</v>
      </c>
      <c r="B126" s="135" t="s">
        <v>318</v>
      </c>
      <c r="C126" s="135" t="s">
        <v>319</v>
      </c>
      <c r="D126" s="135" t="s">
        <v>313</v>
      </c>
      <c r="E126" s="135"/>
      <c r="F126" s="135">
        <v>6198.83</v>
      </c>
      <c r="G126" s="135">
        <v>728809.27</v>
      </c>
    </row>
    <row r="127" spans="1:7" hidden="1">
      <c r="A127" s="135" t="s">
        <v>313</v>
      </c>
      <c r="B127" s="135" t="s">
        <v>320</v>
      </c>
      <c r="C127" s="135" t="s">
        <v>67</v>
      </c>
      <c r="D127" s="135" t="s">
        <v>313</v>
      </c>
      <c r="E127" s="135"/>
      <c r="F127" s="135">
        <v>14447.72</v>
      </c>
      <c r="G127" s="135">
        <v>743256.99</v>
      </c>
    </row>
    <row r="128" spans="1:7" hidden="1">
      <c r="A128" s="135" t="s">
        <v>313</v>
      </c>
      <c r="B128" s="135" t="s">
        <v>321</v>
      </c>
      <c r="C128" s="135" t="s">
        <v>322</v>
      </c>
      <c r="D128" s="135" t="s">
        <v>313</v>
      </c>
      <c r="E128" s="135">
        <v>1298</v>
      </c>
      <c r="F128" s="135"/>
      <c r="G128" s="135">
        <v>741958.99</v>
      </c>
    </row>
    <row r="129" spans="1:7" hidden="1">
      <c r="A129" s="135" t="s">
        <v>313</v>
      </c>
      <c r="B129" s="135" t="s">
        <v>323</v>
      </c>
      <c r="C129" s="135" t="s">
        <v>324</v>
      </c>
      <c r="D129" s="135" t="s">
        <v>313</v>
      </c>
      <c r="E129" s="135">
        <v>7487</v>
      </c>
      <c r="F129" s="135"/>
      <c r="G129" s="135">
        <v>734471.99</v>
      </c>
    </row>
    <row r="130" spans="1:7" hidden="1">
      <c r="A130" s="135" t="s">
        <v>313</v>
      </c>
      <c r="B130" s="135" t="s">
        <v>325</v>
      </c>
      <c r="C130" s="135" t="s">
        <v>326</v>
      </c>
      <c r="D130" s="135" t="s">
        <v>313</v>
      </c>
      <c r="E130" s="135">
        <v>200000</v>
      </c>
      <c r="F130" s="135"/>
      <c r="G130" s="135">
        <v>534471.99</v>
      </c>
    </row>
    <row r="131" spans="1:7" hidden="1">
      <c r="A131" s="135" t="s">
        <v>313</v>
      </c>
      <c r="B131" s="135" t="s">
        <v>327</v>
      </c>
      <c r="C131" s="135" t="s">
        <v>328</v>
      </c>
      <c r="D131" s="135" t="s">
        <v>313</v>
      </c>
      <c r="E131" s="135"/>
      <c r="F131" s="135">
        <v>50000</v>
      </c>
      <c r="G131" s="135">
        <v>584471.99</v>
      </c>
    </row>
    <row r="132" spans="1:7" hidden="1">
      <c r="A132" s="135" t="s">
        <v>313</v>
      </c>
      <c r="B132" s="135" t="s">
        <v>78</v>
      </c>
      <c r="C132" s="135" t="s">
        <v>329</v>
      </c>
      <c r="D132" s="135" t="s">
        <v>313</v>
      </c>
      <c r="E132" s="135">
        <v>562427</v>
      </c>
      <c r="F132" s="135"/>
      <c r="G132" s="135">
        <v>22044.99</v>
      </c>
    </row>
    <row r="133" spans="1:7" hidden="1">
      <c r="A133" s="135" t="s">
        <v>313</v>
      </c>
      <c r="B133" s="135" t="s">
        <v>330</v>
      </c>
      <c r="C133" s="135" t="s">
        <v>331</v>
      </c>
      <c r="D133" s="135" t="s">
        <v>313</v>
      </c>
      <c r="E133" s="135"/>
      <c r="F133" s="135">
        <v>1924</v>
      </c>
      <c r="G133" s="135">
        <v>23968.99</v>
      </c>
    </row>
    <row r="134" spans="1:7" hidden="1">
      <c r="A134" s="135" t="s">
        <v>313</v>
      </c>
      <c r="B134" s="135" t="s">
        <v>332</v>
      </c>
      <c r="C134" s="135" t="s">
        <v>333</v>
      </c>
      <c r="D134" s="135" t="s">
        <v>313</v>
      </c>
      <c r="E134" s="135"/>
      <c r="F134" s="135">
        <v>7021</v>
      </c>
      <c r="G134" s="135">
        <v>30989.99</v>
      </c>
    </row>
    <row r="135" spans="1:7" hidden="1">
      <c r="A135" s="135" t="s">
        <v>334</v>
      </c>
      <c r="B135" s="135" t="s">
        <v>335</v>
      </c>
      <c r="C135" s="135" t="s">
        <v>336</v>
      </c>
      <c r="D135" s="135" t="s">
        <v>334</v>
      </c>
      <c r="E135" s="135"/>
      <c r="F135" s="135">
        <v>19480</v>
      </c>
      <c r="G135" s="135">
        <v>50469.99</v>
      </c>
    </row>
    <row r="136" spans="1:7" hidden="1">
      <c r="A136" s="135" t="s">
        <v>334</v>
      </c>
      <c r="B136" s="135" t="s">
        <v>337</v>
      </c>
      <c r="C136" s="135" t="s">
        <v>67</v>
      </c>
      <c r="D136" s="135" t="s">
        <v>334</v>
      </c>
      <c r="E136" s="135"/>
      <c r="F136" s="135">
        <v>1323.06</v>
      </c>
      <c r="G136" s="135">
        <v>51793.05</v>
      </c>
    </row>
    <row r="137" spans="1:7" hidden="1">
      <c r="A137" s="135" t="s">
        <v>334</v>
      </c>
      <c r="B137" s="135" t="s">
        <v>338</v>
      </c>
      <c r="C137" s="135" t="s">
        <v>339</v>
      </c>
      <c r="D137" s="135" t="s">
        <v>334</v>
      </c>
      <c r="E137" s="135"/>
      <c r="F137" s="135">
        <v>32984.19</v>
      </c>
      <c r="G137" s="135">
        <v>84777.24</v>
      </c>
    </row>
    <row r="138" spans="1:7" hidden="1">
      <c r="A138" s="135" t="s">
        <v>334</v>
      </c>
      <c r="B138" s="135" t="s">
        <v>340</v>
      </c>
      <c r="C138" s="135" t="s">
        <v>341</v>
      </c>
      <c r="D138" s="135" t="s">
        <v>334</v>
      </c>
      <c r="E138" s="135">
        <v>3000</v>
      </c>
      <c r="F138" s="135"/>
      <c r="G138" s="135">
        <v>81777.240000000005</v>
      </c>
    </row>
    <row r="139" spans="1:7" hidden="1">
      <c r="A139" s="135" t="s">
        <v>342</v>
      </c>
      <c r="B139" s="135" t="s">
        <v>343</v>
      </c>
      <c r="C139" s="135" t="s">
        <v>344</v>
      </c>
      <c r="D139" s="135" t="s">
        <v>342</v>
      </c>
      <c r="E139" s="135"/>
      <c r="F139" s="135">
        <v>36652.21</v>
      </c>
      <c r="G139" s="135">
        <v>118429.45</v>
      </c>
    </row>
    <row r="140" spans="1:7" hidden="1">
      <c r="A140" s="135" t="s">
        <v>342</v>
      </c>
      <c r="B140" s="135" t="s">
        <v>345</v>
      </c>
      <c r="C140" s="135" t="s">
        <v>346</v>
      </c>
      <c r="D140" s="135" t="s">
        <v>342</v>
      </c>
      <c r="E140" s="135"/>
      <c r="F140" s="135">
        <v>220</v>
      </c>
      <c r="G140" s="135">
        <v>118649.45</v>
      </c>
    </row>
    <row r="141" spans="1:7" hidden="1">
      <c r="A141" s="135" t="s">
        <v>347</v>
      </c>
      <c r="B141" s="135" t="s">
        <v>348</v>
      </c>
      <c r="C141" s="135" t="s">
        <v>349</v>
      </c>
      <c r="D141" s="135" t="s">
        <v>347</v>
      </c>
      <c r="E141" s="135"/>
      <c r="F141" s="135">
        <v>49021.23</v>
      </c>
      <c r="G141" s="135">
        <v>167670.68</v>
      </c>
    </row>
    <row r="142" spans="1:7" hidden="1">
      <c r="A142" s="135" t="s">
        <v>347</v>
      </c>
      <c r="B142" s="135" t="s">
        <v>350</v>
      </c>
      <c r="C142" s="135" t="s">
        <v>351</v>
      </c>
      <c r="D142" s="135" t="s">
        <v>347</v>
      </c>
      <c r="E142" s="135"/>
      <c r="F142" s="135">
        <v>110</v>
      </c>
      <c r="G142" s="135">
        <v>167780.68</v>
      </c>
    </row>
    <row r="143" spans="1:7" hidden="1">
      <c r="A143" s="135" t="s">
        <v>347</v>
      </c>
      <c r="B143" s="135" t="s">
        <v>352</v>
      </c>
      <c r="C143" s="135" t="s">
        <v>67</v>
      </c>
      <c r="D143" s="135" t="s">
        <v>347</v>
      </c>
      <c r="E143" s="135"/>
      <c r="F143" s="135">
        <v>23146.27</v>
      </c>
      <c r="G143" s="135">
        <v>190926.95</v>
      </c>
    </row>
    <row r="144" spans="1:7" hidden="1">
      <c r="A144" s="135" t="s">
        <v>347</v>
      </c>
      <c r="B144" s="135" t="s">
        <v>353</v>
      </c>
      <c r="C144" s="135" t="s">
        <v>354</v>
      </c>
      <c r="D144" s="135" t="s">
        <v>347</v>
      </c>
      <c r="E144" s="135">
        <v>117500</v>
      </c>
      <c r="F144" s="135"/>
      <c r="G144" s="135">
        <v>73426.95</v>
      </c>
    </row>
    <row r="145" spans="1:7" hidden="1">
      <c r="A145" s="135" t="s">
        <v>347</v>
      </c>
      <c r="B145" s="135" t="s">
        <v>355</v>
      </c>
      <c r="C145" s="135" t="s">
        <v>356</v>
      </c>
      <c r="D145" s="135" t="s">
        <v>347</v>
      </c>
      <c r="E145" s="135">
        <v>12751</v>
      </c>
      <c r="F145" s="135"/>
      <c r="G145" s="135">
        <v>60675.95</v>
      </c>
    </row>
    <row r="146" spans="1:7" hidden="1">
      <c r="A146" s="135" t="s">
        <v>347</v>
      </c>
      <c r="B146" s="135" t="s">
        <v>357</v>
      </c>
      <c r="C146" s="135" t="s">
        <v>358</v>
      </c>
      <c r="D146" s="135" t="s">
        <v>347</v>
      </c>
      <c r="E146" s="135">
        <v>8000</v>
      </c>
      <c r="F146" s="135"/>
      <c r="G146" s="135">
        <v>52675.95</v>
      </c>
    </row>
    <row r="147" spans="1:7" hidden="1">
      <c r="A147" s="135" t="s">
        <v>359</v>
      </c>
      <c r="B147" s="135" t="s">
        <v>360</v>
      </c>
      <c r="C147" s="135" t="s">
        <v>361</v>
      </c>
      <c r="D147" s="135" t="s">
        <v>359</v>
      </c>
      <c r="E147" s="135"/>
      <c r="F147" s="135">
        <v>63344.01</v>
      </c>
      <c r="G147" s="135">
        <v>116019.96</v>
      </c>
    </row>
    <row r="148" spans="1:7" hidden="1">
      <c r="A148" s="135" t="s">
        <v>359</v>
      </c>
      <c r="B148" s="135" t="s">
        <v>362</v>
      </c>
      <c r="C148" s="135" t="s">
        <v>363</v>
      </c>
      <c r="D148" s="135" t="s">
        <v>359</v>
      </c>
      <c r="E148" s="135"/>
      <c r="F148" s="135">
        <v>330</v>
      </c>
      <c r="G148" s="135">
        <v>116349.96</v>
      </c>
    </row>
    <row r="149" spans="1:7" hidden="1">
      <c r="A149" s="135" t="s">
        <v>359</v>
      </c>
      <c r="B149" s="135" t="s">
        <v>364</v>
      </c>
      <c r="C149" s="135" t="s">
        <v>67</v>
      </c>
      <c r="D149" s="135" t="s">
        <v>359</v>
      </c>
      <c r="E149" s="135"/>
      <c r="F149" s="135">
        <v>14880.3</v>
      </c>
      <c r="G149" s="135">
        <v>131230.26</v>
      </c>
    </row>
    <row r="150" spans="1:7" hidden="1">
      <c r="A150" s="135" t="s">
        <v>359</v>
      </c>
      <c r="B150" s="135" t="s">
        <v>365</v>
      </c>
      <c r="C150" s="135" t="s">
        <v>366</v>
      </c>
      <c r="D150" s="135" t="s">
        <v>359</v>
      </c>
      <c r="E150" s="135">
        <v>10318</v>
      </c>
      <c r="F150" s="135"/>
      <c r="G150" s="135">
        <v>120912.26</v>
      </c>
    </row>
    <row r="151" spans="1:7">
      <c r="A151" s="135" t="s">
        <v>359</v>
      </c>
      <c r="B151" s="135" t="s">
        <v>367</v>
      </c>
      <c r="C151" s="135" t="s">
        <v>368</v>
      </c>
      <c r="D151" s="135" t="s">
        <v>359</v>
      </c>
      <c r="E151" s="135"/>
      <c r="F151" s="135">
        <v>65157.11</v>
      </c>
      <c r="G151" s="135">
        <v>186069.37</v>
      </c>
    </row>
    <row r="152" spans="1:7" hidden="1">
      <c r="A152" s="135" t="s">
        <v>359</v>
      </c>
      <c r="B152" s="135" t="s">
        <v>369</v>
      </c>
      <c r="C152" s="135" t="s">
        <v>370</v>
      </c>
      <c r="D152" s="135" t="s">
        <v>359</v>
      </c>
      <c r="E152" s="135">
        <v>17591</v>
      </c>
      <c r="F152" s="135"/>
      <c r="G152" s="135">
        <v>168478.37</v>
      </c>
    </row>
    <row r="153" spans="1:7" hidden="1">
      <c r="A153" s="135" t="s">
        <v>371</v>
      </c>
      <c r="B153" s="135" t="s">
        <v>372</v>
      </c>
      <c r="C153" s="135" t="s">
        <v>373</v>
      </c>
      <c r="D153" s="135" t="s">
        <v>371</v>
      </c>
      <c r="E153" s="135"/>
      <c r="F153" s="135">
        <v>23074.76</v>
      </c>
      <c r="G153" s="135">
        <v>191553.13</v>
      </c>
    </row>
    <row r="154" spans="1:7" hidden="1">
      <c r="A154" s="135" t="s">
        <v>371</v>
      </c>
      <c r="B154" s="135" t="s">
        <v>374</v>
      </c>
      <c r="C154" s="135" t="s">
        <v>67</v>
      </c>
      <c r="D154" s="135" t="s">
        <v>371</v>
      </c>
      <c r="E154" s="135"/>
      <c r="F154" s="135">
        <v>11638.87</v>
      </c>
      <c r="G154" s="135">
        <v>203192</v>
      </c>
    </row>
    <row r="155" spans="1:7" hidden="1">
      <c r="A155" s="135" t="s">
        <v>371</v>
      </c>
      <c r="B155" s="135" t="s">
        <v>375</v>
      </c>
      <c r="C155" s="135" t="s">
        <v>376</v>
      </c>
      <c r="D155" s="135" t="s">
        <v>371</v>
      </c>
      <c r="E155" s="135">
        <v>3570</v>
      </c>
      <c r="F155" s="135"/>
      <c r="G155" s="135">
        <v>199622</v>
      </c>
    </row>
    <row r="156" spans="1:7" hidden="1">
      <c r="A156" s="135" t="s">
        <v>371</v>
      </c>
      <c r="B156" s="135" t="s">
        <v>377</v>
      </c>
      <c r="C156" s="135" t="s">
        <v>378</v>
      </c>
      <c r="D156" s="135" t="s">
        <v>371</v>
      </c>
      <c r="E156" s="135"/>
      <c r="F156" s="135">
        <v>58109.58</v>
      </c>
      <c r="G156" s="135">
        <v>257731.58</v>
      </c>
    </row>
    <row r="157" spans="1:7" hidden="1">
      <c r="A157" s="135" t="s">
        <v>379</v>
      </c>
      <c r="B157" s="135" t="s">
        <v>380</v>
      </c>
      <c r="C157" s="135" t="s">
        <v>381</v>
      </c>
      <c r="D157" s="135" t="s">
        <v>379</v>
      </c>
      <c r="E157" s="135">
        <v>4718.82</v>
      </c>
      <c r="F157" s="135"/>
      <c r="G157" s="135">
        <v>253012.76</v>
      </c>
    </row>
    <row r="158" spans="1:7" hidden="1">
      <c r="A158" s="135" t="s">
        <v>379</v>
      </c>
      <c r="B158" s="135" t="s">
        <v>382</v>
      </c>
      <c r="C158" s="135" t="s">
        <v>383</v>
      </c>
      <c r="D158" s="135" t="s">
        <v>379</v>
      </c>
      <c r="E158" s="135"/>
      <c r="F158" s="135">
        <v>20033.91</v>
      </c>
      <c r="G158" s="135">
        <v>273046.67</v>
      </c>
    </row>
    <row r="159" spans="1:7" hidden="1">
      <c r="A159" s="135" t="s">
        <v>379</v>
      </c>
      <c r="B159" s="135" t="s">
        <v>384</v>
      </c>
      <c r="C159" s="135" t="s">
        <v>385</v>
      </c>
      <c r="D159" s="135" t="s">
        <v>379</v>
      </c>
      <c r="E159" s="135"/>
      <c r="F159" s="135">
        <v>286</v>
      </c>
      <c r="G159" s="135">
        <v>273332.67</v>
      </c>
    </row>
    <row r="160" spans="1:7" hidden="1">
      <c r="A160" s="135" t="s">
        <v>379</v>
      </c>
      <c r="B160" s="135" t="s">
        <v>386</v>
      </c>
      <c r="C160" s="135" t="s">
        <v>67</v>
      </c>
      <c r="D160" s="135" t="s">
        <v>379</v>
      </c>
      <c r="E160" s="135"/>
      <c r="F160" s="135">
        <v>5616.99</v>
      </c>
      <c r="G160" s="135">
        <v>278949.65999999997</v>
      </c>
    </row>
    <row r="161" spans="1:7" hidden="1">
      <c r="A161" s="135" t="s">
        <v>379</v>
      </c>
      <c r="B161" s="135" t="s">
        <v>387</v>
      </c>
      <c r="C161" s="135" t="s">
        <v>388</v>
      </c>
      <c r="D161" s="135" t="s">
        <v>379</v>
      </c>
      <c r="E161" s="135">
        <v>2500</v>
      </c>
      <c r="F161" s="135"/>
      <c r="G161" s="135">
        <v>276449.65999999997</v>
      </c>
    </row>
    <row r="162" spans="1:7" hidden="1">
      <c r="A162" s="135" t="s">
        <v>379</v>
      </c>
      <c r="B162" s="135" t="s">
        <v>389</v>
      </c>
      <c r="C162" s="135" t="s">
        <v>390</v>
      </c>
      <c r="D162" s="135" t="s">
        <v>379</v>
      </c>
      <c r="E162" s="135">
        <v>5460</v>
      </c>
      <c r="F162" s="135"/>
      <c r="G162" s="135">
        <v>270989.65999999997</v>
      </c>
    </row>
    <row r="163" spans="1:7" hidden="1">
      <c r="A163" s="135" t="s">
        <v>379</v>
      </c>
      <c r="B163" s="135" t="s">
        <v>391</v>
      </c>
      <c r="C163" s="135" t="s">
        <v>392</v>
      </c>
      <c r="D163" s="135" t="s">
        <v>379</v>
      </c>
      <c r="E163" s="135"/>
      <c r="F163" s="135">
        <v>36388.42</v>
      </c>
      <c r="G163" s="135">
        <v>307378.08</v>
      </c>
    </row>
    <row r="164" spans="1:7">
      <c r="A164" s="135" t="s">
        <v>379</v>
      </c>
      <c r="B164" s="135" t="s">
        <v>393</v>
      </c>
      <c r="C164" s="135" t="s">
        <v>394</v>
      </c>
      <c r="D164" s="135" t="s">
        <v>379</v>
      </c>
      <c r="E164" s="135"/>
      <c r="F164" s="135">
        <v>65058.96</v>
      </c>
      <c r="G164" s="135">
        <v>372437.04</v>
      </c>
    </row>
    <row r="165" spans="1:7" hidden="1">
      <c r="A165" s="135" t="s">
        <v>395</v>
      </c>
      <c r="B165" s="135" t="s">
        <v>396</v>
      </c>
      <c r="C165" s="135" t="s">
        <v>397</v>
      </c>
      <c r="D165" s="135" t="s">
        <v>395</v>
      </c>
      <c r="E165" s="135"/>
      <c r="F165" s="135">
        <v>18326</v>
      </c>
      <c r="G165" s="135">
        <v>390763.04</v>
      </c>
    </row>
    <row r="166" spans="1:7" hidden="1">
      <c r="A166" s="135" t="s">
        <v>395</v>
      </c>
      <c r="B166" s="135" t="s">
        <v>398</v>
      </c>
      <c r="C166" s="135" t="s">
        <v>399</v>
      </c>
      <c r="D166" s="135" t="s">
        <v>395</v>
      </c>
      <c r="E166" s="135"/>
      <c r="F166" s="135">
        <v>110</v>
      </c>
      <c r="G166" s="135">
        <v>390873.04</v>
      </c>
    </row>
    <row r="167" spans="1:7" hidden="1">
      <c r="A167" s="135" t="s">
        <v>395</v>
      </c>
      <c r="B167" s="135" t="s">
        <v>400</v>
      </c>
      <c r="C167" s="135" t="s">
        <v>67</v>
      </c>
      <c r="D167" s="135" t="s">
        <v>395</v>
      </c>
      <c r="E167" s="135"/>
      <c r="F167" s="135">
        <v>9881.7099999999991</v>
      </c>
      <c r="G167" s="135">
        <v>400754.75</v>
      </c>
    </row>
    <row r="168" spans="1:7" hidden="1">
      <c r="A168" s="135" t="s">
        <v>395</v>
      </c>
      <c r="B168" s="135" t="s">
        <v>401</v>
      </c>
      <c r="C168" s="135" t="s">
        <v>402</v>
      </c>
      <c r="D168" s="135" t="s">
        <v>395</v>
      </c>
      <c r="E168" s="135">
        <v>2000</v>
      </c>
      <c r="F168" s="135"/>
      <c r="G168" s="135">
        <v>398754.75</v>
      </c>
    </row>
    <row r="169" spans="1:7" hidden="1">
      <c r="A169" s="135" t="s">
        <v>395</v>
      </c>
      <c r="B169" s="135" t="s">
        <v>403</v>
      </c>
      <c r="C169" s="135" t="s">
        <v>404</v>
      </c>
      <c r="D169" s="135" t="s">
        <v>395</v>
      </c>
      <c r="E169" s="135">
        <v>100</v>
      </c>
      <c r="F169" s="135"/>
      <c r="G169" s="135">
        <v>398654.75</v>
      </c>
    </row>
    <row r="170" spans="1:7" hidden="1">
      <c r="A170" s="135" t="s">
        <v>395</v>
      </c>
      <c r="B170" s="135" t="s">
        <v>405</v>
      </c>
      <c r="C170" s="135" t="s">
        <v>406</v>
      </c>
      <c r="D170" s="135" t="s">
        <v>395</v>
      </c>
      <c r="E170" s="135">
        <v>150788</v>
      </c>
      <c r="F170" s="135"/>
      <c r="G170" s="135">
        <v>247866.75</v>
      </c>
    </row>
    <row r="171" spans="1:7" hidden="1">
      <c r="A171" s="135" t="s">
        <v>395</v>
      </c>
      <c r="B171" s="135" t="s">
        <v>407</v>
      </c>
      <c r="C171" s="135" t="s">
        <v>408</v>
      </c>
      <c r="D171" s="135" t="s">
        <v>395</v>
      </c>
      <c r="E171" s="135">
        <v>71380</v>
      </c>
      <c r="F171" s="135"/>
      <c r="G171" s="135">
        <v>176486.75</v>
      </c>
    </row>
    <row r="172" spans="1:7" hidden="1">
      <c r="A172" s="135" t="s">
        <v>409</v>
      </c>
      <c r="B172" s="135" t="s">
        <v>410</v>
      </c>
      <c r="C172" s="135" t="s">
        <v>411</v>
      </c>
      <c r="D172" s="135" t="s">
        <v>409</v>
      </c>
      <c r="E172" s="135"/>
      <c r="F172" s="135">
        <v>32765.24</v>
      </c>
      <c r="G172" s="135">
        <v>209251.99</v>
      </c>
    </row>
    <row r="173" spans="1:7" hidden="1">
      <c r="A173" s="135" t="s">
        <v>409</v>
      </c>
      <c r="B173" s="135" t="s">
        <v>412</v>
      </c>
      <c r="C173" s="135" t="s">
        <v>67</v>
      </c>
      <c r="D173" s="135" t="s">
        <v>409</v>
      </c>
      <c r="E173" s="135"/>
      <c r="F173" s="135">
        <v>8133.02</v>
      </c>
      <c r="G173" s="135">
        <v>217385.01</v>
      </c>
    </row>
    <row r="174" spans="1:7">
      <c r="A174"/>
      <c r="F174"/>
    </row>
    <row r="175" spans="1:7">
      <c r="A175"/>
    </row>
    <row r="176" spans="1:7">
      <c r="A176"/>
      <c r="F176"/>
    </row>
    <row r="177" spans="1:6">
      <c r="A177"/>
      <c r="F177"/>
    </row>
    <row r="178" spans="1:6">
      <c r="A178"/>
    </row>
  </sheetData>
  <autoFilter ref="A10:G173" xr:uid="{00000000-0001-0000-0600-000000000000}">
    <filterColumn colId="1">
      <filters>
        <filter val="NEFT CR-CITI0000002-ETERNAL LIMITED-ROCKTAIL HOSPITALITY SERVICES-CITIN52025100134584901"/>
        <filter val="NEFT CR-CITI0000002-ETERNAL LIMITED-ROCKTAIL HOSPITALITY SERVICES-CITIN52025100636240957"/>
        <filter val="NEFT CR-CITI0000002-ETERNAL LIMITED-ROCKTAIL HOSPITALITY SERVICES-CITIN52025100837147976"/>
        <filter val="NEFT CR-CITI0000002-ETERNAL LIMITED-ROCKTAIL HOSPITALITY SERVICES-CITIN52025101338860064"/>
        <filter val="NEFT CR-CITI0000002-ETERNAL LIMITED-ROCKTAIL HOSPITALITY SERVICES-CITIN52025101539958263"/>
        <filter val="NEFT CR-CITI0000002-ETERNAL LIMITED-ROCKTAIL HOSPITALITY SERVICES-CITIN52025102041871588"/>
        <filter val="NEFT CR-CITI0000002-ETERNAL LIMITED-ROCKTAIL HOSPITALITY SERVICES-CITIN52025102242479154"/>
        <filter val="NEFT CR-CITI0000002-ETERNAL LIMITED-ROCKTAIL HOSPITALITY SERVICES-CITIN52025102744279131"/>
        <filter val="NEFT CR-CITI0000002-ETERNAL LIMITED-ROCKTAIL HOSPITALITY SERVICES-CITIN52025102945837468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Cashflow</vt:lpstr>
      <vt:lpstr>Profit statement</vt:lpstr>
      <vt:lpstr>Discrepancies</vt:lpstr>
      <vt:lpstr>POS</vt:lpstr>
      <vt:lpstr>BANK</vt:lpstr>
      <vt:lpstr>Cashflow!Print_Area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Nikhitha</dc:creator>
  <cp:lastModifiedBy>varun reddy</cp:lastModifiedBy>
  <cp:lastPrinted>2026-01-30T20:02:20Z</cp:lastPrinted>
  <dcterms:created xsi:type="dcterms:W3CDTF">2025-07-09T03:45:13Z</dcterms:created>
  <dcterms:modified xsi:type="dcterms:W3CDTF">2026-01-30T20:02:36Z</dcterms:modified>
</cp:coreProperties>
</file>