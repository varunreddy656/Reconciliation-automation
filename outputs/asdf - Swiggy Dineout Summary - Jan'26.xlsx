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0" activeTab="0" autoFilterDateGrouping="1"/>
  </bookViews>
  <sheets>
    <sheet name="Swiggy Dineout" sheetId="1" state="visible" r:id="rId1"/>
    <sheet name="SD1" sheetId="2" state="visible" r:id="rId2"/>
    <sheet name="SD2" sheetId="3" state="visible" r:id="rId3"/>
    <sheet name="SD3" sheetId="4" state="visible" r:id="rId4"/>
    <sheet name="SD4" sheetId="5" state="visible" r:id="rId5"/>
    <sheet name="SD5" sheetId="6" state="visible" r:id="rId6"/>
    <sheet name="SD6" sheetId="7" state="visible" r:id="rId7"/>
    <sheet name="SD7" sheetId="8" state="visible" r:id="rId8"/>
    <sheet name="SD8" sheetId="9" state="visible" r:id="rId9"/>
    <sheet name="SD9" sheetId="10" state="visible" r:id="rId10"/>
  </sheets>
  <definedNames>
    <definedName name="Summary">#REF!</definedName>
    <definedName name="_xlnm.Print_Area" localSheetId="0">'Swiggy Dineout'!$A$1:$N$58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3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1">
    <xf numFmtId="0" fontId="0" fillId="0" borderId="2"/>
    <xf numFmtId="0" fontId="21" fillId="0" borderId="2"/>
    <xf numFmtId="0" fontId="21" fillId="0" borderId="2"/>
    <xf numFmtId="0" fontId="8" fillId="0" borderId="2"/>
    <xf numFmtId="0" fontId="8" fillId="0" borderId="2"/>
    <xf numFmtId="0" fontId="33" fillId="0" borderId="2"/>
    <xf numFmtId="0" fontId="8" fillId="0" borderId="2"/>
    <xf numFmtId="0" fontId="8" fillId="0" borderId="2"/>
    <xf numFmtId="43" fontId="32" fillId="0" borderId="2"/>
    <xf numFmtId="0" fontId="32" fillId="0" borderId="2"/>
    <xf numFmtId="0" fontId="12" fillId="0" borderId="2"/>
    <xf numFmtId="0" fontId="13" fillId="0" borderId="2"/>
    <xf numFmtId="0" fontId="8" fillId="0" borderId="2"/>
    <xf numFmtId="0" fontId="31" fillId="0" borderId="2"/>
    <xf numFmtId="0" fontId="31" fillId="0" borderId="2"/>
    <xf numFmtId="0" fontId="33" fillId="0" borderId="2"/>
    <xf numFmtId="0" fontId="21" fillId="0" borderId="2"/>
    <xf numFmtId="0" fontId="32" fillId="0" borderId="2"/>
    <xf numFmtId="0" fontId="5" fillId="0" borderId="2"/>
    <xf numFmtId="0" fontId="34" fillId="0" borderId="2"/>
    <xf numFmtId="0" fontId="8" fillId="0" borderId="2"/>
    <xf numFmtId="0" fontId="32" fillId="0" borderId="2"/>
    <xf numFmtId="0" fontId="34" fillId="0" borderId="2"/>
    <xf numFmtId="0" fontId="33" fillId="0" borderId="2"/>
    <xf numFmtId="0" fontId="31" fillId="0" borderId="2"/>
    <xf numFmtId="0" fontId="21" fillId="0" borderId="2"/>
    <xf numFmtId="0" fontId="31" fillId="0" borderId="2"/>
    <xf numFmtId="0" fontId="31" fillId="0" borderId="2"/>
    <xf numFmtId="0" fontId="32" fillId="0" borderId="2"/>
    <xf numFmtId="0" fontId="33" fillId="0" borderId="2"/>
    <xf numFmtId="0" fontId="34" fillId="0" borderId="2"/>
  </cellStyleXfs>
  <cellXfs count="74">
    <xf numFmtId="0" fontId="0" fillId="0" borderId="0" pivotButton="0" quotePrefix="0" xfId="0"/>
    <xf numFmtId="0" fontId="25" fillId="0" borderId="0" pivotButton="0" quotePrefix="0" xfId="0"/>
    <xf numFmtId="164" fontId="25" fillId="2" borderId="2" applyAlignment="1" pivotButton="0" quotePrefix="0" xfId="10">
      <alignment horizontal="left"/>
    </xf>
    <xf numFmtId="0" fontId="25" fillId="0" borderId="2" pivotButton="0" quotePrefix="0" xfId="6"/>
    <xf numFmtId="0" fontId="29" fillId="0" borderId="2" applyAlignment="1" pivotButton="0" quotePrefix="0" xfId="6">
      <alignment wrapText="1"/>
    </xf>
    <xf numFmtId="0" fontId="29" fillId="0" borderId="14" applyAlignment="1" pivotButton="0" quotePrefix="0" xfId="6">
      <alignment wrapText="1"/>
    </xf>
    <xf numFmtId="0" fontId="28" fillId="0" borderId="2" pivotButton="0" quotePrefix="0" xfId="6"/>
    <xf numFmtId="0" fontId="23" fillId="0" borderId="1" applyAlignment="1" pivotButton="0" quotePrefix="0" xfId="6">
      <alignment horizontal="center" vertical="center" wrapText="1"/>
    </xf>
    <xf numFmtId="49" fontId="23" fillId="0" borderId="13" applyAlignment="1" pivotButton="0" quotePrefix="0" xfId="6">
      <alignment wrapText="1"/>
    </xf>
    <xf numFmtId="10" fontId="23" fillId="0" borderId="9" applyAlignment="1" pivotButton="0" quotePrefix="0" xfId="6">
      <alignment horizontal="right" wrapText="1"/>
    </xf>
    <xf numFmtId="43" fontId="24" fillId="0" borderId="2" applyAlignment="1" pivotButton="0" quotePrefix="0" xfId="6">
      <alignment horizontal="center" wrapText="1"/>
    </xf>
    <xf numFmtId="49" fontId="24" fillId="0" borderId="8" applyAlignment="1" pivotButton="0" quotePrefix="0" xfId="6">
      <alignment wrapText="1"/>
    </xf>
    <xf numFmtId="9" fontId="23" fillId="0" borderId="9" applyAlignment="1" pivotButton="0" quotePrefix="0" xfId="6">
      <alignment horizontal="right" wrapText="1"/>
    </xf>
    <xf numFmtId="9" fontId="24" fillId="0" borderId="2" applyAlignment="1" pivotButton="0" quotePrefix="0" xfId="6">
      <alignment horizontal="center" wrapText="1"/>
    </xf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49" fontId="23" fillId="0" borderId="8" applyAlignment="1" pivotButton="0" quotePrefix="0" xfId="6">
      <alignment wrapText="1"/>
    </xf>
    <xf numFmtId="9" fontId="23" fillId="0" borderId="2" applyAlignment="1" pivotButton="0" quotePrefix="0" xfId="6">
      <alignment horizontal="center" wrapText="1"/>
    </xf>
    <xf numFmtId="2" fontId="24" fillId="0" borderId="8" applyAlignment="1" pivotButton="0" quotePrefix="0" xfId="6">
      <alignment horizontal="right" wrapText="1"/>
    </xf>
    <xf numFmtId="2" fontId="23" fillId="0" borderId="8" applyAlignment="1" pivotButton="0" quotePrefix="0" xfId="6">
      <alignment horizontal="right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2" fontId="25" fillId="0" borderId="0" applyAlignment="1" pivotButton="0" quotePrefix="0" xfId="0">
      <alignment horizontal="right"/>
    </xf>
    <xf numFmtId="2" fontId="23" fillId="0" borderId="9" applyAlignment="1" pivotButton="0" quotePrefix="0" xfId="6">
      <alignment horizontal="right" wrapText="1"/>
    </xf>
    <xf numFmtId="49" fontId="23" fillId="0" borderId="11" applyAlignment="1" pivotButton="0" quotePrefix="0" xfId="6">
      <alignment wrapText="1"/>
    </xf>
    <xf numFmtId="9" fontId="23" fillId="0" borderId="12" applyAlignment="1" pivotButton="0" quotePrefix="0" xfId="6">
      <alignment horizontal="right" wrapText="1"/>
    </xf>
    <xf numFmtId="0" fontId="23" fillId="0" borderId="2" applyAlignment="1" pivotButton="0" quotePrefix="0" xfId="6">
      <alignment wrapText="1"/>
    </xf>
    <xf numFmtId="0" fontId="24" fillId="0" borderId="2" applyAlignment="1" pivotButton="0" quotePrefix="0" xfId="6">
      <alignment wrapText="1"/>
    </xf>
    <xf numFmtId="49" fontId="25" fillId="0" borderId="0" pivotButton="0" quotePrefix="0" xfId="0"/>
    <xf numFmtId="0" fontId="25" fillId="0" borderId="2" applyAlignment="1" pivotButton="0" quotePrefix="0" xfId="6">
      <alignment horizontal="left" vertical="top"/>
    </xf>
    <xf numFmtId="0" fontId="29" fillId="0" borderId="2" applyAlignment="1" pivotButton="0" quotePrefix="0" xfId="6">
      <alignment horizontal="left" vertical="top"/>
    </xf>
    <xf numFmtId="2" fontId="23" fillId="0" borderId="13" applyAlignment="1" pivotButton="0" quotePrefix="0" xfId="6">
      <alignment horizontal="right" wrapText="1"/>
    </xf>
    <xf numFmtId="2" fontId="24" fillId="0" borderId="18" applyAlignment="1" pivotButton="0" quotePrefix="0" xfId="6">
      <alignment horizontal="right" wrapText="1"/>
    </xf>
    <xf numFmtId="2" fontId="23" fillId="0" borderId="11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5" fillId="2" borderId="2" applyAlignment="1" pivotButton="0" quotePrefix="0" xfId="10">
      <alignment vertical="top"/>
    </xf>
    <xf numFmtId="49" fontId="25" fillId="2" borderId="2" applyAlignment="1" pivotButton="0" quotePrefix="0" xfId="10">
      <alignment vertical="center"/>
    </xf>
    <xf numFmtId="2" fontId="25" fillId="0" borderId="0" pivotButton="0" quotePrefix="0" xfId="0"/>
    <xf numFmtId="0" fontId="26" fillId="0" borderId="2" applyAlignment="1" pivotButton="0" quotePrefix="0" xfId="0">
      <alignment horizontal="center"/>
    </xf>
    <xf numFmtId="0" fontId="27" fillId="0" borderId="2" pivotButton="0" quotePrefix="0" xfId="0"/>
    <xf numFmtId="0" fontId="23" fillId="0" borderId="10" applyAlignment="1" pivotButton="0" quotePrefix="0" xfId="6">
      <alignment horizontal="center" vertical="center" wrapText="1"/>
    </xf>
    <xf numFmtId="0" fontId="28" fillId="0" borderId="3" pivotButton="0" quotePrefix="0" xfId="6"/>
    <xf numFmtId="0" fontId="23" fillId="0" borderId="8" applyAlignment="1" pivotButton="0" quotePrefix="0" xfId="6">
      <alignment horizontal="center" vertical="center" wrapText="1"/>
    </xf>
    <xf numFmtId="0" fontId="28" fillId="0" borderId="5" pivotButton="0" quotePrefix="0" xfId="6"/>
    <xf numFmtId="0" fontId="23" fillId="0" borderId="15" applyAlignment="1" pivotButton="0" quotePrefix="0" xfId="6">
      <alignment horizontal="center" vertical="center" wrapText="1"/>
    </xf>
    <xf numFmtId="0" fontId="23" fillId="0" borderId="16" applyAlignment="1" pivotButton="0" quotePrefix="0" xfId="6">
      <alignment horizontal="center" vertical="center" wrapText="1"/>
    </xf>
    <xf numFmtId="0" fontId="23" fillId="0" borderId="17" applyAlignment="1" pivotButton="0" quotePrefix="0" xfId="6">
      <alignment horizontal="center" vertical="center" wrapText="1"/>
    </xf>
    <xf numFmtId="0" fontId="23" fillId="0" borderId="9" applyAlignment="1" pivotButton="0" quotePrefix="0" xfId="6">
      <alignment horizontal="center" vertical="center" wrapText="1"/>
    </xf>
    <xf numFmtId="0" fontId="28" fillId="0" borderId="6" pivotButton="0" quotePrefix="0" xfId="6"/>
    <xf numFmtId="164" fontId="24" fillId="0" borderId="7" applyAlignment="1" pivotButton="0" quotePrefix="0" xfId="6">
      <alignment horizontal="center" vertical="center" wrapText="1"/>
    </xf>
    <xf numFmtId="0" fontId="28" fillId="0" borderId="10" pivotButton="0" quotePrefix="0" xfId="6"/>
    <xf numFmtId="164" fontId="24" fillId="0" borderId="10" applyAlignment="1" pivotButton="0" quotePrefix="0" xfId="6">
      <alignment horizontal="center" vertical="center" wrapText="1"/>
    </xf>
    <xf numFmtId="0" fontId="28" fillId="0" borderId="4" pivotButton="0" quotePrefix="0" xfId="6"/>
    <xf numFmtId="0" fontId="23" fillId="0" borderId="3" applyAlignment="1" pivotButton="0" quotePrefix="0" xfId="6">
      <alignment horizontal="center" vertical="center" wrapText="1"/>
    </xf>
    <xf numFmtId="0" fontId="23" fillId="0" borderId="5" applyAlignment="1" pivotButton="0" quotePrefix="0" xfId="6">
      <alignment horizontal="center" vertical="center" wrapText="1"/>
    </xf>
    <xf numFmtId="0" fontId="23" fillId="0" borderId="21" applyAlignment="1" pivotButton="0" quotePrefix="0" xfId="6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3" fillId="0" borderId="6" applyAlignment="1" pivotButton="0" quotePrefix="0" xfId="6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4" fontId="24" fillId="0" borderId="7" applyAlignment="1" pivotButton="0" quotePrefix="0" xfId="6">
      <alignment horizontal="center" vertical="center" wrapText="1"/>
    </xf>
    <xf numFmtId="43" fontId="24" fillId="0" borderId="2" applyAlignment="1" pivotButton="0" quotePrefix="0" xfId="6">
      <alignment horizontal="center" wrapText="1"/>
    </xf>
    <xf numFmtId="0" fontId="0" fillId="0" borderId="10" pivotButton="0" quotePrefix="0" xfId="0"/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4" fillId="0" borderId="4" applyAlignment="1" pivotButton="0" quotePrefix="0" xfId="6">
      <alignment horizontal="center" vertical="center" wrapText="1"/>
    </xf>
    <xf numFmtId="0" fontId="0" fillId="0" borderId="4" pivotButton="0" quotePrefix="0" xfId="0"/>
    <xf numFmtId="164" fontId="25" fillId="2" borderId="2" applyAlignment="1" pivotButton="0" quotePrefix="0" xfId="10">
      <alignment vertical="top"/>
    </xf>
    <xf numFmtId="164" fontId="25" fillId="2" borderId="2" applyAlignment="1" pivotButton="0" quotePrefix="0" xfId="10">
      <alignment horizontal="left"/>
    </xf>
  </cellXfs>
  <cellStyles count="31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Normal 3 2" xfId="7"/>
    <cellStyle name="Comma 2" xfId="8"/>
    <cellStyle name="Normal 6" xfId="9"/>
    <cellStyle name="Normal 2 3" xfId="10"/>
    <cellStyle name="Normal 5 2" xfId="11"/>
    <cellStyle name="Normal 3 2 2" xfId="12"/>
    <cellStyle name="Normal 8" xfId="13"/>
    <cellStyle name="Normal 9" xfId="14"/>
    <cellStyle name="Normal 10" xfId="15"/>
    <cellStyle name="Normal 11" xfId="16"/>
    <cellStyle name="Normal 12" xfId="17"/>
    <cellStyle name="Normal 13" xfId="18"/>
    <cellStyle name="Normal 14" xfId="19"/>
    <cellStyle name="Normal 15" xfId="20"/>
    <cellStyle name="Normal 16" xfId="21"/>
    <cellStyle name="Normal 17" xfId="22"/>
    <cellStyle name="Normal 18" xfId="23"/>
    <cellStyle name="Normal 19" xfId="24"/>
    <cellStyle name="Normal 20" xfId="25"/>
    <cellStyle name="Normal 21" xfId="26"/>
    <cellStyle name="Normal 22" xfId="27"/>
    <cellStyle name="Normal 23" xfId="28"/>
    <cellStyle name="Normal 24" xfId="29"/>
    <cellStyle name="Normal 25" xfId="3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704489</colOff>
      <row>50</row>
      <rowOff>146754</rowOff>
    </from>
    <ext cx="1013033" cy="898888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77918" y="8480373"/>
          <a:ext cx="1013033" cy="898888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tabSelected="1" zoomScale="63" zoomScaleNormal="85" zoomScaleSheetLayoutView="73" workbookViewId="0">
      <selection activeCell="A2" sqref="A2:M2"/>
    </sheetView>
  </sheetViews>
  <sheetFormatPr baseColWidth="8" defaultColWidth="14.44140625" defaultRowHeight="15" customHeight="1"/>
  <cols>
    <col width="6.6640625" bestFit="1" customWidth="1" style="3" min="1" max="1"/>
    <col width="40.44140625" bestFit="1" customWidth="1" style="3" min="2" max="2"/>
    <col width="14.77734375" customWidth="1" style="3" min="3" max="12"/>
    <col width="10.6640625" bestFit="1" customWidth="1" style="3" min="13" max="13"/>
    <col width="15.44140625" customWidth="1" style="3" min="14" max="14"/>
    <col width="14.88671875" customWidth="1" style="3" min="15" max="15"/>
    <col width="13.6640625" customWidth="1" style="3" min="16" max="16"/>
    <col width="18.6640625" customWidth="1" style="3" min="17" max="18"/>
    <col width="22.5546875" customWidth="1" style="3" min="19" max="19"/>
    <col width="18.33203125" customWidth="1" style="3" min="20" max="20"/>
    <col width="14" customWidth="1" style="3" min="21" max="21"/>
    <col width="19.33203125" customWidth="1" style="3" min="22" max="22"/>
    <col width="24.44140625" customWidth="1" style="3" min="23" max="23"/>
    <col width="22.6640625" customWidth="1" style="3" min="24" max="24"/>
    <col width="16.33203125" customWidth="1" style="3" min="25" max="25"/>
    <col width="24.5546875" customWidth="1" style="3" min="26" max="26"/>
    <col width="32.33203125" customWidth="1" style="3" min="27" max="27"/>
    <col width="9.33203125" customWidth="1" style="3" min="28" max="28"/>
    <col width="11.6640625" customWidth="1" style="3" min="29" max="29"/>
    <col width="16.44140625" customWidth="1" style="3" min="30" max="30"/>
    <col width="23.5546875" customWidth="1" style="3" min="31" max="31"/>
    <col width="12.44140625" customWidth="1" style="3" min="32" max="32"/>
    <col width="10.6640625" customWidth="1" style="3" min="33" max="33"/>
    <col width="9.5546875" customWidth="1" style="3" min="34" max="34"/>
    <col width="18" customWidth="1" style="3" min="35" max="35"/>
    <col width="18.6640625" customWidth="1" style="3" min="36" max="36"/>
    <col width="14.44140625" customWidth="1" style="3" min="37" max="16384"/>
  </cols>
  <sheetData>
    <row r="1" ht="20.25" customHeight="1">
      <c r="A1" s="38" t="inlineStr">
        <is>
          <t>asdf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</row>
    <row r="2" ht="15" customHeight="1">
      <c r="A2" s="38" t="inlineStr">
        <is>
          <t>Swiggy Dineout Reconciliation - January - 2026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 ht="12.75" customHeight="1" thickBo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  <c r="O3" s="1" t="n"/>
      <c r="P3" s="1" t="n"/>
      <c r="Q3" s="1" t="n"/>
      <c r="R3" s="1" t="n"/>
      <c r="S3" s="1" t="n"/>
      <c r="T3" s="1" t="n"/>
      <c r="U3" s="1" t="n"/>
      <c r="V3" s="1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 ht="16.5" customHeight="1">
      <c r="A4" s="53" t="inlineStr">
        <is>
          <t>S. No</t>
        </is>
      </c>
      <c r="B4" s="54" t="inlineStr">
        <is>
          <t>Particulars</t>
        </is>
      </c>
      <c r="C4" s="55" t="inlineStr">
        <is>
          <t>Amount (₹)</t>
        </is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7" t="n"/>
      <c r="M4" s="58" t="inlineStr">
        <is>
          <t>Percentage
(%)</t>
        </is>
      </c>
      <c r="N4" s="6" t="n"/>
      <c r="O4" s="1" t="n"/>
      <c r="P4" s="1" t="n"/>
      <c r="Q4" s="1" t="n"/>
      <c r="R4" s="1" t="n"/>
      <c r="S4" s="1" t="n"/>
      <c r="T4" s="1" t="n"/>
      <c r="U4" s="1" t="n"/>
      <c r="V4" s="1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 ht="16.5" customHeight="1">
      <c r="A5" s="59" t="n"/>
      <c r="B5" s="60" t="n"/>
      <c r="C5" s="7" t="inlineStr">
        <is>
          <t>1st to 4th</t>
        </is>
      </c>
      <c r="D5" s="7" t="inlineStr">
        <is>
          <t>5th to 7th</t>
        </is>
      </c>
      <c r="E5" s="7" t="inlineStr">
        <is>
          <t>8th to 11th</t>
        </is>
      </c>
      <c r="F5" s="7" t="inlineStr">
        <is>
          <t>12th to 14th</t>
        </is>
      </c>
      <c r="G5" s="7" t="inlineStr">
        <is>
          <t>15th to 18th</t>
        </is>
      </c>
      <c r="H5" s="7" t="inlineStr">
        <is>
          <t>19th to 21st</t>
        </is>
      </c>
      <c r="I5" s="7" t="inlineStr">
        <is>
          <t>22nd to 25th</t>
        </is>
      </c>
      <c r="J5" s="7" t="inlineStr">
        <is>
          <t>26th to 28th</t>
        </is>
      </c>
      <c r="K5" s="7" t="inlineStr">
        <is>
          <t>29th to 31st</t>
        </is>
      </c>
      <c r="L5" s="7" t="inlineStr">
        <is>
          <t>Total</t>
        </is>
      </c>
      <c r="M5" s="61" t="n"/>
      <c r="O5" s="1" t="n"/>
      <c r="P5" s="1" t="n"/>
      <c r="Q5" s="1" t="n"/>
      <c r="R5" s="1" t="n"/>
      <c r="S5" s="1" t="n"/>
      <c r="T5" s="1" t="n"/>
      <c r="U5" s="1" t="n"/>
      <c r="V5" s="1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 ht="28.8" customHeight="1">
      <c r="A6" s="62" t="n">
        <v>1</v>
      </c>
      <c r="B6" s="8" t="inlineStr">
        <is>
          <t>Sales (Exclusive of GST) (Exclusive of cancelled and failed orders)</t>
        </is>
      </c>
      <c r="C6" s="31" t="n">
        <v>182755.2380952381</v>
      </c>
      <c r="D6" s="31" t="n">
        <v>164698.0952380952</v>
      </c>
      <c r="E6" s="31" t="n">
        <v>223779.0476190476</v>
      </c>
      <c r="F6" s="31" t="n">
        <v>86285.71428571428</v>
      </c>
      <c r="G6" s="31" t="n">
        <v>176522.8571428571</v>
      </c>
      <c r="H6" s="31" t="n">
        <v>96020</v>
      </c>
      <c r="I6" s="19" t="n">
        <v>281030.4761904762</v>
      </c>
      <c r="J6" s="19" t="n">
        <v>115960.9523809524</v>
      </c>
      <c r="K6" s="19" t="n">
        <v>153975.2380952381</v>
      </c>
      <c r="L6" s="19">
        <f>SUM(C6:K6)</f>
        <v/>
      </c>
      <c r="M6" s="9">
        <f>L6/L13</f>
        <v/>
      </c>
      <c r="N6" s="63" t="n"/>
      <c r="O6" s="1" t="inlineStr">
        <is>
          <t>gross</t>
        </is>
      </c>
      <c r="P6" s="37">
        <f>C6</f>
        <v/>
      </c>
      <c r="Q6" s="37">
        <f>D6</f>
        <v/>
      </c>
      <c r="R6" s="37">
        <f>E6</f>
        <v/>
      </c>
      <c r="S6" s="37">
        <f>F6</f>
        <v/>
      </c>
      <c r="T6" s="37">
        <f>G6</f>
        <v/>
      </c>
      <c r="U6" s="37">
        <f>H6</f>
        <v/>
      </c>
      <c r="V6" s="37">
        <f>I6</f>
        <v/>
      </c>
      <c r="W6" s="37">
        <f>J6</f>
        <v/>
      </c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 ht="12" customHeight="1">
      <c r="A7" s="64" t="n"/>
      <c r="B7" s="11" t="inlineStr">
        <is>
          <t>less: Discounts</t>
        </is>
      </c>
      <c r="C7" s="18" t="n">
        <v>-0</v>
      </c>
      <c r="D7" s="18" t="n">
        <v>-0</v>
      </c>
      <c r="E7" s="18" t="n">
        <v>-0</v>
      </c>
      <c r="F7" s="18" t="n">
        <v>-0</v>
      </c>
      <c r="G7" s="18" t="n">
        <v>-0</v>
      </c>
      <c r="H7" s="18" t="n">
        <v>-0</v>
      </c>
      <c r="I7" s="18" t="n">
        <v>-0</v>
      </c>
      <c r="J7" s="18" t="n">
        <v>-0</v>
      </c>
      <c r="K7" s="18" t="n">
        <v>-0</v>
      </c>
      <c r="L7" s="19">
        <f>SUM(C7:K7)</f>
        <v/>
      </c>
      <c r="M7" s="12">
        <f>-L7/L13</f>
        <v/>
      </c>
      <c r="N7" s="13" t="n"/>
      <c r="O7" s="1" t="inlineStr">
        <is>
          <t>net</t>
        </is>
      </c>
      <c r="P7" s="37">
        <f>C13</f>
        <v/>
      </c>
      <c r="Q7" s="37">
        <f>D13</f>
        <v/>
      </c>
      <c r="R7" s="37">
        <f>E13</f>
        <v/>
      </c>
      <c r="S7" s="37">
        <f>F13</f>
        <v/>
      </c>
      <c r="T7" s="37">
        <f>G13</f>
        <v/>
      </c>
      <c r="U7" s="37">
        <f>H13</f>
        <v/>
      </c>
      <c r="V7" s="37">
        <f>I13</f>
        <v/>
      </c>
      <c r="W7" s="37">
        <f>J13</f>
        <v/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 ht="12.75" customHeight="1">
      <c r="A8" s="64" t="n"/>
      <c r="B8" s="11" t="inlineStr">
        <is>
          <t>less: Adjustments for Excess Payment</t>
        </is>
      </c>
      <c r="C8" s="18" t="n"/>
      <c r="D8" s="18" t="n"/>
      <c r="E8" s="18" t="n"/>
      <c r="F8" s="18" t="n"/>
      <c r="G8" s="18" t="n"/>
      <c r="H8" s="18" t="n"/>
      <c r="I8" s="18" t="n"/>
      <c r="J8" s="18" t="n">
        <v>0</v>
      </c>
      <c r="K8" s="18" t="n"/>
      <c r="L8" s="18">
        <f>SUM(C8:K8)</f>
        <v/>
      </c>
      <c r="M8" s="65" t="n"/>
      <c r="N8" s="66" t="n"/>
      <c r="O8" s="1" t="inlineStr">
        <is>
          <t>dis</t>
        </is>
      </c>
      <c r="P8" s="37">
        <f>-C7</f>
        <v/>
      </c>
      <c r="Q8" s="37">
        <f>-D7</f>
        <v/>
      </c>
      <c r="R8" s="37">
        <f>-E7</f>
        <v/>
      </c>
      <c r="S8" s="37">
        <f>-F7</f>
        <v/>
      </c>
      <c r="T8" s="37">
        <f>-G7</f>
        <v/>
      </c>
      <c r="U8" s="37">
        <f>-H7</f>
        <v/>
      </c>
      <c r="V8" s="37">
        <f>-I7</f>
        <v/>
      </c>
      <c r="W8" s="37">
        <f>-J7</f>
        <v/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 ht="12.75" customHeight="1">
      <c r="A9" s="64" t="n"/>
      <c r="B9" s="16" t="inlineStr">
        <is>
          <t>Sales (Exclusive of GST) after discounts</t>
        </is>
      </c>
      <c r="C9" s="19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  <c r="I9" s="19">
        <f>SUM(I6:I8)</f>
        <v/>
      </c>
      <c r="J9" s="19">
        <f>SUM(J6:J8)</f>
        <v/>
      </c>
      <c r="K9" s="19">
        <f>SUM(K6:K8)</f>
        <v/>
      </c>
      <c r="L9" s="19">
        <f>SUM(L6:L8)</f>
        <v/>
      </c>
      <c r="M9" s="9">
        <f>L9/L13</f>
        <v/>
      </c>
      <c r="N9" s="66" t="n"/>
      <c r="O9" s="1" t="inlineStr">
        <is>
          <t>comm</t>
        </is>
      </c>
      <c r="P9" s="37">
        <f>C18</f>
        <v/>
      </c>
      <c r="Q9" s="37">
        <f>D18</f>
        <v/>
      </c>
      <c r="R9" s="37">
        <f>E18</f>
        <v/>
      </c>
      <c r="S9" s="37">
        <f>F18</f>
        <v/>
      </c>
      <c r="T9" s="37">
        <f>G18</f>
        <v/>
      </c>
      <c r="U9" s="37">
        <f>H18</f>
        <v/>
      </c>
      <c r="V9" s="37">
        <f>I18</f>
        <v/>
      </c>
      <c r="W9" s="37">
        <f>J18</f>
        <v/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 ht="12.75" customHeight="1">
      <c r="A10" s="64" t="n"/>
      <c r="B10" s="11" t="inlineStr">
        <is>
          <t>add: GST on sales (@5%)</t>
        </is>
      </c>
      <c r="C10" s="18">
        <f>C9*5%</f>
        <v/>
      </c>
      <c r="D10" s="18">
        <f>D9*5%</f>
        <v/>
      </c>
      <c r="E10" s="18">
        <f>E9*5%</f>
        <v/>
      </c>
      <c r="F10" s="18">
        <f>F9*5%</f>
        <v/>
      </c>
      <c r="G10" s="18">
        <f>G9*5%</f>
        <v/>
      </c>
      <c r="H10" s="18">
        <f>H9*5%</f>
        <v/>
      </c>
      <c r="I10" s="18">
        <f>I9*5%</f>
        <v/>
      </c>
      <c r="J10" s="18">
        <f>J9*5%</f>
        <v/>
      </c>
      <c r="K10" s="18">
        <f>K9*5%</f>
        <v/>
      </c>
      <c r="L10" s="18">
        <f>L9*5%</f>
        <v/>
      </c>
      <c r="M10" s="9">
        <f>L10/L13</f>
        <v/>
      </c>
      <c r="N10" s="63" t="n"/>
      <c r="O10" s="1" t="inlineStr">
        <is>
          <t>ads</t>
        </is>
      </c>
      <c r="P10" s="37">
        <f>C23</f>
        <v/>
      </c>
      <c r="Q10" s="37">
        <f>D23</f>
        <v/>
      </c>
      <c r="R10" s="37">
        <f>E23</f>
        <v/>
      </c>
      <c r="S10" s="37">
        <f>F23</f>
        <v/>
      </c>
      <c r="T10" s="37">
        <f>G23</f>
        <v/>
      </c>
      <c r="U10" s="37">
        <f>H23</f>
        <v/>
      </c>
      <c r="V10" s="37">
        <f>I23</f>
        <v/>
      </c>
      <c r="W10" s="37">
        <f>J23</f>
        <v/>
      </c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 ht="12.75" customHeight="1">
      <c r="A11" s="64" t="n"/>
      <c r="B11" s="11" t="inlineStr">
        <is>
          <t>add: Packaging &amp; Service Charges (incl. of GST)</t>
        </is>
      </c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  <c r="L11" s="18">
        <f>SUM(C11:K11)</f>
        <v/>
      </c>
      <c r="M11" s="12" t="n"/>
      <c r="N11" s="17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 ht="12.75" customHeight="1">
      <c r="A12" s="64" t="n"/>
      <c r="B12" s="11" t="inlineStr">
        <is>
          <t>add: Tips</t>
        </is>
      </c>
      <c r="C12" s="18" t="n">
        <v>0</v>
      </c>
      <c r="D12" s="18" t="n">
        <v>116</v>
      </c>
      <c r="E12" s="18" t="n">
        <v>700</v>
      </c>
      <c r="F12" s="18" t="n">
        <v>120</v>
      </c>
      <c r="G12" s="18" t="n">
        <v>100</v>
      </c>
      <c r="H12" s="18" t="n">
        <v>0</v>
      </c>
      <c r="I12" s="18" t="n">
        <v>50</v>
      </c>
      <c r="J12" s="18" t="n">
        <v>0</v>
      </c>
      <c r="K12" s="18" t="n">
        <v>0</v>
      </c>
      <c r="L12" s="18">
        <f>C12+D12+E12+F12+G12+H12+I12+J12+K12</f>
        <v/>
      </c>
      <c r="M12" s="12">
        <f>L12/L13</f>
        <v/>
      </c>
      <c r="N12" s="17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12.75" customHeight="1">
      <c r="A13" s="64" t="n"/>
      <c r="B13" s="16" t="inlineStr">
        <is>
          <t>Sales (Inclusive of GST)</t>
        </is>
      </c>
      <c r="C13" s="19">
        <f>C9+C10+C11+C12</f>
        <v/>
      </c>
      <c r="D13" s="19">
        <f>D9+D10+D11+D12</f>
        <v/>
      </c>
      <c r="E13" s="19">
        <f>E9+E10+E11+E12</f>
        <v/>
      </c>
      <c r="F13" s="19">
        <f>F9+F10+F11+F12</f>
        <v/>
      </c>
      <c r="G13" s="19">
        <f>G9+G10+G11+G12</f>
        <v/>
      </c>
      <c r="H13" s="19">
        <f>H9+H10+H11+H12</f>
        <v/>
      </c>
      <c r="I13" s="19">
        <f>I9+I10+I11+I12</f>
        <v/>
      </c>
      <c r="J13" s="19">
        <f>J9+J10+J11+J12</f>
        <v/>
      </c>
      <c r="K13" s="19">
        <f>K9+K10+K11+K12</f>
        <v/>
      </c>
      <c r="L13" s="19">
        <f>L9+L10+L11+L12</f>
        <v/>
      </c>
      <c r="M13" s="12">
        <f>L13/$L$13</f>
        <v/>
      </c>
      <c r="N13" s="17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 ht="12.75" customHeight="1">
      <c r="A14" s="67" t="n"/>
      <c r="B14" s="11" t="inlineStr">
        <is>
          <t>Sales as per POS (Inclusive of GST)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>
        <v>0</v>
      </c>
      <c r="L14" s="18">
        <f>SUM(C14:K14)</f>
        <v/>
      </c>
      <c r="M14" s="9">
        <f>L14/L13</f>
        <v/>
      </c>
      <c r="N14" s="63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 ht="12.75" customHeight="1">
      <c r="A15" s="67" t="n"/>
      <c r="B15" s="16" t="inlineStr">
        <is>
          <t>Difference in POS</t>
        </is>
      </c>
      <c r="C15" s="19">
        <f>C14-C13</f>
        <v/>
      </c>
      <c r="D15" s="19">
        <f>D14-D13</f>
        <v/>
      </c>
      <c r="E15" s="19">
        <f>E14-E13</f>
        <v/>
      </c>
      <c r="F15" s="19">
        <f>F14-F13</f>
        <v/>
      </c>
      <c r="G15" s="19">
        <f>G14-G13</f>
        <v/>
      </c>
      <c r="H15" s="19">
        <f>H14-H13</f>
        <v/>
      </c>
      <c r="I15" s="19">
        <f>I14-I13</f>
        <v/>
      </c>
      <c r="J15" s="19">
        <f>J14-J13</f>
        <v/>
      </c>
      <c r="K15" s="19">
        <f>K14-K13</f>
        <v/>
      </c>
      <c r="L15" s="19">
        <f>L14-L13</f>
        <v/>
      </c>
      <c r="M15" s="12">
        <f>L15/$L$13</f>
        <v/>
      </c>
      <c r="N15" s="17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 ht="12.75" customHeight="1">
      <c r="A16" s="67" t="n"/>
      <c r="B16" s="11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68" t="n"/>
      <c r="N16" s="63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 ht="12.75" customHeight="1">
      <c r="A17" s="69" t="n">
        <v>2</v>
      </c>
      <c r="B17" s="16" t="inlineStr">
        <is>
          <t>Commission and other charges (Inclusive of GST)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68" t="n"/>
      <c r="N17" s="63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 ht="12.75" customHeight="1">
      <c r="A18" s="64" t="n"/>
      <c r="B18" s="11" t="inlineStr">
        <is>
          <t>Swiggy Platform Service Fee (Commission)</t>
        </is>
      </c>
      <c r="C18" s="22" t="n">
        <v>4528.6748</v>
      </c>
      <c r="D18" s="18" t="n">
        <v>4081.2188</v>
      </c>
      <c r="E18" s="18" t="n">
        <v>5545.244799999999</v>
      </c>
      <c r="F18" s="18" t="n">
        <v>2138.16</v>
      </c>
      <c r="G18" s="18" t="n">
        <v>4374.2364</v>
      </c>
      <c r="H18" s="18" t="n">
        <v>2379.3756</v>
      </c>
      <c r="I18" s="18" t="n">
        <v>6963.9352</v>
      </c>
      <c r="J18" s="18" t="n">
        <v>2873.5124</v>
      </c>
      <c r="K18" s="18" t="n">
        <v>3815.5064</v>
      </c>
      <c r="L18" s="19">
        <f>SUM(C18:K18)</f>
        <v/>
      </c>
      <c r="M18" s="12">
        <f>L18/$L$13</f>
        <v/>
      </c>
      <c r="N18" s="17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 ht="12.75" customHeight="1">
      <c r="A19" s="64" t="n"/>
      <c r="B19" s="11" t="inlineStr">
        <is>
          <t>Less: Discount on Swiggy Service Fee</t>
        </is>
      </c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>
        <f>SUM(C19:K19)</f>
        <v/>
      </c>
      <c r="M19" s="12" t="n"/>
      <c r="N19" s="17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 ht="12.75" customHeight="1">
      <c r="A20" s="64" t="n"/>
      <c r="B20" s="11" t="inlineStr">
        <is>
          <t>Access charges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>
        <f>SUM(C20:K20)</f>
        <v/>
      </c>
      <c r="M20" s="12" t="n"/>
      <c r="N20" s="17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12.75" customHeight="1">
      <c r="A21" s="64" t="n"/>
      <c r="B21" s="11" t="inlineStr">
        <is>
          <t>Call Center Service Fee (IVRS cost)</t>
        </is>
      </c>
      <c r="C21" s="18" t="n">
        <v>0</v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9">
        <f>SUM(C21:K21)</f>
        <v/>
      </c>
      <c r="M21" s="12">
        <f>L21/$L$13</f>
        <v/>
      </c>
      <c r="N21" s="17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12.75" customHeight="1">
      <c r="A22" s="64" t="n"/>
      <c r="B22" s="11" t="inlineStr">
        <is>
          <t>Long Distance Pack Fee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>
        <f>SUM(C22:K22)</f>
        <v/>
      </c>
      <c r="M22" s="12">
        <f>L22/$L$13</f>
        <v/>
      </c>
      <c r="N22" s="17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12.75" customHeight="1">
      <c r="A23" s="64" t="n"/>
      <c r="B23" s="11" t="inlineStr">
        <is>
          <t>Carousel, High Priority, Banner</t>
        </is>
      </c>
      <c r="C23" s="18" t="n">
        <v>20944.4670410112</v>
      </c>
      <c r="D23" s="18" t="n">
        <v>4911.350280758401</v>
      </c>
      <c r="E23" s="18" t="n">
        <v>7294.227041011201</v>
      </c>
      <c r="F23" s="18" t="n">
        <v>5520.2302807584</v>
      </c>
      <c r="G23" s="18" t="n">
        <v>10546.3070410112</v>
      </c>
      <c r="H23" s="18" t="n">
        <v>2334.2302807584</v>
      </c>
      <c r="I23" s="18" t="n">
        <v>3112.3070410112</v>
      </c>
      <c r="J23" s="18" t="n">
        <v>2334.2302807584</v>
      </c>
      <c r="K23" s="18" t="n">
        <v>2334.2302807584</v>
      </c>
      <c r="L23" s="19">
        <f>SUM(C23:K23)</f>
        <v/>
      </c>
      <c r="M23" s="12">
        <f>L23/$L$13</f>
        <v/>
      </c>
      <c r="N23" s="17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2.75" customHeight="1">
      <c r="A24" s="64" t="n"/>
      <c r="B24" s="11" t="inlineStr">
        <is>
          <t>Delivery Service fee (sponsored by merchant)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>
        <f>SUM(C24:K24)</f>
        <v/>
      </c>
      <c r="M24" s="12">
        <f>L24/$L$13</f>
        <v/>
      </c>
      <c r="N24" s="17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2.75" customHeight="1">
      <c r="A25" s="64" t="n"/>
      <c r="B25" s="11" t="inlineStr">
        <is>
          <t>Collection Charges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9">
        <f>SUM(C25:K25)</f>
        <v/>
      </c>
      <c r="M25" s="12" t="n"/>
      <c r="N25" s="17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2.75" customHeight="1">
      <c r="A26" s="64" t="n"/>
      <c r="B26" s="11" t="inlineStr">
        <is>
          <t>Merchant share of cancelled orders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>
        <f>SUM(C26:K26)</f>
        <v/>
      </c>
      <c r="M26" s="12" t="n"/>
      <c r="N26" s="17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2.75" customHeight="1">
      <c r="A27" s="64" t="n"/>
      <c r="B27" s="11" t="inlineStr">
        <is>
          <t>Onboarding Fees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>
        <f>SUM(C27:K27)</f>
        <v/>
      </c>
      <c r="M27" s="12" t="n"/>
      <c r="N27" s="17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2.75" customHeight="1">
      <c r="A28" s="64" t="n"/>
      <c r="B28" s="16" t="inlineStr">
        <is>
          <t>Total Commission and other Charges</t>
        </is>
      </c>
      <c r="C28" s="19">
        <f>SUM(C18:C27)</f>
        <v/>
      </c>
      <c r="D28" s="19">
        <f>SUM(D18:D27)</f>
        <v/>
      </c>
      <c r="E28" s="19">
        <f>SUM(E18:E27)</f>
        <v/>
      </c>
      <c r="F28" s="19">
        <f>SUM(F18:F27)</f>
        <v/>
      </c>
      <c r="G28" s="19">
        <f>SUM(G18:G27)</f>
        <v/>
      </c>
      <c r="H28" s="19">
        <f>SUM(H18:H27)</f>
        <v/>
      </c>
      <c r="I28" s="19">
        <f>SUM(I18:I27)</f>
        <v/>
      </c>
      <c r="J28" s="19">
        <f>SUM(J18:J27)</f>
        <v/>
      </c>
      <c r="K28" s="19">
        <f>SUM(K18:K27)</f>
        <v/>
      </c>
      <c r="L28" s="19">
        <f>SUM(C28:K28)</f>
        <v/>
      </c>
      <c r="M28" s="12">
        <f>L28/$L$13</f>
        <v/>
      </c>
      <c r="N28" s="17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2.75" customHeight="1">
      <c r="A29" s="67" t="n"/>
      <c r="B29" s="11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9" t="n"/>
      <c r="M29" s="68" t="n"/>
      <c r="N29" s="63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2.75" customHeight="1">
      <c r="A30" s="69" t="n">
        <v>3</v>
      </c>
      <c r="B30" s="16" t="inlineStr">
        <is>
          <t>Cancelled order costs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9" t="n"/>
      <c r="M30" s="68" t="n"/>
      <c r="N30" s="63" t="n"/>
      <c r="O30" s="1" t="n"/>
      <c r="P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5.75" customHeight="1">
      <c r="A31" s="64" t="n"/>
      <c r="B31" s="11" t="inlineStr">
        <is>
          <t>add: Refunds (+ve refunds)</t>
        </is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118.944</v>
      </c>
      <c r="K31" s="18" t="n">
        <v>0</v>
      </c>
      <c r="L31" s="19">
        <f>SUM(C31:K31)</f>
        <v/>
      </c>
      <c r="M31" s="23">
        <f>L31/$L$13</f>
        <v/>
      </c>
      <c r="N31" s="63" t="n"/>
      <c r="O31" s="1" t="n"/>
      <c r="P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2.75" customHeight="1">
      <c r="A32" s="64" t="n"/>
      <c r="B32" s="11" t="inlineStr">
        <is>
          <t>less: Refund (Refund, Refund for disputed order)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>
        <v>0</v>
      </c>
      <c r="L32" s="19">
        <f>SUM(C32:K32)</f>
        <v/>
      </c>
      <c r="M32" s="12">
        <f>L32/L13</f>
        <v/>
      </c>
      <c r="N32" s="17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2.75" customHeight="1">
      <c r="A33" s="64" t="n"/>
      <c r="B33" s="11" t="inlineStr">
        <is>
          <t>less: Merchant Cancellation Charges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9">
        <f>SUM(C33:K33)</f>
        <v/>
      </c>
      <c r="M33" s="12">
        <f>L33/$L$13</f>
        <v/>
      </c>
      <c r="N33" s="17" t="n"/>
      <c r="O33" s="1" t="n"/>
      <c r="P33" s="1" t="n"/>
      <c r="Q33" s="1" t="n"/>
      <c r="R33" s="1" t="n"/>
      <c r="S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 ht="12.75" customHeight="1">
      <c r="A34" s="64" t="n"/>
      <c r="B34" s="16" t="inlineStr">
        <is>
          <t>Total Cancelled order costs</t>
        </is>
      </c>
      <c r="C34" s="19">
        <f>SUM(C31:C33)</f>
        <v/>
      </c>
      <c r="D34" s="19">
        <f>SUM(D31:D33)</f>
        <v/>
      </c>
      <c r="E34" s="19">
        <f>SUM(E31:E33)</f>
        <v/>
      </c>
      <c r="F34" s="19">
        <f>SUM(F31:F33)</f>
        <v/>
      </c>
      <c r="G34" s="19">
        <f>SUM(G31:G33)</f>
        <v/>
      </c>
      <c r="H34" s="19">
        <f>SUM(H31:H33)</f>
        <v/>
      </c>
      <c r="I34" s="19">
        <f>SUM(I31:I33)</f>
        <v/>
      </c>
      <c r="J34" s="19">
        <f>SUM(J31:J33)</f>
        <v/>
      </c>
      <c r="K34" s="19">
        <f>SUM(K31:K33)</f>
        <v/>
      </c>
      <c r="L34" s="19">
        <f>SUM(C34:K34)</f>
        <v/>
      </c>
      <c r="M34" s="12">
        <f>L34/$L$13</f>
        <v/>
      </c>
      <c r="N34" s="17" t="n"/>
      <c r="O34" s="1" t="n"/>
      <c r="P34" s="1" t="n"/>
      <c r="Q34" s="1" t="n"/>
      <c r="R34" s="1" t="n"/>
      <c r="S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 ht="12.75" customHeight="1">
      <c r="A35" s="69" t="n"/>
      <c r="B35" s="16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9" t="n"/>
      <c r="M35" s="68" t="n"/>
      <c r="N35" s="63" t="n"/>
      <c r="O35" s="1" t="n"/>
      <c r="P35" s="1" t="n"/>
      <c r="Q35" s="1" t="n"/>
      <c r="R35" s="1" t="n"/>
      <c r="V35" s="1" t="n"/>
      <c r="W35" s="1" t="n"/>
      <c r="X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 ht="12.75" customHeight="1">
      <c r="A36" s="69" t="n">
        <v>4</v>
      </c>
      <c r="B36" s="16" t="inlineStr">
        <is>
          <t>A. Tax adjustments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68" t="n"/>
      <c r="N36" s="63" t="n"/>
      <c r="O36" s="1" t="n"/>
      <c r="P36" s="1" t="n"/>
      <c r="Q36" s="1" t="n"/>
      <c r="R36" s="1" t="n"/>
      <c r="U36" s="1" t="n"/>
      <c r="V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 ht="12.75" customHeight="1">
      <c r="A37" s="64" t="n"/>
      <c r="B37" s="11" t="inlineStr">
        <is>
          <t>less: GST under section 9(5)</t>
        </is>
      </c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>
        <f>SUM(C37:K37)</f>
        <v/>
      </c>
      <c r="M37" s="12">
        <f>L37/$L$13</f>
        <v/>
      </c>
      <c r="N37" s="17" t="n"/>
      <c r="O37" s="1" t="n"/>
      <c r="P37" s="1" t="n"/>
      <c r="Q37" s="1" t="n"/>
      <c r="R37" s="1" t="n"/>
      <c r="U37" s="1" t="n"/>
      <c r="V37" s="1" t="n"/>
      <c r="W37" s="1" t="n"/>
      <c r="X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 ht="12.75" customHeight="1">
      <c r="A38" s="64" t="n"/>
      <c r="B38" s="11" t="inlineStr">
        <is>
          <t>less: TCS Deducted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>
        <f>SUM(C38:K38)</f>
        <v/>
      </c>
      <c r="M38" s="12">
        <f>L38/$L$13</f>
        <v/>
      </c>
      <c r="N38" s="17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 ht="12.75" customHeight="1">
      <c r="A39" s="64" t="n"/>
      <c r="B39" s="11" t="inlineStr">
        <is>
          <t>less: TDS Deducted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>
        <f>SUM(C39:K39)</f>
        <v/>
      </c>
      <c r="M39" s="12">
        <f>L39/$L$13</f>
        <v/>
      </c>
      <c r="N39" s="17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 ht="12.75" customHeight="1">
      <c r="A40" s="64" t="n"/>
      <c r="B40" s="16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68" t="n"/>
      <c r="N40" s="63" t="n"/>
      <c r="O40" s="1" t="n"/>
      <c r="P40" s="1" t="n"/>
      <c r="Q40" s="1" t="n"/>
      <c r="R40" s="1" t="n"/>
      <c r="S40" s="1" t="n"/>
      <c r="T40" s="1" t="n"/>
      <c r="U40" s="1" t="n"/>
      <c r="V40" s="1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12.75" customHeight="1">
      <c r="A41" s="64" t="n"/>
      <c r="B41" s="16" t="inlineStr">
        <is>
          <t>B. Other adjustments</t>
        </is>
      </c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68" t="n"/>
      <c r="N41" s="63" t="n"/>
      <c r="O41" s="1" t="n"/>
      <c r="P41" s="1" t="n"/>
      <c r="Q41" s="1" t="n"/>
      <c r="R41" s="1" t="n"/>
      <c r="S41" s="1" t="n"/>
      <c r="T41" s="1" t="n"/>
      <c r="U41" s="1" t="n"/>
      <c r="V41" s="1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12.75" customHeight="1">
      <c r="A42" s="64" t="n"/>
      <c r="B42" s="11" t="inlineStr">
        <is>
          <t>less: Other adjustments</t>
        </is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-4803.94</v>
      </c>
      <c r="K42" s="18" t="n">
        <v>0</v>
      </c>
      <c r="L42" s="18">
        <f>SUM(C42:K42)</f>
        <v/>
      </c>
      <c r="M42" s="12">
        <f>L42/$L$13</f>
        <v/>
      </c>
      <c r="N42" s="17" t="n"/>
      <c r="O42" s="1" t="n"/>
      <c r="P42" s="1" t="n"/>
      <c r="Q42" s="1" t="n"/>
      <c r="R42" s="1" t="n"/>
      <c r="S42" s="1" t="n"/>
      <c r="T42" s="1" t="n"/>
      <c r="U42" s="1" t="n"/>
      <c r="V42" s="1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12.75" customHeight="1">
      <c r="A43" s="64" t="n"/>
      <c r="B43" s="16" t="inlineStr">
        <is>
          <t>Total of Adjustments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2">
        <f>L43/$L$13</f>
        <v/>
      </c>
      <c r="N43" s="17" t="n"/>
      <c r="O43" s="1" t="n"/>
      <c r="P43" s="1" t="n"/>
      <c r="Q43" s="1" t="n"/>
      <c r="R43" s="1" t="n"/>
      <c r="S43" s="1" t="n"/>
      <c r="T43" s="1" t="n"/>
      <c r="U43" s="1" t="n"/>
      <c r="V43" s="1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12.75" customHeight="1">
      <c r="A44" s="67" t="n"/>
      <c r="B44" s="16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68" t="n"/>
      <c r="N44" s="63" t="n"/>
      <c r="O44" s="1" t="n"/>
      <c r="P44" s="1" t="n"/>
      <c r="Q44" s="1" t="n"/>
      <c r="R44" s="1" t="n"/>
      <c r="S44" s="1" t="n"/>
      <c r="U44" s="1" t="n"/>
      <c r="V44" s="1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12.75" customHeight="1">
      <c r="A45" s="70" t="n">
        <v>5</v>
      </c>
      <c r="B45" s="16" t="inlineStr">
        <is>
          <t>Expected receipt in Bank Statement</t>
        </is>
      </c>
      <c r="C45" s="19">
        <f>C13-C28+C34+C43</f>
        <v/>
      </c>
      <c r="D45" s="19">
        <f>D13-D28+D34+D43</f>
        <v/>
      </c>
      <c r="E45" s="19">
        <f>E13-E28+E34+E43</f>
        <v/>
      </c>
      <c r="F45" s="19">
        <f>F13-F28+F34+F43</f>
        <v/>
      </c>
      <c r="G45" s="19">
        <f>G13-G28+G34+G43</f>
        <v/>
      </c>
      <c r="H45" s="19">
        <f>H13-H28+H34+H43</f>
        <v/>
      </c>
      <c r="I45" s="19">
        <f>I13-I28+I34+I43</f>
        <v/>
      </c>
      <c r="J45" s="19">
        <f>J13-J28+J34+J43</f>
        <v/>
      </c>
      <c r="K45" s="19">
        <f>K13-K28+K34+K43</f>
        <v/>
      </c>
      <c r="L45" s="19">
        <f>L13-L28+L34+L43</f>
        <v/>
      </c>
      <c r="M45" s="12">
        <f>L45/$L$13</f>
        <v/>
      </c>
      <c r="N45" s="17" t="n"/>
      <c r="O45" s="1" t="n"/>
      <c r="P45" s="1" t="n"/>
      <c r="Q45" s="1" t="n"/>
      <c r="R45" s="1" t="n"/>
      <c r="S45" s="1" t="n"/>
      <c r="U45" s="1" t="n"/>
      <c r="V45" s="1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 ht="12.75" customHeight="1">
      <c r="A46" s="64" t="n"/>
      <c r="B46" s="11" t="inlineStr">
        <is>
          <t>less: Cash prepayment adjustments</t>
        </is>
      </c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>
        <f>SUM(C46:K46)</f>
        <v/>
      </c>
      <c r="M46" s="12">
        <f>L46/$L$13</f>
        <v/>
      </c>
      <c r="N46" s="17" t="n"/>
      <c r="O46" s="1" t="n"/>
      <c r="P46" s="1" t="n"/>
      <c r="Q46" s="1" t="n"/>
      <c r="R46" s="1" t="n"/>
      <c r="S46" s="1" t="n"/>
      <c r="U46" s="1" t="n"/>
      <c r="V46" s="1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 ht="12.75" customHeight="1">
      <c r="A47" s="64" t="n"/>
      <c r="B47" s="11" t="inlineStr">
        <is>
          <t>less: Restaurant advance (Advance received during the week)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>
        <f>SUM(C47:K47)</f>
        <v/>
      </c>
      <c r="M47" s="12">
        <f>L47/$L$13</f>
        <v/>
      </c>
      <c r="N47" s="17" t="n"/>
      <c r="O47" s="1" t="n"/>
      <c r="P47" s="1" t="n"/>
      <c r="Q47" s="1" t="n"/>
      <c r="R47" s="1" t="n"/>
      <c r="S47" s="1" t="n"/>
      <c r="T47" s="1" t="n"/>
      <c r="U47" s="1" t="n"/>
      <c r="V47" s="1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 ht="12.75" customHeight="1">
      <c r="A48" s="64" t="n"/>
      <c r="B48" s="11" t="inlineStr">
        <is>
          <t>Less: EMI deducted by lender(Bank/NBFC)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>
        <f>SUM(C48:K48)</f>
        <v/>
      </c>
      <c r="M48" s="12">
        <f>L48/$L$13</f>
        <v/>
      </c>
      <c r="N48" s="17" t="n"/>
      <c r="O48" s="1" t="n"/>
      <c r="P48" s="1" t="n"/>
      <c r="Q48" s="1" t="n"/>
      <c r="R48" s="1" t="n"/>
      <c r="S48" s="1" t="n"/>
      <c r="T48" s="1" t="n"/>
      <c r="U48" s="1" t="n"/>
      <c r="V48" s="1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 ht="12.75" customHeight="1">
      <c r="A49" s="64" t="n"/>
      <c r="B49" s="11" t="inlineStr">
        <is>
          <t>Actual Receipt in Bank Statement</t>
        </is>
      </c>
      <c r="C49" s="22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32" t="n">
        <v>0</v>
      </c>
      <c r="K49" s="22" t="n">
        <v>0</v>
      </c>
      <c r="L49" s="18">
        <f>SUM(C49:K49)</f>
        <v/>
      </c>
      <c r="M49" s="12">
        <f>L49/$L$13</f>
        <v/>
      </c>
      <c r="N49" s="17" t="n"/>
      <c r="O49" s="1" t="n"/>
      <c r="P49" s="1" t="n"/>
      <c r="Q49" s="1" t="n"/>
      <c r="R49" s="1" t="n"/>
      <c r="S49" s="1" t="n"/>
      <c r="T49" s="1" t="n"/>
      <c r="U49" s="1" t="n"/>
      <c r="V49" s="1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 ht="12.75" customHeight="1" thickBot="1">
      <c r="A50" s="71" t="n"/>
      <c r="B50" s="24" t="inlineStr">
        <is>
          <t>Difference</t>
        </is>
      </c>
      <c r="C50" s="33">
        <f>C49-C46-C47-C48-C45</f>
        <v/>
      </c>
      <c r="D50" s="33">
        <f>D49-D46-D47-D48-D45</f>
        <v/>
      </c>
      <c r="E50" s="33">
        <f>E49-E46-E47-E48-E45</f>
        <v/>
      </c>
      <c r="F50" s="33">
        <f>F49-F46-F47-F48-F45</f>
        <v/>
      </c>
      <c r="G50" s="33">
        <f>G49-G46-G47-G48-G45</f>
        <v/>
      </c>
      <c r="H50" s="33">
        <f>H49-H46-H47-H48-H45</f>
        <v/>
      </c>
      <c r="I50" s="33">
        <f>IFERROR(I49-I48-I47-I46-I45,0)</f>
        <v/>
      </c>
      <c r="J50" s="33">
        <f>J49-J46-J47-J48-J45</f>
        <v/>
      </c>
      <c r="K50" s="33">
        <f>K49-K46-K47-K48-K45</f>
        <v/>
      </c>
      <c r="L50" s="33">
        <f>L49-L46-L47-L48-L45</f>
        <v/>
      </c>
      <c r="M50" s="25">
        <f>L50/$L$13</f>
        <v/>
      </c>
      <c r="N50" s="17" t="n"/>
      <c r="O50" s="1" t="n"/>
      <c r="P50" s="1" t="n"/>
      <c r="Q50" s="1" t="n"/>
      <c r="R50" s="1" t="n"/>
      <c r="S50" s="1" t="n"/>
      <c r="T50" s="1" t="n"/>
      <c r="U50" s="1" t="n"/>
      <c r="V50" s="1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 ht="12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 ht="15.75" customHeight="1">
      <c r="A52" s="26" t="inlineStr">
        <is>
          <t>Notes: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 ht="12.75" customHeight="1">
      <c r="A53" s="36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3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 ht="12.75" customHeight="1">
      <c r="A54" s="28" t="n"/>
      <c r="B54" s="29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 ht="12.75" customHeight="1">
      <c r="A55" s="30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 ht="12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 ht="12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 ht="12.7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 ht="12.7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 ht="12.7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 ht="12.7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 ht="12.7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 ht="12.7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 ht="12.7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 ht="12.7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 ht="12.7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 ht="12.7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 ht="12.7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 ht="12.7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 ht="12.7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 ht="12.7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 ht="12.7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 ht="12.7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 ht="12.7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</row>
    <row r="75" ht="12.7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 ht="12.7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</row>
    <row r="77" ht="12.7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 ht="12.7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 ht="12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 ht="12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 ht="12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 ht="12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 ht="12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 ht="12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</row>
    <row r="85" ht="12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 ht="12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</row>
    <row r="87" ht="12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 ht="12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 ht="12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 ht="12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</row>
    <row r="91" ht="12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 ht="12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 ht="12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 ht="12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 ht="12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 ht="12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 ht="12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 ht="12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 ht="12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 ht="12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 ht="12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 ht="12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 ht="12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 ht="12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 ht="12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 ht="12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 ht="12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 ht="12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 ht="12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 ht="12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</row>
    <row r="111" ht="12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 ht="12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 ht="12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 ht="12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 ht="12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 ht="12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 ht="12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 ht="12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 ht="12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 ht="12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 ht="12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 ht="12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 ht="12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 ht="12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 ht="12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 ht="12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 ht="12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 ht="12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 ht="12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 ht="12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 ht="12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 ht="12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 ht="12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 ht="12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 ht="12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 ht="12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 ht="12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 ht="12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 ht="12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 ht="12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</row>
    <row r="141" ht="12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 ht="12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 ht="12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 ht="12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 ht="12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 ht="12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</row>
    <row r="147" ht="12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 ht="12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</row>
    <row r="149" ht="12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 ht="12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 ht="12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 ht="12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 ht="12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 ht="12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 ht="12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 ht="12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 ht="12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 ht="12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 ht="12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 ht="12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 ht="12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 ht="12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</row>
    <row r="163" ht="12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 ht="12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</row>
    <row r="165" ht="12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 ht="12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</row>
    <row r="167" ht="12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 ht="12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 ht="12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 ht="12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 ht="12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 ht="12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 ht="12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 ht="12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 ht="12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 ht="12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 ht="12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 ht="12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 ht="12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 ht="12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</row>
    <row r="181" ht="12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 ht="12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</row>
    <row r="183" ht="12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 ht="12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</row>
    <row r="185" ht="12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 ht="12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</row>
    <row r="187" ht="12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 ht="12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</row>
    <row r="189" ht="12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 ht="12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</row>
    <row r="191" ht="12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 ht="12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</row>
    <row r="193" ht="12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 ht="12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</row>
    <row r="195" ht="12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 ht="12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 ht="12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 ht="12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</row>
    <row r="199" ht="12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 ht="12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</row>
    <row r="201" ht="12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 ht="12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</row>
    <row r="203" ht="12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 ht="12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 ht="12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 ht="12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 ht="12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 ht="12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 ht="12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 ht="12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 ht="12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 ht="12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 ht="12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 ht="12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 ht="12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 ht="12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</row>
    <row r="217" ht="12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 ht="12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</row>
    <row r="219" ht="12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 ht="12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</row>
    <row r="221" ht="12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 ht="12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 ht="12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 ht="12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 ht="12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 ht="12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 ht="12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 ht="12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 ht="12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 ht="12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 ht="12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 ht="12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 ht="12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 ht="12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</row>
    <row r="235" ht="12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 ht="12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</row>
    <row r="237" ht="12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 ht="12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</row>
    <row r="239" ht="12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3"/>
    <row r="258" ht="15.75" customFormat="1" customHeight="1" s="3"/>
    <row r="259" ht="15.75" customFormat="1" customHeight="1" s="3"/>
    <row r="260" ht="15.75" customFormat="1" customHeight="1" s="3"/>
    <row r="261" ht="15.75" customFormat="1" customHeight="1" s="3"/>
    <row r="262" ht="15.75" customFormat="1" customHeight="1" s="3"/>
    <row r="263" ht="15.75" customFormat="1" customHeight="1" s="3"/>
    <row r="264" ht="15.75" customFormat="1" customHeight="1" s="3"/>
    <row r="265" ht="15.75" customFormat="1" customHeight="1" s="3"/>
    <row r="266" ht="15.75" customFormat="1" customHeight="1" s="3"/>
    <row r="267" ht="15.75" customFormat="1" customHeight="1" s="3"/>
    <row r="268" ht="15.75" customFormat="1" customHeight="1" s="3"/>
    <row r="269" ht="15.75" customFormat="1" customHeight="1" s="3"/>
    <row r="270" ht="15.75" customFormat="1" customHeight="1" s="3"/>
    <row r="271" ht="15.75" customFormat="1" customHeight="1" s="3"/>
    <row r="272" ht="15.75" customFormat="1" customHeight="1" s="3"/>
    <row r="273" ht="15.75" customFormat="1" customHeight="1" s="3"/>
    <row r="274" ht="15.75" customFormat="1" customHeight="1" s="3"/>
    <row r="275" ht="15.75" customFormat="1" customHeight="1" s="3"/>
    <row r="276" ht="15.75" customFormat="1" customHeight="1" s="3"/>
    <row r="277" ht="15.75" customFormat="1" customHeight="1" s="3"/>
    <row r="278" ht="15.75" customFormat="1" customHeight="1" s="3"/>
    <row r="279" ht="15.75" customFormat="1" customHeight="1" s="3"/>
    <row r="280" ht="15.75" customFormat="1" customHeight="1" s="3"/>
    <row r="281" ht="15.75" customFormat="1" customHeight="1" s="3"/>
    <row r="282" ht="15.75" customFormat="1" customHeight="1" s="3"/>
    <row r="283" ht="15.75" customFormat="1" customHeight="1" s="3"/>
    <row r="284" ht="15.75" customFormat="1" customHeight="1" s="3"/>
    <row r="285" ht="15.75" customFormat="1" customHeight="1" s="3"/>
    <row r="286" ht="15.75" customFormat="1" customHeight="1" s="3"/>
    <row r="287" ht="15.75" customFormat="1" customHeight="1" s="3"/>
    <row r="288" ht="15.75" customFormat="1" customHeight="1" s="3"/>
    <row r="289" ht="15.75" customFormat="1" customHeight="1" s="3"/>
    <row r="290" ht="15.75" customFormat="1" customHeight="1" s="3"/>
    <row r="291" ht="15.75" customFormat="1" customHeight="1" s="3"/>
    <row r="292" ht="15.75" customFormat="1" customHeight="1" s="3"/>
    <row r="293" ht="15.75" customFormat="1" customHeight="1" s="3"/>
    <row r="294" ht="15.75" customFormat="1" customHeight="1" s="3"/>
    <row r="295" ht="15.75" customFormat="1" customHeight="1" s="3"/>
    <row r="296" ht="15.75" customFormat="1" customHeight="1" s="3"/>
    <row r="297" ht="15.75" customFormat="1" customHeight="1" s="3"/>
    <row r="298" ht="15.75" customFormat="1" customHeight="1" s="3"/>
    <row r="299" ht="15.75" customFormat="1" customHeight="1" s="3"/>
    <row r="300" ht="15.75" customFormat="1" customHeight="1" s="3"/>
    <row r="301" ht="15.75" customFormat="1" customHeight="1" s="3"/>
    <row r="302" ht="15.75" customFormat="1" customHeight="1" s="3"/>
    <row r="303" ht="15.75" customFormat="1" customHeight="1" s="3"/>
    <row r="304" ht="15.75" customFormat="1" customHeight="1" s="3"/>
    <row r="305" ht="15.75" customFormat="1" customHeight="1" s="3"/>
    <row r="306" ht="15.75" customFormat="1" customHeight="1" s="3"/>
    <row r="307" ht="15.75" customFormat="1" customHeight="1" s="3"/>
    <row r="308" ht="15.75" customFormat="1" customHeight="1" s="3"/>
    <row r="309" ht="15.75" customFormat="1" customHeight="1" s="3"/>
    <row r="310" ht="15.75" customFormat="1" customHeight="1" s="3"/>
    <row r="311" ht="15.75" customFormat="1" customHeight="1" s="3"/>
    <row r="312" ht="15.75" customFormat="1" customHeight="1" s="3"/>
    <row r="313" ht="15.75" customFormat="1" customHeight="1" s="3"/>
    <row r="314" ht="15.75" customFormat="1" customHeight="1" s="3"/>
    <row r="315" ht="15.75" customFormat="1" customHeight="1" s="3"/>
    <row r="316" ht="15.75" customFormat="1" customHeight="1" s="3"/>
    <row r="317" ht="15.75" customFormat="1" customHeight="1" s="3"/>
    <row r="318" ht="15.75" customFormat="1" customHeight="1" s="3"/>
    <row r="319" ht="15.75" customFormat="1" customHeight="1" s="3"/>
    <row r="320" ht="15.75" customFormat="1" customHeight="1" s="3"/>
    <row r="321" ht="15.75" customFormat="1" customHeight="1" s="3"/>
    <row r="322" ht="15.75" customFormat="1" customHeight="1" s="3"/>
    <row r="323" ht="15.75" customFormat="1" customHeight="1" s="3"/>
    <row r="324" ht="15.75" customFormat="1" customHeight="1" s="3"/>
    <row r="325" ht="15.75" customFormat="1" customHeight="1" s="3"/>
    <row r="326" ht="15.75" customFormat="1" customHeight="1" s="3"/>
    <row r="327" ht="15.75" customFormat="1" customHeight="1" s="3"/>
    <row r="328" ht="15.75" customFormat="1" customHeight="1" s="3"/>
    <row r="329" ht="15.75" customFormat="1" customHeight="1" s="3"/>
    <row r="330" ht="15.75" customFormat="1" customHeight="1" s="3"/>
    <row r="331" ht="15.75" customFormat="1" customHeight="1" s="3"/>
    <row r="332" ht="15.75" customFormat="1" customHeight="1" s="3"/>
    <row r="333" ht="15.75" customFormat="1" customHeight="1" s="3"/>
    <row r="334" ht="15.75" customFormat="1" customHeight="1" s="3"/>
    <row r="335" ht="15.75" customFormat="1" customHeight="1" s="3"/>
    <row r="336" ht="15.75" customFormat="1" customHeight="1" s="3"/>
    <row r="337" ht="15.75" customFormat="1" customHeight="1" s="3"/>
    <row r="338" ht="15.75" customFormat="1" customHeight="1" s="3"/>
    <row r="339" ht="15.75" customFormat="1" customHeight="1" s="3"/>
    <row r="340" ht="15.75" customFormat="1" customHeight="1" s="3"/>
    <row r="341" ht="15.75" customFormat="1" customHeight="1" s="3"/>
    <row r="342" ht="15.75" customFormat="1" customHeight="1" s="3"/>
    <row r="343" ht="15.75" customFormat="1" customHeight="1" s="3"/>
    <row r="344" ht="15.75" customFormat="1" customHeight="1" s="3"/>
    <row r="345" ht="15.75" customFormat="1" customHeight="1" s="3"/>
    <row r="346" ht="15.75" customFormat="1" customHeight="1" s="3"/>
    <row r="347" ht="15.75" customFormat="1" customHeight="1" s="3"/>
    <row r="348" ht="15.75" customFormat="1" customHeight="1" s="3"/>
    <row r="349" ht="15.75" customFormat="1" customHeight="1" s="3"/>
    <row r="350" ht="15.75" customFormat="1" customHeight="1" s="3"/>
    <row r="351" ht="15.75" customFormat="1" customHeight="1" s="3"/>
    <row r="352" ht="15.75" customFormat="1" customHeight="1" s="3"/>
    <row r="353" ht="15.75" customFormat="1" customHeight="1" s="3"/>
    <row r="354" ht="15.75" customFormat="1" customHeight="1" s="3"/>
    <row r="355" ht="15.75" customFormat="1" customHeight="1" s="3"/>
    <row r="356" ht="15.75" customFormat="1" customHeight="1" s="3"/>
    <row r="357" ht="15.75" customFormat="1" customHeight="1" s="3"/>
    <row r="358" ht="15.75" customFormat="1" customHeight="1" s="3"/>
    <row r="359" ht="15.75" customFormat="1" customHeight="1" s="3"/>
    <row r="360" ht="15.75" customFormat="1" customHeight="1" s="3"/>
    <row r="361" ht="15.75" customFormat="1" customHeight="1" s="3"/>
    <row r="362" ht="15.75" customFormat="1" customHeight="1" s="3"/>
    <row r="363" ht="15.75" customFormat="1" customHeight="1" s="3"/>
    <row r="364" ht="15.75" customFormat="1" customHeight="1" s="3"/>
    <row r="365" ht="15.75" customFormat="1" customHeight="1" s="3"/>
    <row r="366" ht="15.75" customFormat="1" customHeight="1" s="3"/>
    <row r="367" ht="15.75" customFormat="1" customHeight="1" s="3"/>
    <row r="368" ht="15.75" customFormat="1" customHeight="1" s="3"/>
    <row r="369" ht="15.75" customFormat="1" customHeight="1" s="3"/>
    <row r="370" ht="15.75" customFormat="1" customHeight="1" s="3"/>
    <row r="371" ht="15.75" customFormat="1" customHeight="1" s="3"/>
    <row r="372" ht="15.75" customFormat="1" customHeight="1" s="3"/>
    <row r="373" ht="15.75" customFormat="1" customHeight="1" s="3"/>
    <row r="374" ht="15.75" customFormat="1" customHeight="1" s="3"/>
    <row r="375" ht="15.75" customFormat="1" customHeight="1" s="3"/>
    <row r="376" ht="15.75" customFormat="1" customHeight="1" s="3"/>
    <row r="377" ht="15.75" customFormat="1" customHeight="1" s="3"/>
    <row r="378" ht="15.75" customFormat="1" customHeight="1" s="3"/>
    <row r="379" ht="15.75" customFormat="1" customHeight="1" s="3"/>
    <row r="380" ht="15.75" customFormat="1" customHeight="1" s="3"/>
    <row r="381" ht="15.75" customFormat="1" customHeight="1" s="3"/>
    <row r="382" ht="15.75" customFormat="1" customHeight="1" s="3"/>
    <row r="383" ht="15.75" customFormat="1" customHeight="1" s="3"/>
    <row r="384" ht="15.75" customFormat="1" customHeight="1" s="3"/>
    <row r="385" ht="15.75" customFormat="1" customHeight="1" s="3"/>
    <row r="386" ht="15.75" customFormat="1" customHeight="1" s="3"/>
    <row r="387" ht="15.75" customFormat="1" customHeight="1" s="3"/>
    <row r="388" ht="15.75" customFormat="1" customHeight="1" s="3"/>
    <row r="389" ht="15.75" customFormat="1" customHeight="1" s="3"/>
    <row r="390" ht="15.75" customFormat="1" customHeight="1" s="3"/>
    <row r="391" ht="15.75" customFormat="1" customHeight="1" s="3"/>
    <row r="392" ht="15.75" customFormat="1" customHeight="1" s="3"/>
    <row r="393" ht="15.75" customFormat="1" customHeight="1" s="3"/>
    <row r="394" ht="15.75" customFormat="1" customHeight="1" s="3"/>
    <row r="395" ht="15.75" customFormat="1" customHeight="1" s="3"/>
    <row r="396" ht="15.75" customFormat="1" customHeight="1" s="3"/>
    <row r="397" ht="15.75" customFormat="1" customHeight="1" s="3"/>
    <row r="398" ht="15.75" customFormat="1" customHeight="1" s="3"/>
    <row r="399" ht="15.75" customFormat="1" customHeight="1" s="3"/>
    <row r="400" ht="15.75" customFormat="1" customHeight="1" s="3"/>
    <row r="401" ht="15.75" customFormat="1" customHeight="1" s="3"/>
    <row r="402" ht="15.75" customFormat="1" customHeight="1" s="3"/>
    <row r="403" ht="15.75" customFormat="1" customHeight="1" s="3"/>
    <row r="404" ht="15.75" customFormat="1" customHeight="1" s="3"/>
    <row r="405" ht="15.75" customFormat="1" customHeight="1" s="3"/>
    <row r="406" ht="15.75" customFormat="1" customHeight="1" s="3"/>
    <row r="407" ht="15.75" customFormat="1" customHeight="1" s="3"/>
    <row r="408" ht="15.75" customFormat="1" customHeight="1" s="3"/>
    <row r="409" ht="15.75" customFormat="1" customHeight="1" s="3"/>
    <row r="410" ht="15.75" customFormat="1" customHeight="1" s="3"/>
    <row r="411" ht="15.75" customFormat="1" customHeight="1" s="3"/>
    <row r="412" ht="15.75" customFormat="1" customHeight="1" s="3"/>
    <row r="413" ht="15.75" customFormat="1" customHeight="1" s="3"/>
    <row r="414" ht="15.75" customFormat="1" customHeight="1" s="3"/>
    <row r="415" ht="15.75" customFormat="1" customHeight="1" s="3"/>
    <row r="416" ht="15.75" customFormat="1" customHeight="1" s="3"/>
    <row r="417" ht="15.75" customFormat="1" customHeight="1" s="3"/>
    <row r="418" ht="15.75" customFormat="1" customHeight="1" s="3"/>
    <row r="419" ht="15.75" customFormat="1" customHeight="1" s="3"/>
    <row r="420" ht="15.75" customFormat="1" customHeight="1" s="3"/>
    <row r="421" ht="15.75" customFormat="1" customHeight="1" s="3"/>
    <row r="422" ht="15.75" customFormat="1" customHeight="1" s="3"/>
    <row r="423" ht="15.75" customFormat="1" customHeight="1" s="3"/>
    <row r="424" ht="15.75" customFormat="1" customHeight="1" s="3"/>
    <row r="425" ht="15.75" customFormat="1" customHeight="1" s="3"/>
    <row r="426" ht="15.75" customFormat="1" customHeight="1" s="3"/>
    <row r="427" ht="15.75" customFormat="1" customHeight="1" s="3"/>
    <row r="428" ht="15.75" customFormat="1" customHeight="1" s="3"/>
    <row r="429" ht="15.75" customFormat="1" customHeight="1" s="3"/>
    <row r="430" ht="15.75" customFormat="1" customHeight="1" s="3"/>
    <row r="431" ht="15.75" customFormat="1" customHeight="1" s="3"/>
    <row r="432" ht="15.75" customFormat="1" customHeight="1" s="3"/>
    <row r="433" ht="15.75" customFormat="1" customHeight="1" s="3"/>
    <row r="434" ht="15.75" customFormat="1" customHeight="1" s="3"/>
    <row r="435" ht="15.75" customFormat="1" customHeight="1" s="3"/>
    <row r="436" ht="15.75" customFormat="1" customHeight="1" s="3"/>
    <row r="437" ht="15.75" customFormat="1" customHeight="1" s="3"/>
    <row r="438" ht="15.75" customFormat="1" customHeight="1" s="3"/>
    <row r="439" ht="15.75" customFormat="1" customHeight="1" s="3"/>
    <row r="440" ht="15.75" customFormat="1" customHeight="1" s="3"/>
    <row r="441" ht="15.75" customFormat="1" customHeight="1" s="3"/>
    <row r="442" ht="15.75" customFormat="1" customHeight="1" s="3"/>
    <row r="443" ht="15.75" customFormat="1" customHeight="1" s="3"/>
    <row r="444" ht="15.75" customFormat="1" customHeight="1" s="3"/>
    <row r="445" ht="15.75" customFormat="1" customHeight="1" s="3"/>
    <row r="446" ht="15.75" customFormat="1" customHeight="1" s="3"/>
    <row r="447" ht="15.75" customFormat="1" customHeight="1" s="3"/>
    <row r="448" ht="15.75" customFormat="1" customHeight="1" s="3"/>
    <row r="449" ht="15.75" customFormat="1" customHeight="1" s="3"/>
    <row r="450" ht="15.75" customFormat="1" customHeight="1" s="3"/>
    <row r="451" ht="15.75" customFormat="1" customHeight="1" s="3"/>
    <row r="452" ht="15.75" customFormat="1" customHeight="1" s="3"/>
    <row r="453" ht="15.75" customFormat="1" customHeight="1" s="3"/>
    <row r="454" ht="15.75" customFormat="1" customHeight="1" s="3"/>
    <row r="455" ht="15.75" customFormat="1" customHeight="1" s="3"/>
    <row r="456" ht="15.75" customFormat="1" customHeight="1" s="3"/>
    <row r="457" ht="15.75" customFormat="1" customHeight="1" s="3"/>
    <row r="458" ht="15.75" customFormat="1" customHeight="1" s="3"/>
    <row r="459" ht="15.75" customFormat="1" customHeight="1" s="3"/>
    <row r="460" ht="15.75" customFormat="1" customHeight="1" s="3"/>
    <row r="461" ht="15.75" customFormat="1" customHeight="1" s="3"/>
    <row r="462" ht="15.75" customFormat="1" customHeight="1" s="3"/>
    <row r="463" ht="15.75" customFormat="1" customHeight="1" s="3"/>
    <row r="464" ht="15.75" customFormat="1" customHeight="1" s="3"/>
    <row r="465" ht="15.75" customFormat="1" customHeight="1" s="3"/>
    <row r="466" ht="15.75" customFormat="1" customHeight="1" s="3"/>
    <row r="467" ht="15.75" customFormat="1" customHeight="1" s="3"/>
    <row r="468" ht="15.75" customFormat="1" customHeight="1" s="3"/>
    <row r="469" ht="15.75" customFormat="1" customHeight="1" s="3"/>
    <row r="470" ht="15.75" customFormat="1" customHeight="1" s="3"/>
    <row r="471" ht="15.75" customFormat="1" customHeight="1" s="3"/>
    <row r="472" ht="15.75" customFormat="1" customHeight="1" s="3"/>
    <row r="473" ht="15.75" customFormat="1" customHeight="1" s="3"/>
    <row r="474" ht="15.75" customFormat="1" customHeight="1" s="3"/>
    <row r="475" ht="15.75" customFormat="1" customHeight="1" s="3"/>
    <row r="476" ht="15.75" customFormat="1" customHeight="1" s="3"/>
    <row r="477" ht="15.75" customFormat="1" customHeight="1" s="3"/>
    <row r="478" ht="15.75" customFormat="1" customHeight="1" s="3"/>
    <row r="479" ht="15.75" customFormat="1" customHeight="1" s="3"/>
    <row r="480" ht="15.75" customFormat="1" customHeight="1" s="3"/>
    <row r="481" ht="15.75" customFormat="1" customHeight="1" s="3"/>
    <row r="482" ht="15.75" customFormat="1" customHeight="1" s="3"/>
    <row r="483" ht="15.75" customFormat="1" customHeight="1" s="3"/>
    <row r="484" ht="15.75" customFormat="1" customHeight="1" s="3"/>
    <row r="485" ht="15.75" customFormat="1" customHeight="1" s="3"/>
    <row r="486" ht="15.75" customFormat="1" customHeight="1" s="3"/>
    <row r="487" ht="15.75" customFormat="1" customHeight="1" s="3"/>
    <row r="488" ht="15.75" customFormat="1" customHeight="1" s="3"/>
    <row r="489" ht="15.75" customFormat="1" customHeight="1" s="3"/>
    <row r="490" ht="15.75" customFormat="1" customHeight="1" s="3"/>
    <row r="491" ht="15.75" customFormat="1" customHeight="1" s="3"/>
    <row r="492" ht="15.75" customFormat="1" customHeight="1" s="3"/>
    <row r="493" ht="15.75" customFormat="1" customHeight="1" s="3"/>
    <row r="494" ht="15.75" customFormat="1" customHeight="1" s="3"/>
    <row r="495" ht="15.75" customFormat="1" customHeight="1" s="3"/>
    <row r="496" ht="15.75" customFormat="1" customHeight="1" s="3"/>
    <row r="497" ht="15.75" customFormat="1" customHeight="1" s="3"/>
    <row r="498" ht="15.75" customFormat="1" customHeight="1" s="3"/>
    <row r="499" ht="15.75" customFormat="1" customHeight="1" s="3"/>
    <row r="500" ht="15.75" customFormat="1" customHeight="1" s="3"/>
    <row r="501" ht="15.75" customFormat="1" customHeight="1" s="3"/>
    <row r="502" ht="15.75" customFormat="1" customHeight="1" s="3"/>
    <row r="503" ht="15.75" customFormat="1" customHeight="1" s="3"/>
    <row r="504" ht="15.75" customFormat="1" customHeight="1" s="3"/>
    <row r="505" ht="15.75" customFormat="1" customHeight="1" s="3"/>
    <row r="506" ht="15.75" customFormat="1" customHeight="1" s="3"/>
    <row r="507" ht="15.75" customFormat="1" customHeight="1" s="3"/>
    <row r="508" ht="15.75" customFormat="1" customHeight="1" s="3"/>
    <row r="509" ht="15.75" customFormat="1" customHeight="1" s="3"/>
    <row r="510" ht="15.75" customFormat="1" customHeight="1" s="3"/>
    <row r="511" ht="15.75" customFormat="1" customHeight="1" s="3"/>
    <row r="512" ht="15.75" customFormat="1" customHeight="1" s="3"/>
    <row r="513" ht="15.75" customFormat="1" customHeight="1" s="3"/>
    <row r="514" ht="15.75" customFormat="1" customHeight="1" s="3"/>
    <row r="515" ht="15.75" customFormat="1" customHeight="1" s="3"/>
    <row r="516" ht="15.75" customFormat="1" customHeight="1" s="3"/>
    <row r="517" ht="15.75" customFormat="1" customHeight="1" s="3"/>
    <row r="518" ht="15.75" customFormat="1" customHeight="1" s="3"/>
    <row r="519" ht="15.75" customFormat="1" customHeight="1" s="3"/>
    <row r="520" ht="15.75" customFormat="1" customHeight="1" s="3"/>
    <row r="521" ht="15.75" customFormat="1" customHeight="1" s="3"/>
    <row r="522" ht="15.75" customFormat="1" customHeight="1" s="3"/>
    <row r="523" ht="15.75" customFormat="1" customHeight="1" s="3"/>
    <row r="524" ht="15.75" customFormat="1" customHeight="1" s="3"/>
    <row r="525" ht="15.75" customFormat="1" customHeight="1" s="3"/>
    <row r="526" ht="15.75" customFormat="1" customHeight="1" s="3"/>
    <row r="527" ht="15.75" customFormat="1" customHeight="1" s="3"/>
    <row r="528" ht="15.75" customFormat="1" customHeight="1" s="3"/>
    <row r="529" ht="15.75" customFormat="1" customHeight="1" s="3"/>
    <row r="530" ht="15.75" customFormat="1" customHeight="1" s="3"/>
    <row r="531" ht="15.75" customFormat="1" customHeight="1" s="3"/>
    <row r="532" ht="15.75" customFormat="1" customHeight="1" s="3"/>
    <row r="533" ht="15.75" customFormat="1" customHeight="1" s="3"/>
    <row r="534" ht="15.75" customFormat="1" customHeight="1" s="3"/>
    <row r="535" ht="15.75" customFormat="1" customHeight="1" s="3"/>
    <row r="536" ht="15.75" customFormat="1" customHeight="1" s="3"/>
    <row r="537" ht="15.75" customFormat="1" customHeight="1" s="3"/>
    <row r="538" ht="15.75" customFormat="1" customHeight="1" s="3"/>
    <row r="539" ht="15.75" customFormat="1" customHeight="1" s="3"/>
    <row r="540" ht="15.75" customFormat="1" customHeight="1" s="3"/>
    <row r="541" ht="15.75" customFormat="1" customHeight="1" s="3"/>
    <row r="542" ht="15.75" customFormat="1" customHeight="1" s="3"/>
    <row r="543" ht="15.75" customFormat="1" customHeight="1" s="3"/>
    <row r="544" ht="15.75" customFormat="1" customHeight="1" s="3"/>
    <row r="545" ht="15.75" customFormat="1" customHeight="1" s="3"/>
    <row r="546" ht="15.75" customFormat="1" customHeight="1" s="3"/>
    <row r="547" ht="15.75" customFormat="1" customHeight="1" s="3"/>
    <row r="548" ht="15.75" customFormat="1" customHeight="1" s="3"/>
    <row r="549" ht="15.75" customFormat="1" customHeight="1" s="3"/>
    <row r="550" ht="15.75" customFormat="1" customHeight="1" s="3"/>
    <row r="551" ht="15.75" customFormat="1" customHeight="1" s="3"/>
    <row r="552" ht="15.75" customFormat="1" customHeight="1" s="3"/>
    <row r="553" ht="15.75" customFormat="1" customHeight="1" s="3"/>
    <row r="554" ht="15.75" customFormat="1" customHeight="1" s="3"/>
    <row r="555" ht="15.75" customFormat="1" customHeight="1" s="3"/>
    <row r="556" ht="15.75" customFormat="1" customHeight="1" s="3"/>
    <row r="557" ht="15.75" customFormat="1" customHeight="1" s="3"/>
    <row r="558" ht="15.75" customFormat="1" customHeight="1" s="3"/>
    <row r="559" ht="15.75" customFormat="1" customHeight="1" s="3"/>
    <row r="560" ht="15.75" customFormat="1" customHeight="1" s="3"/>
    <row r="561" ht="15.75" customFormat="1" customHeight="1" s="3"/>
    <row r="562" ht="15.75" customFormat="1" customHeight="1" s="3"/>
    <row r="563" ht="15.75" customFormat="1" customHeight="1" s="3"/>
    <row r="564" ht="15.75" customFormat="1" customHeight="1" s="3"/>
    <row r="565" ht="15.75" customFormat="1" customHeight="1" s="3"/>
    <row r="566" ht="15.75" customFormat="1" customHeight="1" s="3"/>
    <row r="567" ht="15.75" customFormat="1" customHeight="1" s="3"/>
    <row r="568" ht="15.75" customFormat="1" customHeight="1" s="3"/>
    <row r="569" ht="15.75" customFormat="1" customHeight="1" s="3"/>
    <row r="570" ht="15.75" customFormat="1" customHeight="1" s="3"/>
    <row r="571" ht="15.75" customFormat="1" customHeight="1" s="3"/>
    <row r="572" ht="15.75" customFormat="1" customHeight="1" s="3"/>
    <row r="573" ht="15.75" customFormat="1" customHeight="1" s="3"/>
    <row r="574" ht="15.75" customFormat="1" customHeight="1" s="3"/>
    <row r="575" ht="15.75" customFormat="1" customHeight="1" s="3"/>
    <row r="576" ht="15.75" customFormat="1" customHeight="1" s="3"/>
    <row r="577" ht="15.75" customFormat="1" customHeight="1" s="3"/>
    <row r="578" ht="15.75" customFormat="1" customHeight="1" s="3"/>
    <row r="579" ht="15.75" customFormat="1" customHeight="1" s="3"/>
    <row r="580" ht="15.75" customFormat="1" customHeight="1" s="3"/>
    <row r="581" ht="15.75" customFormat="1" customHeight="1" s="3"/>
    <row r="582" ht="15.75" customFormat="1" customHeight="1" s="3"/>
    <row r="583" ht="15.75" customFormat="1" customHeight="1" s="3"/>
    <row r="584" ht="15.75" customFormat="1" customHeight="1" s="3"/>
    <row r="585" ht="15.75" customFormat="1" customHeight="1" s="3"/>
    <row r="586" ht="15.75" customFormat="1" customHeight="1" s="3"/>
    <row r="587" ht="15.75" customFormat="1" customHeight="1" s="3"/>
    <row r="588" ht="15.75" customFormat="1" customHeight="1" s="3"/>
    <row r="589" ht="15.75" customFormat="1" customHeight="1" s="3"/>
    <row r="590" ht="15.75" customFormat="1" customHeight="1" s="3"/>
    <row r="591" ht="15.75" customFormat="1" customHeight="1" s="3"/>
    <row r="592" ht="15.75" customFormat="1" customHeight="1" s="3"/>
    <row r="593" ht="15.75" customFormat="1" customHeight="1" s="3"/>
    <row r="594" ht="15.75" customFormat="1" customHeight="1" s="3"/>
    <row r="595" ht="15.75" customFormat="1" customHeight="1" s="3"/>
    <row r="596" ht="15.75" customFormat="1" customHeight="1" s="3"/>
    <row r="597" ht="15.75" customFormat="1" customHeight="1" s="3"/>
    <row r="598" ht="15.75" customFormat="1" customHeight="1" s="3"/>
    <row r="599" ht="15.75" customFormat="1" customHeight="1" s="3"/>
    <row r="600" ht="15.75" customFormat="1" customHeight="1" s="3"/>
    <row r="601" ht="15.75" customFormat="1" customHeight="1" s="3"/>
    <row r="602" ht="15.75" customFormat="1" customHeight="1" s="3"/>
    <row r="603" ht="15.75" customFormat="1" customHeight="1" s="3"/>
    <row r="604" ht="15.75" customFormat="1" customHeight="1" s="3"/>
    <row r="605" ht="15.75" customFormat="1" customHeight="1" s="3"/>
    <row r="606" ht="15.75" customFormat="1" customHeight="1" s="3"/>
    <row r="607" ht="15.75" customFormat="1" customHeight="1" s="3"/>
    <row r="608" ht="15.75" customFormat="1" customHeight="1" s="3"/>
    <row r="609" ht="15.75" customFormat="1" customHeight="1" s="3"/>
    <row r="610" ht="15.75" customFormat="1" customHeight="1" s="3"/>
    <row r="611" ht="15.75" customFormat="1" customHeight="1" s="3"/>
    <row r="612" ht="15.75" customFormat="1" customHeight="1" s="3"/>
    <row r="613" ht="15.75" customFormat="1" customHeight="1" s="3"/>
    <row r="614" ht="15.75" customFormat="1" customHeight="1" s="3"/>
    <row r="615" ht="15.75" customFormat="1" customHeight="1" s="3"/>
    <row r="616" ht="15.75" customFormat="1" customHeight="1" s="3"/>
    <row r="617" ht="15.75" customFormat="1" customHeight="1" s="3"/>
    <row r="618" ht="15.75" customFormat="1" customHeight="1" s="3"/>
    <row r="619" ht="15.75" customFormat="1" customHeight="1" s="3"/>
    <row r="620" ht="15.75" customFormat="1" customHeight="1" s="3"/>
    <row r="621" ht="15.75" customFormat="1" customHeight="1" s="3"/>
    <row r="622" ht="15.75" customFormat="1" customHeight="1" s="3"/>
    <row r="623" ht="15.75" customFormat="1" customHeight="1" s="3"/>
    <row r="624" ht="15.75" customFormat="1" customHeight="1" s="3"/>
    <row r="625" ht="15.75" customFormat="1" customHeight="1" s="3"/>
    <row r="626" ht="15.75" customFormat="1" customHeight="1" s="3"/>
    <row r="627" ht="15.75" customFormat="1" customHeight="1" s="3"/>
    <row r="628" ht="15.75" customFormat="1" customHeight="1" s="3"/>
    <row r="629" ht="15.75" customFormat="1" customHeight="1" s="3"/>
    <row r="630" ht="15.75" customFormat="1" customHeight="1" s="3"/>
    <row r="631" ht="15.75" customFormat="1" customHeight="1" s="3"/>
    <row r="632" ht="15.75" customFormat="1" customHeight="1" s="3"/>
    <row r="633" ht="15.75" customFormat="1" customHeight="1" s="3"/>
    <row r="634" ht="15.75" customFormat="1" customHeight="1" s="3"/>
    <row r="635" ht="15.75" customFormat="1" customHeight="1" s="3"/>
    <row r="636" ht="15.75" customFormat="1" customHeight="1" s="3"/>
    <row r="637" ht="15.75" customFormat="1" customHeight="1" s="3"/>
    <row r="638" ht="15.75" customFormat="1" customHeight="1" s="3"/>
    <row r="639" ht="15.75" customFormat="1" customHeight="1" s="3"/>
    <row r="640" ht="15.75" customFormat="1" customHeight="1" s="3"/>
    <row r="641" ht="15.75" customFormat="1" customHeight="1" s="3"/>
    <row r="642" ht="15.75" customFormat="1" customHeight="1" s="3"/>
    <row r="643" ht="15.75" customFormat="1" customHeight="1" s="3"/>
    <row r="644" ht="15.75" customFormat="1" customHeight="1" s="3"/>
    <row r="645" ht="15.75" customFormat="1" customHeight="1" s="3"/>
    <row r="646" ht="15.75" customFormat="1" customHeight="1" s="3"/>
    <row r="647" ht="15.75" customFormat="1" customHeight="1" s="3"/>
    <row r="648" ht="15.75" customFormat="1" customHeight="1" s="3"/>
    <row r="649" ht="15.75" customFormat="1" customHeight="1" s="3"/>
    <row r="650" ht="15.75" customFormat="1" customHeight="1" s="3"/>
    <row r="651" ht="15.75" customFormat="1" customHeight="1" s="3"/>
    <row r="652" ht="15.75" customFormat="1" customHeight="1" s="3"/>
    <row r="653" ht="15.75" customFormat="1" customHeight="1" s="3"/>
    <row r="654" ht="15.75" customFormat="1" customHeight="1" s="3"/>
    <row r="655" ht="15.75" customFormat="1" customHeight="1" s="3"/>
    <row r="656" ht="15.75" customFormat="1" customHeight="1" s="3"/>
    <row r="657" ht="15.75" customFormat="1" customHeight="1" s="3"/>
    <row r="658" ht="15.75" customFormat="1" customHeight="1" s="3"/>
    <row r="659" ht="15.75" customFormat="1" customHeight="1" s="3"/>
    <row r="660" ht="15.75" customFormat="1" customHeight="1" s="3"/>
    <row r="661" ht="15.75" customFormat="1" customHeight="1" s="3"/>
    <row r="662" ht="15.75" customFormat="1" customHeight="1" s="3"/>
    <row r="663" ht="15.75" customFormat="1" customHeight="1" s="3"/>
    <row r="664" ht="15.75" customFormat="1" customHeight="1" s="3"/>
    <row r="665" ht="15.75" customFormat="1" customHeight="1" s="3"/>
    <row r="666" ht="15.75" customFormat="1" customHeight="1" s="3"/>
    <row r="667" ht="15.75" customFormat="1" customHeight="1" s="3"/>
    <row r="668" ht="15.75" customFormat="1" customHeight="1" s="3"/>
    <row r="669" ht="15.75" customFormat="1" customHeight="1" s="3"/>
    <row r="670" ht="15.75" customFormat="1" customHeight="1" s="3"/>
    <row r="671" ht="15.75" customFormat="1" customHeight="1" s="3"/>
    <row r="672" ht="15.75" customFormat="1" customHeight="1" s="3"/>
    <row r="673" ht="15.75" customFormat="1" customHeight="1" s="3"/>
    <row r="674" ht="15.75" customFormat="1" customHeight="1" s="3"/>
    <row r="675" ht="15.75" customFormat="1" customHeight="1" s="3"/>
    <row r="676" ht="15.75" customFormat="1" customHeight="1" s="3"/>
    <row r="677" ht="15.75" customFormat="1" customHeight="1" s="3"/>
    <row r="678" ht="15.75" customFormat="1" customHeight="1" s="3"/>
    <row r="679" ht="15.75" customFormat="1" customHeight="1" s="3"/>
    <row r="680" ht="15.75" customFormat="1" customHeight="1" s="3"/>
    <row r="681" ht="15.75" customFormat="1" customHeight="1" s="3"/>
    <row r="682" ht="15.75" customFormat="1" customHeight="1" s="3"/>
    <row r="683" ht="15.75" customFormat="1" customHeight="1" s="3"/>
    <row r="684" ht="15.75" customFormat="1" customHeight="1" s="3"/>
    <row r="685" ht="15.75" customFormat="1" customHeight="1" s="3"/>
    <row r="686" ht="15.75" customFormat="1" customHeight="1" s="3"/>
    <row r="687" ht="15.75" customFormat="1" customHeight="1" s="3"/>
    <row r="688" ht="15.75" customFormat="1" customHeight="1" s="3"/>
    <row r="689" ht="15.75" customFormat="1" customHeight="1" s="3"/>
    <row r="690" ht="15.75" customFormat="1" customHeight="1" s="3"/>
    <row r="691" ht="15.75" customFormat="1" customHeight="1" s="3"/>
    <row r="692" ht="15.75" customFormat="1" customHeight="1" s="3"/>
    <row r="693" ht="15.75" customFormat="1" customHeight="1" s="3"/>
    <row r="694" ht="15.75" customFormat="1" customHeight="1" s="3"/>
    <row r="695" ht="15.75" customFormat="1" customHeight="1" s="3"/>
    <row r="696" ht="15.75" customFormat="1" customHeight="1" s="3"/>
    <row r="697" ht="15.75" customFormat="1" customHeight="1" s="3"/>
    <row r="698" ht="15.75" customFormat="1" customHeight="1" s="3"/>
    <row r="699" ht="15.75" customFormat="1" customHeight="1" s="3"/>
    <row r="700" ht="15.75" customFormat="1" customHeight="1" s="3"/>
    <row r="701" ht="15.75" customFormat="1" customHeight="1" s="3"/>
    <row r="702" ht="15.75" customFormat="1" customHeight="1" s="3"/>
    <row r="703" ht="15.75" customFormat="1" customHeight="1" s="3"/>
    <row r="704" ht="15.75" customFormat="1" customHeight="1" s="3"/>
    <row r="705" ht="15.75" customFormat="1" customHeight="1" s="3"/>
    <row r="706" ht="15.75" customFormat="1" customHeight="1" s="3"/>
    <row r="707" ht="15.75" customFormat="1" customHeight="1" s="3"/>
    <row r="708" ht="15.75" customFormat="1" customHeight="1" s="3"/>
    <row r="709" ht="15.75" customFormat="1" customHeight="1" s="3"/>
    <row r="710" ht="15.75" customFormat="1" customHeight="1" s="3"/>
    <row r="711" ht="15.75" customFormat="1" customHeight="1" s="3"/>
    <row r="712" ht="15.75" customFormat="1" customHeight="1" s="3"/>
    <row r="713" ht="15.75" customFormat="1" customHeight="1" s="3"/>
    <row r="714" ht="15.75" customFormat="1" customHeight="1" s="3"/>
    <row r="715" ht="15.75" customFormat="1" customHeight="1" s="3"/>
    <row r="716" ht="15.75" customFormat="1" customHeight="1" s="3"/>
    <row r="717" ht="15.75" customFormat="1" customHeight="1" s="3"/>
    <row r="718" ht="15.75" customFormat="1" customHeight="1" s="3"/>
    <row r="719" ht="15.75" customFormat="1" customHeight="1" s="3"/>
    <row r="720" ht="15.75" customFormat="1" customHeight="1" s="3"/>
    <row r="721" ht="15.75" customFormat="1" customHeight="1" s="3"/>
    <row r="722" ht="15.75" customFormat="1" customHeight="1" s="3"/>
    <row r="723" ht="15.75" customFormat="1" customHeight="1" s="3"/>
    <row r="724" ht="15.75" customFormat="1" customHeight="1" s="3"/>
    <row r="725" ht="15.75" customFormat="1" customHeight="1" s="3"/>
    <row r="726" ht="15.75" customFormat="1" customHeight="1" s="3"/>
    <row r="727" ht="15.75" customFormat="1" customHeight="1" s="3"/>
    <row r="728" ht="15.75" customFormat="1" customHeight="1" s="3"/>
    <row r="729" ht="15.75" customFormat="1" customHeight="1" s="3"/>
    <row r="730" ht="15.75" customFormat="1" customHeight="1" s="3"/>
    <row r="731" ht="15.75" customFormat="1" customHeight="1" s="3"/>
    <row r="732" ht="15.75" customFormat="1" customHeight="1" s="3"/>
    <row r="733" ht="15.75" customFormat="1" customHeight="1" s="3"/>
    <row r="734" ht="15.75" customFormat="1" customHeight="1" s="3"/>
    <row r="735" ht="15.75" customFormat="1" customHeight="1" s="3"/>
    <row r="736" ht="15.75" customFormat="1" customHeight="1" s="3"/>
    <row r="737" ht="15.75" customFormat="1" customHeight="1" s="3"/>
    <row r="738" ht="15.75" customFormat="1" customHeight="1" s="3"/>
    <row r="739" ht="15.75" customFormat="1" customHeight="1" s="3"/>
    <row r="740" ht="15.75" customFormat="1" customHeight="1" s="3"/>
    <row r="741" ht="15.75" customFormat="1" customHeight="1" s="3"/>
    <row r="742" ht="15.75" customFormat="1" customHeight="1" s="3"/>
    <row r="743" ht="15.75" customFormat="1" customHeight="1" s="3"/>
    <row r="744" ht="15.75" customFormat="1" customHeight="1" s="3"/>
    <row r="745" ht="15.75" customFormat="1" customHeight="1" s="3"/>
    <row r="746" ht="15.75" customFormat="1" customHeight="1" s="3"/>
    <row r="747" ht="15.75" customFormat="1" customHeight="1" s="3"/>
    <row r="748" ht="15.75" customFormat="1" customHeight="1" s="3"/>
    <row r="749" ht="15.75" customFormat="1" customHeight="1" s="3"/>
    <row r="750" ht="15.75" customFormat="1" customHeight="1" s="3"/>
    <row r="751" ht="15.75" customFormat="1" customHeight="1" s="3"/>
    <row r="752" ht="15.75" customFormat="1" customHeight="1" s="3"/>
    <row r="753" ht="15.75" customFormat="1" customHeight="1" s="3"/>
    <row r="754" ht="15.75" customFormat="1" customHeight="1" s="3"/>
    <row r="755" ht="15.75" customFormat="1" customHeight="1" s="3"/>
    <row r="756" ht="15.75" customFormat="1" customHeight="1" s="3"/>
    <row r="757" ht="15.75" customFormat="1" customHeight="1" s="3"/>
    <row r="758" ht="15.75" customFormat="1" customHeight="1" s="3"/>
    <row r="759" ht="15.75" customFormat="1" customHeight="1" s="3"/>
    <row r="760" ht="15.75" customFormat="1" customHeight="1" s="3"/>
    <row r="761" ht="15.75" customFormat="1" customHeight="1" s="3"/>
    <row r="762" ht="15.75" customFormat="1" customHeight="1" s="3"/>
    <row r="763" ht="15.75" customFormat="1" customHeight="1" s="3"/>
    <row r="764" ht="15.75" customFormat="1" customHeight="1" s="3"/>
    <row r="765" ht="15.75" customFormat="1" customHeight="1" s="3"/>
    <row r="766" ht="15.75" customFormat="1" customHeight="1" s="3"/>
    <row r="767" ht="15.75" customFormat="1" customHeight="1" s="3"/>
    <row r="768" ht="15.75" customFormat="1" customHeight="1" s="3"/>
    <row r="769" ht="15.75" customFormat="1" customHeight="1" s="3"/>
    <row r="770" ht="15.75" customFormat="1" customHeight="1" s="3"/>
    <row r="771" ht="15.75" customFormat="1" customHeight="1" s="3"/>
    <row r="772" ht="15.75" customFormat="1" customHeight="1" s="3"/>
    <row r="773" ht="15.75" customFormat="1" customHeight="1" s="3"/>
    <row r="774" ht="15.75" customFormat="1" customHeight="1" s="3"/>
    <row r="775" ht="15.75" customFormat="1" customHeight="1" s="3"/>
    <row r="776" ht="15.75" customFormat="1" customHeight="1" s="3"/>
    <row r="777" ht="15.75" customFormat="1" customHeight="1" s="3"/>
    <row r="778" ht="15.75" customFormat="1" customHeight="1" s="3"/>
    <row r="779" ht="15.75" customFormat="1" customHeight="1" s="3"/>
    <row r="780" ht="15.75" customFormat="1" customHeight="1" s="3"/>
    <row r="781" ht="15.75" customFormat="1" customHeight="1" s="3"/>
    <row r="782" ht="15.75" customFormat="1" customHeight="1" s="3"/>
    <row r="783" ht="15.75" customFormat="1" customHeight="1" s="3"/>
    <row r="784" ht="15.75" customFormat="1" customHeight="1" s="3"/>
    <row r="785" ht="15.75" customFormat="1" customHeight="1" s="3"/>
    <row r="786" ht="15.75" customFormat="1" customHeight="1" s="3"/>
    <row r="787" ht="15.75" customFormat="1" customHeight="1" s="3"/>
    <row r="788" ht="15.75" customFormat="1" customHeight="1" s="3"/>
    <row r="789" ht="15.75" customFormat="1" customHeight="1" s="3"/>
    <row r="790" ht="15.75" customFormat="1" customHeight="1" s="3"/>
    <row r="791" ht="15.75" customFormat="1" customHeight="1" s="3"/>
    <row r="792" ht="15.75" customFormat="1" customHeight="1" s="3"/>
    <row r="793" ht="15.75" customFormat="1" customHeight="1" s="3"/>
    <row r="794" ht="15.75" customFormat="1" customHeight="1" s="3"/>
    <row r="795" ht="15.75" customFormat="1" customHeight="1" s="3"/>
    <row r="796" ht="15.75" customFormat="1" customHeight="1" s="3"/>
    <row r="797" ht="15.75" customFormat="1" customHeight="1" s="3"/>
    <row r="798" ht="15.75" customFormat="1" customHeight="1" s="3"/>
    <row r="799" ht="15.75" customFormat="1" customHeight="1" s="3"/>
    <row r="800" ht="15.75" customFormat="1" customHeight="1" s="3"/>
    <row r="801" ht="15.75" customFormat="1" customHeight="1" s="3"/>
    <row r="802" ht="15.75" customFormat="1" customHeight="1" s="3"/>
    <row r="803" ht="15.75" customFormat="1" customHeight="1" s="3"/>
    <row r="804" ht="15.75" customFormat="1" customHeight="1" s="3"/>
    <row r="805" ht="15.75" customFormat="1" customHeight="1" s="3"/>
    <row r="806" ht="15.75" customFormat="1" customHeight="1" s="3"/>
    <row r="807" ht="15.75" customFormat="1" customHeight="1" s="3"/>
    <row r="808" ht="15.75" customFormat="1" customHeight="1" s="3"/>
    <row r="809" ht="15.75" customFormat="1" customHeight="1" s="3"/>
    <row r="810" ht="15.75" customFormat="1" customHeight="1" s="3"/>
    <row r="811" ht="15.75" customFormat="1" customHeight="1" s="3"/>
    <row r="812" ht="15.75" customFormat="1" customHeight="1" s="3"/>
    <row r="813" ht="15.75" customFormat="1" customHeight="1" s="3"/>
    <row r="814" ht="15.75" customFormat="1" customHeight="1" s="3"/>
    <row r="815" ht="15.75" customFormat="1" customHeight="1" s="3"/>
    <row r="816" ht="15.75" customFormat="1" customHeight="1" s="3"/>
    <row r="817" ht="15.75" customFormat="1" customHeight="1" s="3"/>
    <row r="818" ht="15.75" customFormat="1" customHeight="1" s="3"/>
    <row r="819" ht="15.75" customFormat="1" customHeight="1" s="3"/>
    <row r="820" ht="15.75" customFormat="1" customHeight="1" s="3"/>
    <row r="821" ht="15.75" customFormat="1" customHeight="1" s="3"/>
    <row r="822" ht="15.75" customFormat="1" customHeight="1" s="3"/>
    <row r="823" ht="15.75" customFormat="1" customHeight="1" s="3"/>
    <row r="824" ht="15.75" customFormat="1" customHeight="1" s="3"/>
    <row r="825" ht="15.75" customFormat="1" customHeight="1" s="3"/>
    <row r="826" ht="15.75" customFormat="1" customHeight="1" s="3"/>
    <row r="827" ht="15.75" customFormat="1" customHeight="1" s="3"/>
    <row r="828" ht="15.75" customFormat="1" customHeight="1" s="3"/>
    <row r="829" ht="15.75" customFormat="1" customHeight="1" s="3"/>
    <row r="830" ht="15.75" customFormat="1" customHeight="1" s="3"/>
    <row r="831" ht="15.75" customFormat="1" customHeight="1" s="3"/>
    <row r="832" ht="15.75" customFormat="1" customHeight="1" s="3"/>
    <row r="833" ht="15.75" customFormat="1" customHeight="1" s="3"/>
    <row r="834" ht="15.75" customFormat="1" customHeight="1" s="3"/>
    <row r="835" ht="15.75" customFormat="1" customHeight="1" s="3"/>
    <row r="836" ht="15.75" customFormat="1" customHeight="1" s="3"/>
    <row r="837" ht="15.75" customFormat="1" customHeight="1" s="3"/>
    <row r="838" ht="15.75" customFormat="1" customHeight="1" s="3"/>
    <row r="839" ht="15.75" customFormat="1" customHeight="1" s="3"/>
    <row r="840" ht="15.75" customFormat="1" customHeight="1" s="3"/>
    <row r="841" ht="15.75" customFormat="1" customHeight="1" s="3"/>
    <row r="842" ht="15.75" customFormat="1" customHeight="1" s="3"/>
    <row r="843" ht="15.75" customFormat="1" customHeight="1" s="3"/>
    <row r="844" ht="15.75" customFormat="1" customHeight="1" s="3"/>
    <row r="845" ht="15.75" customFormat="1" customHeight="1" s="3"/>
    <row r="846" ht="15.75" customFormat="1" customHeight="1" s="3"/>
    <row r="847" ht="15.75" customFormat="1" customHeight="1" s="3"/>
    <row r="848" ht="15.75" customFormat="1" customHeight="1" s="3"/>
    <row r="849" ht="15.75" customFormat="1" customHeight="1" s="3"/>
    <row r="850" ht="15.75" customFormat="1" customHeight="1" s="3"/>
    <row r="851" ht="15.75" customFormat="1" customHeight="1" s="3"/>
    <row r="852" ht="15.75" customFormat="1" customHeight="1" s="3"/>
    <row r="853" ht="15.75" customFormat="1" customHeight="1" s="3"/>
    <row r="854" ht="15.75" customFormat="1" customHeight="1" s="3"/>
    <row r="855" ht="15.75" customFormat="1" customHeight="1" s="3"/>
    <row r="856" ht="15.75" customFormat="1" customHeight="1" s="3"/>
    <row r="857" ht="15.75" customFormat="1" customHeight="1" s="3"/>
    <row r="858" ht="15.75" customFormat="1" customHeight="1" s="3"/>
    <row r="859" ht="15.75" customFormat="1" customHeight="1" s="3"/>
    <row r="860" ht="15.75" customFormat="1" customHeight="1" s="3"/>
    <row r="861" ht="15.75" customFormat="1" customHeight="1" s="3"/>
    <row r="862" ht="15.75" customFormat="1" customHeight="1" s="3"/>
    <row r="863" ht="15.75" customFormat="1" customHeight="1" s="3"/>
    <row r="864" ht="15.75" customFormat="1" customHeight="1" s="3"/>
    <row r="865" ht="15.75" customFormat="1" customHeight="1" s="3"/>
    <row r="866" ht="15.75" customFormat="1" customHeight="1" s="3"/>
    <row r="867" ht="15.75" customFormat="1" customHeight="1" s="3"/>
    <row r="868" ht="15.75" customFormat="1" customHeight="1" s="3"/>
    <row r="869" ht="15.75" customFormat="1" customHeight="1" s="3"/>
    <row r="870" ht="15.75" customFormat="1" customHeight="1" s="3"/>
    <row r="871" ht="15.75" customFormat="1" customHeight="1" s="3"/>
    <row r="872" ht="15.75" customFormat="1" customHeight="1" s="3"/>
    <row r="873" ht="15.75" customFormat="1" customHeight="1" s="3"/>
    <row r="874" ht="15.75" customFormat="1" customHeight="1" s="3"/>
    <row r="875" ht="15.75" customFormat="1" customHeight="1" s="3"/>
    <row r="876" ht="15.75" customFormat="1" customHeight="1" s="3"/>
    <row r="877" ht="15.75" customFormat="1" customHeight="1" s="3"/>
    <row r="878" ht="15.75" customFormat="1" customHeight="1" s="3"/>
    <row r="879" ht="15.75" customFormat="1" customHeight="1" s="3"/>
    <row r="880" ht="15.75" customFormat="1" customHeight="1" s="3"/>
    <row r="881" ht="15.75" customFormat="1" customHeight="1" s="3"/>
    <row r="882" ht="15.75" customFormat="1" customHeight="1" s="3"/>
    <row r="883" ht="15.75" customFormat="1" customHeight="1" s="3"/>
    <row r="884" ht="15.75" customFormat="1" customHeight="1" s="3"/>
    <row r="885" ht="15.75" customFormat="1" customHeight="1" s="3"/>
    <row r="886" ht="15.75" customFormat="1" customHeight="1" s="3"/>
    <row r="887" ht="15.75" customFormat="1" customHeight="1" s="3"/>
    <row r="888" ht="15.75" customFormat="1" customHeight="1" s="3"/>
    <row r="889" ht="15.75" customFormat="1" customHeight="1" s="3"/>
    <row r="890" ht="15.75" customFormat="1" customHeight="1" s="3"/>
    <row r="891" ht="15.75" customFormat="1" customHeight="1" s="3"/>
    <row r="892" ht="15.75" customFormat="1" customHeight="1" s="3"/>
    <row r="893" ht="15.75" customFormat="1" customHeight="1" s="3"/>
    <row r="894" ht="15.75" customFormat="1" customHeight="1" s="3"/>
    <row r="895" ht="15.75" customFormat="1" customHeight="1" s="3"/>
    <row r="896" ht="15.75" customFormat="1" customHeight="1" s="3"/>
    <row r="897" ht="15.75" customFormat="1" customHeight="1" s="3"/>
    <row r="898" ht="15.75" customFormat="1" customHeight="1" s="3"/>
    <row r="899" ht="15.75" customFormat="1" customHeight="1" s="3"/>
    <row r="900" ht="15.75" customFormat="1" customHeight="1" s="3"/>
    <row r="901" ht="15.75" customFormat="1" customHeight="1" s="3"/>
    <row r="902" ht="15.75" customFormat="1" customHeight="1" s="3"/>
    <row r="903" ht="15.75" customFormat="1" customHeight="1" s="3"/>
    <row r="904" ht="15.75" customFormat="1" customHeight="1" s="3"/>
    <row r="905" ht="15.75" customFormat="1" customHeight="1" s="3"/>
    <row r="906" ht="15.75" customFormat="1" customHeight="1" s="3"/>
    <row r="907" ht="15.75" customFormat="1" customHeight="1" s="3"/>
    <row r="908" ht="15.75" customFormat="1" customHeight="1" s="3"/>
    <row r="909" ht="15.75" customFormat="1" customHeight="1" s="3"/>
    <row r="910" ht="15.75" customFormat="1" customHeight="1" s="3"/>
    <row r="911" ht="15.75" customFormat="1" customHeight="1" s="3"/>
    <row r="912" ht="15.75" customFormat="1" customHeight="1" s="3"/>
    <row r="913" ht="15.75" customFormat="1" customHeight="1" s="3"/>
    <row r="914" ht="15.75" customFormat="1" customHeight="1" s="3"/>
    <row r="915" ht="15.75" customFormat="1" customHeight="1" s="3"/>
    <row r="916" ht="15.75" customFormat="1" customHeight="1" s="3"/>
    <row r="917" ht="15.75" customFormat="1" customHeight="1" s="3"/>
    <row r="918" ht="15.75" customFormat="1" customHeight="1" s="3"/>
    <row r="919" ht="15.75" customFormat="1" customHeight="1" s="3"/>
    <row r="920" ht="15.75" customFormat="1" customHeight="1" s="3"/>
    <row r="921" ht="15.75" customFormat="1" customHeight="1" s="3"/>
    <row r="922" ht="15.75" customFormat="1" customHeight="1" s="3"/>
    <row r="923" ht="15.75" customFormat="1" customHeight="1" s="3"/>
    <row r="924" ht="15.75" customFormat="1" customHeight="1" s="3"/>
    <row r="925" ht="15.75" customFormat="1" customHeight="1" s="3"/>
    <row r="926" ht="15.75" customFormat="1" customHeight="1" s="3"/>
    <row r="927" ht="15.75" customFormat="1" customHeight="1" s="3"/>
    <row r="928" ht="15.75" customFormat="1" customHeight="1" s="3"/>
    <row r="929" ht="15.75" customFormat="1" customHeight="1" s="3"/>
    <row r="930" ht="15.75" customFormat="1" customHeight="1" s="3"/>
    <row r="931" ht="15.75" customFormat="1" customHeight="1" s="3"/>
    <row r="932" ht="15.75" customFormat="1" customHeight="1" s="3"/>
    <row r="933" ht="15.75" customFormat="1" customHeight="1" s="3"/>
    <row r="934" ht="15.75" customFormat="1" customHeight="1" s="3"/>
    <row r="935" ht="15.75" customFormat="1" customHeight="1" s="3"/>
    <row r="936" ht="15.75" customFormat="1" customHeight="1" s="3"/>
    <row r="937" ht="15.75" customFormat="1" customHeight="1" s="3"/>
    <row r="938" ht="15.75" customFormat="1" customHeight="1" s="3"/>
    <row r="939" ht="15.75" customFormat="1" customHeight="1" s="3"/>
    <row r="940" ht="15.75" customFormat="1" customHeight="1" s="3"/>
    <row r="941" ht="15.75" customFormat="1" customHeight="1" s="3"/>
    <row r="942" ht="15.75" customFormat="1" customHeight="1" s="3"/>
    <row r="943" ht="15.75" customFormat="1" customHeight="1" s="3"/>
    <row r="944" ht="15.75" customFormat="1" customHeight="1" s="3"/>
    <row r="945" ht="15.75" customFormat="1" customHeight="1" s="3"/>
    <row r="946" ht="15.75" customFormat="1" customHeight="1" s="3"/>
    <row r="947" ht="15.75" customFormat="1" customHeight="1" s="3"/>
    <row r="948" ht="15.75" customFormat="1" customHeight="1" s="3"/>
    <row r="949" ht="15.75" customFormat="1" customHeight="1" s="3"/>
    <row r="950" ht="15.75" customFormat="1" customHeight="1" s="3"/>
    <row r="951" ht="15.75" customFormat="1" customHeight="1" s="3"/>
    <row r="952" ht="15.75" customFormat="1" customHeight="1" s="3"/>
    <row r="953" ht="15.75" customFormat="1" customHeight="1" s="3"/>
    <row r="954" ht="15.75" customFormat="1" customHeight="1" s="3"/>
    <row r="955" ht="15.75" customFormat="1" customHeight="1" s="3"/>
    <row r="956" ht="15.75" customFormat="1" customHeight="1" s="3"/>
    <row r="957" ht="15.75" customFormat="1" customHeight="1" s="3"/>
    <row r="958" ht="15.75" customFormat="1" customHeight="1" s="3"/>
    <row r="959" ht="15.75" customFormat="1" customHeight="1" s="3"/>
    <row r="960" ht="15.75" customFormat="1" customHeight="1" s="3"/>
    <row r="961" ht="15.75" customFormat="1" customHeight="1" s="3"/>
    <row r="962" ht="15.75" customFormat="1" customHeight="1" s="3"/>
    <row r="963" ht="15.75" customFormat="1" customHeight="1" s="3"/>
    <row r="964" ht="15.75" customFormat="1" customHeight="1" s="3"/>
    <row r="965" ht="15.75" customFormat="1" customHeight="1" s="3"/>
    <row r="966" ht="15.75" customFormat="1" customHeight="1" s="3"/>
    <row r="967" ht="15.75" customFormat="1" customHeight="1" s="3"/>
    <row r="968" ht="15.75" customFormat="1" customHeight="1" s="3"/>
    <row r="969" ht="15.75" customFormat="1" customHeight="1" s="3"/>
    <row r="970" ht="15.75" customFormat="1" customHeight="1" s="3"/>
    <row r="971" ht="15.75" customFormat="1" customHeight="1" s="3"/>
    <row r="972" ht="15.75" customFormat="1" customHeight="1" s="3"/>
    <row r="973" ht="15.75" customFormat="1" customHeight="1" s="3"/>
    <row r="974" ht="15.75" customFormat="1" customHeight="1" s="3"/>
    <row r="975" ht="15.75" customFormat="1" customHeight="1" s="3"/>
    <row r="976" ht="15.75" customFormat="1" customHeight="1" s="3"/>
    <row r="977" ht="15.75" customFormat="1" customHeight="1" s="3"/>
    <row r="978" ht="15.75" customFormat="1" customHeight="1" s="3"/>
    <row r="979" ht="15.75" customFormat="1" customHeight="1" s="3"/>
    <row r="980" ht="15.75" customFormat="1" customHeight="1" s="3"/>
    <row r="981" ht="15.75" customFormat="1" customHeight="1" s="3"/>
    <row r="982" ht="15.75" customFormat="1" customHeight="1" s="3"/>
    <row r="983" ht="15.75" customFormat="1" customHeight="1" s="3"/>
    <row r="984" ht="15.75" customFormat="1" customHeight="1" s="3"/>
    <row r="985" ht="15.75" customFormat="1" customHeight="1" s="3"/>
    <row r="986" ht="15.75" customFormat="1" customHeight="1" s="3"/>
    <row r="987" ht="15.75" customFormat="1" customHeight="1" s="3"/>
    <row r="988" ht="15.75" customFormat="1" customHeight="1" s="3"/>
    <row r="989" ht="15.75" customFormat="1" customHeight="1" s="3"/>
    <row r="990" ht="15.75" customFormat="1" customHeight="1" s="3"/>
    <row r="991" ht="15.75" customFormat="1" customHeight="1" s="3"/>
    <row r="992" ht="15.75" customFormat="1" customHeight="1" s="3"/>
    <row r="993" ht="15.75" customFormat="1" customHeight="1" s="3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workbookViewId="0">
      <selection activeCell="N6" sqref="N6"/>
    </sheetView>
  </sheetViews>
  <sheetFormatPr baseColWidth="8" defaultRowHeight="14.4"/>
  <sheetData>
    <row r="1">
      <c r="A1" t="inlineStr">
        <is>
          <t>Payout Invoice</t>
        </is>
      </c>
      <c r="F1" t="n">
        <v>20944.4670410112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40  </t>
        </is>
      </c>
      <c r="C4" t="n">
        <v>0</v>
      </c>
      <c r="D4" t="inlineStr">
        <is>
          <t xml:space="preserve">  40  </t>
        </is>
      </c>
    </row>
    <row r="5">
      <c r="A5" t="inlineStr">
        <is>
          <t>Order Total</t>
        </is>
      </c>
      <c r="B5" t="inlineStr">
        <is>
          <t xml:space="preserve">  191893.00  </t>
        </is>
      </c>
      <c r="C5" t="n">
        <v>0</v>
      </c>
      <c r="D5" t="inlineStr">
        <is>
          <t xml:space="preserve">  191893.00  </t>
        </is>
      </c>
      <c r="E5" t="n">
        <v>182755.2380952381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191893.0  </t>
        </is>
      </c>
      <c r="C7" t="n">
        <v>0</v>
      </c>
      <c r="D7" t="inlineStr">
        <is>
          <t xml:space="preserve"> 191893.0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191893.0  </t>
        </is>
      </c>
      <c r="C9" t="n">
        <v>0</v>
      </c>
      <c r="D9" t="inlineStr">
        <is>
          <t xml:space="preserve">  191893.0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3837.86  </t>
        </is>
      </c>
      <c r="C15" t="n">
        <v>0</v>
      </c>
      <c r="D15" t="inlineStr">
        <is>
          <t xml:space="preserve">  3837.86  </t>
        </is>
      </c>
      <c r="E15" t="n">
        <v>4528.6748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3837.86  </t>
        </is>
      </c>
      <c r="C19" t="n">
        <v>0</v>
      </c>
      <c r="D19" t="inlineStr">
        <is>
          <t xml:space="preserve">  3837.86  </t>
        </is>
      </c>
    </row>
    <row r="20">
      <c r="A20" t="inlineStr">
        <is>
          <t>Taxes (GST, CESS) over Service Fee</t>
        </is>
      </c>
      <c r="B20" t="inlineStr">
        <is>
          <t xml:space="preserve">  690.86  </t>
        </is>
      </c>
      <c r="C20" t="n">
        <v>0</v>
      </c>
      <c r="D20" t="inlineStr">
        <is>
          <t xml:space="preserve">  690.86  </t>
        </is>
      </c>
    </row>
    <row r="21">
      <c r="A21" t="inlineStr">
        <is>
          <t>Total Swiggy Service Fees</t>
        </is>
      </c>
      <c r="B21" t="inlineStr">
        <is>
          <t xml:space="preserve">  4528.72  </t>
        </is>
      </c>
      <c r="C21" t="n">
        <v>0</v>
      </c>
      <c r="D21" t="inlineStr">
        <is>
          <t xml:space="preserve">  4528.72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-20944.47  </t>
        </is>
      </c>
    </row>
    <row r="25">
      <c r="A25" t="inlineStr">
        <is>
          <t>LISTING_AD</t>
        </is>
      </c>
      <c r="D25" t="n">
        <v>-12456.08</v>
      </c>
      <c r="E25" t="n">
        <v>12456.08</v>
      </c>
    </row>
    <row r="26">
      <c r="A26" t="inlineStr">
        <is>
          <t>FEATURED_AD</t>
        </is>
      </c>
      <c r="D26" t="n">
        <v>-5900.000000000001</v>
      </c>
      <c r="E26" t="n">
        <v>5900.000000000001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187364.42  </t>
        </is>
      </c>
      <c r="C30" t="n">
        <v>0</v>
      </c>
      <c r="D30" t="inlineStr">
        <is>
          <t xml:space="preserve">  166419.95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187364.42  </t>
        </is>
      </c>
      <c r="C33" t="n">
        <v>0</v>
      </c>
      <c r="D33" t="inlineStr">
        <is>
          <t xml:space="preserve">  166419.95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4911.350280758401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31  </t>
        </is>
      </c>
      <c r="C4" t="n">
        <v>0</v>
      </c>
      <c r="D4" t="inlineStr">
        <is>
          <t xml:space="preserve">  31  </t>
        </is>
      </c>
    </row>
    <row r="5">
      <c r="A5" t="inlineStr">
        <is>
          <t>Order Total</t>
        </is>
      </c>
      <c r="B5" t="inlineStr">
        <is>
          <t xml:space="preserve">  172933.00  </t>
        </is>
      </c>
      <c r="C5" t="n">
        <v>0</v>
      </c>
      <c r="D5" t="inlineStr">
        <is>
          <t xml:space="preserve">  172933.00  </t>
        </is>
      </c>
      <c r="E5" t="n">
        <v>164698.0952380952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172933.0  </t>
        </is>
      </c>
      <c r="C7" t="n">
        <v>0</v>
      </c>
      <c r="D7" t="inlineStr">
        <is>
          <t xml:space="preserve"> 172933.0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172933.0  </t>
        </is>
      </c>
      <c r="C9" t="n">
        <v>0</v>
      </c>
      <c r="D9" t="inlineStr">
        <is>
          <t xml:space="preserve">  172933.0  </t>
        </is>
      </c>
    </row>
    <row r="10">
      <c r="A10" t="inlineStr">
        <is>
          <t>Tip</t>
        </is>
      </c>
      <c r="B10" t="n">
        <v>116</v>
      </c>
      <c r="C10" t="n">
        <v>0</v>
      </c>
      <c r="D10" t="inlineStr">
        <is>
          <t xml:space="preserve"> 116.0 </t>
        </is>
      </c>
      <c r="E10" t="n">
        <v>116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3458.66  </t>
        </is>
      </c>
      <c r="C15" t="n">
        <v>0</v>
      </c>
      <c r="D15" t="inlineStr">
        <is>
          <t xml:space="preserve">  3458.66  </t>
        </is>
      </c>
      <c r="E15" t="n">
        <v>4081.2188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3458.66  </t>
        </is>
      </c>
      <c r="C19" t="n">
        <v>0</v>
      </c>
      <c r="D19" t="inlineStr">
        <is>
          <t xml:space="preserve">  3458.66  </t>
        </is>
      </c>
    </row>
    <row r="20">
      <c r="A20" t="inlineStr">
        <is>
          <t>Taxes (GST, CESS) over Service Fee</t>
        </is>
      </c>
      <c r="B20" t="inlineStr">
        <is>
          <t xml:space="preserve">  622.58  </t>
        </is>
      </c>
      <c r="C20" t="n">
        <v>0</v>
      </c>
      <c r="D20" t="inlineStr">
        <is>
          <t xml:space="preserve">  622.58  </t>
        </is>
      </c>
    </row>
    <row r="21">
      <c r="A21" t="inlineStr">
        <is>
          <t>Total Swiggy Service Fees</t>
        </is>
      </c>
      <c r="B21" t="inlineStr">
        <is>
          <t xml:space="preserve">  4081.24  </t>
        </is>
      </c>
      <c r="C21" t="n">
        <v>0</v>
      </c>
      <c r="D21" t="inlineStr">
        <is>
          <t xml:space="preserve">  4081.24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-4911.35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LISTING_AD</t>
        </is>
      </c>
      <c r="D26" t="n">
        <v>-2577.12</v>
      </c>
      <c r="E26" t="n">
        <v>2577.12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168967.82  </t>
        </is>
      </c>
      <c r="C30" t="n">
        <v>0</v>
      </c>
      <c r="D30" t="inlineStr">
        <is>
          <t xml:space="preserve">  164056.47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168967.82  </t>
        </is>
      </c>
      <c r="C33" t="n">
        <v>0</v>
      </c>
      <c r="D33" t="inlineStr">
        <is>
          <t xml:space="preserve">  164056.47 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3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7294.227041011201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46  </t>
        </is>
      </c>
      <c r="C4" t="n">
        <v>0</v>
      </c>
      <c r="D4" t="inlineStr">
        <is>
          <t xml:space="preserve">  46  </t>
        </is>
      </c>
    </row>
    <row r="5">
      <c r="A5" t="inlineStr">
        <is>
          <t>Order Total</t>
        </is>
      </c>
      <c r="B5" t="inlineStr">
        <is>
          <t xml:space="preserve">  234968.00  </t>
        </is>
      </c>
      <c r="C5" t="n">
        <v>0</v>
      </c>
      <c r="D5" t="inlineStr">
        <is>
          <t xml:space="preserve">  234968.00  </t>
        </is>
      </c>
      <c r="E5" t="n">
        <v>223779.0476190476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234968.0  </t>
        </is>
      </c>
      <c r="C7" t="n">
        <v>0</v>
      </c>
      <c r="D7" t="inlineStr">
        <is>
          <t xml:space="preserve"> 234968.0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234968.0  </t>
        </is>
      </c>
      <c r="C9" t="n">
        <v>0</v>
      </c>
      <c r="D9" t="inlineStr">
        <is>
          <t xml:space="preserve">  234968.0  </t>
        </is>
      </c>
    </row>
    <row r="10">
      <c r="A10" t="inlineStr">
        <is>
          <t>Tip</t>
        </is>
      </c>
      <c r="B10" t="n">
        <v>700</v>
      </c>
      <c r="C10" t="n">
        <v>0</v>
      </c>
      <c r="D10" t="inlineStr">
        <is>
          <t xml:space="preserve"> 700.0 </t>
        </is>
      </c>
      <c r="E10" t="n">
        <v>700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4699.36  </t>
        </is>
      </c>
      <c r="C15" t="n">
        <v>0</v>
      </c>
      <c r="D15" t="inlineStr">
        <is>
          <t xml:space="preserve">  4699.36  </t>
        </is>
      </c>
      <c r="E15" t="n">
        <v>5545.244799999999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4699.36  </t>
        </is>
      </c>
      <c r="C19" t="n">
        <v>0</v>
      </c>
      <c r="D19" t="inlineStr">
        <is>
          <t xml:space="preserve">  4699.36  </t>
        </is>
      </c>
    </row>
    <row r="20">
      <c r="A20" t="inlineStr">
        <is>
          <t>Taxes (GST, CESS) over Service Fee</t>
        </is>
      </c>
      <c r="B20" t="inlineStr">
        <is>
          <t xml:space="preserve">  845.86  </t>
        </is>
      </c>
      <c r="C20" t="n">
        <v>0</v>
      </c>
      <c r="D20" t="inlineStr">
        <is>
          <t xml:space="preserve">  845.86  </t>
        </is>
      </c>
    </row>
    <row r="21">
      <c r="A21" t="inlineStr">
        <is>
          <t>Total Swiggy Service Fees</t>
        </is>
      </c>
      <c r="B21" t="inlineStr">
        <is>
          <t xml:space="preserve">  5545.22  </t>
        </is>
      </c>
      <c r="C21" t="n">
        <v>0</v>
      </c>
      <c r="D21" t="inlineStr">
        <is>
          <t xml:space="preserve">  5545.22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-7294.23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-4181.920000000001</v>
      </c>
      <c r="E26" t="n">
        <v>4181.920000000001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230122.7  </t>
        </is>
      </c>
      <c r="C30" t="n">
        <v>0</v>
      </c>
      <c r="D30" t="inlineStr">
        <is>
          <t xml:space="preserve">  222828.47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230122.70  </t>
        </is>
      </c>
      <c r="C33" t="n">
        <v>0</v>
      </c>
      <c r="D33" t="inlineStr">
        <is>
          <t xml:space="preserve">  222828.47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4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5520.2302807584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21  </t>
        </is>
      </c>
      <c r="C4" t="n">
        <v>0</v>
      </c>
      <c r="D4" t="inlineStr">
        <is>
          <t xml:space="preserve">  21  </t>
        </is>
      </c>
    </row>
    <row r="5">
      <c r="A5" t="inlineStr">
        <is>
          <t>Order Total</t>
        </is>
      </c>
      <c r="B5" t="inlineStr">
        <is>
          <t xml:space="preserve">  90600.00  </t>
        </is>
      </c>
      <c r="C5" t="n">
        <v>0</v>
      </c>
      <c r="D5" t="inlineStr">
        <is>
          <t xml:space="preserve">  90600.00  </t>
        </is>
      </c>
      <c r="E5" t="n">
        <v>86285.71428571428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90600.0  </t>
        </is>
      </c>
      <c r="C7" t="n">
        <v>0</v>
      </c>
      <c r="D7" t="inlineStr">
        <is>
          <t xml:space="preserve"> 90600.0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90600.0  </t>
        </is>
      </c>
      <c r="C9" t="n">
        <v>0</v>
      </c>
      <c r="D9" t="inlineStr">
        <is>
          <t xml:space="preserve">  90600.0  </t>
        </is>
      </c>
    </row>
    <row r="10">
      <c r="A10" t="inlineStr">
        <is>
          <t>Tip</t>
        </is>
      </c>
      <c r="B10" t="n">
        <v>120</v>
      </c>
      <c r="C10" t="n">
        <v>0</v>
      </c>
      <c r="D10" t="inlineStr">
        <is>
          <t xml:space="preserve"> 120.0 </t>
        </is>
      </c>
      <c r="E10" t="n">
        <v>120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1812.0  </t>
        </is>
      </c>
      <c r="C15" t="n">
        <v>0</v>
      </c>
      <c r="D15" t="inlineStr">
        <is>
          <t xml:space="preserve">  1812.0  </t>
        </is>
      </c>
      <c r="E15" t="n">
        <v>2138.16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1812.0  </t>
        </is>
      </c>
      <c r="C19" t="n">
        <v>0</v>
      </c>
      <c r="D19" t="inlineStr">
        <is>
          <t xml:space="preserve">  1812.0  </t>
        </is>
      </c>
    </row>
    <row r="20">
      <c r="A20" t="inlineStr">
        <is>
          <t>Taxes (GST, CESS) over Service Fee</t>
        </is>
      </c>
      <c r="B20" t="inlineStr">
        <is>
          <t xml:space="preserve">  326.2  </t>
        </is>
      </c>
      <c r="C20" t="n">
        <v>0</v>
      </c>
      <c r="D20" t="inlineStr">
        <is>
          <t xml:space="preserve">  326.2  </t>
        </is>
      </c>
    </row>
    <row r="21">
      <c r="A21" t="inlineStr">
        <is>
          <t>Total Swiggy Service Fees</t>
        </is>
      </c>
      <c r="B21" t="inlineStr">
        <is>
          <t xml:space="preserve">  2138.2  </t>
        </is>
      </c>
      <c r="C21" t="n">
        <v>0</v>
      </c>
      <c r="D21" t="inlineStr">
        <is>
          <t xml:space="preserve">  2138.2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-5520.23  </t>
        </is>
      </c>
    </row>
    <row r="25">
      <c r="A25" t="inlineStr">
        <is>
          <t>TOP_CAROUSEL</t>
        </is>
      </c>
      <c r="D25" t="n">
        <v>-392.9399999999999</v>
      </c>
      <c r="E25" t="n">
        <v>392.9399999999999</v>
      </c>
    </row>
    <row r="26">
      <c r="A26" t="inlineStr">
        <is>
          <t>LISTING_AD</t>
        </is>
      </c>
      <c r="D26" t="n">
        <v>-3186</v>
      </c>
      <c r="E26" t="n">
        <v>3186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88581.86  </t>
        </is>
      </c>
      <c r="C30" t="n">
        <v>0</v>
      </c>
      <c r="D30" t="inlineStr">
        <is>
          <t xml:space="preserve">  83061.63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88581.86  </t>
        </is>
      </c>
      <c r="C33" t="n">
        <v>0</v>
      </c>
      <c r="D33" t="inlineStr">
        <is>
          <t xml:space="preserve">  83061.63 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10546.3070410112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41  </t>
        </is>
      </c>
      <c r="C4" t="n">
        <v>0</v>
      </c>
      <c r="D4" t="inlineStr">
        <is>
          <t xml:space="preserve">  41  </t>
        </is>
      </c>
    </row>
    <row r="5">
      <c r="A5" t="inlineStr">
        <is>
          <t>Order Total</t>
        </is>
      </c>
      <c r="B5" t="inlineStr">
        <is>
          <t xml:space="preserve">  185349.00  </t>
        </is>
      </c>
      <c r="C5" t="n">
        <v>0</v>
      </c>
      <c r="D5" t="inlineStr">
        <is>
          <t xml:space="preserve">  185349.00  </t>
        </is>
      </c>
      <c r="E5" t="n">
        <v>176522.8571428571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185349.0  </t>
        </is>
      </c>
      <c r="C7" t="n">
        <v>0</v>
      </c>
      <c r="D7" t="inlineStr">
        <is>
          <t xml:space="preserve"> 185349.0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185349.0  </t>
        </is>
      </c>
      <c r="C9" t="n">
        <v>0</v>
      </c>
      <c r="D9" t="inlineStr">
        <is>
          <t xml:space="preserve">  185349.0  </t>
        </is>
      </c>
    </row>
    <row r="10">
      <c r="A10" t="inlineStr">
        <is>
          <t>Tip</t>
        </is>
      </c>
      <c r="B10" t="n">
        <v>100</v>
      </c>
      <c r="C10" t="n">
        <v>0</v>
      </c>
      <c r="D10" t="inlineStr">
        <is>
          <t xml:space="preserve"> 100.0 </t>
        </is>
      </c>
      <c r="E10" t="n">
        <v>100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3706.98  </t>
        </is>
      </c>
      <c r="C15" t="n">
        <v>0</v>
      </c>
      <c r="D15" t="inlineStr">
        <is>
          <t xml:space="preserve">  3706.98  </t>
        </is>
      </c>
      <c r="E15" t="n">
        <v>4374.2364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3706.98  </t>
        </is>
      </c>
      <c r="C19" t="n">
        <v>0</v>
      </c>
      <c r="D19" t="inlineStr">
        <is>
          <t xml:space="preserve">  3706.98  </t>
        </is>
      </c>
    </row>
    <row r="20">
      <c r="A20" t="inlineStr">
        <is>
          <t>Taxes (GST, CESS) over Service Fee</t>
        </is>
      </c>
      <c r="B20" t="inlineStr">
        <is>
          <t xml:space="preserve">  667.26  </t>
        </is>
      </c>
      <c r="C20" t="n">
        <v>0</v>
      </c>
      <c r="D20" t="inlineStr">
        <is>
          <t xml:space="preserve">  667.26  </t>
        </is>
      </c>
    </row>
    <row r="21">
      <c r="A21" t="inlineStr">
        <is>
          <t>Total Swiggy Service Fees</t>
        </is>
      </c>
      <c r="B21" t="inlineStr">
        <is>
          <t xml:space="preserve">  4374.24  </t>
        </is>
      </c>
      <c r="C21" t="n">
        <v>0</v>
      </c>
      <c r="D21" t="inlineStr">
        <is>
          <t xml:space="preserve">  4374.24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-10546.31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-7434.000000000001</v>
      </c>
      <c r="E26" t="n">
        <v>7434.000000000001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181074.78  </t>
        </is>
      </c>
      <c r="C30" t="n">
        <v>0</v>
      </c>
      <c r="D30" t="inlineStr">
        <is>
          <t xml:space="preserve">  170528.47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181074.78  </t>
        </is>
      </c>
      <c r="C33" t="n">
        <v>0</v>
      </c>
      <c r="D33" t="inlineStr">
        <is>
          <t xml:space="preserve">  170528.47  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100821.00  </t>
        </is>
      </c>
      <c r="C5" t="n">
        <v>0</v>
      </c>
      <c r="D5" t="inlineStr">
        <is>
          <t xml:space="preserve">  100821.00  </t>
        </is>
      </c>
      <c r="E5" t="n">
        <v>96020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100821.0  </t>
        </is>
      </c>
      <c r="C7" t="n">
        <v>0</v>
      </c>
      <c r="D7" t="inlineStr">
        <is>
          <t xml:space="preserve"> 100821.0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100821.0  </t>
        </is>
      </c>
      <c r="C9" t="n">
        <v>0</v>
      </c>
      <c r="D9" t="inlineStr">
        <is>
          <t xml:space="preserve">  100821.0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2016.42  </t>
        </is>
      </c>
      <c r="C15" t="n">
        <v>0</v>
      </c>
      <c r="D15" t="inlineStr">
        <is>
          <t xml:space="preserve">  2016.42  </t>
        </is>
      </c>
      <c r="E15" t="n">
        <v>2379.3756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2016.42  </t>
        </is>
      </c>
      <c r="C19" t="n">
        <v>0</v>
      </c>
      <c r="D19" t="inlineStr">
        <is>
          <t xml:space="preserve">  2016.42  </t>
        </is>
      </c>
    </row>
    <row r="20">
      <c r="A20" t="inlineStr">
        <is>
          <t>Taxes (GST, CESS) over Service Fee</t>
        </is>
      </c>
      <c r="B20" t="inlineStr">
        <is>
          <t xml:space="preserve">  362.9  </t>
        </is>
      </c>
      <c r="C20" t="n">
        <v>0</v>
      </c>
      <c r="D20" t="inlineStr">
        <is>
          <t xml:space="preserve">  362.9  </t>
        </is>
      </c>
    </row>
    <row r="21">
      <c r="A21" t="inlineStr">
        <is>
          <t>Total Swiggy Service Fees</t>
        </is>
      </c>
      <c r="B21" t="inlineStr">
        <is>
          <t xml:space="preserve">  2379.32  </t>
        </is>
      </c>
      <c r="C21" t="n">
        <v>0</v>
      </c>
      <c r="D21" t="inlineStr">
        <is>
          <t xml:space="preserve">  2379.32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98441.52  </t>
        </is>
      </c>
      <c r="C29" t="n">
        <v>0</v>
      </c>
      <c r="D29" t="inlineStr">
        <is>
          <t xml:space="preserve">  96107.29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98441.52  </t>
        </is>
      </c>
      <c r="C32" t="n">
        <v>0</v>
      </c>
      <c r="D32" t="inlineStr">
        <is>
          <t xml:space="preserve">  96107.29  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3112.3070410112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58  </t>
        </is>
      </c>
      <c r="C4" t="n">
        <v>0</v>
      </c>
      <c r="D4" t="inlineStr">
        <is>
          <t xml:space="preserve">  58  </t>
        </is>
      </c>
    </row>
    <row r="5">
      <c r="A5" t="inlineStr">
        <is>
          <t>Order Total</t>
        </is>
      </c>
      <c r="B5" t="inlineStr">
        <is>
          <t xml:space="preserve">  295082.00  </t>
        </is>
      </c>
      <c r="C5" t="n">
        <v>0</v>
      </c>
      <c r="D5" t="inlineStr">
        <is>
          <t xml:space="preserve">  295082.00  </t>
        </is>
      </c>
      <c r="E5" t="n">
        <v>281030.4761904762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295082.0  </t>
        </is>
      </c>
      <c r="C7" t="n">
        <v>0</v>
      </c>
      <c r="D7" t="inlineStr">
        <is>
          <t xml:space="preserve"> 295082.0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295082.0  </t>
        </is>
      </c>
      <c r="C9" t="n">
        <v>0</v>
      </c>
      <c r="D9" t="inlineStr">
        <is>
          <t xml:space="preserve">  295082.0  </t>
        </is>
      </c>
    </row>
    <row r="10">
      <c r="A10" t="inlineStr">
        <is>
          <t>Tip</t>
        </is>
      </c>
      <c r="B10" t="n">
        <v>50</v>
      </c>
      <c r="C10" t="n">
        <v>0</v>
      </c>
      <c r="D10" t="inlineStr">
        <is>
          <t xml:space="preserve"> 50.0 </t>
        </is>
      </c>
      <c r="E10" t="n">
        <v>50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5901.64  </t>
        </is>
      </c>
      <c r="C15" t="n">
        <v>0</v>
      </c>
      <c r="D15" t="inlineStr">
        <is>
          <t xml:space="preserve">  5901.64  </t>
        </is>
      </c>
      <c r="E15" t="n">
        <v>6963.9352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5901.64  </t>
        </is>
      </c>
      <c r="C19" t="n">
        <v>0</v>
      </c>
      <c r="D19" t="inlineStr">
        <is>
          <t xml:space="preserve">  5901.64  </t>
        </is>
      </c>
    </row>
    <row r="20">
      <c r="A20" t="inlineStr">
        <is>
          <t>Taxes (GST, CESS) over Service Fee</t>
        </is>
      </c>
      <c r="B20" t="inlineStr">
        <is>
          <t xml:space="preserve">  1062.26  </t>
        </is>
      </c>
      <c r="C20" t="n">
        <v>0</v>
      </c>
      <c r="D20" t="inlineStr">
        <is>
          <t xml:space="preserve">  1062.26  </t>
        </is>
      </c>
    </row>
    <row r="21">
      <c r="A21" t="inlineStr">
        <is>
          <t>Total Swiggy Service Fees</t>
        </is>
      </c>
      <c r="B21" t="inlineStr">
        <is>
          <t xml:space="preserve">  6963.9  </t>
        </is>
      </c>
      <c r="C21" t="n">
        <v>0</v>
      </c>
      <c r="D21" t="inlineStr">
        <is>
          <t xml:space="preserve">  6963.9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-3112.31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AD_CAMPAIGN</t>
        </is>
      </c>
      <c r="D26" t="n">
        <v>-2588.3870410112</v>
      </c>
      <c r="E26" t="n">
        <v>2588.3870410112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288167.96  </t>
        </is>
      </c>
      <c r="C29" t="n">
        <v>0</v>
      </c>
      <c r="D29" t="inlineStr">
        <is>
          <t xml:space="preserve">  285055.65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288167.96  </t>
        </is>
      </c>
      <c r="C32" t="n">
        <v>0</v>
      </c>
      <c r="D32" t="inlineStr">
        <is>
          <t xml:space="preserve">  285055.65  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8"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121759.00  </t>
        </is>
      </c>
      <c r="C5" t="n">
        <v>0</v>
      </c>
      <c r="D5" t="inlineStr">
        <is>
          <t xml:space="preserve">  121759.00  </t>
        </is>
      </c>
      <c r="E5" t="n">
        <v>115960.9523809524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121759.0  </t>
        </is>
      </c>
      <c r="C7" t="n">
        <v>0</v>
      </c>
      <c r="D7" t="inlineStr">
        <is>
          <t xml:space="preserve"> 121759.0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121759.0  </t>
        </is>
      </c>
      <c r="C9" t="n">
        <v>0</v>
      </c>
      <c r="D9" t="inlineStr">
        <is>
          <t xml:space="preserve">  121759.0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2435.18  </t>
        </is>
      </c>
      <c r="C15" t="n">
        <v>0</v>
      </c>
      <c r="D15" t="inlineStr">
        <is>
          <t xml:space="preserve">  2435.18  </t>
        </is>
      </c>
      <c r="E15" t="n">
        <v>2873.5124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2435.18  </t>
        </is>
      </c>
      <c r="C19" t="n">
        <v>0</v>
      </c>
      <c r="D19" t="inlineStr">
        <is>
          <t xml:space="preserve">  2435.18  </t>
        </is>
      </c>
    </row>
    <row r="20">
      <c r="A20" t="inlineStr">
        <is>
          <t>Taxes (GST, CESS) over Service Fee</t>
        </is>
      </c>
      <c r="B20" t="inlineStr">
        <is>
          <t xml:space="preserve">  438.34  </t>
        </is>
      </c>
      <c r="C20" t="n">
        <v>0</v>
      </c>
      <c r="D20" t="inlineStr">
        <is>
          <t xml:space="preserve">  438.34  </t>
        </is>
      </c>
    </row>
    <row r="21">
      <c r="A21" t="inlineStr">
        <is>
          <t>Total Swiggy Service Fees</t>
        </is>
      </c>
      <c r="B21" t="inlineStr">
        <is>
          <t xml:space="preserve">  2873.52  </t>
        </is>
      </c>
      <c r="C21" t="n">
        <v>0</v>
      </c>
      <c r="D21" t="inlineStr">
        <is>
          <t xml:space="preserve">  2873.52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-7019.23  </t>
        </is>
      </c>
    </row>
    <row r="25">
      <c r="A25" t="inlineStr">
        <is>
          <t>OUTSTANDING_FOR_PREVIOUS_WEEKS</t>
        </is>
      </c>
      <c r="D25" t="n">
        <v>-4803.94</v>
      </c>
      <c r="E25" t="n">
        <v>-4803.94</v>
      </c>
    </row>
    <row r="26">
      <c r="A26" t="inlineStr">
        <is>
          <t>REFUND_FOR_SWIGGY_SERVICE_FEE</t>
        </is>
      </c>
      <c r="D26" t="n">
        <v>118.944</v>
      </c>
      <c r="E26" t="n">
        <v>118.944</v>
      </c>
    </row>
    <row r="27">
      <c r="A27" t="inlineStr">
        <is>
          <t>TOP_CAROUSEL</t>
        </is>
      </c>
      <c r="D27" t="n">
        <v>-392.9400000000001</v>
      </c>
      <c r="E27" t="n">
        <v>392.9400000000001</v>
      </c>
    </row>
    <row r="28">
      <c r="A28" t="inlineStr">
        <is>
          <t>AD_CAMPAIGN</t>
        </is>
      </c>
      <c r="D28" t="n">
        <v>-1941.2902807584</v>
      </c>
      <c r="E28" t="n">
        <v>1941.2902807584</v>
      </c>
    </row>
    <row r="29"/>
    <row r="30"/>
    <row r="31">
      <c r="A31" t="inlineStr">
        <is>
          <t xml:space="preserve">Net Payout (Before TCS) D = A - B - C </t>
        </is>
      </c>
      <c r="B31" t="inlineStr">
        <is>
          <t xml:space="preserve">  118885.48  </t>
        </is>
      </c>
      <c r="C31" t="n">
        <v>0</v>
      </c>
      <c r="D31" t="inlineStr">
        <is>
          <t xml:space="preserve">  111866.25  </t>
        </is>
      </c>
    </row>
    <row r="32">
      <c r="A32" t="inlineStr">
        <is>
          <t>TCS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TDS</t>
        </is>
      </c>
      <c r="B33" t="inlineStr">
        <is>
          <t xml:space="preserve">  0.0  </t>
        </is>
      </c>
      <c r="C33" t="n">
        <v>0</v>
      </c>
      <c r="D33" t="inlineStr">
        <is>
          <t xml:space="preserve">  0.0  </t>
        </is>
      </c>
    </row>
    <row r="34">
      <c r="A34" t="inlineStr">
        <is>
          <t>Net Payout  (D- E - F)</t>
        </is>
      </c>
      <c r="B34" t="inlineStr">
        <is>
          <t xml:space="preserve">  118885.48  </t>
        </is>
      </c>
      <c r="C34" t="n">
        <v>0</v>
      </c>
      <c r="D34" t="inlineStr">
        <is>
          <t xml:space="preserve">  111866.25  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9">
    <outlinePr summaryBelow="1" summaryRight="1"/>
    <pageSetUpPr/>
  </sheetPr>
  <dimension ref="A1:F32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34  </t>
        </is>
      </c>
      <c r="C4" t="n">
        <v>0</v>
      </c>
      <c r="D4" t="inlineStr">
        <is>
          <t xml:space="preserve">  34  </t>
        </is>
      </c>
    </row>
    <row r="5">
      <c r="A5" t="inlineStr">
        <is>
          <t>Order Total</t>
        </is>
      </c>
      <c r="B5" t="inlineStr">
        <is>
          <t xml:space="preserve">  161674.00  </t>
        </is>
      </c>
      <c r="C5" t="n">
        <v>0</v>
      </c>
      <c r="D5" t="inlineStr">
        <is>
          <t xml:space="preserve">  161674.00  </t>
        </is>
      </c>
      <c r="E5" t="n">
        <v>153975.2380952381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161674.0  </t>
        </is>
      </c>
      <c r="C7" t="n">
        <v>0</v>
      </c>
      <c r="D7" t="inlineStr">
        <is>
          <t xml:space="preserve"> 161674.0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161674.0  </t>
        </is>
      </c>
      <c r="C9" t="n">
        <v>0</v>
      </c>
      <c r="D9" t="inlineStr">
        <is>
          <t xml:space="preserve">  161674.0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3233.48  </t>
        </is>
      </c>
      <c r="C15" t="n">
        <v>0</v>
      </c>
      <c r="D15" t="inlineStr">
        <is>
          <t xml:space="preserve">  3233.48  </t>
        </is>
      </c>
      <c r="E15" t="n">
        <v>3815.5064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3233.48  </t>
        </is>
      </c>
      <c r="C19" t="n">
        <v>0</v>
      </c>
      <c r="D19" t="inlineStr">
        <is>
          <t xml:space="preserve">  3233.48  </t>
        </is>
      </c>
    </row>
    <row r="20">
      <c r="A20" t="inlineStr">
        <is>
          <t>Taxes (GST, CESS) over Service Fee</t>
        </is>
      </c>
      <c r="B20" t="inlineStr">
        <is>
          <t xml:space="preserve">  582.02  </t>
        </is>
      </c>
      <c r="C20" t="n">
        <v>0</v>
      </c>
      <c r="D20" t="inlineStr">
        <is>
          <t xml:space="preserve">  582.02  </t>
        </is>
      </c>
    </row>
    <row r="21">
      <c r="A21" t="inlineStr">
        <is>
          <t>Total Swiggy Service Fees</t>
        </is>
      </c>
      <c r="B21" t="inlineStr">
        <is>
          <t xml:space="preserve">  3815.5  </t>
        </is>
      </c>
      <c r="C21" t="n">
        <v>0</v>
      </c>
      <c r="D21" t="inlineStr">
        <is>
          <t xml:space="preserve">  3815.5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157858.50  </t>
        </is>
      </c>
      <c r="C29" t="n">
        <v>0</v>
      </c>
      <c r="D29" t="inlineStr">
        <is>
          <t xml:space="preserve">  155524.27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157858.50  </t>
        </is>
      </c>
      <c r="C32" t="n">
        <v>0</v>
      </c>
      <c r="D32" t="inlineStr">
        <is>
          <t xml:space="preserve">  155524.27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2026-02-10T19:30:14Z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