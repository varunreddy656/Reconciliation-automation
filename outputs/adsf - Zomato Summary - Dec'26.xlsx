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882" firstSheet="0" activeTab="0" autoFilterDateGrouping="1"/>
  </bookViews>
  <sheets>
    <sheet name="Summary" sheetId="1" state="visible" r:id="rId1"/>
    <sheet name="Cashflow" sheetId="2" state="visible" r:id="rId2"/>
    <sheet name="Profit statement" sheetId="3" state="visible" r:id="rId3"/>
    <sheet name="Discrepancies" sheetId="4" state="visible" r:id="rId4"/>
    <sheet name="POS" sheetId="5" state="hidden" r:id="rId5"/>
    <sheet name="BANK" sheetId="6" state="hidden" r:id="rId6"/>
    <sheet name="D1W1" sheetId="7" state="visible" r:id="rId7"/>
    <sheet name="D1W2" sheetId="8" state="visible" r:id="rId8"/>
    <sheet name="D1W3" sheetId="9" state="visible" r:id="rId9"/>
    <sheet name="D1W4" sheetId="10" state="visible" r:id="rId10"/>
    <sheet name="D1W5" sheetId="11" state="visible" r:id="rId11"/>
  </sheets>
  <definedNames>
    <definedName name="_xlnm.Print_Area" localSheetId="1">'Cashflow'!$A$1:$I$44</definedName>
    <definedName name="_xlnm._FilterDatabase" localSheetId="5" hidden="1">'BANK'!$A$10:$G$173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31">
    <font>
      <name val="Calibri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Aptos Narrow"/>
      <family val="1"/>
      <color rgb="FF000000"/>
      <sz val="10"/>
      <scheme val="minor"/>
    </font>
    <font>
      <name val="Cambria"/>
      <family val="1"/>
      <sz val="11"/>
    </font>
    <font>
      <name val="Cambria"/>
      <family val="1"/>
      <color rgb="FF000000"/>
      <sz val="10"/>
    </font>
    <font>
      <name val="Cambria"/>
      <family val="1"/>
      <color theme="1"/>
      <sz val="11"/>
    </font>
    <font>
      <name val="Cambria"/>
      <family val="1"/>
      <color rgb="FF000000"/>
      <sz val="11"/>
    </font>
    <font>
      <name val="Cambria"/>
      <family val="1"/>
      <b val="1"/>
      <color rgb="FF000000"/>
      <sz val="16"/>
    </font>
    <font>
      <name val="Aptos Narrow"/>
      <family val="2"/>
      <color rgb="FF000000"/>
      <sz val="10"/>
      <scheme val="minor"/>
    </font>
    <font>
      <name val="Cambria"/>
      <family val="1"/>
      <b val="1"/>
      <sz val="10"/>
    </font>
    <font>
      <name val="Cambria"/>
      <family val="1"/>
      <sz val="10"/>
    </font>
    <font>
      <name val="Calibri"/>
      <family val="2"/>
      <b val="1"/>
      <sz val="11"/>
    </font>
    <font>
      <name val="Arial"/>
      <family val="2"/>
      <sz val="10"/>
    </font>
    <font>
      <name val="Calibri"/>
      <family val="2"/>
      <b val="1"/>
      <color theme="1"/>
      <sz val="11"/>
    </font>
    <font>
      <name val="Calibri"/>
      <family val="2"/>
      <b val="1"/>
      <color rgb="FF000000"/>
      <sz val="14"/>
    </font>
    <font>
      <name val="Calibri"/>
      <family val="2"/>
      <b val="1"/>
      <color theme="1"/>
      <sz val="12"/>
    </font>
    <font>
      <name val="Calibri"/>
      <family val="2"/>
      <b val="1"/>
      <color theme="1"/>
      <sz val="10"/>
    </font>
    <font>
      <name val="Calibri"/>
      <family val="2"/>
      <b val="1"/>
      <color rgb="FF000000"/>
      <sz val="16"/>
    </font>
    <font>
      <name val="Calibri"/>
      <family val="2"/>
      <color theme="1"/>
      <sz val="10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theme="1"/>
      <sz val="13"/>
    </font>
    <font>
      <name val="Calibri"/>
      <family val="2"/>
      <color theme="1"/>
      <sz val="10"/>
      <u val="single"/>
    </font>
    <font>
      <name val="Calibri"/>
      <family val="2"/>
      <b val="1"/>
      <color theme="1"/>
      <sz val="10"/>
      <u val="single"/>
    </font>
    <font>
      <name val="Calibri"/>
      <family val="2"/>
      <sz val="11"/>
    </font>
  </fonts>
  <fills count="3">
    <fill>
      <patternFill/>
    </fill>
    <fill>
      <patternFill patternType="gray125"/>
    </fill>
    <fill>
      <patternFill patternType="solid">
        <fgColor theme="0"/>
        <bgColor theme="0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auto="1"/>
      </bottom>
      <diagonal/>
    </border>
  </borders>
  <cellStyleXfs count="11">
    <xf numFmtId="0" fontId="0" fillId="0" borderId="0"/>
    <xf numFmtId="43" fontId="30" fillId="0" borderId="0"/>
    <xf numFmtId="0" fontId="6" fillId="0" borderId="0"/>
    <xf numFmtId="0" fontId="12" fillId="0" borderId="0"/>
    <xf numFmtId="9" fontId="30" fillId="0" borderId="0"/>
    <xf numFmtId="0" fontId="4" fillId="0" borderId="0"/>
    <xf numFmtId="0" fontId="30" fillId="0" borderId="0"/>
    <xf numFmtId="9" fontId="30" fillId="0" borderId="0"/>
    <xf numFmtId="0" fontId="16" fillId="0" borderId="0"/>
    <xf numFmtId="0" fontId="30" fillId="0" borderId="0"/>
    <xf numFmtId="0" fontId="30" fillId="0" borderId="0"/>
  </cellStyleXfs>
  <cellXfs count="163">
    <xf numFmtId="0" fontId="0" fillId="0" borderId="0" pivotButton="0" quotePrefix="0" xfId="0"/>
    <xf numFmtId="2" fontId="7" fillId="0" borderId="0" pivotButton="0" quotePrefix="0" xfId="0"/>
    <xf numFmtId="10" fontId="7" fillId="0" borderId="0" pivotButton="0" quotePrefix="0" xfId="0"/>
    <xf numFmtId="10" fontId="10" fillId="0" borderId="0" pivotButton="0" quotePrefix="0" xfId="0"/>
    <xf numFmtId="2" fontId="10" fillId="0" borderId="0" pivotButton="0" quotePrefix="0" xfId="0"/>
    <xf numFmtId="0" fontId="9" fillId="0" borderId="0" applyAlignment="1" pivotButton="0" quotePrefix="0" xfId="0">
      <alignment wrapText="1"/>
    </xf>
    <xf numFmtId="0" fontId="11" fillId="0" borderId="0" pivotButton="0" quotePrefix="0" xfId="0"/>
    <xf numFmtId="0" fontId="9" fillId="0" borderId="0" pivotButton="0" quotePrefix="0" xfId="0"/>
    <xf numFmtId="4" fontId="7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10" fontId="7" fillId="0" borderId="0" pivotButton="0" quotePrefix="0" xfId="4"/>
    <xf numFmtId="0" fontId="15" fillId="0" borderId="0" pivotButton="0" quotePrefix="0" xfId="0"/>
    <xf numFmtId="0" fontId="17" fillId="0" borderId="38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center" vertical="center"/>
    </xf>
    <xf numFmtId="0" fontId="3" fillId="0" borderId="24" applyAlignment="1" pivotButton="0" quotePrefix="0" xfId="0">
      <alignment wrapText="1"/>
    </xf>
    <xf numFmtId="0" fontId="3" fillId="0" borderId="14" pivotButton="0" quotePrefix="0" xfId="0"/>
    <xf numFmtId="0" fontId="3" fillId="0" borderId="0" applyAlignment="1" pivotButton="0" quotePrefix="0" xfId="0">
      <alignment wrapText="1"/>
    </xf>
    <xf numFmtId="0" fontId="3" fillId="0" borderId="14" applyAlignment="1" pivotButton="0" quotePrefix="0" xfId="0">
      <alignment wrapText="1"/>
    </xf>
    <xf numFmtId="0" fontId="3" fillId="0" borderId="25" applyAlignment="1" pivotButton="0" quotePrefix="0" xfId="0">
      <alignment wrapText="1"/>
    </xf>
    <xf numFmtId="10" fontId="3" fillId="0" borderId="14" applyAlignment="1" pivotButton="0" quotePrefix="0" xfId="0">
      <alignment wrapText="1"/>
    </xf>
    <xf numFmtId="10" fontId="3" fillId="0" borderId="14" applyAlignment="1" pivotButton="0" quotePrefix="0" xfId="0">
      <alignment horizontal="right"/>
    </xf>
    <xf numFmtId="2" fontId="3" fillId="0" borderId="14" applyAlignment="1" pivotButton="0" quotePrefix="0" xfId="0">
      <alignment horizontal="right"/>
    </xf>
    <xf numFmtId="2" fontId="3" fillId="0" borderId="0" applyAlignment="1" pivotButton="0" quotePrefix="0" xfId="0">
      <alignment wrapText="1"/>
    </xf>
    <xf numFmtId="2" fontId="3" fillId="0" borderId="14" applyAlignment="1" pivotButton="0" quotePrefix="0" xfId="0">
      <alignment wrapText="1"/>
    </xf>
    <xf numFmtId="0" fontId="3" fillId="0" borderId="26" applyAlignment="1" pivotButton="0" quotePrefix="0" xfId="0">
      <alignment wrapText="1"/>
    </xf>
    <xf numFmtId="10" fontId="3" fillId="0" borderId="29" applyAlignment="1" pivotButton="0" quotePrefix="0" xfId="0">
      <alignment horizontal="right"/>
    </xf>
    <xf numFmtId="9" fontId="3" fillId="0" borderId="14" applyAlignment="1" pivotButton="0" quotePrefix="0" xfId="4">
      <alignment horizontal="right"/>
    </xf>
    <xf numFmtId="9" fontId="3" fillId="0" borderId="0" applyAlignment="1" pivotButton="0" quotePrefix="0" xfId="4">
      <alignment horizontal="right"/>
    </xf>
    <xf numFmtId="10" fontId="3" fillId="0" borderId="14" applyAlignment="1" pivotButton="0" quotePrefix="0" xfId="4">
      <alignment horizontal="right"/>
    </xf>
    <xf numFmtId="0" fontId="3" fillId="0" borderId="27" applyAlignment="1" pivotButton="0" quotePrefix="0" xfId="0">
      <alignment wrapText="1"/>
    </xf>
    <xf numFmtId="10" fontId="3" fillId="0" borderId="14" pivotButton="0" quotePrefix="0" xfId="0"/>
    <xf numFmtId="10" fontId="3" fillId="0" borderId="0" pivotButton="0" quotePrefix="0" xfId="0"/>
    <xf numFmtId="0" fontId="3" fillId="0" borderId="20" applyAlignment="1" pivotButton="0" quotePrefix="0" xfId="0">
      <alignment wrapText="1"/>
    </xf>
    <xf numFmtId="10" fontId="3" fillId="0" borderId="23" pivotButton="0" quotePrefix="0" xfId="0"/>
    <xf numFmtId="10" fontId="3" fillId="0" borderId="21" pivotButton="0" quotePrefix="0" xfId="0"/>
    <xf numFmtId="0" fontId="21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22" fillId="0" borderId="3" pivotButton="0" quotePrefix="0" xfId="0"/>
    <xf numFmtId="10" fontId="22" fillId="0" borderId="3" applyAlignment="1" pivotButton="0" quotePrefix="0" xfId="0">
      <alignment horizontal="right"/>
    </xf>
    <xf numFmtId="10" fontId="22" fillId="0" borderId="3" pivotButton="0" quotePrefix="0" xfId="0"/>
    <xf numFmtId="2" fontId="20" fillId="0" borderId="7" pivotButton="0" quotePrefix="0" xfId="0"/>
    <xf numFmtId="0" fontId="22" fillId="0" borderId="0" applyAlignment="1" pivotButton="0" quotePrefix="0" xfId="0">
      <alignment horizontal="center"/>
    </xf>
    <xf numFmtId="0" fontId="22" fillId="0" borderId="9" pivotButton="0" quotePrefix="0" xfId="0"/>
    <xf numFmtId="10" fontId="22" fillId="0" borderId="6" applyAlignment="1" pivotButton="0" quotePrefix="0" xfId="0">
      <alignment horizontal="right"/>
    </xf>
    <xf numFmtId="10" fontId="22" fillId="0" borderId="12" applyAlignment="1" pivotButton="0" quotePrefix="0" xfId="0">
      <alignment horizontal="right"/>
    </xf>
    <xf numFmtId="0" fontId="25" fillId="0" borderId="17" applyAlignment="1" pivotButton="0" quotePrefix="0" xfId="0">
      <alignment horizontal="center"/>
    </xf>
    <xf numFmtId="0" fontId="20" fillId="0" borderId="5" pivotButton="0" quotePrefix="0" xfId="0"/>
    <xf numFmtId="0" fontId="20" fillId="0" borderId="3" pivotButton="0" quotePrefix="0" xfId="0"/>
    <xf numFmtId="0" fontId="22" fillId="0" borderId="8" pivotButton="0" quotePrefix="0" xfId="0"/>
    <xf numFmtId="0" fontId="27" fillId="0" borderId="0" applyAlignment="1" pivotButton="0" quotePrefix="0" xfId="0">
      <alignment horizontal="center" wrapText="1"/>
    </xf>
    <xf numFmtId="0" fontId="20" fillId="0" borderId="1" applyAlignment="1" pivotButton="0" quotePrefix="0" xfId="0">
      <alignment horizontal="center" wrapText="1"/>
    </xf>
    <xf numFmtId="0" fontId="28" fillId="0" borderId="8" pivotButton="0" quotePrefix="0" xfId="0"/>
    <xf numFmtId="0" fontId="20" fillId="0" borderId="2" pivotButton="0" quotePrefix="0" xfId="0"/>
    <xf numFmtId="0" fontId="29" fillId="0" borderId="8" pivotButton="0" quotePrefix="0" xfId="0"/>
    <xf numFmtId="0" fontId="29" fillId="0" borderId="2" pivotButton="0" quotePrefix="0" xfId="0"/>
    <xf numFmtId="0" fontId="22" fillId="0" borderId="11" pivotButton="0" quotePrefix="0" xfId="0"/>
    <xf numFmtId="0" fontId="20" fillId="0" borderId="37" applyAlignment="1" pivotButton="0" quotePrefix="0" xfId="0">
      <alignment horizontal="center"/>
    </xf>
    <xf numFmtId="0" fontId="20" fillId="0" borderId="7" applyAlignment="1" pivotButton="0" quotePrefix="0" xfId="0">
      <alignment vertical="center"/>
    </xf>
    <xf numFmtId="2" fontId="25" fillId="0" borderId="1" pivotButton="0" quotePrefix="0" xfId="0"/>
    <xf numFmtId="2" fontId="25" fillId="0" borderId="39" applyAlignment="1" pivotButton="0" quotePrefix="0" xfId="0">
      <alignment horizontal="center" vertical="center" wrapText="1"/>
    </xf>
    <xf numFmtId="2" fontId="20" fillId="0" borderId="1" applyAlignment="1" pivotButton="0" quotePrefix="0" xfId="1">
      <alignment horizontal="center" vertical="center"/>
    </xf>
    <xf numFmtId="2" fontId="22" fillId="0" borderId="3" pivotButton="0" quotePrefix="0" xfId="0"/>
    <xf numFmtId="2" fontId="22" fillId="0" borderId="3" applyAlignment="1" pivotButton="0" quotePrefix="0" xfId="1">
      <alignment horizontal="right" vertical="center"/>
    </xf>
    <xf numFmtId="2" fontId="22" fillId="0" borderId="4" applyAlignment="1" pivotButton="0" quotePrefix="0" xfId="1">
      <alignment horizontal="right" vertical="top"/>
    </xf>
    <xf numFmtId="2" fontId="26" fillId="0" borderId="3" applyAlignment="1" pivotButton="0" quotePrefix="0" xfId="1">
      <alignment horizontal="right" vertical="center"/>
    </xf>
    <xf numFmtId="2" fontId="20" fillId="0" borderId="5" pivotButton="0" quotePrefix="0" xfId="0"/>
    <xf numFmtId="2" fontId="20" fillId="0" borderId="5" applyAlignment="1" pivotButton="0" quotePrefix="0" xfId="1">
      <alignment horizontal="right" vertical="center"/>
    </xf>
    <xf numFmtId="2" fontId="20" fillId="0" borderId="5" applyAlignment="1" pivotButton="0" quotePrefix="0" xfId="1">
      <alignment horizontal="right" vertical="top"/>
    </xf>
    <xf numFmtId="2" fontId="20" fillId="0" borderId="16" pivotButton="0" quotePrefix="0" xfId="0"/>
    <xf numFmtId="2" fontId="20" fillId="0" borderId="16" applyAlignment="1" pivotButton="0" quotePrefix="0" xfId="1">
      <alignment horizontal="right" vertical="center"/>
    </xf>
    <xf numFmtId="2" fontId="22" fillId="0" borderId="18" pivotButton="0" quotePrefix="0" xfId="0"/>
    <xf numFmtId="2" fontId="22" fillId="0" borderId="22" applyAlignment="1" pivotButton="0" quotePrefix="0" xfId="1">
      <alignment horizontal="right" vertical="center"/>
    </xf>
    <xf numFmtId="2" fontId="22" fillId="0" borderId="19" applyAlignment="1" pivotButton="0" quotePrefix="0" xfId="1">
      <alignment horizontal="right" vertical="top"/>
    </xf>
    <xf numFmtId="2" fontId="22" fillId="0" borderId="22" applyAlignment="1" pivotButton="0" quotePrefix="0" xfId="1">
      <alignment horizontal="right" vertical="top"/>
    </xf>
    <xf numFmtId="2" fontId="22" fillId="0" borderId="24" pivotButton="0" quotePrefix="0" xfId="0"/>
    <xf numFmtId="2" fontId="22" fillId="0" borderId="14" applyAlignment="1" pivotButton="0" quotePrefix="0" xfId="1">
      <alignment horizontal="right" vertical="center"/>
    </xf>
    <xf numFmtId="2" fontId="22" fillId="0" borderId="0" applyAlignment="1" pivotButton="0" quotePrefix="0" xfId="1">
      <alignment horizontal="right" vertical="top"/>
    </xf>
    <xf numFmtId="2" fontId="22" fillId="0" borderId="14" applyAlignment="1" pivotButton="0" quotePrefix="0" xfId="1">
      <alignment horizontal="right" vertical="top"/>
    </xf>
    <xf numFmtId="2" fontId="22" fillId="0" borderId="14" pivotButton="0" quotePrefix="0" xfId="0"/>
    <xf numFmtId="2" fontId="22" fillId="0" borderId="0" applyAlignment="1" pivotButton="0" quotePrefix="0" xfId="1">
      <alignment horizontal="right" vertical="center"/>
    </xf>
    <xf numFmtId="2" fontId="26" fillId="0" borderId="3" applyAlignment="1" pivotButton="0" quotePrefix="0" xfId="1">
      <alignment horizontal="right" vertical="top"/>
    </xf>
    <xf numFmtId="2" fontId="5" fillId="0" borderId="0" applyAlignment="1" pivotButton="0" quotePrefix="0" xfId="1">
      <alignment horizontal="right" vertical="top"/>
    </xf>
    <xf numFmtId="2" fontId="5" fillId="0" borderId="0" applyAlignment="1" pivotButton="0" quotePrefix="0" xfId="1">
      <alignment horizontal="right" vertical="center"/>
    </xf>
    <xf numFmtId="2" fontId="25" fillId="0" borderId="5" applyAlignment="1" pivotButton="0" quotePrefix="0" xfId="1">
      <alignment horizontal="right" vertical="top"/>
    </xf>
    <xf numFmtId="2" fontId="20" fillId="0" borderId="7" applyAlignment="1" pivotButton="0" quotePrefix="0" xfId="1">
      <alignment horizontal="right" vertical="center"/>
    </xf>
    <xf numFmtId="2" fontId="22" fillId="0" borderId="3" pivotButton="0" quotePrefix="0" xfId="1"/>
    <xf numFmtId="2" fontId="20" fillId="0" borderId="5" pivotButton="0" quotePrefix="0" xfId="1"/>
    <xf numFmtId="2" fontId="22" fillId="0" borderId="3" applyAlignment="1" pivotButton="0" quotePrefix="0" xfId="1">
      <alignment horizontal="right" vertical="top"/>
    </xf>
    <xf numFmtId="2" fontId="22" fillId="0" borderId="3" applyAlignment="1" pivotButton="0" quotePrefix="0" xfId="1">
      <alignment vertical="top"/>
    </xf>
    <xf numFmtId="2" fontId="22" fillId="0" borderId="9" applyAlignment="1" pivotButton="0" quotePrefix="0" xfId="1">
      <alignment vertical="top"/>
    </xf>
    <xf numFmtId="2" fontId="20" fillId="0" borderId="9" applyAlignment="1" pivotButton="0" quotePrefix="0" xfId="1">
      <alignment vertical="top"/>
    </xf>
    <xf numFmtId="2" fontId="22" fillId="0" borderId="9" applyAlignment="1" pivotButton="0" quotePrefix="0" xfId="1">
      <alignment horizontal="right" vertical="top"/>
    </xf>
    <xf numFmtId="2" fontId="20" fillId="0" borderId="1" applyAlignment="1" pivotButton="0" quotePrefix="0" xfId="1">
      <alignment vertical="top"/>
    </xf>
    <xf numFmtId="2" fontId="20" fillId="0" borderId="10" applyAlignment="1" pivotButton="0" quotePrefix="0" xfId="1">
      <alignment vertical="top"/>
    </xf>
    <xf numFmtId="2" fontId="3" fillId="0" borderId="15" pivotButton="0" quotePrefix="0" xfId="1"/>
    <xf numFmtId="2" fontId="3" fillId="0" borderId="14" pivotButton="0" quotePrefix="0" xfId="1"/>
    <xf numFmtId="2" fontId="3" fillId="0" borderId="0" applyAlignment="1" pivotButton="0" quotePrefix="0" xfId="1">
      <alignment wrapText="1"/>
    </xf>
    <xf numFmtId="2" fontId="3" fillId="0" borderId="14" applyAlignment="1" pivotButton="0" quotePrefix="0" xfId="1">
      <alignment wrapText="1"/>
    </xf>
    <xf numFmtId="2" fontId="3" fillId="0" borderId="14" applyAlignment="1" pivotButton="0" quotePrefix="0" xfId="1">
      <alignment horizontal="right"/>
    </xf>
    <xf numFmtId="2" fontId="3" fillId="0" borderId="0" applyAlignment="1" pivotButton="0" quotePrefix="0" xfId="1">
      <alignment horizontal="right"/>
    </xf>
    <xf numFmtId="2" fontId="3" fillId="0" borderId="0" applyAlignment="1" pivotButton="0" quotePrefix="0" xfId="1">
      <alignment horizontal="right" wrapText="1"/>
    </xf>
    <xf numFmtId="2" fontId="3" fillId="0" borderId="14" applyAlignment="1" pivotButton="0" quotePrefix="0" xfId="1">
      <alignment horizontal="right" wrapText="1"/>
    </xf>
    <xf numFmtId="2" fontId="3" fillId="0" borderId="29" applyAlignment="1" pivotButton="0" quotePrefix="0" xfId="1">
      <alignment horizontal="right"/>
    </xf>
    <xf numFmtId="2" fontId="3" fillId="0" borderId="15" applyAlignment="1" pivotButton="0" quotePrefix="0" xfId="1">
      <alignment horizontal="right"/>
    </xf>
    <xf numFmtId="2" fontId="3" fillId="0" borderId="30" pivotButton="0" quotePrefix="0" xfId="1"/>
    <xf numFmtId="2" fontId="3" fillId="0" borderId="34" pivotButton="0" quotePrefix="0" xfId="1"/>
    <xf numFmtId="2" fontId="3" fillId="0" borderId="33" applyAlignment="1" pivotButton="0" quotePrefix="0" xfId="1">
      <alignment horizontal="right"/>
    </xf>
    <xf numFmtId="2" fontId="3" fillId="0" borderId="31" pivotButton="0" quotePrefix="0" xfId="1"/>
    <xf numFmtId="2" fontId="3" fillId="0" borderId="35" pivotButton="0" quotePrefix="0" xfId="1"/>
    <xf numFmtId="2" fontId="3" fillId="0" borderId="36" pivotButton="0" quotePrefix="0" xfId="1"/>
    <xf numFmtId="49" fontId="20" fillId="0" borderId="3" applyAlignment="1" pivotButton="0" quotePrefix="0" xfId="0">
      <alignment horizontal="right"/>
    </xf>
    <xf numFmtId="49" fontId="22" fillId="0" borderId="3" applyAlignment="1" pivotButton="0" quotePrefix="0" xfId="0">
      <alignment horizontal="right"/>
    </xf>
    <xf numFmtId="49" fontId="22" fillId="0" borderId="8" applyAlignment="1" pivotButton="0" quotePrefix="0" xfId="0">
      <alignment horizontal="right"/>
    </xf>
    <xf numFmtId="2" fontId="3" fillId="0" borderId="0" pivotButton="0" quotePrefix="0" xfId="1"/>
    <xf numFmtId="0" fontId="7" fillId="0" borderId="14" pivotButton="0" quotePrefix="0" xfId="0"/>
    <xf numFmtId="2" fontId="2" fillId="0" borderId="14" applyAlignment="1" pivotButton="0" quotePrefix="0" xfId="1">
      <alignment horizontal="right"/>
    </xf>
    <xf numFmtId="0" fontId="7" fillId="0" borderId="0" pivotButton="0" quotePrefix="0" xfId="0"/>
    <xf numFmtId="0" fontId="5" fillId="0" borderId="0" pivotButton="0" quotePrefix="0" xfId="0"/>
    <xf numFmtId="0" fontId="0" fillId="0" borderId="0" pivotButton="0" quotePrefix="0" xfId="0"/>
    <xf numFmtId="164" fontId="20" fillId="0" borderId="28" applyAlignment="1" pivotButton="0" quotePrefix="0" xfId="1">
      <alignment horizontal="center" vertical="center"/>
    </xf>
    <xf numFmtId="164" fontId="20" fillId="0" borderId="32" applyAlignment="1" pivotButton="0" quotePrefix="0" xfId="1">
      <alignment horizontal="center" vertical="center"/>
    </xf>
    <xf numFmtId="164" fontId="7" fillId="0" borderId="0" pivotButton="0" quotePrefix="0" xfId="0"/>
    <xf numFmtId="164" fontId="3" fillId="0" borderId="14" applyAlignment="1" pivotButton="0" quotePrefix="0" xfId="1">
      <alignment horizontal="right"/>
    </xf>
    <xf numFmtId="164" fontId="3" fillId="0" borderId="0" applyAlignment="1" pivotButton="0" quotePrefix="0" xfId="1">
      <alignment wrapText="1"/>
    </xf>
    <xf numFmtId="164" fontId="3" fillId="0" borderId="14" applyAlignment="1" pivotButton="0" quotePrefix="0" xfId="1">
      <alignment wrapText="1"/>
    </xf>
    <xf numFmtId="164" fontId="3" fillId="0" borderId="14" pivotButton="0" quotePrefix="0" xfId="1"/>
    <xf numFmtId="164" fontId="5" fillId="0" borderId="0" applyAlignment="1" pivotButton="0" quotePrefix="0" xfId="1">
      <alignment horizontal="right" vertical="center"/>
    </xf>
    <xf numFmtId="164" fontId="5" fillId="0" borderId="0" applyAlignment="1" pivotButton="0" quotePrefix="0" xfId="1">
      <alignment horizontal="right" vertical="top"/>
    </xf>
    <xf numFmtId="164" fontId="8" fillId="2" borderId="0" pivotButton="0" quotePrefix="0" xfId="0"/>
    <xf numFmtId="164" fontId="7" fillId="0" borderId="0" pivotButton="0" quotePrefix="0" xfId="1"/>
    <xf numFmtId="164" fontId="20" fillId="0" borderId="39" applyAlignment="1" pivotButton="0" quotePrefix="0" xfId="1">
      <alignment horizontal="center" vertical="center" wrapText="1"/>
    </xf>
    <xf numFmtId="164" fontId="5" fillId="0" borderId="0" pivotButton="0" quotePrefix="0" xfId="0"/>
    <xf numFmtId="164" fontId="20" fillId="0" borderId="13" applyAlignment="1" pivotButton="0" quotePrefix="0" xfId="1">
      <alignment horizontal="center" vertical="center" wrapText="1"/>
    </xf>
    <xf numFmtId="164" fontId="22" fillId="0" borderId="3" pivotButton="0" quotePrefix="0" xfId="1"/>
    <xf numFmtId="0" fontId="0" fillId="0" borderId="0" pivotButton="0" quotePrefix="0" xfId="0"/>
    <xf numFmtId="0" fontId="7" fillId="0" borderId="0" pivotButton="0" quotePrefix="0" xfId="0"/>
    <xf numFmtId="2" fontId="1" fillId="0" borderId="29" pivotButton="0" quotePrefix="0" xfId="1"/>
    <xf numFmtId="0" fontId="18" fillId="0" borderId="0" applyAlignment="1" pivotButton="0" quotePrefix="0" xfId="0">
      <alignment horizontal="center"/>
    </xf>
    <xf numFmtId="0" fontId="7" fillId="0" borderId="0" pivotButton="0" quotePrefix="0" xfId="0"/>
    <xf numFmtId="0" fontId="19" fillId="0" borderId="0" applyAlignment="1" pivotButton="0" quotePrefix="0" xfId="0">
      <alignment horizontal="center" wrapText="1"/>
    </xf>
    <xf numFmtId="17" fontId="17" fillId="0" borderId="0" applyAlignment="1" pivotButton="0" quotePrefix="0" xfId="0">
      <alignment horizontal="center" wrapText="1"/>
    </xf>
    <xf numFmtId="0" fontId="24" fillId="0" borderId="0" applyAlignment="1" pivotButton="0" quotePrefix="0" xfId="0">
      <alignment horizontal="center"/>
    </xf>
    <xf numFmtId="0" fontId="5" fillId="0" borderId="0" pivotButton="0" quotePrefix="0" xfId="0"/>
    <xf numFmtId="164" fontId="5" fillId="0" borderId="0" applyAlignment="1" pivotButton="0" quotePrefix="0" xfId="1">
      <alignment horizontal="right" vertical="center"/>
    </xf>
    <xf numFmtId="164" fontId="5" fillId="0" borderId="0" applyAlignment="1" pivotButton="0" quotePrefix="0" xfId="1">
      <alignment horizontal="right" vertical="top"/>
    </xf>
    <xf numFmtId="0" fontId="23" fillId="0" borderId="0" applyAlignment="1" pivotButton="0" quotePrefix="0" xfId="0">
      <alignment horizontal="center"/>
    </xf>
    <xf numFmtId="0" fontId="5" fillId="0" borderId="6" pivotButton="0" quotePrefix="0" xfId="0"/>
    <xf numFmtId="164" fontId="20" fillId="0" borderId="28" applyAlignment="1" pivotButton="0" quotePrefix="0" xfId="1">
      <alignment horizontal="center" vertical="center"/>
    </xf>
    <xf numFmtId="164" fontId="20" fillId="0" borderId="32" applyAlignment="1" pivotButton="0" quotePrefix="0" xfId="1">
      <alignment horizontal="center" vertical="center"/>
    </xf>
    <xf numFmtId="164" fontId="7" fillId="0" borderId="0" pivotButton="0" quotePrefix="0" xfId="0"/>
    <xf numFmtId="164" fontId="3" fillId="0" borderId="14" applyAlignment="1" pivotButton="0" quotePrefix="0" xfId="1">
      <alignment horizontal="right"/>
    </xf>
    <xf numFmtId="164" fontId="3" fillId="0" borderId="0" applyAlignment="1" pivotButton="0" quotePrefix="0" xfId="1">
      <alignment wrapText="1"/>
    </xf>
    <xf numFmtId="164" fontId="3" fillId="0" borderId="14" applyAlignment="1" pivotButton="0" quotePrefix="0" xfId="1">
      <alignment wrapText="1"/>
    </xf>
    <xf numFmtId="164" fontId="3" fillId="0" borderId="14" pivotButton="0" quotePrefix="0" xfId="1"/>
    <xf numFmtId="164" fontId="5" fillId="0" borderId="0" applyAlignment="1" pivotButton="0" quotePrefix="0" xfId="1">
      <alignment horizontal="right" vertical="center"/>
    </xf>
    <xf numFmtId="164" fontId="5" fillId="0" borderId="0" applyAlignment="1" pivotButton="0" quotePrefix="0" xfId="1">
      <alignment horizontal="right" vertical="top"/>
    </xf>
    <xf numFmtId="164" fontId="8" fillId="2" borderId="0" pivotButton="0" quotePrefix="0" xfId="0"/>
    <xf numFmtId="164" fontId="7" fillId="0" borderId="0" pivotButton="0" quotePrefix="0" xfId="1"/>
    <xf numFmtId="164" fontId="20" fillId="0" borderId="39" applyAlignment="1" pivotButton="0" quotePrefix="0" xfId="1">
      <alignment horizontal="center" vertical="center" wrapText="1"/>
    </xf>
    <xf numFmtId="164" fontId="5" fillId="0" borderId="0" pivotButton="0" quotePrefix="0" xfId="0"/>
    <xf numFmtId="164" fontId="20" fillId="0" borderId="13" applyAlignment="1" pivotButton="0" quotePrefix="0" xfId="1">
      <alignment horizontal="center" vertical="center" wrapText="1"/>
    </xf>
    <xf numFmtId="164" fontId="22" fillId="0" borderId="3" pivotButton="0" quotePrefix="0" xfId="1"/>
  </cellXfs>
  <cellStyles count="11">
    <cellStyle name="Normal" xfId="0" builtinId="0"/>
    <cellStyle name="Comma" xfId="1" builtinId="3"/>
    <cellStyle name="Normal 2" xfId="2"/>
    <cellStyle name="Normal 3" xfId="3"/>
    <cellStyle name="Percent" xfId="4" builtinId="5"/>
    <cellStyle name="Normal 4" xfId="5"/>
    <cellStyle name="Normal 5" xfId="6"/>
    <cellStyle name="Percent 2" xfId="7"/>
    <cellStyle name="Normal 6" xfId="8"/>
    <cellStyle name="Normal 25" xfId="9"/>
    <cellStyle name="Normal 7" xfId="1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56744</colOff>
      <row>37</row>
      <rowOff>0</rowOff>
    </from>
    <to>
      <col>7</col>
      <colOff>836899</colOff>
      <row>41</row>
      <rowOff>90090</rowOff>
    </to>
    <pic>
      <nvPicPr>
        <cNvPr id="4" name="Picture 3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8381999" y="6128426"/>
          <a:ext cx="780155" cy="706175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106365</colOff>
      <row>39</row>
      <rowOff>120804</rowOff>
    </from>
    <to>
      <col>7</col>
      <colOff>967840</colOff>
      <row>43</row>
      <rowOff>157976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8395438" y="7768682"/>
          <a:ext cx="861475" cy="78058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6</col>
      <colOff>167640</colOff>
      <row>19</row>
      <rowOff>121920</rowOff>
    </from>
    <to>
      <col>6</col>
      <colOff>875285</colOff>
      <row>22</row>
      <rowOff>115420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703820" y="3741420"/>
          <a:ext cx="707645" cy="641200"/>
        </a:xfrm>
        <a:prstGeom prst="rect">
          <avLst/>
        </a:prstGeom>
        <a:ln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6</col>
      <colOff>22860</colOff>
      <row>23</row>
      <rowOff>137160</rowOff>
    </from>
    <to>
      <col>6</col>
      <colOff>730505</colOff>
      <row>27</row>
      <rowOff>46840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520940" y="4472940"/>
          <a:ext cx="707645" cy="6412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J236"/>
  <sheetViews>
    <sheetView showGridLines="0" tabSelected="1" topLeftCell="A10" zoomScale="94" zoomScaleNormal="100" workbookViewId="0">
      <selection activeCell="C39" sqref="C39"/>
    </sheetView>
  </sheetViews>
  <sheetFormatPr baseColWidth="8" defaultColWidth="12.5546875" defaultRowHeight="15" customHeight="1"/>
  <cols>
    <col width="4.88671875" customWidth="1" style="139" min="1" max="1"/>
    <col width="52.44140625" customWidth="1" style="139" min="2" max="2"/>
    <col width="12.77734375" bestFit="1" customWidth="1" style="139" min="3" max="4"/>
    <col width="12.5546875" bestFit="1" customWidth="1" style="139" min="5" max="5"/>
    <col width="13.109375" bestFit="1" customWidth="1" style="139" min="6" max="6"/>
    <col width="12.88671875" customWidth="1" style="139" min="7" max="7"/>
    <col width="14" bestFit="1" customWidth="1" style="139" min="8" max="8"/>
    <col width="12.5546875" customWidth="1" style="139" min="9" max="10"/>
    <col width="12.5546875" customWidth="1" style="139" min="11" max="16384"/>
  </cols>
  <sheetData>
    <row r="1" ht="15" customHeight="1" s="135">
      <c r="B1" s="138" t="inlineStr">
        <is>
          <t>adsf</t>
        </is>
      </c>
      <c r="I1" s="6" t="n"/>
    </row>
    <row r="2" ht="16.5" customHeight="1" s="135">
      <c r="B2" s="140" t="inlineStr">
        <is>
          <t>Zomato Summary  - December - 2026</t>
        </is>
      </c>
    </row>
    <row r="3" ht="12" customHeight="1" s="135" thickBot="1">
      <c r="B3" s="141" t="n"/>
    </row>
    <row r="4" ht="15" customHeight="1" s="135" thickBot="1">
      <c r="B4" s="13" t="inlineStr">
        <is>
          <t>Details</t>
        </is>
      </c>
      <c r="C4" s="148" t="inlineStr">
        <is>
          <t>1st to 7th</t>
        </is>
      </c>
      <c r="D4" s="149" t="inlineStr">
        <is>
          <t>8th to 14th</t>
        </is>
      </c>
      <c r="E4" s="148" t="inlineStr">
        <is>
          <t>15th to 21st</t>
        </is>
      </c>
      <c r="F4" s="149" t="inlineStr">
        <is>
          <t>22nd to 28th</t>
        </is>
      </c>
      <c r="G4" s="148" t="inlineStr">
        <is>
          <t>29th to 31st</t>
        </is>
      </c>
      <c r="H4" s="14" t="inlineStr">
        <is>
          <t>Total</t>
        </is>
      </c>
    </row>
    <row r="5" ht="12" customHeight="1" s="135">
      <c r="B5" s="15" t="n"/>
      <c r="C5" s="16" t="n"/>
      <c r="D5" s="17" t="n"/>
      <c r="E5" s="16" t="n"/>
      <c r="F5" s="17" t="n"/>
      <c r="G5" s="18" t="n"/>
      <c r="H5" s="16" t="n"/>
    </row>
    <row r="6" ht="12" customHeight="1" s="135">
      <c r="B6" s="15" t="inlineStr">
        <is>
          <t>No.of orders</t>
        </is>
      </c>
      <c r="C6" s="15" t="n">
        <v>345</v>
      </c>
      <c r="D6" s="15" t="n">
        <v>344</v>
      </c>
      <c r="E6" s="15" t="n">
        <v>346</v>
      </c>
      <c r="F6" s="15" t="n">
        <v>293</v>
      </c>
      <c r="G6" s="99" t="n">
        <v>115</v>
      </c>
      <c r="H6" s="96">
        <f>SUM(C6:G6)</f>
        <v/>
      </c>
    </row>
    <row r="7" ht="12" customHeight="1" s="135">
      <c r="B7" s="15" t="n"/>
      <c r="C7" s="96" t="n"/>
      <c r="D7" s="97" t="n"/>
      <c r="E7" s="96" t="n"/>
      <c r="F7" s="97" t="n"/>
      <c r="G7" s="98" t="n"/>
      <c r="H7" s="96" t="n"/>
    </row>
    <row r="8" ht="12" customHeight="1" s="135">
      <c r="B8" s="15" t="inlineStr">
        <is>
          <t>Total Income (Number that you see on Zomato dashboard)</t>
        </is>
      </c>
      <c r="C8" s="99">
        <f>Cashflow!C10</f>
        <v/>
      </c>
      <c r="D8" s="100">
        <f>Cashflow!D10</f>
        <v/>
      </c>
      <c r="E8" s="99">
        <f>Cashflow!E10</f>
        <v/>
      </c>
      <c r="F8" s="100">
        <f>Cashflow!F10</f>
        <v/>
      </c>
      <c r="G8" s="99">
        <f>Cashflow!G10</f>
        <v/>
      </c>
      <c r="H8" s="96">
        <f>SUM(C8:G8)</f>
        <v/>
      </c>
    </row>
    <row r="9" ht="12" customHeight="1" s="135">
      <c r="B9" s="15" t="n"/>
      <c r="C9" s="96" t="n"/>
      <c r="D9" s="97" t="n"/>
      <c r="E9" s="96" t="n"/>
      <c r="F9" s="97" t="n"/>
      <c r="G9" s="98" t="n"/>
      <c r="H9" s="96" t="n"/>
    </row>
    <row r="10" ht="12" customHeight="1" s="135">
      <c r="B10" s="19" t="inlineStr">
        <is>
          <t>Avg. order value</t>
        </is>
      </c>
      <c r="C10" s="137">
        <f>IFERROR(C8/C6,)</f>
        <v/>
      </c>
      <c r="D10" s="137">
        <f>IFERROR(D8/D6,)</f>
        <v/>
      </c>
      <c r="E10" s="137">
        <f>IFERROR(E8/E6,)</f>
        <v/>
      </c>
      <c r="F10" s="137">
        <f>IFERROR(F8/F6,)</f>
        <v/>
      </c>
      <c r="G10" s="137">
        <f>IFERROR(G8/G6,)</f>
        <v/>
      </c>
      <c r="H10" s="137">
        <f>IFERROR(H8/H6,)</f>
        <v/>
      </c>
      <c r="I10" s="150" t="n"/>
    </row>
    <row r="11" ht="12" customHeight="1" s="135">
      <c r="B11" s="15" t="n"/>
      <c r="C11" s="96" t="n"/>
      <c r="D11" s="97" t="n"/>
      <c r="E11" s="96" t="n"/>
      <c r="F11" s="97" t="n"/>
      <c r="G11" s="98" t="n"/>
      <c r="H11" s="96" t="n"/>
    </row>
    <row r="12" ht="12" customHeight="1" s="135">
      <c r="B12" s="15" t="inlineStr">
        <is>
          <t>No of disputed orders</t>
        </is>
      </c>
      <c r="C12" s="99" t="n">
        <v>0</v>
      </c>
      <c r="D12" s="100" t="n">
        <v>0</v>
      </c>
      <c r="E12" s="99" t="n">
        <v>0</v>
      </c>
      <c r="F12" s="100" t="n">
        <v>0</v>
      </c>
      <c r="G12" s="99" t="n">
        <v>0</v>
      </c>
      <c r="H12" s="99">
        <f>SUM(C12:G12)</f>
        <v/>
      </c>
    </row>
    <row r="13" ht="12" customHeight="1" s="135">
      <c r="B13" s="15" t="n"/>
      <c r="C13" s="99" t="n"/>
      <c r="D13" s="101" t="n"/>
      <c r="E13" s="99" t="n"/>
      <c r="F13" s="101" t="n"/>
      <c r="G13" s="102" t="n"/>
      <c r="H13" s="99" t="n"/>
    </row>
    <row r="14" ht="12" customHeight="1" s="135">
      <c r="B14" s="19" t="inlineStr">
        <is>
          <t>Refund amount for disputed orders</t>
        </is>
      </c>
      <c r="C14" s="103">
        <f>Cashflow!C18</f>
        <v/>
      </c>
      <c r="D14" s="103">
        <f>Cashflow!D18</f>
        <v/>
      </c>
      <c r="E14" s="103">
        <f>Cashflow!E18</f>
        <v/>
      </c>
      <c r="F14" s="103">
        <f>Cashflow!F18</f>
        <v/>
      </c>
      <c r="G14" s="103">
        <f>Cashflow!G18</f>
        <v/>
      </c>
      <c r="H14" s="104">
        <f>SUM(C14:G14)</f>
        <v/>
      </c>
    </row>
    <row r="15" ht="12" customHeight="1" s="135">
      <c r="B15" s="15" t="n"/>
      <c r="C15" s="99" t="n"/>
      <c r="D15" s="101" t="n"/>
      <c r="E15" s="99" t="n"/>
      <c r="F15" s="101" t="n"/>
      <c r="G15" s="102" t="n"/>
      <c r="H15" s="99" t="n"/>
    </row>
    <row r="16" ht="14.4" customHeight="1" s="135">
      <c r="B16" s="15" t="inlineStr">
        <is>
          <t>Discounts</t>
        </is>
      </c>
      <c r="C16" s="99">
        <f>Cashflow!C8</f>
        <v/>
      </c>
      <c r="D16" s="100">
        <f>Cashflow!D8</f>
        <v/>
      </c>
      <c r="E16" s="99">
        <f>Cashflow!E8</f>
        <v/>
      </c>
      <c r="F16" s="100">
        <f>Cashflow!F8</f>
        <v/>
      </c>
      <c r="G16" s="99">
        <f>Cashflow!G8</f>
        <v/>
      </c>
      <c r="H16" s="96">
        <f>SUM(C16:G16)</f>
        <v/>
      </c>
    </row>
    <row r="17" ht="15" customHeight="1" s="135">
      <c r="B17" s="15" t="n"/>
      <c r="C17" s="20">
        <f>IFERROR(C16/C8,)</f>
        <v/>
      </c>
      <c r="D17" s="20">
        <f>IFERROR(D16/D8,)</f>
        <v/>
      </c>
      <c r="E17" s="20">
        <f>IFERROR(E16/E8,)</f>
        <v/>
      </c>
      <c r="F17" s="20">
        <f>IFERROR(F16/F8,)</f>
        <v/>
      </c>
      <c r="G17" s="20">
        <f>IFERROR(G16/G8,)</f>
        <v/>
      </c>
      <c r="H17" s="20">
        <f>IFERROR(H16/H8,)</f>
        <v/>
      </c>
    </row>
    <row r="18" ht="15" customHeight="1" s="135">
      <c r="B18" s="115" t="n"/>
      <c r="D18" s="115" t="n"/>
      <c r="F18" s="115" t="n"/>
      <c r="H18" s="115" t="n"/>
    </row>
    <row r="19" ht="12" customHeight="1" s="135">
      <c r="B19" s="15" t="inlineStr">
        <is>
          <t>Commisonable Amount</t>
        </is>
      </c>
      <c r="C19" s="116" t="n">
        <v>90777.00000000017</v>
      </c>
      <c r="D19" s="116" t="n">
        <v>82452.30000000021</v>
      </c>
      <c r="E19" s="116" t="n">
        <v>82294.7000000002</v>
      </c>
      <c r="F19" s="116" t="n">
        <v>68186.2000000002</v>
      </c>
      <c r="G19" s="116" t="n">
        <v>26778.19999999997</v>
      </c>
      <c r="H19" s="104">
        <f>SUM(C19:G19)</f>
        <v/>
      </c>
    </row>
    <row r="20" ht="17.4" customHeight="1" s="135">
      <c r="B20" s="25" t="inlineStr">
        <is>
          <t>Commission</t>
        </is>
      </c>
      <c r="C20" s="105">
        <f>Cashflow!C11</f>
        <v/>
      </c>
      <c r="D20" s="106">
        <f>Cashflow!D11</f>
        <v/>
      </c>
      <c r="E20" s="105">
        <f>Cashflow!E11</f>
        <v/>
      </c>
      <c r="F20" s="106">
        <f>Cashflow!F11</f>
        <v/>
      </c>
      <c r="G20" s="105">
        <f>Cashflow!G11</f>
        <v/>
      </c>
      <c r="H20" s="96">
        <f>SUM(C20:G20)</f>
        <v/>
      </c>
      <c r="J20" s="2" t="n"/>
    </row>
    <row r="21" ht="19.2" customHeight="1" s="135">
      <c r="B21" s="19" t="inlineStr">
        <is>
          <t>(Calculated on Sales + GST)</t>
        </is>
      </c>
      <c r="C21" s="26">
        <f>IFERROR(C20/C19,)</f>
        <v/>
      </c>
      <c r="D21" s="26">
        <f>IFERROR(D20/D19,)</f>
        <v/>
      </c>
      <c r="E21" s="26">
        <f>IFERROR(E20/E19,)</f>
        <v/>
      </c>
      <c r="F21" s="26">
        <f>IFERROR(F20/F19,)</f>
        <v/>
      </c>
      <c r="G21" s="26">
        <f>IFERROR(G20/G19,)</f>
        <v/>
      </c>
      <c r="H21" s="26">
        <f>IFERROR(H20/H19,)</f>
        <v/>
      </c>
      <c r="J21" s="3" t="n"/>
    </row>
    <row r="22" ht="12" customHeight="1" s="135">
      <c r="B22" s="15" t="n"/>
      <c r="C22" s="151" t="n"/>
      <c r="D22" s="152" t="n"/>
      <c r="E22" s="151" t="n"/>
      <c r="F22" s="152" t="n"/>
      <c r="G22" s="153" t="n"/>
      <c r="H22" s="151" t="n"/>
      <c r="J22" s="3" t="n"/>
    </row>
    <row r="23" ht="12" customHeight="1" s="135">
      <c r="B23" s="19" t="inlineStr">
        <is>
          <t>Marketing &amp; Ads</t>
        </is>
      </c>
      <c r="C23" s="103">
        <f>Cashflow!C21</f>
        <v/>
      </c>
      <c r="D23" s="107">
        <f>Cashflow!D21</f>
        <v/>
      </c>
      <c r="E23" s="103">
        <f>Cashflow!E21</f>
        <v/>
      </c>
      <c r="F23" s="107">
        <f>Cashflow!F21</f>
        <v/>
      </c>
      <c r="G23" s="103">
        <f>Cashflow!G21</f>
        <v/>
      </c>
      <c r="H23" s="95">
        <f>SUM(C23:G23)</f>
        <v/>
      </c>
    </row>
    <row r="24" ht="13.8" customHeight="1" s="135">
      <c r="B24" s="15" t="n"/>
      <c r="C24" s="21">
        <f>IFERROR(C23/C8,)</f>
        <v/>
      </c>
      <c r="D24" s="21">
        <f>IFERROR(D23/D8,)</f>
        <v/>
      </c>
      <c r="E24" s="21">
        <f>IFERROR(E23/E8,)</f>
        <v/>
      </c>
      <c r="F24" s="21">
        <f>IFERROR(F23/F8,)</f>
        <v/>
      </c>
      <c r="G24" s="21">
        <f>IFERROR(G23/G8,)</f>
        <v/>
      </c>
      <c r="H24" s="21">
        <f>IFERROR(H23/H8,)</f>
        <v/>
      </c>
    </row>
    <row r="25" ht="12" customHeight="1" s="135">
      <c r="B25" s="15" t="n"/>
      <c r="C25" s="22" t="n"/>
      <c r="D25" s="23" t="n"/>
      <c r="E25" s="22" t="n"/>
      <c r="F25" s="23" t="n"/>
      <c r="G25" s="24" t="n"/>
      <c r="H25" s="22" t="n"/>
    </row>
    <row r="26" ht="8.4" customHeight="1" s="135">
      <c r="B26" s="15" t="n"/>
      <c r="C26" s="27" t="n"/>
      <c r="D26" s="28" t="n"/>
      <c r="E26" s="29" t="n"/>
      <c r="F26" s="28" t="n"/>
      <c r="G26" s="27" t="n"/>
      <c r="H26" s="22" t="n"/>
    </row>
    <row r="27" ht="15" customHeight="1" s="135">
      <c r="B27" s="30" t="inlineStr">
        <is>
          <t>Other charges &amp; Tax Adjustments</t>
        </is>
      </c>
      <c r="C27" s="108">
        <f>Cashflow!C13+Cashflow!C26</f>
        <v/>
      </c>
      <c r="D27" s="109">
        <f>Cashflow!D13+Cashflow!D26</f>
        <v/>
      </c>
      <c r="E27" s="108">
        <f>Cashflow!E13+Cashflow!E26</f>
        <v/>
      </c>
      <c r="F27" s="109">
        <f>Cashflow!F13+Cashflow!F26</f>
        <v/>
      </c>
      <c r="G27" s="108">
        <f>Cashflow!G13+Cashflow!G26</f>
        <v/>
      </c>
      <c r="H27" s="110">
        <f>SUM(C27:G27)</f>
        <v/>
      </c>
    </row>
    <row r="28" ht="15.6" customHeight="1" s="135">
      <c r="B28" s="15" t="n"/>
      <c r="C28" s="31">
        <f>IFERROR(C27/C8,)</f>
        <v/>
      </c>
      <c r="D28" s="31">
        <f>IFERROR(D27/D8,)</f>
        <v/>
      </c>
      <c r="E28" s="31">
        <f>IFERROR(E27/E8,)</f>
        <v/>
      </c>
      <c r="F28" s="31">
        <f>IFERROR(F27/F8,)</f>
        <v/>
      </c>
      <c r="G28" s="31">
        <f>IFERROR(G27/G8,)</f>
        <v/>
      </c>
      <c r="H28" s="31">
        <f>IFERROR(H27/H8,)</f>
        <v/>
      </c>
    </row>
    <row r="29" ht="3" customHeight="1" s="135">
      <c r="B29" s="15" t="n"/>
      <c r="C29" s="31" t="n"/>
      <c r="D29" s="32" t="n"/>
      <c r="E29" s="31" t="n"/>
      <c r="F29" s="32" t="n"/>
      <c r="G29" s="31" t="n"/>
      <c r="H29" s="21" t="n"/>
    </row>
    <row r="30" ht="12" customHeight="1" s="135">
      <c r="B30" s="15" t="n"/>
      <c r="C30" s="154" t="n"/>
      <c r="D30" s="152" t="n"/>
      <c r="E30" s="154" t="n"/>
      <c r="F30" s="152" t="n"/>
      <c r="G30" s="153" t="n"/>
      <c r="H30" s="151" t="n"/>
    </row>
    <row r="31" ht="12" customFormat="1" customHeight="1" s="139">
      <c r="B31" s="15" t="n"/>
      <c r="C31" s="154" t="n"/>
      <c r="D31" s="152" t="n"/>
      <c r="E31" s="154" t="n"/>
      <c r="F31" s="152" t="n"/>
      <c r="G31" s="153" t="n"/>
      <c r="H31" s="151" t="n"/>
    </row>
    <row r="32" ht="12" customHeight="1" s="135">
      <c r="B32" s="15" t="inlineStr">
        <is>
          <t>Zomato Hyperpure Adjustments</t>
        </is>
      </c>
      <c r="C32" s="96">
        <f>Cashflow!C36</f>
        <v/>
      </c>
      <c r="D32" s="96">
        <f>Cashflow!D36</f>
        <v/>
      </c>
      <c r="E32" s="96">
        <f>Cashflow!E36</f>
        <v/>
      </c>
      <c r="F32" s="96">
        <f>Cashflow!F36</f>
        <v/>
      </c>
      <c r="G32" s="96">
        <f>Cashflow!G36</f>
        <v/>
      </c>
      <c r="H32" s="96">
        <f>SUM(C32:G32)</f>
        <v/>
      </c>
    </row>
    <row r="33" ht="2.4" customHeight="1" s="135">
      <c r="B33" s="15" t="n"/>
      <c r="C33" s="96" t="n"/>
      <c r="D33" s="114" t="n"/>
      <c r="E33" s="96" t="n"/>
      <c r="F33" s="114" t="n"/>
      <c r="G33" s="96" t="n"/>
      <c r="H33" s="96" t="n"/>
    </row>
    <row r="34" ht="12" customHeight="1" s="135">
      <c r="B34" s="15" t="n"/>
      <c r="C34" s="96" t="n"/>
      <c r="D34" s="97" t="n"/>
      <c r="E34" s="96" t="n"/>
      <c r="F34" s="97" t="n"/>
      <c r="G34" s="98" t="n"/>
      <c r="H34" s="99" t="n"/>
    </row>
    <row r="35" ht="12" customHeight="1" s="135">
      <c r="B35" s="15" t="inlineStr">
        <is>
          <t>Money received</t>
        </is>
      </c>
      <c r="C35" s="96">
        <f>C8-C14-C20-C23-C27-C32</f>
        <v/>
      </c>
      <c r="D35" s="96">
        <f>D8-D14-D20-D23-D27-D32</f>
        <v/>
      </c>
      <c r="E35" s="96">
        <f>E8-E14-E20-E23-E27-E32</f>
        <v/>
      </c>
      <c r="F35" s="96">
        <f>F8-F14-F20-F23-F27-F32+Cashflow!F31</f>
        <v/>
      </c>
      <c r="G35" s="96">
        <f>G8-G14-G20-G23-G27-G32</f>
        <v/>
      </c>
      <c r="H35" s="96">
        <f>SUM(C35:G35)</f>
        <v/>
      </c>
      <c r="J35" s="4" t="n"/>
    </row>
    <row r="36" ht="17.25" customHeight="1" s="135" thickBot="1">
      <c r="B36" s="33" t="n"/>
      <c r="C36" s="34">
        <f>IFERROR(C35/$C$8,)</f>
        <v/>
      </c>
      <c r="D36" s="35">
        <f>IFERROR(D35/$D$8,)</f>
        <v/>
      </c>
      <c r="E36" s="34">
        <f>IFERROR(E35/$E$8,)</f>
        <v/>
      </c>
      <c r="F36" s="35">
        <f>IFERROR(F35/F8,)</f>
        <v/>
      </c>
      <c r="G36" s="34">
        <f>IFERROR(G35/G8,)</f>
        <v/>
      </c>
      <c r="H36" s="34">
        <f>IFERROR(H35/H8,)</f>
        <v/>
      </c>
      <c r="J36" s="4" t="n"/>
    </row>
    <row r="37" ht="12" customHeight="1" s="135">
      <c r="B37" s="5" t="n"/>
    </row>
    <row r="38" ht="12" customHeight="1" s="135">
      <c r="B38" s="9" t="n"/>
    </row>
    <row r="39" ht="12" customHeight="1" s="135">
      <c r="B39" s="10" t="n"/>
      <c r="C39" s="1" t="n"/>
    </row>
    <row r="40" ht="12" customHeight="1" s="135">
      <c r="B40" s="10" t="n"/>
      <c r="C40" s="4" t="n"/>
    </row>
    <row r="41" ht="12" customHeight="1" s="135"/>
    <row r="42" ht="12" customHeight="1" s="135">
      <c r="B42" s="5" t="n"/>
    </row>
    <row r="43" ht="12" customHeight="1" s="135">
      <c r="B43" s="5" t="n"/>
    </row>
    <row r="44" ht="12" customHeight="1" s="135">
      <c r="B44" s="5" t="n"/>
    </row>
    <row r="45" ht="12" customHeight="1" s="135">
      <c r="B45" s="5" t="n"/>
    </row>
    <row r="46" ht="12" customHeight="1" s="135">
      <c r="B46" s="5" t="n"/>
    </row>
    <row r="47" ht="12" customHeight="1" s="135">
      <c r="B47" s="5" t="n"/>
    </row>
    <row r="48" ht="12" customHeight="1" s="135">
      <c r="B48" s="5" t="n"/>
    </row>
    <row r="49" ht="12" customHeight="1" s="135">
      <c r="B49" s="5" t="n"/>
    </row>
    <row r="50" ht="12" customHeight="1" s="135">
      <c r="B50" s="5" t="n"/>
    </row>
    <row r="51" ht="12" customHeight="1" s="135">
      <c r="B51" s="5" t="n"/>
    </row>
    <row r="52" ht="12" customHeight="1" s="135">
      <c r="B52" s="5" t="n"/>
    </row>
    <row r="53" ht="12" customHeight="1" s="135">
      <c r="B53" s="5" t="n"/>
    </row>
    <row r="54" ht="12" customHeight="1" s="135">
      <c r="B54" s="5" t="n"/>
    </row>
    <row r="55" ht="12" customHeight="1" s="135">
      <c r="B55" s="5" t="n"/>
    </row>
    <row r="56" ht="12" customHeight="1" s="135">
      <c r="B56" s="5" t="n"/>
    </row>
    <row r="57" ht="12" customHeight="1" s="135">
      <c r="B57" s="5" t="n"/>
    </row>
    <row r="58" ht="12" customHeight="1" s="135">
      <c r="B58" s="5" t="n"/>
    </row>
    <row r="59" ht="12" customHeight="1" s="135">
      <c r="B59" s="5" t="n"/>
    </row>
    <row r="60" ht="12" customHeight="1" s="135">
      <c r="B60" s="5" t="n"/>
    </row>
    <row r="61" ht="12" customHeight="1" s="135">
      <c r="B61" s="5" t="n"/>
    </row>
    <row r="62" ht="12" customHeight="1" s="135">
      <c r="B62" s="5" t="n"/>
    </row>
    <row r="63" ht="12" customHeight="1" s="135">
      <c r="B63" s="5" t="n"/>
    </row>
    <row r="64" ht="12" customHeight="1" s="135">
      <c r="B64" s="5" t="n"/>
    </row>
    <row r="65" ht="12" customHeight="1" s="135">
      <c r="B65" s="5" t="n"/>
    </row>
    <row r="66" ht="12" customHeight="1" s="135">
      <c r="B66" s="5" t="n"/>
    </row>
    <row r="67" ht="12" customHeight="1" s="135">
      <c r="B67" s="5" t="n"/>
    </row>
    <row r="68" ht="12" customHeight="1" s="135">
      <c r="B68" s="5" t="n"/>
    </row>
    <row r="69" ht="12" customHeight="1" s="135">
      <c r="B69" s="5" t="n"/>
    </row>
    <row r="70" ht="12" customHeight="1" s="135">
      <c r="B70" s="5" t="n"/>
    </row>
    <row r="71" ht="12" customHeight="1" s="135">
      <c r="B71" s="5" t="n"/>
    </row>
    <row r="72" ht="12" customHeight="1" s="135">
      <c r="B72" s="5" t="n"/>
    </row>
    <row r="73" ht="12" customHeight="1" s="135">
      <c r="B73" s="5" t="n"/>
    </row>
    <row r="74" ht="12" customHeight="1" s="135">
      <c r="B74" s="5" t="n"/>
    </row>
    <row r="75" ht="12" customHeight="1" s="135">
      <c r="B75" s="5" t="n"/>
    </row>
    <row r="76" ht="12" customHeight="1" s="135">
      <c r="B76" s="5" t="n"/>
    </row>
    <row r="77" ht="12" customHeight="1" s="135">
      <c r="B77" s="5" t="n"/>
    </row>
    <row r="78" ht="12" customHeight="1" s="135">
      <c r="B78" s="5" t="n"/>
    </row>
    <row r="79" ht="12" customHeight="1" s="135">
      <c r="B79" s="5" t="n"/>
    </row>
    <row r="80" ht="12" customHeight="1" s="135">
      <c r="B80" s="5" t="n"/>
    </row>
    <row r="81" ht="12" customHeight="1" s="135">
      <c r="B81" s="5" t="n"/>
    </row>
    <row r="82" ht="12" customHeight="1" s="135">
      <c r="B82" s="5" t="n"/>
    </row>
    <row r="83" ht="12" customHeight="1" s="135">
      <c r="B83" s="5" t="n"/>
    </row>
    <row r="84" ht="12" customHeight="1" s="135">
      <c r="B84" s="5" t="n"/>
    </row>
    <row r="85" ht="12" customHeight="1" s="135">
      <c r="B85" s="5" t="n"/>
    </row>
    <row r="86" ht="12" customHeight="1" s="135">
      <c r="B86" s="5" t="n"/>
    </row>
    <row r="87" ht="12" customHeight="1" s="135">
      <c r="B87" s="5" t="n"/>
    </row>
    <row r="88" ht="12" customHeight="1" s="135">
      <c r="B88" s="5" t="n"/>
    </row>
    <row r="89" ht="12" customHeight="1" s="135">
      <c r="B89" s="5" t="n"/>
    </row>
    <row r="90" ht="12" customHeight="1" s="135">
      <c r="B90" s="5" t="n"/>
    </row>
    <row r="91" ht="12" customHeight="1" s="135">
      <c r="B91" s="5" t="n"/>
    </row>
    <row r="92" ht="12" customHeight="1" s="135">
      <c r="B92" s="5" t="n"/>
    </row>
    <row r="93" ht="12" customHeight="1" s="135">
      <c r="B93" s="5" t="n"/>
    </row>
    <row r="94" ht="12" customHeight="1" s="135">
      <c r="B94" s="5" t="n"/>
    </row>
    <row r="95" ht="12" customHeight="1" s="135">
      <c r="B95" s="5" t="n"/>
    </row>
    <row r="96" ht="12" customHeight="1" s="135">
      <c r="B96" s="5" t="n"/>
    </row>
    <row r="97" ht="12" customHeight="1" s="135">
      <c r="B97" s="5" t="n"/>
    </row>
    <row r="98" ht="12" customHeight="1" s="135">
      <c r="B98" s="5" t="n"/>
    </row>
    <row r="99" ht="12" customHeight="1" s="135">
      <c r="B99" s="5" t="n"/>
    </row>
    <row r="100" ht="12" customHeight="1" s="135">
      <c r="B100" s="5" t="n"/>
    </row>
    <row r="101" ht="12" customHeight="1" s="135">
      <c r="B101" s="5" t="n"/>
    </row>
    <row r="102" ht="12" customHeight="1" s="135">
      <c r="B102" s="5" t="n"/>
    </row>
    <row r="103" ht="12" customHeight="1" s="135">
      <c r="B103" s="5" t="n"/>
    </row>
    <row r="104" ht="12" customHeight="1" s="135">
      <c r="B104" s="5" t="n"/>
    </row>
    <row r="105" ht="12" customHeight="1" s="135">
      <c r="B105" s="5" t="n"/>
    </row>
    <row r="106" ht="12" customHeight="1" s="135">
      <c r="B106" s="5" t="n"/>
    </row>
    <row r="107" ht="12" customHeight="1" s="135">
      <c r="B107" s="5" t="n"/>
    </row>
    <row r="108" ht="12" customHeight="1" s="135">
      <c r="B108" s="5" t="n"/>
    </row>
    <row r="109" ht="12" customHeight="1" s="135">
      <c r="B109" s="5" t="n"/>
    </row>
    <row r="110" ht="12" customHeight="1" s="135">
      <c r="B110" s="5" t="n"/>
    </row>
    <row r="111" ht="12" customHeight="1" s="135">
      <c r="B111" s="5" t="n"/>
    </row>
    <row r="112" ht="12" customHeight="1" s="135">
      <c r="B112" s="5" t="n"/>
    </row>
    <row r="113" ht="12" customHeight="1" s="135">
      <c r="B113" s="5" t="n"/>
    </row>
    <row r="114" ht="12" customHeight="1" s="135">
      <c r="B114" s="5" t="n"/>
    </row>
    <row r="115" ht="12" customHeight="1" s="135">
      <c r="B115" s="5" t="n"/>
    </row>
    <row r="116" ht="12" customHeight="1" s="135">
      <c r="B116" s="5" t="n"/>
    </row>
    <row r="117" ht="12" customHeight="1" s="135">
      <c r="B117" s="5" t="n"/>
    </row>
    <row r="118" ht="12" customHeight="1" s="135">
      <c r="B118" s="5" t="n"/>
    </row>
    <row r="119" ht="12" customHeight="1" s="135">
      <c r="B119" s="5" t="n"/>
    </row>
    <row r="120" ht="12" customHeight="1" s="135">
      <c r="B120" s="5" t="n"/>
    </row>
    <row r="121" ht="12" customHeight="1" s="135">
      <c r="B121" s="5" t="n"/>
    </row>
    <row r="122" ht="12" customHeight="1" s="135">
      <c r="B122" s="5" t="n"/>
    </row>
    <row r="123" ht="12" customHeight="1" s="135">
      <c r="B123" s="5" t="n"/>
    </row>
    <row r="124" ht="12" customHeight="1" s="135">
      <c r="B124" s="5" t="n"/>
    </row>
    <row r="125" ht="12" customHeight="1" s="135">
      <c r="B125" s="5" t="n"/>
    </row>
    <row r="126" ht="12" customHeight="1" s="135">
      <c r="B126" s="5" t="n"/>
    </row>
    <row r="127" ht="12" customHeight="1" s="135">
      <c r="B127" s="5" t="n"/>
    </row>
    <row r="128" ht="12" customHeight="1" s="135">
      <c r="B128" s="5" t="n"/>
    </row>
    <row r="129" ht="12" customHeight="1" s="135">
      <c r="B129" s="5" t="n"/>
    </row>
    <row r="130" ht="12" customHeight="1" s="135">
      <c r="B130" s="5" t="n"/>
    </row>
    <row r="131" ht="12" customHeight="1" s="135">
      <c r="B131" s="5" t="n"/>
    </row>
    <row r="132" ht="12" customHeight="1" s="135">
      <c r="B132" s="5" t="n"/>
    </row>
    <row r="133" ht="12" customHeight="1" s="135">
      <c r="B133" s="5" t="n"/>
    </row>
    <row r="134" ht="12" customHeight="1" s="135">
      <c r="B134" s="5" t="n"/>
    </row>
    <row r="135" ht="12" customHeight="1" s="135">
      <c r="B135" s="5" t="n"/>
    </row>
    <row r="136" ht="12" customHeight="1" s="135">
      <c r="B136" s="5" t="n"/>
    </row>
    <row r="137" ht="12" customHeight="1" s="135">
      <c r="B137" s="5" t="n"/>
    </row>
    <row r="138" ht="12" customHeight="1" s="135">
      <c r="B138" s="5" t="n"/>
    </row>
    <row r="139" ht="12" customHeight="1" s="135">
      <c r="B139" s="5" t="n"/>
    </row>
    <row r="140" ht="12" customHeight="1" s="135">
      <c r="B140" s="5" t="n"/>
    </row>
    <row r="141" ht="12" customHeight="1" s="135">
      <c r="B141" s="5" t="n"/>
    </row>
    <row r="142" ht="12" customHeight="1" s="135">
      <c r="B142" s="5" t="n"/>
    </row>
    <row r="143" ht="12" customHeight="1" s="135">
      <c r="B143" s="5" t="n"/>
    </row>
    <row r="144" ht="12" customHeight="1" s="135">
      <c r="B144" s="5" t="n"/>
    </row>
    <row r="145" ht="12" customHeight="1" s="135">
      <c r="B145" s="5" t="n"/>
    </row>
    <row r="146" ht="12" customHeight="1" s="135">
      <c r="B146" s="5" t="n"/>
    </row>
    <row r="147" ht="12" customHeight="1" s="135">
      <c r="B147" s="5" t="n"/>
    </row>
    <row r="148" ht="12" customHeight="1" s="135">
      <c r="B148" s="5" t="n"/>
    </row>
    <row r="149" ht="12" customHeight="1" s="135">
      <c r="B149" s="5" t="n"/>
    </row>
    <row r="150" ht="12" customHeight="1" s="135">
      <c r="B150" s="5" t="n"/>
    </row>
    <row r="151" ht="12" customHeight="1" s="135">
      <c r="B151" s="5" t="n"/>
    </row>
    <row r="152" ht="12" customHeight="1" s="135">
      <c r="B152" s="5" t="n"/>
    </row>
    <row r="153" ht="12" customHeight="1" s="135">
      <c r="B153" s="5" t="n"/>
    </row>
    <row r="154" ht="12" customHeight="1" s="135">
      <c r="B154" s="5" t="n"/>
    </row>
    <row r="155" ht="12" customHeight="1" s="135">
      <c r="B155" s="5" t="n"/>
    </row>
    <row r="156" ht="12" customHeight="1" s="135">
      <c r="B156" s="5" t="n"/>
    </row>
    <row r="157" ht="12" customHeight="1" s="135">
      <c r="B157" s="5" t="n"/>
    </row>
    <row r="158" ht="12" customHeight="1" s="135">
      <c r="B158" s="5" t="n"/>
    </row>
    <row r="159" ht="12" customHeight="1" s="135">
      <c r="B159" s="5" t="n"/>
    </row>
    <row r="160" ht="12" customHeight="1" s="135">
      <c r="B160" s="5" t="n"/>
    </row>
    <row r="161" ht="12" customHeight="1" s="135">
      <c r="B161" s="5" t="n"/>
    </row>
    <row r="162" ht="12" customHeight="1" s="135">
      <c r="B162" s="5" t="n"/>
    </row>
    <row r="163" ht="12" customHeight="1" s="135">
      <c r="B163" s="5" t="n"/>
    </row>
    <row r="164" ht="12" customHeight="1" s="135">
      <c r="B164" s="5" t="n"/>
    </row>
    <row r="165" ht="12" customHeight="1" s="135">
      <c r="B165" s="5" t="n"/>
    </row>
    <row r="166" ht="12" customHeight="1" s="135">
      <c r="B166" s="5" t="n"/>
    </row>
    <row r="167" ht="12" customHeight="1" s="135">
      <c r="B167" s="5" t="n"/>
    </row>
    <row r="168" ht="12" customHeight="1" s="135">
      <c r="B168" s="5" t="n"/>
    </row>
    <row r="169" ht="12" customHeight="1" s="135">
      <c r="B169" s="5" t="n"/>
    </row>
    <row r="170" ht="12" customHeight="1" s="135">
      <c r="B170" s="5" t="n"/>
    </row>
    <row r="171" ht="12" customHeight="1" s="135">
      <c r="B171" s="5" t="n"/>
    </row>
    <row r="172" ht="12" customHeight="1" s="135">
      <c r="B172" s="5" t="n"/>
    </row>
    <row r="173" ht="12" customHeight="1" s="135">
      <c r="B173" s="5" t="n"/>
    </row>
    <row r="174" ht="12" customHeight="1" s="135">
      <c r="B174" s="5" t="n"/>
    </row>
    <row r="175" ht="12" customHeight="1" s="135">
      <c r="B175" s="5" t="n"/>
    </row>
    <row r="176" ht="12" customHeight="1" s="135">
      <c r="B176" s="5" t="n"/>
    </row>
    <row r="177" ht="12" customHeight="1" s="135">
      <c r="B177" s="5" t="n"/>
    </row>
    <row r="178" ht="12" customHeight="1" s="135">
      <c r="B178" s="5" t="n"/>
    </row>
    <row r="179" ht="12" customHeight="1" s="135">
      <c r="B179" s="5" t="n"/>
    </row>
    <row r="180" ht="12" customHeight="1" s="135">
      <c r="B180" s="5" t="n"/>
    </row>
    <row r="181" ht="12" customHeight="1" s="135">
      <c r="B181" s="5" t="n"/>
    </row>
    <row r="182" ht="12" customHeight="1" s="135">
      <c r="B182" s="5" t="n"/>
    </row>
    <row r="183" ht="12" customHeight="1" s="135">
      <c r="B183" s="5" t="n"/>
    </row>
    <row r="184" ht="12" customHeight="1" s="135">
      <c r="B184" s="5" t="n"/>
    </row>
    <row r="185" ht="12" customHeight="1" s="135">
      <c r="B185" s="5" t="n"/>
    </row>
    <row r="186" ht="12" customHeight="1" s="135">
      <c r="B186" s="5" t="n"/>
    </row>
    <row r="187" ht="12" customHeight="1" s="135">
      <c r="B187" s="5" t="n"/>
    </row>
    <row r="188" ht="12" customHeight="1" s="135">
      <c r="B188" s="5" t="n"/>
    </row>
    <row r="189" ht="12" customHeight="1" s="135">
      <c r="B189" s="5" t="n"/>
    </row>
    <row r="190" ht="12" customHeight="1" s="135">
      <c r="B190" s="5" t="n"/>
    </row>
    <row r="191" ht="12" customHeight="1" s="135">
      <c r="B191" s="5" t="n"/>
    </row>
    <row r="192" ht="12" customHeight="1" s="135">
      <c r="B192" s="5" t="n"/>
    </row>
    <row r="193" ht="12" customHeight="1" s="135">
      <c r="B193" s="5" t="n"/>
    </row>
    <row r="194" ht="12" customHeight="1" s="135">
      <c r="B194" s="5" t="n"/>
    </row>
    <row r="195" ht="12" customHeight="1" s="135">
      <c r="B195" s="5" t="n"/>
    </row>
    <row r="196" ht="12" customHeight="1" s="135">
      <c r="B196" s="5" t="n"/>
    </row>
    <row r="197" ht="12" customHeight="1" s="135">
      <c r="B197" s="5" t="n"/>
    </row>
    <row r="198" ht="12" customHeight="1" s="135">
      <c r="B198" s="5" t="n"/>
    </row>
    <row r="199" ht="12" customHeight="1" s="135">
      <c r="B199" s="5" t="n"/>
    </row>
    <row r="200" ht="12" customHeight="1" s="135">
      <c r="B200" s="5" t="n"/>
    </row>
    <row r="201" ht="12" customHeight="1" s="135">
      <c r="B201" s="5" t="n"/>
    </row>
    <row r="202" ht="12" customHeight="1" s="135">
      <c r="B202" s="5" t="n"/>
    </row>
    <row r="203" ht="12" customHeight="1" s="135">
      <c r="B203" s="5" t="n"/>
    </row>
    <row r="204" ht="12" customHeight="1" s="135">
      <c r="B204" s="5" t="n"/>
    </row>
    <row r="205" ht="12" customHeight="1" s="135">
      <c r="B205" s="5" t="n"/>
    </row>
    <row r="206" ht="12" customHeight="1" s="135">
      <c r="B206" s="5" t="n"/>
    </row>
    <row r="207" ht="12" customHeight="1" s="135">
      <c r="B207" s="5" t="n"/>
    </row>
    <row r="208" ht="12" customHeight="1" s="135">
      <c r="B208" s="5" t="n"/>
    </row>
    <row r="209" ht="12" customHeight="1" s="135">
      <c r="B209" s="5" t="n"/>
    </row>
    <row r="210" ht="12" customHeight="1" s="135">
      <c r="B210" s="5" t="n"/>
    </row>
    <row r="211" ht="12" customHeight="1" s="135">
      <c r="B211" s="5" t="n"/>
    </row>
    <row r="212" ht="12" customHeight="1" s="135">
      <c r="B212" s="5" t="n"/>
    </row>
    <row r="213" ht="12" customHeight="1" s="135">
      <c r="B213" s="5" t="n"/>
    </row>
    <row r="214" ht="12" customHeight="1" s="135">
      <c r="B214" s="5" t="n"/>
    </row>
    <row r="215" ht="12" customHeight="1" s="135">
      <c r="B215" s="5" t="n"/>
    </row>
    <row r="216" ht="12" customHeight="1" s="135">
      <c r="B216" s="5" t="n"/>
    </row>
    <row r="217" ht="12" customHeight="1" s="135">
      <c r="B217" s="5" t="n"/>
    </row>
    <row r="218" ht="12" customHeight="1" s="135">
      <c r="B218" s="5" t="n"/>
    </row>
    <row r="219" ht="12" customHeight="1" s="135">
      <c r="B219" s="5" t="n"/>
    </row>
    <row r="220" ht="12" customHeight="1" s="135">
      <c r="B220" s="5" t="n"/>
    </row>
    <row r="221" ht="12" customHeight="1" s="135">
      <c r="B221" s="5" t="n"/>
    </row>
    <row r="222" ht="12" customHeight="1" s="135">
      <c r="B222" s="5" t="n"/>
    </row>
    <row r="223" ht="12" customHeight="1" s="135">
      <c r="B223" s="5" t="n"/>
    </row>
    <row r="224" ht="12" customHeight="1" s="135">
      <c r="B224" s="5" t="n"/>
    </row>
    <row r="225" ht="12" customHeight="1" s="135">
      <c r="B225" s="5" t="n"/>
    </row>
    <row r="226" ht="12" customHeight="1" s="135">
      <c r="B226" s="5" t="n"/>
    </row>
    <row r="227" ht="12" customHeight="1" s="135">
      <c r="B227" s="5" t="n"/>
    </row>
    <row r="228" ht="12" customHeight="1" s="135">
      <c r="B228" s="5" t="n"/>
    </row>
    <row r="229" ht="12" customHeight="1" s="135">
      <c r="B229" s="5" t="n"/>
    </row>
    <row r="230" ht="12" customHeight="1" s="135">
      <c r="B230" s="5" t="n"/>
    </row>
    <row r="231" ht="12" customHeight="1" s="135">
      <c r="B231" s="5" t="n"/>
    </row>
    <row r="232" ht="12" customHeight="1" s="135">
      <c r="B232" s="5" t="n"/>
    </row>
    <row r="233" ht="12" customHeight="1" s="135">
      <c r="B233" s="5" t="n"/>
    </row>
    <row r="234" ht="12" customHeight="1" s="135">
      <c r="B234" s="5" t="n"/>
    </row>
    <row r="235" ht="12" customHeight="1" s="135">
      <c r="B235" s="5" t="n"/>
    </row>
    <row r="236" ht="12" customHeight="1" s="135">
      <c r="B236" s="5" t="n"/>
    </row>
    <row r="237" ht="12" customHeight="1" s="135"/>
    <row r="238" ht="12" customHeight="1" s="135"/>
    <row r="239" ht="12" customHeight="1" s="135"/>
    <row r="240" ht="12" customHeight="1" s="135"/>
    <row r="241" ht="12" customHeight="1" s="135"/>
    <row r="242" ht="12" customHeight="1" s="135"/>
    <row r="243" ht="12" customHeight="1" s="135"/>
    <row r="244" ht="12" customHeight="1" s="135"/>
    <row r="245" ht="12" customHeight="1" s="135"/>
    <row r="246" ht="12" customHeight="1" s="135"/>
    <row r="247" ht="12" customHeight="1" s="135"/>
    <row r="248" ht="13.8" customHeight="1" s="135"/>
    <row r="249" ht="13.8" customHeight="1" s="135"/>
    <row r="250" ht="13.8" customHeight="1" s="135"/>
    <row r="251" ht="13.8" customHeight="1" s="135"/>
    <row r="252" ht="13.8" customHeight="1" s="135"/>
    <row r="253" ht="13.8" customHeight="1" s="135"/>
    <row r="254" ht="13.8" customHeight="1" s="135"/>
    <row r="255" ht="13.8" customHeight="1" s="135"/>
    <row r="256" ht="13.8" customHeight="1" s="135"/>
    <row r="257" ht="13.8" customHeight="1" s="135"/>
    <row r="258" ht="13.8" customHeight="1" s="135"/>
    <row r="259" ht="13.8" customHeight="1" s="135"/>
    <row r="260" ht="13.8" customHeight="1" s="135"/>
    <row r="261" ht="13.8" customHeight="1" s="135"/>
    <row r="262" ht="13.8" customHeight="1" s="135"/>
    <row r="263" ht="13.8" customHeight="1" s="135"/>
    <row r="264" ht="13.8" customHeight="1" s="135"/>
    <row r="265" ht="13.8" customHeight="1" s="135"/>
    <row r="266" ht="13.8" customHeight="1" s="135"/>
    <row r="267" ht="13.8" customHeight="1" s="135"/>
    <row r="268" ht="13.8" customHeight="1" s="135"/>
    <row r="269" ht="13.8" customHeight="1" s="135"/>
    <row r="270" ht="13.8" customHeight="1" s="135"/>
    <row r="271" ht="13.8" customHeight="1" s="135"/>
    <row r="272" ht="13.8" customHeight="1" s="135"/>
    <row r="273" ht="13.8" customHeight="1" s="135"/>
    <row r="274" ht="13.8" customHeight="1" s="135"/>
    <row r="275" ht="13.8" customHeight="1" s="135"/>
    <row r="276" ht="13.8" customHeight="1" s="135"/>
    <row r="277" ht="13.8" customHeight="1" s="135"/>
    <row r="278" ht="13.8" customHeight="1" s="135"/>
    <row r="279" ht="13.8" customHeight="1" s="135"/>
    <row r="280" ht="13.8" customHeight="1" s="135"/>
    <row r="281" ht="13.8" customHeight="1" s="135"/>
    <row r="282" ht="13.8" customHeight="1" s="135"/>
    <row r="283" ht="13.8" customHeight="1" s="135"/>
    <row r="284" ht="13.8" customHeight="1" s="135"/>
    <row r="285" ht="13.8" customHeight="1" s="135"/>
    <row r="286" ht="13.8" customHeight="1" s="135"/>
    <row r="287" ht="13.8" customHeight="1" s="135"/>
    <row r="288" ht="13.8" customHeight="1" s="135"/>
    <row r="289" ht="13.8" customHeight="1" s="135"/>
    <row r="290" ht="13.8" customHeight="1" s="135"/>
    <row r="291" ht="13.8" customHeight="1" s="135"/>
    <row r="292" ht="13.8" customHeight="1" s="135"/>
    <row r="293" ht="13.8" customHeight="1" s="135"/>
    <row r="294" ht="13.8" customHeight="1" s="135"/>
    <row r="295" ht="13.8" customHeight="1" s="135"/>
    <row r="296" ht="13.8" customHeight="1" s="135"/>
    <row r="297" ht="13.8" customHeight="1" s="135"/>
    <row r="298" ht="13.8" customHeight="1" s="135"/>
    <row r="299" ht="13.8" customHeight="1" s="135"/>
    <row r="300" ht="13.8" customHeight="1" s="135"/>
    <row r="301" ht="13.8" customHeight="1" s="135"/>
    <row r="302" ht="13.8" customHeight="1" s="135"/>
    <row r="303" ht="13.8" customHeight="1" s="135"/>
    <row r="304" ht="13.8" customHeight="1" s="135"/>
    <row r="305" ht="13.8" customHeight="1" s="135"/>
    <row r="306" ht="13.8" customHeight="1" s="135"/>
    <row r="307" ht="13.8" customHeight="1" s="135"/>
    <row r="308" ht="13.8" customHeight="1" s="135"/>
    <row r="309" ht="13.8" customHeight="1" s="135"/>
    <row r="310" ht="13.8" customHeight="1" s="135"/>
    <row r="311" ht="13.8" customHeight="1" s="135"/>
    <row r="312" ht="13.8" customHeight="1" s="135"/>
    <row r="313" ht="13.8" customHeight="1" s="135"/>
    <row r="314" ht="13.8" customHeight="1" s="135"/>
    <row r="315" ht="13.8" customHeight="1" s="135"/>
    <row r="316" ht="13.8" customHeight="1" s="135"/>
    <row r="317" ht="13.8" customHeight="1" s="135"/>
    <row r="318" ht="13.8" customHeight="1" s="135"/>
    <row r="319" ht="13.8" customHeight="1" s="135"/>
    <row r="320" ht="13.8" customHeight="1" s="135"/>
    <row r="321" ht="13.8" customHeight="1" s="135"/>
    <row r="322" ht="13.8" customHeight="1" s="135"/>
    <row r="323" ht="13.8" customHeight="1" s="135"/>
    <row r="324" ht="13.8" customHeight="1" s="135"/>
    <row r="325" ht="13.8" customHeight="1" s="135"/>
    <row r="326" ht="13.8" customHeight="1" s="135"/>
    <row r="327" ht="13.8" customHeight="1" s="135"/>
    <row r="328" ht="13.8" customHeight="1" s="135"/>
    <row r="329" ht="13.8" customHeight="1" s="135"/>
    <row r="330" ht="13.8" customHeight="1" s="135"/>
    <row r="331" ht="13.8" customHeight="1" s="135"/>
    <row r="332" ht="13.8" customHeight="1" s="135"/>
    <row r="333" ht="13.8" customHeight="1" s="135"/>
    <row r="334" ht="13.8" customHeight="1" s="135"/>
    <row r="335" ht="13.8" customHeight="1" s="135"/>
    <row r="336" ht="13.8" customHeight="1" s="135"/>
    <row r="337" ht="13.8" customHeight="1" s="135"/>
    <row r="338" ht="13.8" customHeight="1" s="135"/>
    <row r="339" ht="13.8" customHeight="1" s="135"/>
    <row r="340" ht="13.8" customHeight="1" s="135"/>
    <row r="341" ht="13.8" customHeight="1" s="135"/>
    <row r="342" ht="13.8" customHeight="1" s="135"/>
    <row r="343" ht="13.8" customHeight="1" s="135"/>
    <row r="344" ht="13.8" customHeight="1" s="135"/>
    <row r="345" ht="13.8" customHeight="1" s="135"/>
    <row r="346" ht="13.8" customHeight="1" s="135"/>
    <row r="347" ht="13.8" customHeight="1" s="135"/>
    <row r="348" ht="13.8" customHeight="1" s="135"/>
    <row r="349" ht="13.8" customHeight="1" s="135"/>
    <row r="350" ht="13.8" customHeight="1" s="135"/>
    <row r="351" ht="13.8" customHeight="1" s="135"/>
    <row r="352" ht="13.8" customHeight="1" s="135"/>
    <row r="353" ht="13.8" customHeight="1" s="135"/>
    <row r="354" ht="13.8" customHeight="1" s="135"/>
    <row r="355" ht="13.8" customHeight="1" s="135"/>
    <row r="356" ht="13.8" customHeight="1" s="135"/>
    <row r="357" ht="13.8" customHeight="1" s="135"/>
    <row r="358" ht="13.8" customHeight="1" s="135"/>
    <row r="359" ht="13.8" customHeight="1" s="135"/>
    <row r="360" ht="13.8" customHeight="1" s="135"/>
    <row r="361" ht="13.8" customHeight="1" s="135"/>
    <row r="362" ht="13.8" customHeight="1" s="135"/>
    <row r="363" ht="13.8" customHeight="1" s="135"/>
    <row r="364" ht="13.8" customHeight="1" s="135"/>
    <row r="365" ht="13.8" customHeight="1" s="135"/>
    <row r="366" ht="13.8" customHeight="1" s="135"/>
    <row r="367" ht="13.8" customHeight="1" s="135"/>
    <row r="368" ht="13.8" customHeight="1" s="135"/>
    <row r="369" ht="13.8" customHeight="1" s="135"/>
    <row r="370" ht="13.8" customHeight="1" s="135"/>
    <row r="371" ht="13.8" customHeight="1" s="135"/>
    <row r="372" ht="13.8" customHeight="1" s="135"/>
    <row r="373" ht="13.8" customHeight="1" s="135"/>
    <row r="374" ht="13.8" customHeight="1" s="135"/>
    <row r="375" ht="13.8" customHeight="1" s="135"/>
    <row r="376" ht="13.8" customHeight="1" s="135"/>
    <row r="377" ht="13.8" customHeight="1" s="135"/>
    <row r="378" ht="13.8" customHeight="1" s="135"/>
    <row r="379" ht="13.8" customHeight="1" s="135"/>
    <row r="380" ht="13.8" customHeight="1" s="135"/>
    <row r="381" ht="13.8" customHeight="1" s="135"/>
    <row r="382" ht="13.8" customHeight="1" s="135"/>
    <row r="383" ht="13.8" customHeight="1" s="135"/>
    <row r="384" ht="13.8" customHeight="1" s="135"/>
    <row r="385" ht="13.8" customHeight="1" s="135"/>
    <row r="386" ht="13.8" customHeight="1" s="135"/>
    <row r="387" ht="13.8" customHeight="1" s="135"/>
    <row r="388" ht="13.8" customHeight="1" s="135"/>
    <row r="389" ht="13.8" customHeight="1" s="135"/>
    <row r="390" ht="13.8" customHeight="1" s="135"/>
    <row r="391" ht="13.8" customHeight="1" s="135"/>
    <row r="392" ht="13.8" customHeight="1" s="135"/>
    <row r="393" ht="13.8" customHeight="1" s="135"/>
    <row r="394" ht="13.8" customHeight="1" s="135"/>
    <row r="395" ht="13.8" customHeight="1" s="135"/>
    <row r="396" ht="13.8" customHeight="1" s="135"/>
    <row r="397" ht="13.8" customHeight="1" s="135"/>
    <row r="398" ht="13.8" customHeight="1" s="135"/>
    <row r="399" ht="13.8" customHeight="1" s="135"/>
    <row r="400" ht="13.8" customHeight="1" s="135"/>
    <row r="401" ht="13.8" customHeight="1" s="135"/>
    <row r="402" ht="13.8" customHeight="1" s="135"/>
    <row r="403" ht="13.8" customHeight="1" s="135"/>
    <row r="404" ht="13.8" customHeight="1" s="135"/>
    <row r="405" ht="13.8" customHeight="1" s="135"/>
    <row r="406" ht="13.8" customHeight="1" s="135"/>
    <row r="407" ht="13.8" customHeight="1" s="135"/>
    <row r="408" ht="13.8" customHeight="1" s="135"/>
    <row r="409" ht="13.8" customHeight="1" s="135"/>
    <row r="410" ht="13.8" customHeight="1" s="135"/>
    <row r="411" ht="13.8" customHeight="1" s="135"/>
    <row r="412" ht="13.8" customHeight="1" s="135"/>
    <row r="413" ht="13.8" customHeight="1" s="135"/>
    <row r="414" ht="13.8" customHeight="1" s="135"/>
    <row r="415" ht="13.8" customHeight="1" s="135"/>
    <row r="416" ht="13.8" customHeight="1" s="135"/>
    <row r="417" ht="13.8" customHeight="1" s="135"/>
    <row r="418" ht="13.8" customHeight="1" s="135"/>
    <row r="419" ht="13.8" customHeight="1" s="135"/>
    <row r="420" ht="13.8" customHeight="1" s="135"/>
    <row r="421" ht="13.8" customHeight="1" s="135"/>
    <row r="422" ht="13.8" customHeight="1" s="135"/>
    <row r="423" ht="13.8" customHeight="1" s="135"/>
    <row r="424" ht="13.8" customHeight="1" s="135"/>
    <row r="425" ht="13.8" customHeight="1" s="135"/>
    <row r="426" ht="13.8" customHeight="1" s="135"/>
    <row r="427" ht="13.8" customHeight="1" s="135"/>
    <row r="428" ht="13.8" customHeight="1" s="135"/>
    <row r="429" ht="13.8" customHeight="1" s="135"/>
    <row r="430" ht="13.8" customHeight="1" s="135"/>
    <row r="431" ht="13.8" customHeight="1" s="135"/>
    <row r="432" ht="13.8" customHeight="1" s="135"/>
    <row r="433" ht="13.8" customHeight="1" s="135"/>
    <row r="434" ht="13.8" customHeight="1" s="135"/>
    <row r="435" ht="13.8" customHeight="1" s="135"/>
    <row r="436" ht="13.8" customHeight="1" s="135"/>
    <row r="437" ht="13.8" customHeight="1" s="135"/>
    <row r="438" ht="13.8" customHeight="1" s="135"/>
    <row r="439" ht="13.8" customHeight="1" s="135"/>
    <row r="440" ht="13.8" customHeight="1" s="135"/>
    <row r="441" ht="13.8" customHeight="1" s="135"/>
    <row r="442" ht="13.8" customHeight="1" s="135"/>
    <row r="443" ht="13.8" customHeight="1" s="135"/>
    <row r="444" ht="13.8" customHeight="1" s="135"/>
    <row r="445" ht="13.8" customHeight="1" s="135"/>
    <row r="446" ht="13.8" customHeight="1" s="135"/>
    <row r="447" ht="13.8" customHeight="1" s="135"/>
    <row r="448" ht="13.8" customHeight="1" s="135"/>
    <row r="449" ht="13.8" customHeight="1" s="135"/>
    <row r="450" ht="13.8" customHeight="1" s="135"/>
    <row r="451" ht="13.8" customHeight="1" s="135"/>
    <row r="452" ht="13.8" customHeight="1" s="135"/>
    <row r="453" ht="13.8" customHeight="1" s="135"/>
    <row r="454" ht="13.8" customHeight="1" s="135"/>
    <row r="455" ht="13.8" customHeight="1" s="135"/>
    <row r="456" ht="13.8" customHeight="1" s="135"/>
    <row r="457" ht="13.8" customHeight="1" s="135"/>
    <row r="458" ht="13.8" customHeight="1" s="135"/>
    <row r="459" ht="13.8" customHeight="1" s="135"/>
    <row r="460" ht="13.8" customHeight="1" s="135"/>
    <row r="461" ht="13.8" customHeight="1" s="135"/>
    <row r="462" ht="13.8" customHeight="1" s="135"/>
    <row r="463" ht="13.8" customHeight="1" s="135"/>
    <row r="464" ht="13.8" customHeight="1" s="135"/>
    <row r="465" ht="13.8" customHeight="1" s="135"/>
    <row r="466" ht="13.8" customHeight="1" s="135"/>
    <row r="467" ht="13.8" customHeight="1" s="135"/>
    <row r="468" ht="13.8" customHeight="1" s="135"/>
    <row r="469" ht="13.8" customHeight="1" s="135"/>
    <row r="470" ht="13.8" customHeight="1" s="135"/>
    <row r="471" ht="13.8" customHeight="1" s="135"/>
    <row r="472" ht="13.8" customHeight="1" s="135"/>
    <row r="473" ht="13.8" customHeight="1" s="135"/>
    <row r="474" ht="13.8" customHeight="1" s="135"/>
    <row r="475" ht="13.8" customHeight="1" s="135"/>
    <row r="476" ht="13.8" customHeight="1" s="135"/>
    <row r="477" ht="13.8" customHeight="1" s="135"/>
    <row r="478" ht="13.8" customHeight="1" s="135"/>
    <row r="479" ht="13.8" customHeight="1" s="135"/>
    <row r="480" ht="13.8" customHeight="1" s="135"/>
    <row r="481" ht="13.8" customHeight="1" s="135"/>
    <row r="482" ht="13.8" customHeight="1" s="135"/>
    <row r="483" ht="13.8" customHeight="1" s="135"/>
    <row r="484" ht="13.8" customHeight="1" s="135"/>
    <row r="485" ht="13.8" customHeight="1" s="135"/>
    <row r="486" ht="13.8" customHeight="1" s="135"/>
    <row r="487" ht="13.8" customHeight="1" s="135"/>
    <row r="488" ht="13.8" customHeight="1" s="135"/>
    <row r="489" ht="13.8" customHeight="1" s="135"/>
    <row r="490" ht="13.8" customHeight="1" s="135"/>
    <row r="491" ht="13.8" customHeight="1" s="135"/>
    <row r="492" ht="13.8" customHeight="1" s="135"/>
    <row r="493" ht="13.8" customHeight="1" s="135"/>
    <row r="494" ht="13.8" customHeight="1" s="135"/>
    <row r="495" ht="13.8" customHeight="1" s="135"/>
    <row r="496" ht="13.8" customHeight="1" s="135"/>
    <row r="497" ht="13.8" customHeight="1" s="135"/>
    <row r="498" ht="13.8" customHeight="1" s="135"/>
    <row r="499" ht="13.8" customHeight="1" s="135"/>
    <row r="500" ht="13.8" customHeight="1" s="135"/>
    <row r="501" ht="13.8" customHeight="1" s="135"/>
    <row r="502" ht="13.8" customHeight="1" s="135"/>
    <row r="503" ht="13.8" customHeight="1" s="135"/>
    <row r="504" ht="13.8" customHeight="1" s="135"/>
    <row r="505" ht="13.8" customHeight="1" s="135"/>
    <row r="506" ht="13.8" customHeight="1" s="135"/>
    <row r="507" ht="13.8" customHeight="1" s="135"/>
    <row r="508" ht="13.8" customHeight="1" s="135"/>
    <row r="509" ht="13.8" customHeight="1" s="135"/>
    <row r="510" ht="13.8" customHeight="1" s="135"/>
    <row r="511" ht="13.8" customHeight="1" s="135"/>
    <row r="512" ht="13.8" customHeight="1" s="135"/>
    <row r="513" ht="13.8" customHeight="1" s="135"/>
    <row r="514" ht="13.8" customHeight="1" s="135"/>
    <row r="515" ht="13.8" customHeight="1" s="135"/>
    <row r="516" ht="13.8" customHeight="1" s="135"/>
    <row r="517" ht="13.8" customHeight="1" s="135"/>
    <row r="518" ht="13.8" customHeight="1" s="135"/>
    <row r="519" ht="13.8" customHeight="1" s="135"/>
    <row r="520" ht="13.8" customHeight="1" s="135"/>
    <row r="521" ht="13.8" customHeight="1" s="135"/>
    <row r="522" ht="13.8" customHeight="1" s="135"/>
    <row r="523" ht="13.8" customHeight="1" s="135"/>
    <row r="524" ht="13.8" customHeight="1" s="135"/>
    <row r="525" ht="13.8" customHeight="1" s="135"/>
    <row r="526" ht="13.8" customHeight="1" s="135"/>
    <row r="527" ht="13.8" customHeight="1" s="135"/>
    <row r="528" ht="13.8" customHeight="1" s="135"/>
    <row r="529" ht="13.8" customHeight="1" s="135"/>
    <row r="530" ht="13.8" customHeight="1" s="135"/>
    <row r="531" ht="13.8" customHeight="1" s="135"/>
    <row r="532" ht="13.8" customHeight="1" s="135"/>
    <row r="533" ht="13.8" customHeight="1" s="135"/>
    <row r="534" ht="13.8" customHeight="1" s="135"/>
    <row r="535" ht="13.8" customHeight="1" s="135"/>
    <row r="536" ht="13.8" customHeight="1" s="135"/>
    <row r="537" ht="13.8" customHeight="1" s="135"/>
    <row r="538" ht="13.8" customHeight="1" s="135"/>
    <row r="539" ht="13.8" customHeight="1" s="135"/>
    <row r="540" ht="13.8" customHeight="1" s="135"/>
    <row r="541" ht="13.8" customHeight="1" s="135"/>
    <row r="542" ht="13.8" customHeight="1" s="135"/>
    <row r="543" ht="13.8" customHeight="1" s="135"/>
    <row r="544" ht="13.8" customHeight="1" s="135"/>
    <row r="545" ht="13.8" customHeight="1" s="135"/>
    <row r="546" ht="13.8" customHeight="1" s="135"/>
    <row r="547" ht="13.8" customHeight="1" s="135"/>
    <row r="548" ht="13.8" customHeight="1" s="135"/>
    <row r="549" ht="13.8" customHeight="1" s="135"/>
    <row r="550" ht="13.8" customHeight="1" s="135"/>
    <row r="551" ht="13.8" customHeight="1" s="135"/>
    <row r="552" ht="13.8" customHeight="1" s="135"/>
    <row r="553" ht="13.8" customHeight="1" s="135"/>
    <row r="554" ht="13.8" customHeight="1" s="135"/>
    <row r="555" ht="13.8" customHeight="1" s="135"/>
    <row r="556" ht="13.8" customHeight="1" s="135"/>
    <row r="557" ht="13.8" customHeight="1" s="135"/>
    <row r="558" ht="13.8" customHeight="1" s="135"/>
    <row r="559" ht="13.8" customHeight="1" s="135"/>
    <row r="560" ht="13.8" customHeight="1" s="135"/>
    <row r="561" ht="13.8" customHeight="1" s="135"/>
    <row r="562" ht="13.8" customHeight="1" s="135"/>
    <row r="563" ht="13.8" customHeight="1" s="135"/>
    <row r="564" ht="13.8" customHeight="1" s="135"/>
    <row r="565" ht="13.8" customHeight="1" s="135"/>
    <row r="566" ht="13.8" customHeight="1" s="135"/>
    <row r="567" ht="13.8" customHeight="1" s="135"/>
    <row r="568" ht="13.8" customHeight="1" s="135"/>
    <row r="569" ht="13.8" customHeight="1" s="135"/>
    <row r="570" ht="13.8" customHeight="1" s="135"/>
    <row r="571" ht="13.8" customHeight="1" s="135"/>
    <row r="572" ht="13.8" customHeight="1" s="135"/>
    <row r="573" ht="13.8" customHeight="1" s="135"/>
    <row r="574" ht="13.8" customHeight="1" s="135"/>
    <row r="575" ht="13.8" customHeight="1" s="135"/>
    <row r="576" ht="13.8" customHeight="1" s="135"/>
    <row r="577" ht="13.8" customHeight="1" s="135"/>
    <row r="578" ht="13.8" customHeight="1" s="135"/>
    <row r="579" ht="13.8" customHeight="1" s="135"/>
    <row r="580" ht="13.8" customHeight="1" s="135"/>
    <row r="581" ht="13.8" customHeight="1" s="135"/>
    <row r="582" ht="13.8" customHeight="1" s="135"/>
    <row r="583" ht="13.8" customHeight="1" s="135"/>
    <row r="584" ht="13.8" customHeight="1" s="135"/>
    <row r="585" ht="13.8" customHeight="1" s="135"/>
    <row r="586" ht="13.8" customHeight="1" s="135"/>
    <row r="587" ht="13.8" customHeight="1" s="135"/>
    <row r="588" ht="13.8" customHeight="1" s="135"/>
    <row r="589" ht="13.8" customHeight="1" s="135"/>
    <row r="590" ht="13.8" customHeight="1" s="135"/>
    <row r="591" ht="13.8" customHeight="1" s="135"/>
    <row r="592" ht="13.8" customHeight="1" s="135"/>
    <row r="593" ht="13.8" customHeight="1" s="135"/>
    <row r="594" ht="13.8" customHeight="1" s="135"/>
    <row r="595" ht="13.8" customHeight="1" s="135"/>
    <row r="596" ht="13.8" customHeight="1" s="135"/>
    <row r="597" ht="13.8" customHeight="1" s="135"/>
    <row r="598" ht="13.8" customHeight="1" s="135"/>
    <row r="599" ht="13.8" customHeight="1" s="135"/>
    <row r="600" ht="13.8" customHeight="1" s="135"/>
    <row r="601" ht="13.8" customHeight="1" s="135"/>
    <row r="602" ht="13.8" customHeight="1" s="135"/>
    <row r="603" ht="13.8" customHeight="1" s="135"/>
    <row r="604" ht="13.8" customHeight="1" s="135"/>
    <row r="605" ht="13.8" customHeight="1" s="135"/>
    <row r="606" ht="13.8" customHeight="1" s="135"/>
    <row r="607" ht="13.8" customHeight="1" s="135"/>
    <row r="608" ht="13.8" customHeight="1" s="135"/>
    <row r="609" ht="13.8" customHeight="1" s="135"/>
    <row r="610" ht="13.8" customHeight="1" s="135"/>
    <row r="611" ht="13.8" customHeight="1" s="135"/>
    <row r="612" ht="13.8" customHeight="1" s="135"/>
    <row r="613" ht="13.8" customHeight="1" s="135"/>
    <row r="614" ht="13.8" customHeight="1" s="135"/>
    <row r="615" ht="13.8" customHeight="1" s="135"/>
    <row r="616" ht="13.8" customHeight="1" s="135"/>
    <row r="617" ht="13.8" customHeight="1" s="135"/>
    <row r="618" ht="13.8" customHeight="1" s="135"/>
    <row r="619" ht="13.8" customHeight="1" s="135"/>
    <row r="620" ht="13.8" customHeight="1" s="135"/>
    <row r="621" ht="13.8" customHeight="1" s="135"/>
    <row r="622" ht="13.8" customHeight="1" s="135"/>
    <row r="623" ht="13.8" customHeight="1" s="135"/>
    <row r="624" ht="13.8" customHeight="1" s="135"/>
    <row r="625" ht="13.8" customHeight="1" s="135"/>
    <row r="626" ht="13.8" customHeight="1" s="135"/>
    <row r="627" ht="13.8" customHeight="1" s="135"/>
    <row r="628" ht="13.8" customHeight="1" s="135"/>
    <row r="629" ht="13.8" customHeight="1" s="135"/>
    <row r="630" ht="13.8" customHeight="1" s="135"/>
    <row r="631" ht="13.8" customHeight="1" s="135"/>
    <row r="632" ht="13.8" customHeight="1" s="135"/>
    <row r="633" ht="13.8" customHeight="1" s="135"/>
    <row r="634" ht="13.8" customHeight="1" s="135"/>
    <row r="635" ht="13.8" customHeight="1" s="135"/>
    <row r="636" ht="13.8" customHeight="1" s="135"/>
    <row r="637" ht="13.8" customHeight="1" s="135"/>
    <row r="638" ht="13.8" customHeight="1" s="135"/>
    <row r="639" ht="13.8" customHeight="1" s="135"/>
    <row r="640" ht="13.8" customHeight="1" s="135"/>
    <row r="641" ht="13.8" customHeight="1" s="135"/>
    <row r="642" ht="13.8" customHeight="1" s="135"/>
    <row r="643" ht="13.8" customHeight="1" s="135"/>
    <row r="644" ht="13.8" customHeight="1" s="135"/>
    <row r="645" ht="13.8" customHeight="1" s="135"/>
    <row r="646" ht="13.8" customHeight="1" s="135"/>
    <row r="647" ht="13.8" customHeight="1" s="135"/>
    <row r="648" ht="13.8" customHeight="1" s="135"/>
    <row r="649" ht="13.8" customHeight="1" s="135"/>
    <row r="650" ht="13.8" customHeight="1" s="135"/>
    <row r="651" ht="13.8" customHeight="1" s="135"/>
    <row r="652" ht="13.8" customHeight="1" s="135"/>
    <row r="653" ht="13.8" customHeight="1" s="135"/>
    <row r="654" ht="13.8" customHeight="1" s="135"/>
    <row r="655" ht="13.8" customHeight="1" s="135"/>
    <row r="656" ht="13.8" customHeight="1" s="135"/>
    <row r="657" ht="13.8" customHeight="1" s="135"/>
    <row r="658" ht="13.8" customHeight="1" s="135"/>
    <row r="659" ht="13.8" customHeight="1" s="135"/>
    <row r="660" ht="13.8" customHeight="1" s="135"/>
    <row r="661" ht="13.8" customHeight="1" s="135"/>
    <row r="662" ht="13.8" customHeight="1" s="135"/>
    <row r="663" ht="13.8" customHeight="1" s="135"/>
    <row r="664" ht="13.8" customHeight="1" s="135"/>
    <row r="665" ht="13.8" customHeight="1" s="135"/>
    <row r="666" ht="13.8" customHeight="1" s="135"/>
    <row r="667" ht="13.8" customHeight="1" s="135"/>
    <row r="668" ht="13.8" customHeight="1" s="135"/>
    <row r="669" ht="13.8" customHeight="1" s="135"/>
    <row r="670" ht="13.8" customHeight="1" s="135"/>
    <row r="671" ht="13.8" customHeight="1" s="135"/>
    <row r="672" ht="13.8" customHeight="1" s="135"/>
    <row r="673" ht="13.8" customHeight="1" s="135"/>
    <row r="674" ht="13.8" customHeight="1" s="135"/>
    <row r="675" ht="13.8" customHeight="1" s="135"/>
    <row r="676" ht="13.8" customHeight="1" s="135"/>
    <row r="677" ht="13.8" customHeight="1" s="135"/>
    <row r="678" ht="13.8" customHeight="1" s="135"/>
    <row r="679" ht="13.8" customHeight="1" s="135"/>
    <row r="680" ht="13.8" customHeight="1" s="135"/>
    <row r="681" ht="13.8" customHeight="1" s="135"/>
    <row r="682" ht="13.8" customHeight="1" s="135"/>
    <row r="683" ht="13.8" customHeight="1" s="135"/>
    <row r="684" ht="13.8" customHeight="1" s="135"/>
    <row r="685" ht="13.8" customHeight="1" s="135"/>
    <row r="686" ht="13.8" customHeight="1" s="135"/>
    <row r="687" ht="13.8" customHeight="1" s="135"/>
    <row r="688" ht="13.8" customHeight="1" s="135"/>
    <row r="689" ht="13.8" customHeight="1" s="135"/>
    <row r="690" ht="13.8" customHeight="1" s="135"/>
    <row r="691" ht="13.8" customHeight="1" s="135"/>
    <row r="692" ht="13.8" customHeight="1" s="135"/>
    <row r="693" ht="13.8" customHeight="1" s="135"/>
    <row r="694" ht="13.8" customHeight="1" s="135"/>
    <row r="695" ht="13.8" customHeight="1" s="135"/>
    <row r="696" ht="13.8" customHeight="1" s="135"/>
    <row r="697" ht="13.8" customHeight="1" s="135"/>
    <row r="698" ht="13.8" customHeight="1" s="135"/>
    <row r="699" ht="13.8" customHeight="1" s="135"/>
    <row r="700" ht="13.8" customHeight="1" s="135"/>
    <row r="701" ht="13.8" customHeight="1" s="135"/>
    <row r="702" ht="13.8" customHeight="1" s="135"/>
    <row r="703" ht="13.8" customHeight="1" s="135"/>
    <row r="704" ht="13.8" customHeight="1" s="135"/>
    <row r="705" ht="13.8" customHeight="1" s="135"/>
    <row r="706" ht="13.8" customHeight="1" s="135"/>
    <row r="707" ht="13.8" customHeight="1" s="135"/>
    <row r="708" ht="13.8" customHeight="1" s="135"/>
    <row r="709" ht="13.8" customHeight="1" s="135"/>
    <row r="710" ht="13.8" customHeight="1" s="135"/>
    <row r="711" ht="13.8" customHeight="1" s="135"/>
    <row r="712" ht="13.8" customHeight="1" s="135"/>
    <row r="713" ht="13.8" customHeight="1" s="135"/>
    <row r="714" ht="13.8" customHeight="1" s="135"/>
    <row r="715" ht="13.8" customHeight="1" s="135"/>
    <row r="716" ht="13.8" customHeight="1" s="135"/>
    <row r="717" ht="13.8" customHeight="1" s="135"/>
    <row r="718" ht="13.8" customHeight="1" s="135"/>
    <row r="719" ht="13.8" customHeight="1" s="135"/>
    <row r="720" ht="13.8" customHeight="1" s="135"/>
    <row r="721" ht="13.8" customHeight="1" s="135"/>
    <row r="722" ht="13.8" customHeight="1" s="135"/>
    <row r="723" ht="13.8" customHeight="1" s="135"/>
    <row r="724" ht="13.8" customHeight="1" s="135"/>
    <row r="725" ht="13.8" customHeight="1" s="135"/>
    <row r="726" ht="13.8" customHeight="1" s="135"/>
    <row r="727" ht="13.8" customHeight="1" s="135"/>
    <row r="728" ht="13.8" customHeight="1" s="135"/>
    <row r="729" ht="13.8" customHeight="1" s="135"/>
    <row r="730" ht="13.8" customHeight="1" s="135"/>
    <row r="731" ht="13.8" customHeight="1" s="135"/>
    <row r="732" ht="13.8" customHeight="1" s="135"/>
    <row r="733" ht="13.8" customHeight="1" s="135"/>
    <row r="734" ht="13.8" customHeight="1" s="135"/>
    <row r="735" ht="13.8" customHeight="1" s="135"/>
    <row r="736" ht="13.8" customHeight="1" s="135"/>
    <row r="737" ht="13.8" customHeight="1" s="135"/>
    <row r="738" ht="13.8" customHeight="1" s="135"/>
    <row r="739" ht="13.8" customHeight="1" s="135"/>
    <row r="740" ht="13.8" customHeight="1" s="135"/>
    <row r="741" ht="13.8" customHeight="1" s="135"/>
    <row r="742" ht="13.8" customHeight="1" s="135"/>
    <row r="743" ht="13.8" customHeight="1" s="135"/>
    <row r="744" ht="13.8" customHeight="1" s="135"/>
    <row r="745" ht="13.8" customHeight="1" s="135"/>
    <row r="746" ht="13.8" customHeight="1" s="135"/>
    <row r="747" ht="13.8" customHeight="1" s="135"/>
    <row r="748" ht="13.8" customHeight="1" s="135"/>
    <row r="749" ht="13.8" customHeight="1" s="135"/>
    <row r="750" ht="13.8" customHeight="1" s="135"/>
    <row r="751" ht="13.8" customHeight="1" s="135"/>
    <row r="752" ht="13.8" customHeight="1" s="135"/>
    <row r="753" ht="13.8" customHeight="1" s="135"/>
    <row r="754" ht="13.8" customHeight="1" s="135"/>
    <row r="755" ht="13.8" customHeight="1" s="135"/>
    <row r="756" ht="13.8" customHeight="1" s="135"/>
    <row r="757" ht="13.8" customHeight="1" s="135"/>
    <row r="758" ht="13.8" customHeight="1" s="135"/>
    <row r="759" ht="13.8" customHeight="1" s="135"/>
    <row r="760" ht="13.8" customHeight="1" s="135"/>
    <row r="761" ht="13.8" customHeight="1" s="135"/>
    <row r="762" ht="13.8" customHeight="1" s="135"/>
    <row r="763" ht="13.8" customHeight="1" s="135"/>
    <row r="764" ht="13.8" customHeight="1" s="135"/>
    <row r="765" ht="13.8" customHeight="1" s="135"/>
    <row r="766" ht="13.8" customHeight="1" s="135"/>
    <row r="767" ht="13.8" customHeight="1" s="135"/>
    <row r="768" ht="13.8" customHeight="1" s="135"/>
    <row r="769" ht="13.8" customHeight="1" s="135"/>
    <row r="770" ht="13.8" customHeight="1" s="135"/>
    <row r="771" ht="13.8" customHeight="1" s="135"/>
    <row r="772" ht="13.8" customHeight="1" s="135"/>
    <row r="773" ht="13.8" customHeight="1" s="135"/>
    <row r="774" ht="13.8" customHeight="1" s="135"/>
    <row r="775" ht="13.8" customHeight="1" s="135"/>
    <row r="776" ht="13.8" customHeight="1" s="135"/>
    <row r="777" ht="13.8" customHeight="1" s="135"/>
    <row r="778" ht="13.8" customHeight="1" s="135"/>
    <row r="779" ht="13.8" customHeight="1" s="135"/>
    <row r="780" ht="13.8" customHeight="1" s="135"/>
    <row r="781" ht="13.8" customHeight="1" s="135"/>
    <row r="782" ht="13.8" customHeight="1" s="135"/>
    <row r="783" ht="13.8" customHeight="1" s="135"/>
    <row r="784" ht="13.8" customHeight="1" s="135"/>
    <row r="785" ht="13.8" customHeight="1" s="135"/>
    <row r="786" ht="13.8" customHeight="1" s="135"/>
    <row r="787" ht="13.8" customHeight="1" s="135"/>
    <row r="788" ht="13.8" customHeight="1" s="135"/>
    <row r="789" ht="13.8" customHeight="1" s="135"/>
    <row r="790" ht="13.8" customHeight="1" s="135"/>
    <row r="791" ht="13.8" customHeight="1" s="135"/>
    <row r="792" ht="13.8" customHeight="1" s="135"/>
    <row r="793" ht="13.8" customHeight="1" s="135"/>
    <row r="794" ht="13.8" customHeight="1" s="135"/>
    <row r="795" ht="13.8" customHeight="1" s="135"/>
    <row r="796" ht="13.8" customHeight="1" s="135"/>
    <row r="797" ht="13.8" customHeight="1" s="135"/>
    <row r="798" ht="13.8" customHeight="1" s="135"/>
    <row r="799" ht="13.8" customHeight="1" s="135"/>
    <row r="800" ht="13.8" customHeight="1" s="135"/>
    <row r="801" ht="13.8" customHeight="1" s="135"/>
    <row r="802" ht="13.8" customHeight="1" s="135"/>
    <row r="803" ht="13.8" customHeight="1" s="135"/>
    <row r="804" ht="13.8" customHeight="1" s="135"/>
    <row r="805" ht="13.8" customHeight="1" s="135"/>
    <row r="806" ht="13.8" customHeight="1" s="135"/>
    <row r="807" ht="13.8" customHeight="1" s="135"/>
    <row r="808" ht="13.8" customHeight="1" s="135"/>
    <row r="809" ht="13.8" customHeight="1" s="135"/>
    <row r="810" ht="13.8" customHeight="1" s="135"/>
    <row r="811" ht="13.8" customHeight="1" s="135"/>
    <row r="812" ht="13.8" customHeight="1" s="135"/>
    <row r="813" ht="13.8" customHeight="1" s="135"/>
    <row r="814" ht="13.8" customHeight="1" s="135"/>
    <row r="815" ht="13.8" customHeight="1" s="135"/>
    <row r="816" ht="13.8" customHeight="1" s="135"/>
    <row r="817" ht="13.8" customHeight="1" s="135"/>
    <row r="818" ht="13.8" customHeight="1" s="135"/>
    <row r="819" ht="13.8" customHeight="1" s="135"/>
    <row r="820" ht="13.8" customHeight="1" s="135"/>
    <row r="821" ht="13.8" customHeight="1" s="135"/>
    <row r="822" ht="13.8" customHeight="1" s="135"/>
    <row r="823" ht="13.8" customHeight="1" s="135"/>
    <row r="824" ht="13.8" customHeight="1" s="135"/>
    <row r="825" ht="13.8" customHeight="1" s="135"/>
    <row r="826" ht="13.8" customHeight="1" s="135"/>
    <row r="827" ht="13.8" customHeight="1" s="135"/>
    <row r="828" ht="13.8" customHeight="1" s="135"/>
    <row r="829" ht="13.8" customHeight="1" s="135"/>
    <row r="830" ht="13.8" customHeight="1" s="135"/>
    <row r="831" ht="13.8" customHeight="1" s="135"/>
    <row r="832" ht="13.8" customHeight="1" s="135"/>
    <row r="833" ht="13.8" customHeight="1" s="135"/>
    <row r="834" ht="13.8" customHeight="1" s="135"/>
    <row r="835" ht="13.8" customHeight="1" s="135"/>
    <row r="836" ht="13.8" customHeight="1" s="135"/>
    <row r="837" ht="13.8" customHeight="1" s="135"/>
    <row r="838" ht="13.8" customHeight="1" s="135"/>
    <row r="839" ht="13.8" customHeight="1" s="135"/>
    <row r="840" ht="13.8" customHeight="1" s="135"/>
    <row r="841" ht="13.8" customHeight="1" s="135"/>
    <row r="842" ht="13.8" customHeight="1" s="135"/>
    <row r="843" ht="13.8" customHeight="1" s="135"/>
    <row r="844" ht="13.8" customHeight="1" s="135"/>
    <row r="845" ht="13.8" customHeight="1" s="135"/>
    <row r="846" ht="13.8" customHeight="1" s="135"/>
    <row r="847" ht="13.8" customHeight="1" s="135"/>
    <row r="848" ht="13.8" customHeight="1" s="135"/>
    <row r="849" ht="13.8" customHeight="1" s="135"/>
    <row r="850" ht="13.8" customHeight="1" s="135"/>
    <row r="851" ht="13.8" customHeight="1" s="135"/>
    <row r="852" ht="13.8" customHeight="1" s="135"/>
    <row r="853" ht="13.8" customHeight="1" s="135"/>
    <row r="854" ht="13.8" customHeight="1" s="135"/>
    <row r="855" ht="13.8" customHeight="1" s="135"/>
    <row r="856" ht="13.8" customHeight="1" s="135"/>
    <row r="857" ht="13.8" customHeight="1" s="135"/>
    <row r="858" ht="13.8" customHeight="1" s="135"/>
    <row r="859" ht="13.8" customHeight="1" s="135"/>
    <row r="860" ht="13.8" customHeight="1" s="135"/>
    <row r="861" ht="13.8" customHeight="1" s="135"/>
    <row r="862" ht="13.8" customHeight="1" s="135"/>
    <row r="863" ht="13.8" customHeight="1" s="135"/>
    <row r="864" ht="13.8" customHeight="1" s="135"/>
    <row r="865" ht="13.8" customHeight="1" s="135"/>
    <row r="866" ht="13.8" customHeight="1" s="135"/>
    <row r="867" ht="13.8" customHeight="1" s="135"/>
    <row r="868" ht="13.8" customHeight="1" s="135"/>
    <row r="869" ht="13.8" customHeight="1" s="135"/>
    <row r="870" ht="13.8" customHeight="1" s="135"/>
    <row r="871" ht="13.8" customHeight="1" s="135"/>
    <row r="872" ht="13.8" customHeight="1" s="135"/>
    <row r="873" ht="13.8" customHeight="1" s="135"/>
    <row r="874" ht="13.8" customHeight="1" s="135"/>
    <row r="875" ht="13.8" customHeight="1" s="135"/>
    <row r="876" ht="13.8" customHeight="1" s="135"/>
    <row r="877" ht="13.8" customHeight="1" s="135"/>
    <row r="878" ht="13.8" customHeight="1" s="135"/>
    <row r="879" ht="13.8" customHeight="1" s="135"/>
    <row r="880" ht="13.8" customHeight="1" s="135"/>
    <row r="881" ht="13.8" customHeight="1" s="135"/>
    <row r="882" ht="13.8" customHeight="1" s="135"/>
    <row r="883" ht="13.8" customHeight="1" s="135"/>
    <row r="884" ht="13.8" customHeight="1" s="135"/>
    <row r="885" ht="13.8" customHeight="1" s="135"/>
    <row r="886" ht="13.8" customHeight="1" s="135"/>
    <row r="887" ht="13.8" customHeight="1" s="135"/>
    <row r="888" ht="13.8" customHeight="1" s="135"/>
    <row r="889" ht="13.8" customHeight="1" s="135"/>
    <row r="890" ht="13.8" customHeight="1" s="135"/>
    <row r="891" ht="13.8" customHeight="1" s="135"/>
    <row r="892" ht="13.8" customHeight="1" s="135"/>
    <row r="893" ht="13.8" customHeight="1" s="135"/>
    <row r="894" ht="13.8" customHeight="1" s="135"/>
    <row r="895" ht="13.8" customHeight="1" s="135"/>
    <row r="896" ht="13.8" customHeight="1" s="135"/>
    <row r="897" ht="13.8" customHeight="1" s="135"/>
    <row r="898" ht="13.8" customHeight="1" s="135"/>
    <row r="899" ht="13.8" customHeight="1" s="135"/>
    <row r="900" ht="13.8" customHeight="1" s="135"/>
    <row r="901" ht="13.8" customHeight="1" s="135"/>
    <row r="902" ht="13.8" customHeight="1" s="135"/>
    <row r="903" ht="13.8" customHeight="1" s="135"/>
    <row r="904" ht="13.8" customHeight="1" s="135"/>
    <row r="905" ht="13.8" customHeight="1" s="135"/>
    <row r="906" ht="13.8" customHeight="1" s="135"/>
    <row r="907" ht="13.8" customHeight="1" s="135"/>
    <row r="908" ht="13.8" customHeight="1" s="135"/>
    <row r="909" ht="13.8" customHeight="1" s="135"/>
    <row r="910" ht="13.8" customHeight="1" s="135"/>
    <row r="911" ht="13.8" customHeight="1" s="135"/>
    <row r="912" ht="13.8" customHeight="1" s="135"/>
    <row r="913" ht="13.8" customHeight="1" s="135"/>
    <row r="914" ht="13.8" customHeight="1" s="135"/>
    <row r="915" ht="13.8" customHeight="1" s="135"/>
    <row r="916" ht="13.8" customHeight="1" s="135"/>
    <row r="917" ht="13.8" customHeight="1" s="135"/>
    <row r="918" ht="13.8" customHeight="1" s="135"/>
    <row r="919" ht="13.8" customHeight="1" s="135"/>
    <row r="920" ht="13.8" customHeight="1" s="135"/>
    <row r="921" ht="13.8" customHeight="1" s="135"/>
    <row r="922" ht="13.8" customHeight="1" s="135"/>
    <row r="923" ht="13.8" customHeight="1" s="135"/>
    <row r="924" ht="13.8" customHeight="1" s="135"/>
    <row r="925" ht="13.8" customHeight="1" s="135"/>
    <row r="926" ht="13.8" customHeight="1" s="135"/>
    <row r="927" ht="13.8" customHeight="1" s="135"/>
    <row r="928" ht="13.8" customHeight="1" s="135"/>
    <row r="929" ht="13.8" customHeight="1" s="135"/>
    <row r="930" ht="13.8" customHeight="1" s="135"/>
    <row r="931" ht="13.8" customHeight="1" s="135"/>
    <row r="932" ht="13.8" customHeight="1" s="135"/>
    <row r="933" ht="13.8" customHeight="1" s="135"/>
    <row r="934" ht="13.8" customHeight="1" s="135"/>
    <row r="935" ht="13.8" customHeight="1" s="135"/>
    <row r="936" ht="13.8" customHeight="1" s="135"/>
    <row r="937" ht="13.8" customHeight="1" s="135"/>
    <row r="938" ht="13.8" customHeight="1" s="135"/>
    <row r="939" ht="13.8" customHeight="1" s="135"/>
    <row r="940" ht="13.8" customHeight="1" s="135"/>
    <row r="941" ht="13.8" customHeight="1" s="135"/>
    <row r="942" ht="13.8" customHeight="1" s="135"/>
    <row r="943" ht="13.8" customHeight="1" s="135"/>
    <row r="944" ht="13.8" customHeight="1" s="135"/>
    <row r="945" ht="13.8" customHeight="1" s="135"/>
    <row r="946" ht="13.8" customHeight="1" s="135"/>
    <row r="947" ht="13.8" customHeight="1" s="135"/>
    <row r="948" ht="13.8" customHeight="1" s="135"/>
    <row r="949" ht="13.8" customHeight="1" s="135"/>
    <row r="950" ht="13.8" customHeight="1" s="135"/>
    <row r="951" ht="13.8" customHeight="1" s="135"/>
    <row r="952" ht="13.8" customHeight="1" s="135"/>
    <row r="953" ht="13.8" customHeight="1" s="135"/>
    <row r="954" ht="13.8" customHeight="1" s="135"/>
    <row r="955" ht="13.8" customHeight="1" s="135"/>
    <row r="956" ht="13.8" customHeight="1" s="135"/>
    <row r="957" ht="13.8" customHeight="1" s="135"/>
    <row r="958" ht="13.8" customHeight="1" s="135"/>
    <row r="959" ht="13.8" customHeight="1" s="135"/>
    <row r="960" ht="13.8" customHeight="1" s="135"/>
    <row r="961" ht="13.8" customHeight="1" s="135"/>
    <row r="962" ht="13.8" customHeight="1" s="135"/>
    <row r="963" ht="13.8" customHeight="1" s="135"/>
    <row r="964" ht="13.8" customHeight="1" s="135"/>
    <row r="965" ht="13.8" customHeight="1" s="135"/>
    <row r="966" ht="13.8" customHeight="1" s="135"/>
    <row r="967" ht="13.8" customHeight="1" s="135"/>
    <row r="968" ht="13.8" customHeight="1" s="135"/>
    <row r="969" ht="13.8" customHeight="1" s="135"/>
    <row r="970" ht="13.8" customHeight="1" s="135"/>
    <row r="971" ht="13.8" customHeight="1" s="135"/>
    <row r="972" ht="13.8" customHeight="1" s="135"/>
    <row r="973" ht="13.8" customHeight="1" s="135"/>
    <row r="974" ht="13.8" customHeight="1" s="135"/>
    <row r="975" ht="13.8" customHeight="1" s="135"/>
    <row r="976" ht="13.8" customHeight="1" s="135"/>
    <row r="977" ht="13.8" customHeight="1" s="135"/>
    <row r="978" ht="13.8" customHeight="1" s="135"/>
    <row r="979" ht="13.8" customHeight="1" s="135"/>
    <row r="980" ht="13.8" customHeight="1" s="135"/>
    <row r="981" ht="13.8" customHeight="1" s="135"/>
    <row r="982" ht="13.8" customHeight="1" s="135"/>
    <row r="983" ht="13.8" customHeight="1" s="135"/>
    <row r="984" ht="13.8" customHeight="1" s="135"/>
    <row r="985" ht="13.8" customHeight="1" s="135"/>
    <row r="986" ht="13.8" customHeight="1" s="135"/>
    <row r="987" ht="13.8" customHeight="1" s="135"/>
    <row r="988" ht="13.8" customHeight="1" s="135"/>
    <row r="989" ht="13.8" customHeight="1" s="135"/>
    <row r="990" ht="13.8" customHeight="1" s="135"/>
    <row r="991" ht="13.8" customHeight="1" s="135"/>
    <row r="992" ht="13.8" customHeight="1" s="135"/>
    <row r="993" ht="13.8" customHeight="1" s="135"/>
    <row r="994" ht="13.8" customHeight="1" s="135"/>
    <row r="995" ht="13.8" customHeight="1" s="135"/>
    <row r="996" ht="13.8" customHeight="1" s="135"/>
    <row r="997" ht="13.8" customHeight="1" s="135"/>
    <row r="998" ht="13.8" customHeight="1" s="135"/>
    <row r="999" ht="13.8" customHeight="1" s="135"/>
    <row r="1000" ht="13.8" customHeight="1" s="135"/>
    <row r="1001" ht="13.8" customHeight="1" s="135"/>
    <row r="1002" ht="13.8" customHeight="1" s="135"/>
    <row r="1003" ht="13.8" customHeight="1" s="135"/>
    <row r="1004" ht="13.8" customHeight="1" s="135"/>
    <row r="1005" ht="13.8" customHeight="1" s="135"/>
    <row r="1006" ht="13.8" customHeight="1" s="135"/>
    <row r="1007" ht="13.8" customHeight="1" s="135"/>
  </sheetData>
  <mergeCells count="3">
    <mergeCell ref="B1:H1"/>
    <mergeCell ref="B3:H3"/>
    <mergeCell ref="B2:H2"/>
  </mergeCells>
  <pageMargins left="0.7" right="0.7" top="0.75" bottom="0.75" header="0.3" footer="0.3"/>
  <pageSetup orientation="landscape" paperSize="9" scale="9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Q44"/>
  <sheetViews>
    <sheetView showGridLines="0" topLeftCell="A14" zoomScale="82" zoomScaleNormal="82" workbookViewId="0">
      <selection activeCell="C33" sqref="C33"/>
    </sheetView>
  </sheetViews>
  <sheetFormatPr baseColWidth="8" defaultRowHeight="14.4"/>
  <cols>
    <col width="5.21875" bestFit="1" customWidth="1" style="143" min="1" max="1"/>
    <col width="37" bestFit="1" customWidth="1" style="143" min="2" max="2"/>
    <col width="15.77734375" customWidth="1" style="155" min="3" max="4"/>
    <col width="15.77734375" customWidth="1" style="156" min="5" max="7"/>
    <col width="15.77734375" customWidth="1" style="143" min="8" max="8"/>
    <col width="12.109375" bestFit="1" customWidth="1" style="139" min="9" max="9"/>
    <col width="11.21875" bestFit="1" customWidth="1" style="139" min="10" max="11"/>
    <col width="9.44140625" bestFit="1" customWidth="1" style="139" min="12" max="12"/>
    <col width="12.109375" bestFit="1" customWidth="1" style="139" min="13" max="13"/>
    <col width="10.109375" bestFit="1" customWidth="1" style="139" min="14" max="14"/>
    <col width="9.44140625" bestFit="1" customWidth="1" style="139" min="15" max="15"/>
    <col width="10.109375" bestFit="1" customWidth="1" style="139" min="16" max="16"/>
    <col width="8.88671875" customWidth="1" style="139" min="17" max="18"/>
    <col width="8.88671875" customWidth="1" style="139" min="19" max="16384"/>
  </cols>
  <sheetData>
    <row r="1" ht="18" customHeight="1" s="135">
      <c r="A1" s="146">
        <f>Summary!B1</f>
        <v/>
      </c>
      <c r="I1" s="7" t="n"/>
      <c r="J1" s="7" t="n"/>
      <c r="K1" s="7" t="n"/>
      <c r="L1" s="7" t="n"/>
    </row>
    <row r="2" ht="15.6" customHeight="1" s="135">
      <c r="A2" s="142" t="inlineStr">
        <is>
          <t>Zomato Cash Flow   - December - 2026</t>
        </is>
      </c>
    </row>
    <row r="3" ht="15" customHeight="1" s="135" thickBot="1">
      <c r="A3" s="46" t="n"/>
      <c r="B3" s="46" t="n"/>
      <c r="C3" s="46" t="n"/>
      <c r="D3" s="46" t="n"/>
      <c r="E3" s="46" t="n"/>
      <c r="F3" s="46" t="n"/>
      <c r="G3" s="46" t="n"/>
      <c r="H3" s="46" t="n"/>
    </row>
    <row r="4" ht="15" customHeight="1" s="135" thickBot="1">
      <c r="A4" s="59" t="inlineStr">
        <is>
          <t>S.No</t>
        </is>
      </c>
      <c r="B4" s="60" t="inlineStr">
        <is>
          <t>Details</t>
        </is>
      </c>
      <c r="C4" s="61">
        <f>Summary!C4</f>
        <v/>
      </c>
      <c r="D4" s="61">
        <f>Summary!D4</f>
        <v/>
      </c>
      <c r="E4" s="61">
        <f>Summary!E4</f>
        <v/>
      </c>
      <c r="F4" s="61">
        <f>Summary!F4</f>
        <v/>
      </c>
      <c r="G4" s="61">
        <f>Summary!G4</f>
        <v/>
      </c>
      <c r="H4" s="61" t="inlineStr">
        <is>
          <t>Total</t>
        </is>
      </c>
    </row>
    <row r="5">
      <c r="A5" s="111" t="n">
        <v>1</v>
      </c>
      <c r="B5" s="62" t="inlineStr">
        <is>
          <t>Item sales (Delivered orders)</t>
        </is>
      </c>
      <c r="C5" s="63">
        <f>'D1W1'!O2</f>
        <v/>
      </c>
      <c r="D5" s="63">
        <f>'D1W2'!O2</f>
        <v/>
      </c>
      <c r="E5" s="88">
        <f>'D1W3'!O2</f>
        <v/>
      </c>
      <c r="F5" s="64">
        <f>'D1W4'!O2</f>
        <v/>
      </c>
      <c r="G5" s="64">
        <f>'D1W5'!O2</f>
        <v/>
      </c>
      <c r="H5" s="88">
        <f>SUM(C5:G5)</f>
        <v/>
      </c>
      <c r="I5" s="150" t="n"/>
      <c r="J5" s="150" t="n"/>
    </row>
    <row r="6">
      <c r="A6" s="112" t="n"/>
      <c r="B6" s="62" t="inlineStr">
        <is>
          <t>Add:- Packing charges</t>
        </is>
      </c>
      <c r="C6" s="62">
        <f>'D1W1'!P2</f>
        <v/>
      </c>
      <c r="D6" s="62">
        <f>'D1W2'!P2</f>
        <v/>
      </c>
      <c r="E6" s="62">
        <f>'D1W3'!P2</f>
        <v/>
      </c>
      <c r="F6" s="62">
        <f>'D1W4'!P2</f>
        <v/>
      </c>
      <c r="G6" s="88">
        <f>'D1W5'!P2</f>
        <v/>
      </c>
      <c r="H6" s="88">
        <f>SUM(C6:G6)</f>
        <v/>
      </c>
      <c r="I6" s="150" t="n"/>
      <c r="K6" s="150" t="n"/>
    </row>
    <row r="7">
      <c r="A7" s="112" t="n"/>
      <c r="B7" s="62" t="inlineStr">
        <is>
          <t>Add:- Compensation paid for cancelled orders</t>
        </is>
      </c>
      <c r="C7" s="65">
        <f>'D1W1'!AV1</f>
        <v/>
      </c>
      <c r="D7" s="65">
        <f>'D1W2'!AV1</f>
        <v/>
      </c>
      <c r="E7" s="88">
        <f>'D1W3'!AV1</f>
        <v/>
      </c>
      <c r="F7" s="88">
        <f>'D1W4'!AV1</f>
        <v/>
      </c>
      <c r="G7" s="88">
        <f>'D1W5'!AV1</f>
        <v/>
      </c>
      <c r="H7" s="88">
        <f>SUM(C7:G7)</f>
        <v/>
      </c>
      <c r="I7" s="150" t="n"/>
      <c r="J7" s="150" t="n"/>
      <c r="K7" s="150" t="n"/>
      <c r="L7" s="150" t="n"/>
      <c r="M7" s="150" t="n"/>
    </row>
    <row r="8">
      <c r="A8" s="112" t="n"/>
      <c r="B8" s="62" t="inlineStr">
        <is>
          <t>Less:- Discount</t>
        </is>
      </c>
      <c r="C8" s="63">
        <f>'D1W1'!R2+'D1W1'!S2+'D1W1'!U2</f>
        <v/>
      </c>
      <c r="D8" s="63">
        <f>'D1W2'!R2+'D1W2'!S2+'D1W2'!U2</f>
        <v/>
      </c>
      <c r="E8" s="88">
        <f>'D1W3'!R2+'D1W3'!S2+'D1W3'!U2</f>
        <v/>
      </c>
      <c r="F8" s="88">
        <f>'D1W4'!R2+'D1W4'!S2+'D1W4'!U2</f>
        <v/>
      </c>
      <c r="G8" s="88">
        <f>'D1W5'!R2+'D1W5'!S2+'D1W5'!U2</f>
        <v/>
      </c>
      <c r="H8" s="88">
        <f>SUM(C8:G8)</f>
        <v/>
      </c>
      <c r="I8" s="150" t="n"/>
      <c r="J8" s="150" t="n"/>
      <c r="K8" s="150" t="n"/>
      <c r="L8" s="150" t="n"/>
      <c r="M8" s="150" t="n"/>
      <c r="N8" s="150" t="n"/>
      <c r="O8" s="150" t="n"/>
      <c r="P8" s="150" t="n"/>
    </row>
    <row r="9">
      <c r="A9" s="112" t="n"/>
      <c r="B9" s="62" t="inlineStr">
        <is>
          <t xml:space="preserve">Add:- GST </t>
        </is>
      </c>
      <c r="C9" s="63">
        <f>'D1W1'!V2</f>
        <v/>
      </c>
      <c r="D9" s="63">
        <f>'D1W2'!V2</f>
        <v/>
      </c>
      <c r="E9" s="88">
        <f>'D1W3'!V2</f>
        <v/>
      </c>
      <c r="F9" s="88">
        <f>'D1W4'!V2</f>
        <v/>
      </c>
      <c r="G9" s="88">
        <f>'D1W5'!V2</f>
        <v/>
      </c>
      <c r="H9" s="88">
        <f>SUM(C9:G9)</f>
        <v/>
      </c>
      <c r="I9" s="11" t="n"/>
      <c r="J9" s="150" t="n"/>
      <c r="M9" s="139" t="inlineStr">
        <is>
          <t>Gst</t>
        </is>
      </c>
      <c r="N9" s="139" t="inlineStr">
        <is>
          <t>Tds</t>
        </is>
      </c>
    </row>
    <row r="10">
      <c r="A10" s="112" t="n"/>
      <c r="B10" s="66" t="inlineStr">
        <is>
          <t>Net Sales</t>
        </is>
      </c>
      <c r="C10" s="67">
        <f>C5+C6+C9+C7-C8</f>
        <v/>
      </c>
      <c r="D10" s="67">
        <f>D5+D6+D9+D7-D8</f>
        <v/>
      </c>
      <c r="E10" s="68">
        <f>E5+E6+E9+E7-E8</f>
        <v/>
      </c>
      <c r="F10" s="68">
        <f>F5+F6+F9+F7-F8</f>
        <v/>
      </c>
      <c r="G10" s="68">
        <f>G5+G6+G9+G7-G8</f>
        <v/>
      </c>
      <c r="H10" s="68">
        <f>H5+H6+H9+H7-H8</f>
        <v/>
      </c>
      <c r="I10" s="150" t="n"/>
      <c r="J10" s="1" t="n"/>
      <c r="M10" s="1">
        <f>H10-H29</f>
        <v/>
      </c>
      <c r="N10" s="139">
        <f>H12*100/118</f>
        <v/>
      </c>
    </row>
    <row r="11" ht="15" customHeight="1" s="135" thickBot="1">
      <c r="A11" s="111" t="n">
        <v>2</v>
      </c>
      <c r="B11" s="69" t="inlineStr">
        <is>
          <t>Less:- Commission</t>
        </is>
      </c>
      <c r="C11" s="70">
        <f>C12</f>
        <v/>
      </c>
      <c r="D11" s="70">
        <f>D12</f>
        <v/>
      </c>
      <c r="E11" s="70">
        <f>E12</f>
        <v/>
      </c>
      <c r="F11" s="70">
        <f>F12</f>
        <v/>
      </c>
      <c r="G11" s="70">
        <f>G12</f>
        <v/>
      </c>
      <c r="H11" s="70">
        <f>H12</f>
        <v/>
      </c>
      <c r="J11" s="8" t="n"/>
      <c r="K11" s="1" t="n"/>
    </row>
    <row r="12">
      <c r="A12" s="113" t="n"/>
      <c r="B12" s="71" t="inlineStr">
        <is>
          <t>Platform Fee</t>
        </is>
      </c>
      <c r="C12" s="72">
        <f>'D1W1'!Z3</f>
        <v/>
      </c>
      <c r="D12" s="72">
        <f>'D1W2'!Z3</f>
        <v/>
      </c>
      <c r="E12" s="73">
        <f>'D1W3'!Z3</f>
        <v/>
      </c>
      <c r="F12" s="74">
        <f>'D1W4'!Z3</f>
        <v/>
      </c>
      <c r="G12" s="74">
        <f>'D1W5'!Z3</f>
        <v/>
      </c>
      <c r="H12" s="74">
        <f>SUM(C12:G12)</f>
        <v/>
      </c>
      <c r="I12" s="150" t="n"/>
      <c r="J12" s="150" t="n"/>
      <c r="K12" s="150" t="n"/>
    </row>
    <row r="13">
      <c r="A13" s="111" t="n">
        <v>3</v>
      </c>
      <c r="B13" s="66" t="inlineStr">
        <is>
          <t>Less:- Other Charges</t>
        </is>
      </c>
      <c r="C13" s="67">
        <f>C14+C16-C15+C17</f>
        <v/>
      </c>
      <c r="D13" s="67">
        <f>D14+D16-D15+D17</f>
        <v/>
      </c>
      <c r="E13" s="67">
        <f>E14+E16-E15+E17</f>
        <v/>
      </c>
      <c r="F13" s="67">
        <f>F14+F16-F15+F17</f>
        <v/>
      </c>
      <c r="G13" s="67">
        <f>G14+G16-G15+G17</f>
        <v/>
      </c>
      <c r="H13" s="67">
        <f>H14+H16-H15+H17</f>
        <v/>
      </c>
    </row>
    <row r="14">
      <c r="A14" s="113" t="n"/>
      <c r="B14" s="75" t="inlineStr">
        <is>
          <t>Convenience Fee</t>
        </is>
      </c>
      <c r="C14" s="76">
        <f>'D1W1'!AA3</f>
        <v/>
      </c>
      <c r="D14" s="76">
        <f>'D1W2'!AA3</f>
        <v/>
      </c>
      <c r="E14" s="77">
        <f>'D1W3'!AA3</f>
        <v/>
      </c>
      <c r="F14" s="78">
        <f>'D1W4'!AA3</f>
        <v/>
      </c>
      <c r="G14" s="78">
        <f>'D1W5'!AA3</f>
        <v/>
      </c>
      <c r="H14" s="78">
        <f>SUM(C14:G14)</f>
        <v/>
      </c>
      <c r="I14" s="150" t="n"/>
      <c r="J14" s="150" t="n"/>
      <c r="K14" s="150" t="n"/>
      <c r="L14" s="150" t="n"/>
    </row>
    <row r="15">
      <c r="A15" s="113" t="n"/>
      <c r="B15" s="79" t="inlineStr">
        <is>
          <t>Discount on Service Fee</t>
        </is>
      </c>
      <c r="C15" s="76" t="n"/>
      <c r="D15" s="80" t="n"/>
      <c r="E15" s="78" t="n"/>
      <c r="F15" s="78" t="n"/>
      <c r="G15" s="77" t="n"/>
      <c r="H15" s="78">
        <f>SUM(C15:G15)</f>
        <v/>
      </c>
      <c r="I15" s="150" t="n"/>
      <c r="J15" s="150" t="n"/>
      <c r="K15" s="150" t="n"/>
      <c r="L15" s="150" t="inlineStr">
        <is>
          <t>netsales</t>
        </is>
      </c>
      <c r="M15" s="1">
        <f>C10+C8-C29</f>
        <v/>
      </c>
      <c r="N15" s="1">
        <f>D10+D8-D29</f>
        <v/>
      </c>
      <c r="O15" s="1">
        <f>E10+E8-E29</f>
        <v/>
      </c>
      <c r="P15" s="1">
        <f>F10+F8-F29</f>
        <v/>
      </c>
      <c r="Q15" s="1">
        <f>G10+G8-G29</f>
        <v/>
      </c>
    </row>
    <row r="16">
      <c r="A16" s="112" t="n"/>
      <c r="B16" s="62" t="inlineStr">
        <is>
          <t>Long Distance Fee</t>
        </is>
      </c>
      <c r="C16" s="63" t="n"/>
      <c r="D16" s="65" t="n"/>
      <c r="E16" s="81" t="n"/>
      <c r="F16" s="81" t="n"/>
      <c r="G16" s="88" t="n"/>
      <c r="H16" s="88">
        <f>SUM(C16:G16)</f>
        <v/>
      </c>
      <c r="L16" s="150" t="inlineStr">
        <is>
          <t>disc</t>
        </is>
      </c>
      <c r="M16" s="1">
        <f>C8</f>
        <v/>
      </c>
      <c r="N16" s="1">
        <f>D8</f>
        <v/>
      </c>
      <c r="O16" s="1">
        <f>E8</f>
        <v/>
      </c>
      <c r="P16" s="1">
        <f>F8</f>
        <v/>
      </c>
      <c r="Q16" s="1">
        <f>G8</f>
        <v/>
      </c>
    </row>
    <row r="17">
      <c r="A17" s="111" t="n">
        <v>4</v>
      </c>
      <c r="B17" s="62" t="inlineStr">
        <is>
          <t>Merchant Cancellation Charges</t>
        </is>
      </c>
      <c r="C17" s="63" t="n">
        <v>0</v>
      </c>
      <c r="D17" s="63" t="n">
        <v>0</v>
      </c>
      <c r="E17" s="81" t="n">
        <v>0</v>
      </c>
      <c r="F17" s="88" t="n">
        <v>0</v>
      </c>
      <c r="G17" s="88" t="n">
        <v>0</v>
      </c>
      <c r="H17" s="88">
        <f>SUM(C17:G17)</f>
        <v/>
      </c>
      <c r="L17" s="139" t="inlineStr">
        <is>
          <t>comm</t>
        </is>
      </c>
      <c r="M17" s="1">
        <f>C12-C15</f>
        <v/>
      </c>
      <c r="N17" s="1">
        <f>D12-D15</f>
        <v/>
      </c>
      <c r="O17" s="1">
        <f>E12-E15</f>
        <v/>
      </c>
      <c r="P17" s="1">
        <f>F12-F15</f>
        <v/>
      </c>
      <c r="Q17" s="1">
        <f>G12-G15</f>
        <v/>
      </c>
    </row>
    <row r="18" ht="14.4" customHeight="1" s="135">
      <c r="A18" s="112" t="n"/>
      <c r="B18" s="66" t="inlineStr">
        <is>
          <t>Less:- Refunds</t>
        </is>
      </c>
      <c r="C18" s="67">
        <f>SUM(C19:C20)</f>
        <v/>
      </c>
      <c r="D18" s="67">
        <f>SUM(D19:D20)</f>
        <v/>
      </c>
      <c r="E18" s="67">
        <f>SUM(E19:E20)</f>
        <v/>
      </c>
      <c r="F18" s="67">
        <f>SUM(F19:F20)</f>
        <v/>
      </c>
      <c r="G18" s="67">
        <f>SUM(G19:G20)</f>
        <v/>
      </c>
      <c r="H18" s="68">
        <f>H19+H20</f>
        <v/>
      </c>
      <c r="J18" s="150" t="n"/>
      <c r="L18" s="150" t="inlineStr">
        <is>
          <t>tds ecom</t>
        </is>
      </c>
      <c r="M18" s="1">
        <f>C27</f>
        <v/>
      </c>
      <c r="N18" s="1">
        <f>D27</f>
        <v/>
      </c>
      <c r="O18" s="1">
        <f>E27</f>
        <v/>
      </c>
      <c r="P18" s="1">
        <f>F27</f>
        <v/>
      </c>
      <c r="Q18" s="1">
        <f>G27</f>
        <v/>
      </c>
    </row>
    <row r="19">
      <c r="A19" s="111" t="n"/>
      <c r="B19" s="62" t="inlineStr">
        <is>
          <t>Paid by Restaurant</t>
        </is>
      </c>
      <c r="C19" s="63">
        <f>'D1W1'!AL4</f>
        <v/>
      </c>
      <c r="D19" s="63">
        <f>'D1W2'!AL4</f>
        <v/>
      </c>
      <c r="E19" s="88">
        <f>'D1W3'!AL4</f>
        <v/>
      </c>
      <c r="F19" s="88">
        <f>'D1W4'!AL4</f>
        <v/>
      </c>
      <c r="G19" s="88">
        <f>'D1W5'!AL4</f>
        <v/>
      </c>
      <c r="H19" s="88">
        <f>SUM(C19:G19)</f>
        <v/>
      </c>
      <c r="L19" s="157" t="inlineStr">
        <is>
          <t>conve</t>
        </is>
      </c>
      <c r="M19" s="1">
        <f>C14</f>
        <v/>
      </c>
      <c r="N19" s="1">
        <f>D14</f>
        <v/>
      </c>
      <c r="O19" s="1">
        <f>E14</f>
        <v/>
      </c>
      <c r="P19" s="1">
        <f>F14</f>
        <v/>
      </c>
      <c r="Q19" s="1">
        <f>G14</f>
        <v/>
      </c>
    </row>
    <row r="20">
      <c r="A20" s="111" t="n">
        <v>5</v>
      </c>
      <c r="B20" s="62" t="inlineStr">
        <is>
          <t>Received by Restaurant</t>
        </is>
      </c>
      <c r="C20" s="63" t="n">
        <v>0</v>
      </c>
      <c r="D20" s="63" t="n">
        <v>0</v>
      </c>
      <c r="E20" s="88" t="n">
        <v>0</v>
      </c>
      <c r="F20" s="88" t="n">
        <v>0</v>
      </c>
      <c r="G20" s="88" t="n">
        <v>0</v>
      </c>
      <c r="H20" s="88">
        <f>SUM(C20:G20)</f>
        <v/>
      </c>
      <c r="L20" s="139" t="inlineStr">
        <is>
          <t>othe cha</t>
        </is>
      </c>
      <c r="M20" s="1">
        <f>C16</f>
        <v/>
      </c>
      <c r="N20" s="1">
        <f>D16</f>
        <v/>
      </c>
      <c r="O20" s="1">
        <f>E16</f>
        <v/>
      </c>
      <c r="P20" s="1">
        <f>F16</f>
        <v/>
      </c>
      <c r="Q20" s="1">
        <f>G16</f>
        <v/>
      </c>
    </row>
    <row r="21" ht="17.4" customHeight="1" s="135">
      <c r="A21" s="112" t="n"/>
      <c r="B21" s="66" t="inlineStr">
        <is>
          <t>Less:- Marketing Charges</t>
        </is>
      </c>
      <c r="C21" s="67">
        <f>C22+C23+C24</f>
        <v/>
      </c>
      <c r="D21" s="67">
        <f>D22+D23+D24</f>
        <v/>
      </c>
      <c r="E21" s="68">
        <f>E22+E23+E24</f>
        <v/>
      </c>
      <c r="F21" s="68">
        <f>F22+F23+F24</f>
        <v/>
      </c>
      <c r="G21" s="68">
        <f>G22+G23+G24</f>
        <v/>
      </c>
      <c r="H21" s="68">
        <f>H22+H23+H24</f>
        <v/>
      </c>
      <c r="L21" s="139" t="inlineStr">
        <is>
          <t>tds</t>
        </is>
      </c>
      <c r="M21" s="139">
        <f>(C12*100/118)*2%</f>
        <v/>
      </c>
      <c r="N21" s="139">
        <f>(D12*100/118)*2%</f>
        <v/>
      </c>
      <c r="O21" s="139">
        <f>(E12*100/118)*2%</f>
        <v/>
      </c>
      <c r="P21" s="139">
        <f>(F12*100/118)*2%</f>
        <v/>
      </c>
      <c r="Q21" s="139">
        <f>(G12*100/118)*2%</f>
        <v/>
      </c>
    </row>
    <row r="22" ht="19.2" customHeight="1" s="135">
      <c r="A22" s="112" t="n"/>
      <c r="B22" s="62" t="inlineStr">
        <is>
          <t>High Priority</t>
        </is>
      </c>
      <c r="C22" s="63" t="n">
        <v>5250.53</v>
      </c>
      <c r="D22" s="63" t="n">
        <v>4970.17</v>
      </c>
      <c r="E22" s="88" t="n">
        <v>4377.01</v>
      </c>
      <c r="F22" s="88" t="n">
        <v>0</v>
      </c>
      <c r="G22" s="88" t="n">
        <v>0</v>
      </c>
      <c r="H22" s="88">
        <f>SUM(C22:G22)</f>
        <v/>
      </c>
      <c r="J22" s="158" t="n"/>
      <c r="K22" s="158" t="n"/>
    </row>
    <row r="23">
      <c r="A23" s="112" t="n"/>
      <c r="B23" s="62" t="inlineStr">
        <is>
          <t xml:space="preserve">Call Center Service Fees </t>
        </is>
      </c>
      <c r="C23" s="63" t="n">
        <v>0</v>
      </c>
      <c r="D23" s="63" t="n">
        <v>0</v>
      </c>
      <c r="E23" s="88" t="n">
        <v>0</v>
      </c>
      <c r="F23" s="88" t="n">
        <v>0</v>
      </c>
      <c r="G23" s="88" t="n">
        <v>0</v>
      </c>
      <c r="H23" s="88">
        <f>SUM(C23:G23)</f>
        <v/>
      </c>
    </row>
    <row r="24">
      <c r="A24" s="112" t="n"/>
      <c r="B24" s="62" t="inlineStr">
        <is>
          <t>PocketHero Fee</t>
        </is>
      </c>
      <c r="C24" s="63" t="n">
        <v>0</v>
      </c>
      <c r="D24" s="63" t="n">
        <v>0</v>
      </c>
      <c r="E24" s="88" t="n">
        <v>0</v>
      </c>
      <c r="F24" s="88" t="n">
        <v>0</v>
      </c>
      <c r="G24" s="88" t="n">
        <v>0</v>
      </c>
      <c r="H24" s="88">
        <f>SUM(C24:G24)</f>
        <v/>
      </c>
      <c r="M24" s="150" t="n"/>
    </row>
    <row r="25">
      <c r="A25" s="111" t="n">
        <v>6</v>
      </c>
      <c r="B25" s="66" t="inlineStr">
        <is>
          <t>Profit from Zomato</t>
        </is>
      </c>
      <c r="C25" s="67">
        <f>C10-C11-C18-C21-C13-C29</f>
        <v/>
      </c>
      <c r="D25" s="67">
        <f>D10-D11-D18-D21-D13-D29</f>
        <v/>
      </c>
      <c r="E25" s="67">
        <f>E10-E11-E18-E21-E13-E29</f>
        <v/>
      </c>
      <c r="F25" s="67">
        <f>F10-F11-F18-F21-F13-F29</f>
        <v/>
      </c>
      <c r="G25" s="67">
        <f>G10-G11-G18-G21-G13-G29</f>
        <v/>
      </c>
      <c r="H25" s="67">
        <f>H10-H11-H18-H21-H13-H29</f>
        <v/>
      </c>
    </row>
    <row r="26">
      <c r="A26" s="112" t="n"/>
      <c r="B26" s="66" t="inlineStr">
        <is>
          <t>Less:- Tax Adjustments</t>
        </is>
      </c>
      <c r="C26" s="67">
        <f>SUM(C27:C29)</f>
        <v/>
      </c>
      <c r="D26" s="67">
        <f>SUM(D27:D29)</f>
        <v/>
      </c>
      <c r="E26" s="67">
        <f>SUM(E27:E29)</f>
        <v/>
      </c>
      <c r="F26" s="67">
        <f>SUM(F27:F29)</f>
        <v/>
      </c>
      <c r="G26" s="67">
        <f>SUM(G27:G29)</f>
        <v/>
      </c>
      <c r="H26" s="67">
        <f>SUM(H27:H29)</f>
        <v/>
      </c>
    </row>
    <row r="27">
      <c r="A27" s="112" t="n"/>
      <c r="B27" s="62" t="inlineStr">
        <is>
          <t>TDS deduction for aggrigators</t>
        </is>
      </c>
      <c r="C27" s="63">
        <f>'D1W1'!AH4</f>
        <v/>
      </c>
      <c r="D27" s="63">
        <f>'D1W2'!AH4</f>
        <v/>
      </c>
      <c r="E27" s="82">
        <f>'D1W3'!AH4</f>
        <v/>
      </c>
      <c r="F27" s="88">
        <f>'D1W4'!AH4</f>
        <v/>
      </c>
      <c r="G27" s="88">
        <f>'D1W5'!AH4</f>
        <v/>
      </c>
      <c r="H27" s="88">
        <f>SUM(C27:G27)</f>
        <v/>
      </c>
    </row>
    <row r="28" ht="15" customHeight="1" s="135">
      <c r="A28" s="112" t="n"/>
      <c r="B28" s="62" t="inlineStr">
        <is>
          <t>TCS</t>
        </is>
      </c>
      <c r="C28" s="63">
        <f>'D1W1'!AF4+'D1W1'!AG4</f>
        <v/>
      </c>
      <c r="D28" s="83">
        <f>'D1W2'!AF4+'D1W2'!AG4</f>
        <v/>
      </c>
      <c r="E28" s="88">
        <f>'D1W3'!AF4+'D1W3'!AG4</f>
        <v/>
      </c>
      <c r="F28" s="82">
        <f>'D1W4'!AF4+'D1W4'!AG4</f>
        <v/>
      </c>
      <c r="G28" s="88">
        <f>'D1W5'!AF4+'D1W5'!AG4</f>
        <v/>
      </c>
      <c r="H28" s="88">
        <f>SUM(C28:G28)</f>
        <v/>
      </c>
    </row>
    <row r="29" ht="15.6" customHeight="1" s="135">
      <c r="A29" s="111" t="n">
        <v>7</v>
      </c>
      <c r="B29" s="62" t="inlineStr">
        <is>
          <t>GST collected and paid by Zomato</t>
        </is>
      </c>
      <c r="C29" s="63">
        <f>'D1W1'!AI4</f>
        <v/>
      </c>
      <c r="D29" s="63">
        <f>'D1W2'!AI4</f>
        <v/>
      </c>
      <c r="E29" s="88">
        <f>'D1W3'!AI4</f>
        <v/>
      </c>
      <c r="F29" s="88">
        <f>'D1W4'!AI4</f>
        <v/>
      </c>
      <c r="G29" s="88">
        <f>'D1W5'!AI4</f>
        <v/>
      </c>
      <c r="H29" s="88">
        <f>SUM(C29:G29)</f>
        <v/>
      </c>
    </row>
    <row r="30">
      <c r="A30" s="111" t="n"/>
      <c r="B30" s="66" t="inlineStr">
        <is>
          <t>Expected Receipts</t>
        </is>
      </c>
      <c r="C30" s="67">
        <f>C25-C27-C28-C34</f>
        <v/>
      </c>
      <c r="D30" s="67">
        <f>D25-D27-D28-D34</f>
        <v/>
      </c>
      <c r="E30" s="67">
        <f>E25-E27-E28-E34</f>
        <v/>
      </c>
      <c r="F30" s="67">
        <f>F25-F27-F28-F34</f>
        <v/>
      </c>
      <c r="G30" s="67">
        <f>G25-G27-G28-G34</f>
        <v/>
      </c>
      <c r="H30" s="67">
        <f>H25-H27-H28-H34</f>
        <v/>
      </c>
      <c r="J30" s="150" t="n"/>
    </row>
    <row r="31">
      <c r="A31" s="112" t="n"/>
      <c r="B31" s="62" t="inlineStr">
        <is>
          <t>Service Fee Reversal</t>
        </is>
      </c>
      <c r="C31" s="63" t="n">
        <v>0</v>
      </c>
      <c r="D31" s="63" t="n">
        <v>0</v>
      </c>
      <c r="E31" s="63" t="n">
        <v>0</v>
      </c>
      <c r="F31" s="63" t="n">
        <v>0</v>
      </c>
      <c r="G31" s="63" t="n">
        <v>0</v>
      </c>
      <c r="H31" s="63">
        <f>SUM(C31:G31)</f>
        <v/>
      </c>
      <c r="J31" s="150" t="n"/>
    </row>
    <row r="32">
      <c r="A32" s="112" t="n"/>
      <c r="B32" s="62" t="inlineStr">
        <is>
          <t>Interim payments</t>
        </is>
      </c>
      <c r="C32" s="63" t="n">
        <v>0</v>
      </c>
      <c r="D32" s="63" t="n">
        <v>0</v>
      </c>
      <c r="E32" s="88" t="n">
        <v>0</v>
      </c>
      <c r="F32" s="88" t="n">
        <v>0</v>
      </c>
      <c r="G32" s="88" t="n">
        <v>0</v>
      </c>
      <c r="H32" s="88">
        <f>SUM(C32:G32)</f>
        <v/>
      </c>
    </row>
    <row r="33">
      <c r="A33" s="112" t="n"/>
      <c r="B33" s="62" t="inlineStr">
        <is>
          <t>Opening Week Adjustments</t>
        </is>
      </c>
      <c r="C33" s="63" t="n">
        <v>0</v>
      </c>
      <c r="D33" s="63" t="n">
        <v>0</v>
      </c>
      <c r="E33" s="88" t="n">
        <v>0</v>
      </c>
      <c r="F33" s="88" t="n">
        <v>0</v>
      </c>
      <c r="G33" s="88" t="n">
        <v>0</v>
      </c>
      <c r="H33" s="88">
        <f>SUM(C33:G33)</f>
        <v/>
      </c>
    </row>
    <row r="34">
      <c r="A34" s="112" t="n"/>
      <c r="B34" s="62" t="inlineStr">
        <is>
          <t>Following Week Adjustments</t>
        </is>
      </c>
      <c r="C34" s="63" t="n">
        <v>0</v>
      </c>
      <c r="D34" s="63" t="n">
        <v>0</v>
      </c>
      <c r="E34" s="88" t="n">
        <v>0</v>
      </c>
      <c r="F34" s="88" t="n">
        <v>0</v>
      </c>
      <c r="G34" s="88" t="n">
        <v>0</v>
      </c>
      <c r="H34" s="88">
        <f>SUM(C34:G34)</f>
        <v/>
      </c>
    </row>
    <row r="35">
      <c r="A35" s="112" t="n"/>
      <c r="B35" s="62" t="inlineStr">
        <is>
          <t>Closing Week Adjustments</t>
        </is>
      </c>
      <c r="C35" s="63" t="n">
        <v>0</v>
      </c>
      <c r="D35" s="63" t="n">
        <v>0</v>
      </c>
      <c r="E35" s="88" t="n">
        <v>0</v>
      </c>
      <c r="F35" s="88" t="n">
        <v>0</v>
      </c>
      <c r="G35" s="88" t="n">
        <v>0</v>
      </c>
      <c r="H35" s="88">
        <f>SUM(C35:G35)</f>
        <v/>
      </c>
    </row>
    <row r="36">
      <c r="A36" s="112" t="n"/>
      <c r="B36" s="62" t="inlineStr">
        <is>
          <t>Zomato hyperpure Payment Adjustments</t>
        </is>
      </c>
      <c r="C36" s="63" t="n">
        <v>0</v>
      </c>
      <c r="D36" s="63" t="n">
        <v>0</v>
      </c>
      <c r="E36" s="88" t="n">
        <v>0</v>
      </c>
      <c r="F36" s="88" t="n">
        <v>0</v>
      </c>
      <c r="G36" s="88" t="n">
        <v>0</v>
      </c>
      <c r="H36" s="88">
        <f>SUM(C36:G36)</f>
        <v/>
      </c>
    </row>
    <row r="37">
      <c r="A37" s="112" t="n"/>
      <c r="B37" s="62" t="inlineStr">
        <is>
          <t>EMI Loan deductions</t>
        </is>
      </c>
      <c r="C37" s="63" t="n">
        <v>0</v>
      </c>
      <c r="D37" s="63" t="n">
        <v>0</v>
      </c>
      <c r="E37" s="88" t="n">
        <v>0</v>
      </c>
      <c r="F37" s="88" t="n">
        <v>0</v>
      </c>
      <c r="G37" s="88" t="n">
        <v>0</v>
      </c>
      <c r="H37" s="88">
        <f>SUM(C37:G37)</f>
        <v/>
      </c>
    </row>
    <row r="38">
      <c r="A38" s="111" t="n">
        <v>8</v>
      </c>
      <c r="B38" s="66" t="inlineStr">
        <is>
          <t>Actual receipts</t>
        </is>
      </c>
      <c r="C38" s="67" t="n">
        <v>0</v>
      </c>
      <c r="D38" s="67" t="n">
        <v>0</v>
      </c>
      <c r="E38" s="68" t="n">
        <v>0</v>
      </c>
      <c r="F38" s="84" t="n">
        <v>0</v>
      </c>
      <c r="G38" s="84" t="n">
        <v>0</v>
      </c>
      <c r="H38" s="84">
        <f>SUM(C38:G38)</f>
        <v/>
      </c>
      <c r="J38" s="1" t="n"/>
    </row>
    <row r="39" ht="15" customHeight="1" s="135" thickBot="1">
      <c r="A39" s="147" t="n"/>
      <c r="B39" s="41" t="inlineStr">
        <is>
          <t>Difference</t>
        </is>
      </c>
      <c r="C39" s="85">
        <f>C30-C38-C36+C33+C35</f>
        <v/>
      </c>
      <c r="D39" s="85">
        <f>D30-D38-D36-D33+D35</f>
        <v/>
      </c>
      <c r="E39" s="85">
        <f>E30-E38-E36-E33+E35</f>
        <v/>
      </c>
      <c r="F39" s="85">
        <f>F30-F38-F36-F33+F35-F34-F32</f>
        <v/>
      </c>
      <c r="G39" s="85">
        <f>G30-G38-G36-G33+G35</f>
        <v/>
      </c>
      <c r="H39" s="85">
        <f>H30-H38-H36+H33+H35-H34-H32</f>
        <v/>
      </c>
    </row>
    <row r="40">
      <c r="A40" s="12" t="n"/>
    </row>
    <row r="41">
      <c r="B41" s="12" t="inlineStr">
        <is>
          <t xml:space="preserve">Note : </t>
        </is>
      </c>
    </row>
    <row r="42"/>
    <row r="43"/>
    <row r="44">
      <c r="B44" s="155" t="n"/>
    </row>
  </sheetData>
  <mergeCells count="2">
    <mergeCell ref="A2:H2"/>
    <mergeCell ref="A1:H1"/>
  </mergeCells>
  <pageMargins left="0.7" right="0.7" top="0.75" bottom="0.75" header="0.3" footer="0.3"/>
  <pageSetup orientation="landscape" paperSize="9" scale="74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H37"/>
  <sheetViews>
    <sheetView showGridLines="0" zoomScaleNormal="100" workbookViewId="0">
      <selection activeCell="A2" sqref="A2:G2"/>
    </sheetView>
  </sheetViews>
  <sheetFormatPr baseColWidth="8" defaultRowHeight="13.8"/>
  <cols>
    <col width="45.5546875" bestFit="1" customWidth="1" style="139" min="1" max="1"/>
    <col width="12.77734375" bestFit="1" customWidth="1" style="139" min="2" max="3"/>
    <col width="13.33203125" bestFit="1" customWidth="1" style="139" min="4" max="4"/>
    <col width="13.109375" bestFit="1" customWidth="1" style="139" min="5" max="5"/>
    <col width="12.33203125" customWidth="1" style="139" min="6" max="6"/>
    <col width="14" bestFit="1" customWidth="1" style="139" min="7" max="7"/>
    <col width="8.88671875" customWidth="1" style="139" min="8" max="9"/>
    <col width="8.88671875" customWidth="1" style="139" min="10" max="16384"/>
  </cols>
  <sheetData>
    <row r="1" ht="18" customHeight="1" s="135">
      <c r="A1" s="138">
        <f>Summary!B1</f>
        <v/>
      </c>
      <c r="H1" s="143" t="n"/>
    </row>
    <row r="2" ht="15.6" customHeight="1" s="135">
      <c r="A2" s="140" t="inlineStr">
        <is>
          <t>Zomato Profit Statement - December - 2026</t>
        </is>
      </c>
      <c r="H2" s="143" t="n"/>
    </row>
    <row r="3" ht="18" customHeight="1" s="135" thickBot="1">
      <c r="A3" s="50" t="n"/>
      <c r="B3" s="42" t="n"/>
      <c r="C3" s="42" t="n"/>
      <c r="D3" s="42" t="n"/>
      <c r="E3" s="42" t="n"/>
      <c r="F3" s="42" t="n"/>
      <c r="G3" s="42" t="n"/>
      <c r="H3" s="143" t="n"/>
    </row>
    <row r="4" ht="15" customHeight="1" s="135" thickBot="1">
      <c r="A4" s="51" t="inlineStr">
        <is>
          <t>Details</t>
        </is>
      </c>
      <c r="B4" s="159">
        <f>Summary!C4</f>
        <v/>
      </c>
      <c r="C4" s="159">
        <f>Summary!D4</f>
        <v/>
      </c>
      <c r="D4" s="159">
        <f>Summary!E4</f>
        <v/>
      </c>
      <c r="E4" s="159">
        <f>Summary!F4</f>
        <v/>
      </c>
      <c r="F4" s="159">
        <f>Summary!G4</f>
        <v/>
      </c>
      <c r="G4" s="159">
        <f>Summary!H4</f>
        <v/>
      </c>
      <c r="H4" s="37" t="n"/>
    </row>
    <row r="5" ht="14.4" customHeight="1" s="135">
      <c r="A5" s="52" t="inlineStr">
        <is>
          <t>A. Net Sales</t>
        </is>
      </c>
      <c r="B5" s="38" t="n"/>
      <c r="C5" s="38" t="n"/>
      <c r="D5" s="38" t="n"/>
      <c r="E5" s="38" t="n"/>
      <c r="F5" s="43" t="n"/>
      <c r="G5" s="43" t="n"/>
      <c r="H5" s="143" t="n"/>
    </row>
    <row r="6" ht="14.4" customHeight="1" s="135">
      <c r="A6" s="49" t="inlineStr">
        <is>
          <t>Total Income</t>
        </is>
      </c>
      <c r="B6" s="88">
        <f>Cashflow!C5+Cashflow!C6+Cashflow!C9-Cashflow!C8-Cashflow!C29</f>
        <v/>
      </c>
      <c r="C6" s="88">
        <f>Cashflow!D5+Cashflow!D6+Cashflow!D9-Cashflow!D8-Cashflow!D29</f>
        <v/>
      </c>
      <c r="D6" s="88">
        <f>Cashflow!E5+Cashflow!E6+Cashflow!E9-Cashflow!E8-Cashflow!E29</f>
        <v/>
      </c>
      <c r="E6" s="88">
        <f>Cashflow!F5+Cashflow!F6+Cashflow!F9-Cashflow!F8-Cashflow!F29</f>
        <v/>
      </c>
      <c r="F6" s="88">
        <f>Cashflow!G5+Cashflow!G6+Cashflow!G9-Cashflow!G8-Cashflow!G29</f>
        <v/>
      </c>
      <c r="G6" s="92">
        <f>SUM(B6:F6)</f>
        <v/>
      </c>
      <c r="H6" s="143" t="n"/>
    </row>
    <row r="7" ht="15" customHeight="1" s="135" thickBot="1">
      <c r="A7" s="49" t="inlineStr">
        <is>
          <t>Add- Adjust: Cancelled orders (By Zomato)</t>
        </is>
      </c>
      <c r="B7" s="89">
        <f>Cashflow!C7</f>
        <v/>
      </c>
      <c r="C7" s="89">
        <f>Cashflow!D7</f>
        <v/>
      </c>
      <c r="D7" s="89">
        <f>Cashflow!E7</f>
        <v/>
      </c>
      <c r="E7" s="89">
        <f>Cashflow!F7</f>
        <v/>
      </c>
      <c r="F7" s="89">
        <f>Cashflow!G7</f>
        <v/>
      </c>
      <c r="G7" s="92">
        <f>SUM(B7:F7)</f>
        <v/>
      </c>
      <c r="H7" s="143" t="n"/>
    </row>
    <row r="8" ht="15" customHeight="1" s="135" thickBot="1">
      <c r="A8" s="53" t="inlineStr">
        <is>
          <t>Net Sales (Number that you see on Numerize app)</t>
        </is>
      </c>
      <c r="B8" s="93">
        <f>B6+B7</f>
        <v/>
      </c>
      <c r="C8" s="93">
        <f>C6+C7</f>
        <v/>
      </c>
      <c r="D8" s="93">
        <f>D6+D7</f>
        <v/>
      </c>
      <c r="E8" s="93">
        <f>E6+E7</f>
        <v/>
      </c>
      <c r="F8" s="93">
        <f>F6+F7</f>
        <v/>
      </c>
      <c r="G8" s="94">
        <f>G6+G7</f>
        <v/>
      </c>
      <c r="H8" s="143" t="n"/>
    </row>
    <row r="9" ht="14.4" customHeight="1" s="135">
      <c r="A9" s="49" t="n"/>
      <c r="B9" s="89" t="n"/>
      <c r="C9" s="89" t="n"/>
      <c r="D9" s="89" t="n"/>
      <c r="E9" s="89" t="n"/>
      <c r="F9" s="90" t="n"/>
      <c r="G9" s="90" t="n"/>
      <c r="H9" s="143" t="n"/>
    </row>
    <row r="10" ht="14.4" customHeight="1" s="135">
      <c r="A10" s="54" t="inlineStr">
        <is>
          <t>B.  Less:- Commission</t>
        </is>
      </c>
      <c r="B10" s="89">
        <f>Cashflow!C11</f>
        <v/>
      </c>
      <c r="C10" s="89">
        <f>Cashflow!D11</f>
        <v/>
      </c>
      <c r="D10" s="89">
        <f>Cashflow!E11</f>
        <v/>
      </c>
      <c r="E10" s="89">
        <f>Cashflow!F11</f>
        <v/>
      </c>
      <c r="F10" s="89">
        <f>Cashflow!G11</f>
        <v/>
      </c>
      <c r="G10" s="92">
        <f>SUM(B10:F10)</f>
        <v/>
      </c>
      <c r="H10" s="143" t="n"/>
    </row>
    <row r="11" ht="14.4" customHeight="1" s="135">
      <c r="A11" s="49" t="n"/>
      <c r="B11" s="89" t="n"/>
      <c r="C11" s="89" t="n"/>
      <c r="D11" s="89" t="n"/>
      <c r="E11" s="89" t="n"/>
      <c r="F11" s="90" t="n"/>
      <c r="G11" s="91" t="n"/>
      <c r="H11" s="143" t="n"/>
    </row>
    <row r="12" ht="14.4" customHeight="1" s="135">
      <c r="A12" s="54" t="inlineStr">
        <is>
          <t>C.  Less:- Marketing &amp; Ads</t>
        </is>
      </c>
      <c r="B12" s="89">
        <f>Cashflow!C21</f>
        <v/>
      </c>
      <c r="C12" s="89">
        <f>Cashflow!D21</f>
        <v/>
      </c>
      <c r="D12" s="89">
        <f>Cashflow!E21</f>
        <v/>
      </c>
      <c r="E12" s="89">
        <f>Cashflow!F21</f>
        <v/>
      </c>
      <c r="F12" s="89">
        <f>Cashflow!G21</f>
        <v/>
      </c>
      <c r="G12" s="92">
        <f>SUM(B12:F12)</f>
        <v/>
      </c>
      <c r="H12" s="143" t="n"/>
    </row>
    <row r="13" ht="14.4" customHeight="1" s="135">
      <c r="A13" s="49" t="n"/>
      <c r="B13" s="89" t="n"/>
      <c r="C13" s="89" t="n"/>
      <c r="D13" s="89" t="n"/>
      <c r="E13" s="89" t="n"/>
      <c r="F13" s="90" t="n"/>
      <c r="G13" s="91" t="n"/>
      <c r="H13" s="143" t="n"/>
    </row>
    <row r="14" ht="14.4" customHeight="1" s="135">
      <c r="A14" s="54" t="inlineStr">
        <is>
          <t>D. Less:- Refund on disputed orders</t>
        </is>
      </c>
      <c r="B14" s="89">
        <f>Cashflow!C18</f>
        <v/>
      </c>
      <c r="C14" s="89">
        <f>Cashflow!D18</f>
        <v/>
      </c>
      <c r="D14" s="89">
        <f>Cashflow!E18</f>
        <v/>
      </c>
      <c r="E14" s="89">
        <f>Cashflow!F18</f>
        <v/>
      </c>
      <c r="F14" s="89">
        <f>Cashflow!G18</f>
        <v/>
      </c>
      <c r="G14" s="92">
        <f>SUM(B14:F14)</f>
        <v/>
      </c>
      <c r="H14" s="143" t="n"/>
    </row>
    <row r="15" ht="14.4" customHeight="1" s="135">
      <c r="A15" s="49" t="n"/>
      <c r="B15" s="89" t="n"/>
      <c r="C15" s="89" t="n"/>
      <c r="D15" s="89" t="n"/>
      <c r="E15" s="89" t="n"/>
      <c r="F15" s="90" t="n"/>
      <c r="G15" s="91" t="n"/>
      <c r="H15" s="143" t="n"/>
    </row>
    <row r="16" ht="14.4" customHeight="1" s="135">
      <c r="A16" s="54" t="inlineStr">
        <is>
          <t>E. Other charges</t>
        </is>
      </c>
      <c r="B16" s="89">
        <f>Cashflow!C13</f>
        <v/>
      </c>
      <c r="C16" s="89">
        <f>Cashflow!D13</f>
        <v/>
      </c>
      <c r="D16" s="89">
        <f>Cashflow!E13</f>
        <v/>
      </c>
      <c r="E16" s="89">
        <f>Cashflow!F13</f>
        <v/>
      </c>
      <c r="F16" s="89">
        <f>Cashflow!G13</f>
        <v/>
      </c>
      <c r="G16" s="92">
        <f>SUM(B16:F16)</f>
        <v/>
      </c>
      <c r="H16" s="143" t="n"/>
    </row>
    <row r="17" ht="15" customHeight="1" s="135" thickBot="1">
      <c r="A17" s="49" t="n"/>
      <c r="B17" s="89" t="n"/>
      <c r="C17" s="89" t="n"/>
      <c r="D17" s="89" t="n"/>
      <c r="E17" s="89" t="n"/>
      <c r="F17" s="90" t="n"/>
      <c r="G17" s="90" t="n"/>
      <c r="H17" s="143" t="n"/>
    </row>
    <row r="18" ht="14.4" customHeight="1" s="135" thickBot="1">
      <c r="A18" s="55" t="inlineStr">
        <is>
          <t>F. Profit</t>
        </is>
      </c>
      <c r="B18" s="93">
        <f>B8-B10-B12-B14-B16</f>
        <v/>
      </c>
      <c r="C18" s="93">
        <f>C8-C10-C12-C14-C16</f>
        <v/>
      </c>
      <c r="D18" s="93">
        <f>D8-D10-D12-D14-D16</f>
        <v/>
      </c>
      <c r="E18" s="93">
        <f>E8-E10-E12-E14-E16</f>
        <v/>
      </c>
      <c r="F18" s="93">
        <f>F8-F10-F12-F14-F16</f>
        <v/>
      </c>
      <c r="G18" s="94">
        <f>G8-G10-G12-G14-G16</f>
        <v/>
      </c>
      <c r="H18" s="143" t="n"/>
    </row>
    <row r="19" ht="15" customHeight="1" s="135" thickBot="1">
      <c r="A19" s="56" t="inlineStr">
        <is>
          <t>Percentage</t>
        </is>
      </c>
      <c r="B19" s="44">
        <f>IFERROR(B18/B8,0)</f>
        <v/>
      </c>
      <c r="C19" s="44">
        <f>IFERROR(C18/C8,0)</f>
        <v/>
      </c>
      <c r="D19" s="44">
        <f>IFERROR(D18/D8,0)</f>
        <v/>
      </c>
      <c r="E19" s="44">
        <f>IFERROR(E18/E8,0)</f>
        <v/>
      </c>
      <c r="F19" s="44">
        <f>IFERROR(F18/F8,0)</f>
        <v/>
      </c>
      <c r="G19" s="45">
        <f>G18/G8</f>
        <v/>
      </c>
      <c r="H19" s="143" t="n"/>
    </row>
    <row r="20" ht="14.4" customHeight="1" s="135">
      <c r="B20" s="143" t="n"/>
      <c r="C20" s="143" t="n"/>
      <c r="D20" s="143" t="n"/>
      <c r="E20" s="143" t="n"/>
      <c r="F20" s="143" t="n"/>
      <c r="G20" s="143" t="n"/>
      <c r="H20" s="143" t="n"/>
    </row>
    <row r="21" ht="17.4" customHeight="1" s="135">
      <c r="B21" s="160" t="n"/>
      <c r="C21" s="160" t="n"/>
      <c r="D21" s="160" t="n"/>
      <c r="E21" s="160" t="n"/>
      <c r="F21" s="160" t="n"/>
      <c r="G21" s="160" t="n"/>
      <c r="H21" s="143" t="n"/>
    </row>
    <row r="22" ht="19.2" customHeight="1" s="135">
      <c r="B22" s="160" t="n"/>
      <c r="C22" s="160" t="n"/>
      <c r="D22" s="160" t="n"/>
      <c r="E22" s="160" t="n"/>
      <c r="F22" s="160" t="n"/>
      <c r="G22" s="160" t="n"/>
      <c r="H22" s="143" t="n"/>
    </row>
    <row r="23" ht="14.4" customHeight="1" s="135">
      <c r="B23" s="160" t="n"/>
      <c r="C23" s="160" t="n"/>
      <c r="D23" s="160" t="n"/>
      <c r="E23" s="160" t="n"/>
      <c r="F23" s="160" t="n"/>
      <c r="G23" s="160" t="n"/>
      <c r="H23" s="143" t="n"/>
    </row>
    <row r="24" ht="14.4" customHeight="1" s="135">
      <c r="B24" s="143" t="n"/>
      <c r="C24" s="143" t="n"/>
      <c r="D24" s="143" t="n"/>
      <c r="E24" s="143" t="n"/>
      <c r="F24" s="143" t="n"/>
      <c r="G24" s="143" t="n"/>
      <c r="H24" s="143" t="n"/>
    </row>
    <row r="25" ht="14.4" customHeight="1" s="135">
      <c r="B25" s="160" t="n"/>
      <c r="C25" s="160" t="n"/>
      <c r="D25" s="160" t="n"/>
      <c r="E25" s="160" t="n"/>
      <c r="F25" s="160" t="n"/>
      <c r="G25" s="160" t="n"/>
      <c r="H25" s="143" t="n"/>
    </row>
    <row r="26" ht="14.4" customHeight="1" s="135">
      <c r="B26" s="143" t="n"/>
      <c r="C26" s="143" t="n"/>
      <c r="D26" s="143" t="n"/>
      <c r="E26" s="143" t="n"/>
      <c r="F26" s="143" t="n"/>
      <c r="G26" s="143" t="n"/>
      <c r="H26" s="143" t="n"/>
    </row>
    <row r="27" ht="8.4" customHeight="1" s="135">
      <c r="B27" s="143" t="n"/>
      <c r="C27" s="143" t="n"/>
      <c r="D27" s="143" t="n"/>
      <c r="E27" s="143" t="n"/>
      <c r="F27" s="143" t="n"/>
      <c r="G27" s="143" t="n"/>
      <c r="H27" s="143" t="n"/>
    </row>
    <row r="28" ht="15" customHeight="1" s="135">
      <c r="B28" s="143" t="n"/>
      <c r="C28" s="143" t="n"/>
      <c r="D28" s="143" t="n"/>
      <c r="E28" s="143" t="n"/>
      <c r="F28" s="143" t="n"/>
      <c r="G28" s="143" t="n"/>
      <c r="H28" s="143" t="n"/>
    </row>
    <row r="29" ht="15.6" customHeight="1" s="135">
      <c r="B29" s="143" t="n"/>
      <c r="C29" s="143" t="n"/>
      <c r="D29" s="143" t="n"/>
      <c r="E29" s="143" t="n"/>
      <c r="F29" s="143" t="n"/>
      <c r="G29" s="143" t="n"/>
      <c r="H29" s="143" t="n"/>
    </row>
    <row r="30" ht="14.4" customHeight="1" s="135">
      <c r="B30" s="143" t="n"/>
      <c r="C30" s="143" t="n"/>
      <c r="D30" s="143" t="n"/>
      <c r="E30" s="143" t="n"/>
      <c r="F30" s="143" t="n"/>
      <c r="G30" s="143" t="n"/>
      <c r="H30" s="143" t="n"/>
    </row>
    <row r="31" ht="14.4" customHeight="1" s="135">
      <c r="B31" s="143" t="n"/>
      <c r="C31" s="143" t="n"/>
      <c r="D31" s="143" t="n"/>
      <c r="E31" s="143" t="n"/>
      <c r="F31" s="143" t="n"/>
      <c r="G31" s="143" t="n"/>
      <c r="H31" s="143" t="n"/>
    </row>
    <row r="32" ht="14.4" customHeight="1" s="135">
      <c r="B32" s="143" t="n"/>
      <c r="C32" s="143" t="n"/>
      <c r="D32" s="143" t="n"/>
      <c r="E32" s="143" t="n"/>
      <c r="F32" s="143" t="n"/>
      <c r="G32" s="143" t="n"/>
      <c r="H32" s="143" t="n"/>
    </row>
    <row r="33" ht="14.4" customHeight="1" s="135">
      <c r="B33" s="143" t="n"/>
      <c r="C33" s="143" t="n"/>
      <c r="D33" s="143" t="n"/>
      <c r="E33" s="143" t="n"/>
      <c r="F33" s="143" t="n"/>
      <c r="G33" s="143" t="n"/>
      <c r="H33" s="143" t="n"/>
    </row>
    <row r="34" ht="14.4" customHeight="1" s="135">
      <c r="B34" s="143" t="n"/>
      <c r="C34" s="143" t="n"/>
      <c r="D34" s="143" t="n"/>
      <c r="E34" s="143" t="n"/>
      <c r="F34" s="143" t="n"/>
      <c r="G34" s="143" t="n"/>
      <c r="H34" s="143" t="n"/>
    </row>
    <row r="35" ht="14.4" customHeight="1" s="135">
      <c r="B35" s="143" t="n"/>
      <c r="C35" s="143" t="n"/>
      <c r="D35" s="143" t="n"/>
      <c r="E35" s="143" t="n"/>
      <c r="F35" s="143" t="n"/>
      <c r="G35" s="143" t="n"/>
      <c r="H35" s="143" t="n"/>
    </row>
    <row r="36" ht="14.4" customHeight="1" s="135">
      <c r="B36" s="143" t="n"/>
      <c r="C36" s="143" t="n"/>
      <c r="D36" s="143" t="n"/>
      <c r="E36" s="143" t="n"/>
      <c r="F36" s="143" t="n"/>
      <c r="G36" s="143" t="n"/>
      <c r="H36" s="143" t="n"/>
    </row>
    <row r="37" ht="14.4" customHeight="1" s="135">
      <c r="B37" s="143" t="n"/>
      <c r="C37" s="143" t="n"/>
      <c r="D37" s="143" t="n"/>
      <c r="E37" s="143" t="n"/>
      <c r="F37" s="143" t="n"/>
      <c r="G37" s="143" t="n"/>
      <c r="H37" s="143" t="n"/>
    </row>
  </sheetData>
  <mergeCells count="2">
    <mergeCell ref="A2:G2"/>
    <mergeCell ref="A1:G1"/>
  </mergeCells>
  <pageMargins left="0.7" right="0.7" top="0.75" bottom="0.75" header="0.3" footer="0.3"/>
  <pageSetup orientation="landscape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Sheet5">
    <outlinePr summaryBelow="1" summaryRight="1"/>
    <pageSetUpPr fitToPage="1"/>
  </sheetPr>
  <dimension ref="A1:H38"/>
  <sheetViews>
    <sheetView showGridLines="0" zoomScaleNormal="100" workbookViewId="0">
      <selection activeCell="A2" sqref="A2:G2"/>
    </sheetView>
  </sheetViews>
  <sheetFormatPr baseColWidth="8" defaultRowHeight="13.8"/>
  <cols>
    <col width="46.21875" customWidth="1" style="139" min="1" max="1"/>
    <col width="12" bestFit="1" customWidth="1" style="139" min="2" max="3"/>
    <col width="13.33203125" bestFit="1" customWidth="1" style="139" min="4" max="4"/>
    <col width="13.109375" bestFit="1" customWidth="1" style="139" min="5" max="5"/>
    <col width="12.6640625" customWidth="1" style="139" min="6" max="6"/>
    <col width="12.33203125" bestFit="1" customWidth="1" style="139" min="7" max="7"/>
    <col width="8.88671875" customWidth="1" style="139" min="8" max="9"/>
    <col width="8.88671875" customWidth="1" style="139" min="10" max="16384"/>
  </cols>
  <sheetData>
    <row r="1" ht="14.4" customHeight="1" s="135">
      <c r="A1" s="138">
        <f>Summary!B1</f>
        <v/>
      </c>
      <c r="H1" s="36" t="n"/>
    </row>
    <row r="2" ht="15.6" customHeight="1" s="135">
      <c r="A2" s="140" t="inlineStr">
        <is>
          <t>Zomato Discrepancies  - December - 2026</t>
        </is>
      </c>
      <c r="H2" s="143" t="n"/>
    </row>
    <row r="3" ht="15" customHeight="1" s="135" thickBot="1">
      <c r="A3" s="143" t="n"/>
      <c r="B3" s="143" t="n"/>
      <c r="C3" s="143" t="n"/>
      <c r="D3" s="143" t="n"/>
      <c r="E3" s="143" t="n"/>
      <c r="F3" s="143" t="n"/>
      <c r="G3" s="143" t="n"/>
      <c r="H3" s="143" t="n"/>
    </row>
    <row r="4" ht="15" customHeight="1" s="135" thickBot="1">
      <c r="A4" s="57" t="inlineStr">
        <is>
          <t>Details</t>
        </is>
      </c>
      <c r="B4" s="161">
        <f>Summary!C4</f>
        <v/>
      </c>
      <c r="C4" s="161">
        <f>Summary!D4</f>
        <v/>
      </c>
      <c r="D4" s="161">
        <f>Summary!E4</f>
        <v/>
      </c>
      <c r="E4" s="161">
        <f>Summary!F4</f>
        <v/>
      </c>
      <c r="F4" s="161">
        <f>Summary!G4</f>
        <v/>
      </c>
      <c r="G4" s="161">
        <f>Summary!H4</f>
        <v/>
      </c>
      <c r="H4" s="37" t="n"/>
    </row>
    <row r="5" ht="14.4" customHeight="1" s="135">
      <c r="A5" s="48" t="inlineStr">
        <is>
          <t>A. POS discrepancies</t>
        </is>
      </c>
      <c r="B5" s="38" t="n"/>
      <c r="C5" s="38" t="n"/>
      <c r="D5" s="38" t="n"/>
      <c r="E5" s="38" t="n"/>
      <c r="F5" s="38" t="n"/>
      <c r="G5" s="38" t="n"/>
      <c r="H5" s="143" t="n"/>
    </row>
    <row r="6" ht="14.4" customHeight="1" s="135">
      <c r="A6" s="38" t="inlineStr">
        <is>
          <t>Sales as per Zomato</t>
        </is>
      </c>
      <c r="B6" s="86">
        <f>Cashflow!C10</f>
        <v/>
      </c>
      <c r="C6" s="86">
        <f>Cashflow!D10</f>
        <v/>
      </c>
      <c r="D6" s="86">
        <f>Cashflow!E10</f>
        <v/>
      </c>
      <c r="E6" s="86">
        <f>Cashflow!F10</f>
        <v/>
      </c>
      <c r="F6" s="86">
        <f>Cashflow!G10</f>
        <v/>
      </c>
      <c r="G6" s="86">
        <f>SUM(B6:F6)</f>
        <v/>
      </c>
      <c r="H6" s="143" t="n"/>
    </row>
    <row r="7" ht="14.4" customHeight="1" s="135">
      <c r="A7" s="38" t="inlineStr">
        <is>
          <t>Sale as per POS</t>
        </is>
      </c>
      <c r="B7" s="86" t="n"/>
      <c r="C7" s="86" t="n"/>
      <c r="D7" s="86" t="n"/>
      <c r="E7" s="86" t="n"/>
      <c r="F7" s="86" t="n"/>
      <c r="G7" s="86">
        <f>SUM(B7:F7)</f>
        <v/>
      </c>
      <c r="H7" s="143" t="n"/>
    </row>
    <row r="8" ht="14.4" customHeight="1" s="135">
      <c r="A8" s="47" t="inlineStr">
        <is>
          <t>Difference</t>
        </is>
      </c>
      <c r="B8" s="87">
        <f>B7-B6</f>
        <v/>
      </c>
      <c r="C8" s="87">
        <f>C7-C6</f>
        <v/>
      </c>
      <c r="D8" s="87">
        <f>D7-D6</f>
        <v/>
      </c>
      <c r="E8" s="87">
        <f>E7-E6</f>
        <v/>
      </c>
      <c r="F8" s="87">
        <f>F7-F6</f>
        <v/>
      </c>
      <c r="G8" s="87">
        <f>G7-G6</f>
        <v/>
      </c>
      <c r="H8" s="143" t="n"/>
    </row>
    <row r="9" ht="14.4" customHeight="1" s="135">
      <c r="A9" s="38" t="n"/>
      <c r="B9" s="39">
        <f>IFERROR(B8/B6,)</f>
        <v/>
      </c>
      <c r="C9" s="39">
        <f>IFERROR(C8/C6,0)</f>
        <v/>
      </c>
      <c r="D9" s="39">
        <f>IFERROR(D8/D6,0)</f>
        <v/>
      </c>
      <c r="E9" s="39">
        <f>IFERROR(E8/E6,0)</f>
        <v/>
      </c>
      <c r="F9" s="39">
        <f>IFERROR(F8/F6,0)</f>
        <v/>
      </c>
      <c r="G9" s="39">
        <f>IFERROR(G8/G6,0)</f>
        <v/>
      </c>
      <c r="H9" s="143" t="n"/>
    </row>
    <row r="10" ht="14.4" customHeight="1" s="135">
      <c r="A10" s="38" t="n"/>
      <c r="B10" s="40" t="n"/>
      <c r="C10" s="40" t="n"/>
      <c r="D10" s="40" t="n"/>
      <c r="E10" s="40" t="n"/>
      <c r="F10" s="40" t="n"/>
      <c r="G10" s="40" t="n"/>
      <c r="H10" s="143" t="n"/>
    </row>
    <row r="11" ht="14.4" customHeight="1" s="135">
      <c r="A11" s="48" t="inlineStr">
        <is>
          <t>B. Order discrepancies</t>
        </is>
      </c>
      <c r="B11" s="162" t="n"/>
      <c r="C11" s="162" t="n"/>
      <c r="D11" s="162" t="n"/>
      <c r="E11" s="162" t="n"/>
      <c r="F11" s="162" t="n"/>
      <c r="G11" s="162" t="n"/>
      <c r="H11" s="143" t="n"/>
    </row>
    <row r="12" ht="14.4" customHeight="1" s="135">
      <c r="A12" s="38" t="inlineStr">
        <is>
          <t>No.of delivered orders for which payment isn't received</t>
        </is>
      </c>
      <c r="B12" s="86" t="n">
        <v>0</v>
      </c>
      <c r="C12" s="86" t="n">
        <v>0</v>
      </c>
      <c r="D12" s="86" t="n">
        <v>0</v>
      </c>
      <c r="E12" s="86" t="n">
        <v>0</v>
      </c>
      <c r="F12" s="86" t="n">
        <v>0</v>
      </c>
      <c r="G12" s="86">
        <f>SUM(B12:F12)</f>
        <v/>
      </c>
      <c r="H12" s="143" t="n"/>
    </row>
    <row r="13" ht="14.4" customHeight="1" s="135">
      <c r="A13" s="38" t="inlineStr">
        <is>
          <t>Value of such orders</t>
        </is>
      </c>
      <c r="B13" s="86" t="n">
        <v>0</v>
      </c>
      <c r="C13" s="86" t="n">
        <v>0</v>
      </c>
      <c r="D13" s="86" t="n">
        <v>0</v>
      </c>
      <c r="E13" s="86" t="n">
        <v>0</v>
      </c>
      <c r="F13" s="86" t="n">
        <v>0</v>
      </c>
      <c r="G13" s="86">
        <f>SUM(B13:F13)</f>
        <v/>
      </c>
      <c r="H13" s="143" t="n"/>
    </row>
    <row r="14" ht="14.4" customHeight="1" s="135">
      <c r="A14" s="38" t="n"/>
      <c r="B14" s="86" t="n"/>
      <c r="C14" s="86" t="n"/>
      <c r="D14" s="86" t="n"/>
      <c r="E14" s="86" t="n"/>
      <c r="F14" s="86" t="n"/>
      <c r="G14" s="86" t="n"/>
      <c r="H14" s="143" t="n"/>
    </row>
    <row r="15" ht="14.4" customHeight="1" s="135">
      <c r="A15" s="38" t="n"/>
      <c r="B15" s="62" t="n"/>
      <c r="C15" s="62" t="n"/>
      <c r="D15" s="62" t="n"/>
      <c r="E15" s="62" t="n"/>
      <c r="F15" s="62" t="n"/>
      <c r="G15" s="62" t="n"/>
      <c r="H15" s="143" t="n"/>
    </row>
    <row r="16" ht="14.4" customHeight="1" s="135">
      <c r="A16" s="48" t="inlineStr">
        <is>
          <t>C. Payment discrepancies</t>
        </is>
      </c>
      <c r="B16" s="62" t="n"/>
      <c r="C16" s="62" t="n"/>
      <c r="D16" s="62" t="n"/>
      <c r="E16" s="62" t="n"/>
      <c r="F16" s="62" t="n"/>
      <c r="G16" s="62" t="n"/>
      <c r="H16" s="143" t="n"/>
    </row>
    <row r="17" ht="14.4" customHeight="1" s="135">
      <c r="A17" s="38" t="inlineStr">
        <is>
          <t>Expected receipts in the bank account</t>
        </is>
      </c>
      <c r="B17" s="86">
        <f>Cashflow!C30</f>
        <v/>
      </c>
      <c r="C17" s="86">
        <f>Cashflow!D30</f>
        <v/>
      </c>
      <c r="D17" s="86">
        <f>Cashflow!E30</f>
        <v/>
      </c>
      <c r="E17" s="86">
        <f>Cashflow!F30</f>
        <v/>
      </c>
      <c r="F17" s="86">
        <f>Cashflow!G30</f>
        <v/>
      </c>
      <c r="G17" s="86">
        <f>SUM(B17:F17)</f>
        <v/>
      </c>
      <c r="H17" s="143" t="n"/>
    </row>
    <row r="18" ht="14.4" customHeight="1" s="135">
      <c r="A18" s="38" t="inlineStr">
        <is>
          <t>Investment in Hyperpure</t>
        </is>
      </c>
      <c r="B18" s="86">
        <f>Cashflow!C36</f>
        <v/>
      </c>
      <c r="C18" s="86">
        <f>Cashflow!D36</f>
        <v/>
      </c>
      <c r="D18" s="86">
        <f>Cashflow!E36</f>
        <v/>
      </c>
      <c r="E18" s="86">
        <f>Cashflow!F36</f>
        <v/>
      </c>
      <c r="F18" s="86">
        <f>Cashflow!G36</f>
        <v/>
      </c>
      <c r="G18" s="86">
        <f>SUM(B18:F18)</f>
        <v/>
      </c>
      <c r="H18" s="143" t="n"/>
    </row>
    <row r="19" ht="14.4" customHeight="1" s="135">
      <c r="A19" s="38" t="inlineStr">
        <is>
          <t>Following Week Adjustment</t>
        </is>
      </c>
      <c r="B19" s="86">
        <f>Cashflow!C34</f>
        <v/>
      </c>
      <c r="C19" s="86">
        <f>Cashflow!D34</f>
        <v/>
      </c>
      <c r="D19" s="86">
        <f>Cashflow!E34</f>
        <v/>
      </c>
      <c r="E19" s="86">
        <f>Cashflow!F34</f>
        <v/>
      </c>
      <c r="F19" s="86">
        <f>Cashflow!G34</f>
        <v/>
      </c>
      <c r="G19" s="86">
        <f>SUM(B19:F19)</f>
        <v/>
      </c>
      <c r="H19" s="143" t="n"/>
    </row>
    <row r="20" ht="14.4" customHeight="1" s="135">
      <c r="A20" s="38" t="inlineStr">
        <is>
          <t>Opening Week Adjustment</t>
        </is>
      </c>
      <c r="B20" s="86">
        <f>Cashflow!C33</f>
        <v/>
      </c>
      <c r="C20" s="86">
        <f>Cashflow!D33</f>
        <v/>
      </c>
      <c r="D20" s="86">
        <f>Cashflow!E33</f>
        <v/>
      </c>
      <c r="E20" s="86">
        <f>Cashflow!F33</f>
        <v/>
      </c>
      <c r="F20" s="86" t="n">
        <v>0</v>
      </c>
      <c r="G20" s="86">
        <f>SUM(B20:F20)</f>
        <v/>
      </c>
      <c r="H20" s="143" t="n"/>
    </row>
    <row r="21" ht="14.4" customHeight="1" s="135">
      <c r="A21" s="38" t="inlineStr">
        <is>
          <t>Closing Week Adjustment</t>
        </is>
      </c>
      <c r="B21" s="86">
        <f>Cashflow!C35</f>
        <v/>
      </c>
      <c r="C21" s="86">
        <f>Cashflow!D35</f>
        <v/>
      </c>
      <c r="D21" s="86">
        <f>Cashflow!E35</f>
        <v/>
      </c>
      <c r="E21" s="86">
        <f>Cashflow!F35</f>
        <v/>
      </c>
      <c r="F21" s="86">
        <f>Cashflow!G35</f>
        <v/>
      </c>
      <c r="G21" s="86">
        <f>SUM(B21:F21)</f>
        <v/>
      </c>
      <c r="H21" s="143" t="n"/>
    </row>
    <row r="22" ht="17.4" customHeight="1" s="135">
      <c r="A22" s="38" t="inlineStr">
        <is>
          <t>Actual receipts in the bank</t>
        </is>
      </c>
      <c r="B22" s="86">
        <f>Cashflow!C38</f>
        <v/>
      </c>
      <c r="C22" s="86">
        <f>Cashflow!D38</f>
        <v/>
      </c>
      <c r="D22" s="86">
        <f>Cashflow!E38</f>
        <v/>
      </c>
      <c r="E22" s="86">
        <f>Cashflow!F38</f>
        <v/>
      </c>
      <c r="F22" s="86">
        <f>Cashflow!G38</f>
        <v/>
      </c>
      <c r="G22" s="86">
        <f>SUM(B22:F22)</f>
        <v/>
      </c>
      <c r="H22" s="143" t="n"/>
    </row>
    <row r="23" ht="19.2" customHeight="1" s="135" thickBot="1">
      <c r="A23" s="58" t="inlineStr">
        <is>
          <t>Difference</t>
        </is>
      </c>
      <c r="B23" s="41">
        <f>B17-B22-B18+B20</f>
        <v/>
      </c>
      <c r="C23" s="41">
        <f>C17-C22-C18</f>
        <v/>
      </c>
      <c r="D23" s="41">
        <f>D17-D22-D18</f>
        <v/>
      </c>
      <c r="E23" s="41">
        <f>E17-E22-E18-E19</f>
        <v/>
      </c>
      <c r="F23" s="41">
        <f>F17-F22-F18+F21</f>
        <v/>
      </c>
      <c r="G23" s="41">
        <f>G17-G22-G18+G20-G19</f>
        <v/>
      </c>
      <c r="H23" s="143" t="n"/>
    </row>
    <row r="24" ht="14.4" customHeight="1" s="135">
      <c r="A24" s="143" t="n"/>
      <c r="B24" s="143" t="n"/>
      <c r="C24" s="143" t="n"/>
      <c r="D24" s="143" t="n"/>
      <c r="E24" s="143" t="n"/>
      <c r="F24" s="143" t="n"/>
      <c r="G24" s="143" t="n"/>
      <c r="H24" s="143" t="n"/>
    </row>
    <row r="25" ht="14.4" customHeight="1" s="135">
      <c r="A25" s="12" t="inlineStr">
        <is>
          <t>Note:</t>
        </is>
      </c>
      <c r="B25" s="143" t="n"/>
      <c r="C25" s="143" t="n"/>
      <c r="D25" s="143" t="n"/>
      <c r="E25" s="143" t="n"/>
      <c r="F25" s="143" t="n"/>
      <c r="G25" s="143" t="n"/>
      <c r="H25" s="143" t="n"/>
    </row>
    <row r="26" ht="14.4" customHeight="1" s="135">
      <c r="A26" s="143" t="n"/>
      <c r="B26" s="143" t="n"/>
      <c r="C26" s="143" t="n"/>
      <c r="D26" s="143" t="n"/>
      <c r="E26" s="143" t="n"/>
      <c r="F26" s="143" t="n"/>
      <c r="G26" s="143" t="n"/>
      <c r="H26" s="143" t="n"/>
    </row>
    <row r="27" ht="14.4" customHeight="1" s="135">
      <c r="A27" s="143" t="n"/>
      <c r="B27" s="143" t="n"/>
      <c r="C27" s="143" t="n"/>
      <c r="D27" s="143" t="n"/>
      <c r="E27" s="143" t="n"/>
      <c r="F27" s="143" t="n"/>
      <c r="G27" s="143" t="n"/>
      <c r="H27" s="143" t="n"/>
    </row>
    <row r="28" ht="8.4" customHeight="1" s="135">
      <c r="B28" s="143" t="n"/>
      <c r="C28" s="143" t="n"/>
      <c r="D28" s="143" t="n"/>
      <c r="E28" s="143" t="n"/>
      <c r="F28" s="143" t="n"/>
      <c r="G28" s="143" t="n"/>
      <c r="H28" s="143" t="n"/>
    </row>
    <row r="29" ht="15" customHeight="1" s="135">
      <c r="B29" s="143" t="n"/>
      <c r="C29" s="143" t="n"/>
      <c r="D29" s="143" t="n"/>
      <c r="E29" s="143" t="n"/>
      <c r="F29" s="143" t="n"/>
      <c r="G29" s="143" t="n"/>
      <c r="H29" s="143" t="n"/>
    </row>
    <row r="30" ht="15.6" customHeight="1" s="135">
      <c r="B30" s="143" t="n"/>
      <c r="C30" s="143" t="n"/>
      <c r="D30" s="143" t="n"/>
      <c r="E30" s="143" t="n"/>
      <c r="F30" s="143" t="n"/>
      <c r="G30" s="143" t="n"/>
      <c r="H30" s="143" t="n"/>
    </row>
    <row r="31" ht="14.4" customHeight="1" s="135">
      <c r="B31" s="143" t="n"/>
      <c r="C31" s="143" t="n"/>
      <c r="D31" s="143" t="n"/>
      <c r="E31" s="143" t="n"/>
      <c r="F31" s="143" t="n"/>
      <c r="G31" s="143" t="n"/>
      <c r="H31" s="143" t="n"/>
    </row>
    <row r="32" ht="14.4" customHeight="1" s="135">
      <c r="B32" s="143" t="n"/>
      <c r="C32" s="143" t="n"/>
      <c r="D32" s="143" t="n"/>
      <c r="E32" s="143" t="n"/>
      <c r="F32" s="143" t="n"/>
      <c r="G32" s="143" t="n"/>
      <c r="H32" s="143" t="n"/>
    </row>
    <row r="33" ht="14.4" customHeight="1" s="135">
      <c r="B33" s="143" t="n"/>
      <c r="C33" s="143" t="n"/>
      <c r="D33" s="143" t="n"/>
      <c r="E33" s="143" t="n"/>
      <c r="F33" s="143" t="n"/>
      <c r="G33" s="143" t="n"/>
      <c r="H33" s="143" t="n"/>
    </row>
    <row r="34" ht="14.4" customHeight="1" s="135">
      <c r="B34" s="143" t="n"/>
      <c r="C34" s="143" t="n"/>
      <c r="D34" s="143" t="n"/>
      <c r="E34" s="143" t="n"/>
      <c r="F34" s="143" t="n"/>
      <c r="G34" s="143" t="n"/>
      <c r="H34" s="143" t="n"/>
    </row>
    <row r="35" ht="14.4" customHeight="1" s="135">
      <c r="B35" s="143" t="n"/>
      <c r="C35" s="143" t="n"/>
      <c r="D35" s="143" t="n"/>
      <c r="E35" s="143" t="n"/>
      <c r="F35" s="143" t="n"/>
      <c r="G35" s="143" t="n"/>
      <c r="H35" s="143" t="n"/>
    </row>
    <row r="36" ht="14.4" customHeight="1" s="135">
      <c r="B36" s="143" t="n"/>
      <c r="C36" s="143" t="n"/>
      <c r="D36" s="143" t="n"/>
      <c r="E36" s="143" t="n"/>
      <c r="F36" s="143" t="n"/>
      <c r="G36" s="143" t="n"/>
      <c r="H36" s="143" t="n"/>
    </row>
    <row r="37" ht="14.4" customHeight="1" s="135">
      <c r="B37" s="143" t="n"/>
      <c r="C37" s="143" t="n"/>
      <c r="D37" s="143" t="n"/>
      <c r="E37" s="143" t="n"/>
      <c r="F37" s="143" t="n"/>
      <c r="G37" s="143" t="n"/>
      <c r="H37" s="143" t="n"/>
    </row>
    <row r="38" ht="14.4" customHeight="1" s="135">
      <c r="B38" s="143" t="n"/>
      <c r="C38" s="143" t="n"/>
      <c r="D38" s="143" t="n"/>
      <c r="E38" s="143" t="n"/>
      <c r="F38" s="143" t="n"/>
      <c r="G38" s="143" t="n"/>
      <c r="H38" s="143" t="n"/>
    </row>
  </sheetData>
  <mergeCells count="2">
    <mergeCell ref="A2:G2"/>
    <mergeCell ref="A1:G1"/>
  </mergeCells>
  <pageMargins left="0.7" right="0.7" top="0.75" bottom="0.75" header="0.3" footer="0.3"/>
  <pageSetup orientation="landscape"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codeName="Sheet10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cols>
    <col width="8.88671875" customWidth="1" style="135" min="2" max="2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9" filterMode="1">
    <outlinePr summaryBelow="1" summaryRight="1"/>
    <pageSetUpPr/>
  </sheetPr>
  <dimension ref="A5:G178"/>
  <sheetViews>
    <sheetView workbookViewId="0">
      <selection activeCell="D96" sqref="D96"/>
    </sheetView>
  </sheetViews>
  <sheetFormatPr baseColWidth="8" defaultRowHeight="14.4"/>
  <cols>
    <col width="10.33203125" bestFit="1" customWidth="1" style="135" min="1" max="1"/>
    <col width="12.21875" customWidth="1" style="135" min="6" max="6"/>
  </cols>
  <sheetData>
    <row r="5">
      <c r="B5" t="n">
        <v>1</v>
      </c>
      <c r="C5" t="n">
        <v>2</v>
      </c>
      <c r="D5" t="n">
        <v>3</v>
      </c>
      <c r="E5" t="n">
        <v>4</v>
      </c>
      <c r="F5" t="n">
        <v>5</v>
      </c>
    </row>
    <row r="10">
      <c r="A10" t="inlineStr">
        <is>
          <t>Date</t>
        </is>
      </c>
      <c r="B10" t="inlineStr">
        <is>
          <t>Narration</t>
        </is>
      </c>
      <c r="C10" t="inlineStr">
        <is>
          <t>Chq./Ref.No.</t>
        </is>
      </c>
      <c r="D10" t="inlineStr">
        <is>
          <t>Value Dt</t>
        </is>
      </c>
      <c r="E10" t="inlineStr">
        <is>
          <t>Withdrawal Amt.</t>
        </is>
      </c>
      <c r="F10" t="inlineStr">
        <is>
          <t>Deposit Amt.</t>
        </is>
      </c>
      <c r="G10" t="inlineStr">
        <is>
          <t>Closing Balance</t>
        </is>
      </c>
    </row>
    <row r="11" hidden="1" s="135">
      <c r="A11" t="inlineStr">
        <is>
          <t>01/10/25</t>
        </is>
      </c>
      <c r="B11" t="inlineStr">
        <is>
          <t>NEFT CR-YESB0000001-ONE 97 COMMUNICATIONS LIMITED SETTL-ROCKTAIL HOSPITALITY SERVICES-YESBN12025100101816795</t>
        </is>
      </c>
      <c r="C11" t="inlineStr">
        <is>
          <t>YESBN12025100101816795</t>
        </is>
      </c>
      <c r="D11" t="inlineStr">
        <is>
          <t>01/10/25</t>
        </is>
      </c>
      <c r="F11" t="n">
        <v>28308.11</v>
      </c>
      <c r="G11" t="n">
        <v>369938.81</v>
      </c>
    </row>
    <row r="12" hidden="1" s="135">
      <c r="A12" t="inlineStr">
        <is>
          <t>01/10/25</t>
        </is>
      </c>
      <c r="B12" t="inlineStr">
        <is>
          <t>NEFT CR-RATN0000999-PINE LABS LIMITED-ROCKTAIL HOSPITALITY SERVICES-RATNN52025100142548753</t>
        </is>
      </c>
      <c r="C12" t="inlineStr">
        <is>
          <t>RATNN52025100142548753</t>
        </is>
      </c>
      <c r="D12" t="inlineStr">
        <is>
          <t>01/10/25</t>
        </is>
      </c>
      <c r="F12" t="n">
        <v>988.02</v>
      </c>
      <c r="G12" t="n">
        <v>370926.83</v>
      </c>
    </row>
    <row r="13" hidden="1" s="135">
      <c r="A13" t="inlineStr">
        <is>
          <t>01/10/25</t>
        </is>
      </c>
      <c r="B13" t="inlineStr">
        <is>
          <t>42552394TERMINAL 1 CARDS SETTL. 01/10/25</t>
        </is>
      </c>
      <c r="C13" t="inlineStr">
        <is>
          <t>000000000000000</t>
        </is>
      </c>
      <c r="D13" t="inlineStr">
        <is>
          <t>01/10/25</t>
        </is>
      </c>
      <c r="F13" t="n">
        <v>4135.06</v>
      </c>
      <c r="G13" t="n">
        <v>375061.89</v>
      </c>
    </row>
    <row r="14" hidden="1" s="135">
      <c r="A14" t="inlineStr">
        <is>
          <t>01/10/25</t>
        </is>
      </c>
      <c r="B14" t="inlineStr">
        <is>
          <t>UPI-8978287178PTYES-8978287178@PTYES-UBIN0813567-564035906635-UPI</t>
        </is>
      </c>
      <c r="C14" t="inlineStr">
        <is>
          <t>0000564035906635</t>
        </is>
      </c>
      <c r="D14" t="inlineStr">
        <is>
          <t>01/10/25</t>
        </is>
      </c>
      <c r="E14" t="n">
        <v>165</v>
      </c>
      <c r="G14" t="n">
        <v>374896.89</v>
      </c>
    </row>
    <row r="15" hidden="1" s="135">
      <c r="A15" t="inlineStr">
        <is>
          <t>01/10/25</t>
        </is>
      </c>
      <c r="B15" t="inlineStr">
        <is>
          <t>50200069817641-TPT-NBLCVTK6KLDPDJXS-WOLFFPACK VENTURES PRIVATE LIMITED</t>
        </is>
      </c>
      <c r="C15" t="inlineStr">
        <is>
          <t>0000000223256296</t>
        </is>
      </c>
      <c r="D15" t="inlineStr">
        <is>
          <t>01/10/25</t>
        </is>
      </c>
      <c r="F15" t="n">
        <v>200000</v>
      </c>
      <c r="G15" t="n">
        <v>574896.89</v>
      </c>
    </row>
    <row r="16" hidden="1" s="135">
      <c r="A16" t="inlineStr">
        <is>
          <t>01/10/25</t>
        </is>
      </c>
      <c r="B16" t="inlineStr">
        <is>
          <t>VENDOR PAYMENTS - ROCKTAIL HOSPITALITY DR - 57500000326520 - NEFT TRANSITORY ACCOUNT</t>
        </is>
      </c>
      <c r="C16" t="inlineStr">
        <is>
          <t>0000000000000188</t>
        </is>
      </c>
      <c r="D16" t="inlineStr">
        <is>
          <t>01/10/25</t>
        </is>
      </c>
      <c r="E16" t="n">
        <v>390734</v>
      </c>
      <c r="G16" t="n">
        <v>184162.89</v>
      </c>
    </row>
    <row r="17" hidden="1" s="135">
      <c r="A17" t="inlineStr">
        <is>
          <t>01/10/25</t>
        </is>
      </c>
      <c r="B17" t="inlineStr">
        <is>
          <t>UPI-SHREY SINGH-SHREYSINGH0501-1@OKHDFCBANK-HDFC0004216-564012927870-REGISTRATION</t>
        </is>
      </c>
      <c r="C17" t="inlineStr">
        <is>
          <t>0000564012927870</t>
        </is>
      </c>
      <c r="D17" t="inlineStr">
        <is>
          <t>01/10/25</t>
        </is>
      </c>
      <c r="E17" t="n">
        <v>8700</v>
      </c>
      <c r="G17" t="n">
        <v>175462.89</v>
      </c>
    </row>
    <row r="18" hidden="1" s="135">
      <c r="A18" t="inlineStr">
        <is>
          <t>01/10/25</t>
        </is>
      </c>
      <c r="B18" t="inlineStr">
        <is>
          <t>NEFT RETURN-INCORRECT ACCOUNT NUMBER-LAXMI AGENCIES-IBKLN92025100194760959</t>
        </is>
      </c>
      <c r="C18" t="inlineStr">
        <is>
          <t>HDFCN52025100104276617</t>
        </is>
      </c>
      <c r="D18" t="inlineStr">
        <is>
          <t>01/10/25</t>
        </is>
      </c>
      <c r="F18" t="n">
        <v>8322</v>
      </c>
      <c r="G18" t="n">
        <v>183784.89</v>
      </c>
    </row>
    <row r="19" hidden="1" s="135">
      <c r="A19" t="inlineStr">
        <is>
          <t>01/10/25</t>
        </is>
      </c>
      <c r="B19" t="inlineStr">
        <is>
          <t>NEFT RETURN-INCORRECT ACCOUNT NUMBER-LAXMI AGENCIES-IBKLN92025100194760962</t>
        </is>
      </c>
      <c r="C19" t="inlineStr">
        <is>
          <t>HDFCN52025100104276606</t>
        </is>
      </c>
      <c r="D19" t="inlineStr">
        <is>
          <t>01/10/25</t>
        </is>
      </c>
      <c r="F19" t="n">
        <v>8316</v>
      </c>
      <c r="G19" t="n">
        <v>192100.89</v>
      </c>
    </row>
    <row r="20">
      <c r="A20" t="inlineStr">
        <is>
          <t>01/10/25</t>
        </is>
      </c>
      <c r="B20" t="inlineStr">
        <is>
          <t>NEFT CR-CITI0000002-ETERNAL LIMITED-ROCKTAIL HOSPITALITY SERVICES-CITIN52025100134584901</t>
        </is>
      </c>
      <c r="C20" t="inlineStr">
        <is>
          <t>CITIN52025100134584901</t>
        </is>
      </c>
      <c r="D20" t="inlineStr">
        <is>
          <t>01/10/25</t>
        </is>
      </c>
      <c r="F20" t="n">
        <v>22470.51</v>
      </c>
      <c r="G20" t="n">
        <v>214571.4</v>
      </c>
    </row>
    <row r="21" hidden="1" s="135">
      <c r="A21" t="inlineStr">
        <is>
          <t>01/10/25</t>
        </is>
      </c>
      <c r="B21" t="inlineStr">
        <is>
          <t>NEFT CR-UTIB0000052-BUNDL TECHNOLOGIES PRIVATE LIMITED-ROCKTAIL HOSPITALITY SERVICES-UTIBN62025100172850989</t>
        </is>
      </c>
      <c r="C21" t="inlineStr">
        <is>
          <t>UTIBN62025100172850989</t>
        </is>
      </c>
      <c r="D21" t="inlineStr">
        <is>
          <t>01/10/25</t>
        </is>
      </c>
      <c r="F21" t="n">
        <v>28624.05</v>
      </c>
      <c r="G21" t="n">
        <v>243195.45</v>
      </c>
    </row>
    <row r="22" hidden="1" s="135">
      <c r="A22" t="inlineStr">
        <is>
          <t>01/10/25</t>
        </is>
      </c>
      <c r="B22" t="inlineStr">
        <is>
          <t>FT - DR - 50200086201346 - SRI CHAKRA ENTERPRISES</t>
        </is>
      </c>
      <c r="C22" t="inlineStr">
        <is>
          <t>0000000000000187</t>
        </is>
      </c>
      <c r="D22" t="inlineStr">
        <is>
          <t>01/10/25</t>
        </is>
      </c>
      <c r="E22" t="n">
        <v>68400</v>
      </c>
      <c r="G22" t="n">
        <v>174795.45</v>
      </c>
    </row>
    <row r="23" hidden="1" s="135">
      <c r="A23" t="inlineStr">
        <is>
          <t>01/10/25</t>
        </is>
      </c>
      <c r="B23" t="inlineStr">
        <is>
          <t>CQ NO-000187 AMOUNT-100323 TRANSFERS 4 DR - 50200088485779 - NSP ENTERPRISES</t>
        </is>
      </c>
      <c r="C23" t="inlineStr">
        <is>
          <t>000000000000000</t>
        </is>
      </c>
      <c r="D23" t="inlineStr">
        <is>
          <t>01/10/25</t>
        </is>
      </c>
      <c r="E23" t="n">
        <v>12843</v>
      </c>
      <c r="G23" t="n">
        <v>161952.45</v>
      </c>
    </row>
    <row r="24" hidden="1" s="135">
      <c r="A24" t="inlineStr">
        <is>
          <t>01/10/25</t>
        </is>
      </c>
      <c r="B24" t="inlineStr">
        <is>
          <t>CQ NO-000187 AMOUNT-100323 TRANSFERS 4 DR - 50200082063860 - AAMODHA ENTERPRISES</t>
        </is>
      </c>
      <c r="C24" t="inlineStr">
        <is>
          <t>000000000000000</t>
        </is>
      </c>
      <c r="D24" t="inlineStr">
        <is>
          <t>01/10/25</t>
        </is>
      </c>
      <c r="E24" t="n">
        <v>16560</v>
      </c>
      <c r="G24" t="n">
        <v>145392.45</v>
      </c>
    </row>
    <row r="25" hidden="1" s="135">
      <c r="A25" t="inlineStr">
        <is>
          <t>01/10/25</t>
        </is>
      </c>
      <c r="B25" t="inlineStr">
        <is>
          <t>CQ NO-000187 AMOUNT-100323 TRANSFERS 4 DR - 50200034371828 - SRIHITHA DISTRIBUTORS</t>
        </is>
      </c>
      <c r="C25" t="inlineStr">
        <is>
          <t>000000000000000</t>
        </is>
      </c>
      <c r="D25" t="inlineStr">
        <is>
          <t>01/10/25</t>
        </is>
      </c>
      <c r="E25" t="n">
        <v>2520</v>
      </c>
      <c r="G25" t="n">
        <v>142872.45</v>
      </c>
    </row>
    <row r="26" hidden="1" s="135">
      <c r="A26" t="inlineStr">
        <is>
          <t>01/10/25</t>
        </is>
      </c>
      <c r="B26" t="inlineStr">
        <is>
          <t>UPI-SRI LAXMI CHENNAKESA-Q560982817@YBL-YESB0YBLUPI-112039563850-POOJA</t>
        </is>
      </c>
      <c r="C26" t="inlineStr">
        <is>
          <t>0000112039563850</t>
        </is>
      </c>
      <c r="D26" t="inlineStr">
        <is>
          <t>01/10/25</t>
        </is>
      </c>
      <c r="E26" t="n">
        <v>1651</v>
      </c>
      <c r="G26" t="n">
        <v>141221.45</v>
      </c>
    </row>
    <row r="27" hidden="1" s="135">
      <c r="A27" t="inlineStr">
        <is>
          <t>01/10/25</t>
        </is>
      </c>
      <c r="B27" t="inlineStr">
        <is>
          <t>NEFT CR-YESB0000001-SWIGGY LIMITED-ROCKTAIL HOSPITALITY SERVICES-YESBN12025100106534132</t>
        </is>
      </c>
      <c r="C27" t="inlineStr">
        <is>
          <t>YESBN12025100106534132</t>
        </is>
      </c>
      <c r="D27" t="inlineStr">
        <is>
          <t>01/10/25</t>
        </is>
      </c>
      <c r="F27" t="n">
        <v>37494.72</v>
      </c>
      <c r="G27" t="n">
        <v>178716.17</v>
      </c>
    </row>
    <row r="28" hidden="1" s="135">
      <c r="A28" t="inlineStr">
        <is>
          <t>02/10/25</t>
        </is>
      </c>
      <c r="B28" t="inlineStr">
        <is>
          <t>NEFT CR-YESB0000001-ONE 97 COMMUNICATIONS LIMITED SETTL-ROCKTAIL HOSPITALITY SERVICES-YESBN12025100202440556</t>
        </is>
      </c>
      <c r="C28" t="inlineStr">
        <is>
          <t>YESBN12025100202440556</t>
        </is>
      </c>
      <c r="D28" t="inlineStr">
        <is>
          <t>02/10/25</t>
        </is>
      </c>
      <c r="F28" t="n">
        <v>28924.86</v>
      </c>
      <c r="G28" t="n">
        <v>207641.03</v>
      </c>
    </row>
    <row r="29" hidden="1" s="135">
      <c r="A29" t="inlineStr">
        <is>
          <t>02/10/25</t>
        </is>
      </c>
      <c r="B29" t="inlineStr">
        <is>
          <t>42552394TERMINAL 1 CARDS SETTL. 02/10/25</t>
        </is>
      </c>
      <c r="C29" t="inlineStr">
        <is>
          <t>000000000000000</t>
        </is>
      </c>
      <c r="D29" t="inlineStr">
        <is>
          <t>02/10/25</t>
        </is>
      </c>
      <c r="F29" t="n">
        <v>6676.28</v>
      </c>
      <c r="G29" t="n">
        <v>214317.31</v>
      </c>
    </row>
    <row r="30" hidden="1" s="135">
      <c r="A30" t="inlineStr">
        <is>
          <t>03/10/25</t>
        </is>
      </c>
      <c r="B30" t="inlineStr">
        <is>
          <t>NEFT CR-YESB0000001-ONE 97 COMMUNICATIONS LIMITED SETTL-ROCKTAIL HOSPITALITY SERVICES-YESBN12025100302342936</t>
        </is>
      </c>
      <c r="C30" t="inlineStr">
        <is>
          <t>YESBN12025100302342936</t>
        </is>
      </c>
      <c r="D30" t="inlineStr">
        <is>
          <t>03/10/25</t>
        </is>
      </c>
      <c r="F30" t="n">
        <v>38471.91</v>
      </c>
      <c r="G30" t="n">
        <v>252789.22</v>
      </c>
    </row>
    <row r="31" hidden="1" s="135">
      <c r="A31" t="inlineStr">
        <is>
          <t>03/10/25</t>
        </is>
      </c>
      <c r="B31" t="inlineStr">
        <is>
          <t>42552394TERMINAL 1 CARDS SETTL. 03/10/25</t>
        </is>
      </c>
      <c r="C31" t="inlineStr">
        <is>
          <t>000000000000000</t>
        </is>
      </c>
      <c r="D31" t="inlineStr">
        <is>
          <t>03/10/25</t>
        </is>
      </c>
      <c r="F31" t="n">
        <v>13411.99</v>
      </c>
      <c r="G31" t="n">
        <v>266201.21</v>
      </c>
    </row>
    <row r="32" hidden="1" s="135">
      <c r="A32" t="inlineStr">
        <is>
          <t>03/10/25</t>
        </is>
      </c>
      <c r="B32" t="inlineStr">
        <is>
          <t>UPI-BHANWRA  RAM-BHANWARJATCHOUDHARY251@OKSBI-SBIN0011306-564239417166-FURNITURE</t>
        </is>
      </c>
      <c r="C32" t="inlineStr">
        <is>
          <t>0000564239417166</t>
        </is>
      </c>
      <c r="D32" t="inlineStr">
        <is>
          <t>03/10/25</t>
        </is>
      </c>
      <c r="E32" t="n">
        <v>35000</v>
      </c>
      <c r="G32" t="n">
        <v>231201.21</v>
      </c>
    </row>
    <row r="33" hidden="1" s="135">
      <c r="A33" t="inlineStr">
        <is>
          <t>03/10/25</t>
        </is>
      </c>
      <c r="B33" t="inlineStr">
        <is>
          <t>NEFT CR-UTIB0000052-BUNDL TECHNOLOGIES PRIVATE LIMITED-ROCKTAIL HOSPITALITY SERVICES-UTIBN62025100395892591</t>
        </is>
      </c>
      <c r="C33" t="inlineStr">
        <is>
          <t>UTIBN62025100395892591</t>
        </is>
      </c>
      <c r="D33" t="inlineStr">
        <is>
          <t>03/10/25</t>
        </is>
      </c>
      <c r="F33" t="n">
        <v>13038.51</v>
      </c>
      <c r="G33" t="n">
        <v>244239.72</v>
      </c>
    </row>
    <row r="34" hidden="1" s="135">
      <c r="A34" t="inlineStr">
        <is>
          <t>04/10/25</t>
        </is>
      </c>
      <c r="B34" t="inlineStr">
        <is>
          <t>NEFT CR-YESB0000001-ONE 97 COMMUNICATIONS LIMITED SETTL-ROCKTAIL HOSPITALITY SERVICES-YESBN12025100403632181</t>
        </is>
      </c>
      <c r="C34" t="inlineStr">
        <is>
          <t>YESBN12025100403632181</t>
        </is>
      </c>
      <c r="D34" t="inlineStr">
        <is>
          <t>04/10/25</t>
        </is>
      </c>
      <c r="F34" t="n">
        <v>53035</v>
      </c>
      <c r="G34" t="n">
        <v>297274.72</v>
      </c>
    </row>
    <row r="35" hidden="1" s="135">
      <c r="A35" t="inlineStr">
        <is>
          <t>04/10/25</t>
        </is>
      </c>
      <c r="B35" t="inlineStr">
        <is>
          <t>42552394TERMINAL 1 CARDS SETTL. 04/10/25</t>
        </is>
      </c>
      <c r="C35" t="inlineStr">
        <is>
          <t>000000000000000</t>
        </is>
      </c>
      <c r="D35" t="inlineStr">
        <is>
          <t>04/10/25</t>
        </is>
      </c>
      <c r="F35" t="n">
        <v>10812.69</v>
      </c>
      <c r="G35" t="n">
        <v>308087.41</v>
      </c>
    </row>
    <row r="36" hidden="1" s="135">
      <c r="A36" t="inlineStr">
        <is>
          <t>04/10/25</t>
        </is>
      </c>
      <c r="B36" t="inlineStr">
        <is>
          <t>UPI-SWIGGY LIMITED-SWIGGY.STORES@AXB-UTIB0000100-527751059928-PAY FOR INTENT</t>
        </is>
      </c>
      <c r="C36" t="inlineStr">
        <is>
          <t>0000527751059928</t>
        </is>
      </c>
      <c r="D36" t="inlineStr">
        <is>
          <t>04/10/25</t>
        </is>
      </c>
      <c r="E36" t="n">
        <v>856</v>
      </c>
      <c r="G36" t="n">
        <v>307231.41</v>
      </c>
    </row>
    <row r="37" hidden="1" s="135">
      <c r="A37" t="inlineStr">
        <is>
          <t>05/10/25</t>
        </is>
      </c>
      <c r="B37" t="inlineStr">
        <is>
          <t>NEFT CR-YESB0000001-ONE 97 COMMUNICATIONS LIMITED SETTL-ROCKTAIL HOSPITALITY SERVICES-YESBN12025100501829191</t>
        </is>
      </c>
      <c r="C37" t="inlineStr">
        <is>
          <t>YESBN12025100501829191</t>
        </is>
      </c>
      <c r="D37" t="inlineStr">
        <is>
          <t>05/10/25</t>
        </is>
      </c>
      <c r="F37" t="n">
        <v>72645.73</v>
      </c>
      <c r="G37" t="n">
        <v>379877.14</v>
      </c>
    </row>
    <row r="38" hidden="1" s="135">
      <c r="A38" t="inlineStr">
        <is>
          <t>05/10/25</t>
        </is>
      </c>
      <c r="B38" t="inlineStr">
        <is>
          <t>42552394TERMINAL 1 CARDS SETTL. 05/10/25</t>
        </is>
      </c>
      <c r="C38" t="inlineStr">
        <is>
          <t>000000000000000</t>
        </is>
      </c>
      <c r="D38" t="inlineStr">
        <is>
          <t>05/10/25</t>
        </is>
      </c>
      <c r="F38" t="n">
        <v>17370.83</v>
      </c>
      <c r="G38" t="n">
        <v>397247.97</v>
      </c>
    </row>
    <row r="39" hidden="1" s="135">
      <c r="A39" t="inlineStr">
        <is>
          <t>05/10/25</t>
        </is>
      </c>
      <c r="B39" t="inlineStr">
        <is>
          <t>SETTLEMENT CHARGE-SEP25-CPY597</t>
        </is>
      </c>
      <c r="C39" t="inlineStr">
        <is>
          <t>000000000000000</t>
        </is>
      </c>
      <c r="D39" t="inlineStr">
        <is>
          <t>05/10/25</t>
        </is>
      </c>
      <c r="E39" t="n">
        <v>37.76</v>
      </c>
      <c r="G39" t="n">
        <v>397210.21</v>
      </c>
    </row>
    <row r="40" hidden="1" s="135">
      <c r="A40" t="inlineStr">
        <is>
          <t>06/10/25</t>
        </is>
      </c>
      <c r="B40" t="inlineStr">
        <is>
          <t>NEFT CR-YESB0000001-ONE 97 COMMUNICATIONS LIMITED SETTL-ROCKTAIL HOSPITALITY SERVICES-YESBN12025100601953902</t>
        </is>
      </c>
      <c r="C40" t="inlineStr">
        <is>
          <t>YESBN12025100601953902</t>
        </is>
      </c>
      <c r="D40" t="inlineStr">
        <is>
          <t>06/10/25</t>
        </is>
      </c>
      <c r="F40" t="n">
        <v>65856.98</v>
      </c>
      <c r="G40" t="n">
        <v>463067.19</v>
      </c>
    </row>
    <row r="41" hidden="1" s="135">
      <c r="A41" t="inlineStr">
        <is>
          <t>06/10/25</t>
        </is>
      </c>
      <c r="B41" t="inlineStr">
        <is>
          <t>EMI 162047443 CHQ S16204744314 1025162047443</t>
        </is>
      </c>
      <c r="C41" t="inlineStr">
        <is>
          <t>000000000000000</t>
        </is>
      </c>
      <c r="D41" t="inlineStr">
        <is>
          <t>06/10/25</t>
        </is>
      </c>
      <c r="E41" t="n">
        <v>70666</v>
      </c>
      <c r="G41" t="n">
        <v>392401.19</v>
      </c>
    </row>
    <row r="42" hidden="1" s="135">
      <c r="A42" t="inlineStr">
        <is>
          <t>06/10/25</t>
        </is>
      </c>
      <c r="B42" t="inlineStr">
        <is>
          <t>42552394TERMINAL 1 CARDS SETTL. 06/10/25</t>
        </is>
      </c>
      <c r="C42" t="inlineStr">
        <is>
          <t>000000000000000</t>
        </is>
      </c>
      <c r="D42" t="inlineStr">
        <is>
          <t>06/10/25</t>
        </is>
      </c>
      <c r="F42" t="n">
        <v>1635.17</v>
      </c>
      <c r="G42" t="n">
        <v>394036.36</v>
      </c>
    </row>
    <row r="43">
      <c r="A43" t="inlineStr">
        <is>
          <t>06/10/25</t>
        </is>
      </c>
      <c r="B43" t="inlineStr">
        <is>
          <t>NEFT CR-CITI0000002-ETERNAL LIMITED-ROCKTAIL HOSPITALITY SERVICES-CITIN52025100636240957</t>
        </is>
      </c>
      <c r="C43" t="inlineStr">
        <is>
          <t>CITIN52025100636240957</t>
        </is>
      </c>
      <c r="D43" t="inlineStr">
        <is>
          <t>06/10/25</t>
        </is>
      </c>
      <c r="F43" t="n">
        <v>61201.16</v>
      </c>
      <c r="G43" t="n">
        <v>455237.52</v>
      </c>
    </row>
    <row r="44" hidden="1" s="135">
      <c r="A44" t="inlineStr">
        <is>
          <t>07/10/25</t>
        </is>
      </c>
      <c r="B44" t="inlineStr">
        <is>
          <t>NEFT CR-YESB0000001-ONE 97 COMMUNICATIONS LIMITED SETTL-ROCKTAIL HOSPITALITY SERVICES-YESBN12025100701113506</t>
        </is>
      </c>
      <c r="C44" t="inlineStr">
        <is>
          <t>YESBN12025100701113506</t>
        </is>
      </c>
      <c r="D44" t="inlineStr">
        <is>
          <t>07/10/25</t>
        </is>
      </c>
      <c r="F44" t="n">
        <v>24613.36</v>
      </c>
      <c r="G44" t="n">
        <v>479850.88</v>
      </c>
    </row>
    <row r="45" hidden="1" s="135">
      <c r="A45" t="inlineStr">
        <is>
          <t>07/10/25</t>
        </is>
      </c>
      <c r="B45" t="inlineStr">
        <is>
          <t>42552394TERMINAL 1 CARDS SETTL. 07/10/25</t>
        </is>
      </c>
      <c r="C45" t="inlineStr">
        <is>
          <t>000000000000000</t>
        </is>
      </c>
      <c r="D45" t="inlineStr">
        <is>
          <t>07/10/25</t>
        </is>
      </c>
      <c r="F45" t="n">
        <v>9641.790000000001</v>
      </c>
      <c r="G45" t="n">
        <v>489492.67</v>
      </c>
    </row>
    <row r="46" hidden="1" s="135">
      <c r="A46" t="inlineStr">
        <is>
          <t>07/10/25</t>
        </is>
      </c>
      <c r="B46" t="inlineStr">
        <is>
          <t>NEFT CR-YESB0000001-SWIGGY LIMITED-ROCKTAIL HOSPITALITY SERVICES-YESBN12025100705709842</t>
        </is>
      </c>
      <c r="C46" t="inlineStr">
        <is>
          <t>YESBN12025100705709842</t>
        </is>
      </c>
      <c r="D46" t="inlineStr">
        <is>
          <t>07/10/25</t>
        </is>
      </c>
      <c r="F46" t="n">
        <v>83057.25999999999</v>
      </c>
      <c r="G46" t="n">
        <v>572549.9300000001</v>
      </c>
    </row>
    <row r="47" hidden="1" s="135">
      <c r="A47" t="inlineStr">
        <is>
          <t>08/10/25</t>
        </is>
      </c>
      <c r="B47" t="inlineStr">
        <is>
          <t>NEFT CR-YESB0000001-ONE 97 COMMUNICATIONS LIMITED SETTL-ROCKTAIL HOSPITALITY SERVICES-YESBN12025100800862936</t>
        </is>
      </c>
      <c r="C47" t="inlineStr">
        <is>
          <t>YESBN12025100800862936</t>
        </is>
      </c>
      <c r="D47" t="inlineStr">
        <is>
          <t>08/10/25</t>
        </is>
      </c>
      <c r="F47" t="n">
        <v>17786</v>
      </c>
      <c r="G47" t="n">
        <v>590335.9300000001</v>
      </c>
    </row>
    <row r="48" hidden="1" s="135">
      <c r="A48" t="inlineStr">
        <is>
          <t>08/10/25</t>
        </is>
      </c>
      <c r="B48" t="inlineStr">
        <is>
          <t>42552394TERMINAL 1 CARDS SETTL. 08/10/25</t>
        </is>
      </c>
      <c r="C48" t="inlineStr">
        <is>
          <t>000000000000000</t>
        </is>
      </c>
      <c r="D48" t="inlineStr">
        <is>
          <t>08/10/25</t>
        </is>
      </c>
      <c r="F48" t="n">
        <v>5938.15</v>
      </c>
      <c r="G48" t="n">
        <v>596274.08</v>
      </c>
    </row>
    <row r="49" hidden="1" s="135">
      <c r="A49" t="inlineStr">
        <is>
          <t>08/10/25</t>
        </is>
      </c>
      <c r="B49" t="inlineStr">
        <is>
          <t>NEFT CR-UTIB0000052-BUNDL TECHNOLOGIES PRIVATE LIMITED-ROCKTAIL HOSPITALITY SERVICES-UTIBN62025100849523664</t>
        </is>
      </c>
      <c r="C49" t="inlineStr">
        <is>
          <t>UTIBN62025100849523664</t>
        </is>
      </c>
      <c r="D49" t="inlineStr">
        <is>
          <t>08/10/25</t>
        </is>
      </c>
      <c r="F49" t="n">
        <v>18504.91</v>
      </c>
      <c r="G49" t="n">
        <v>614778.99</v>
      </c>
    </row>
    <row r="50">
      <c r="A50" t="inlineStr">
        <is>
          <t>08/10/25</t>
        </is>
      </c>
      <c r="B50" t="inlineStr">
        <is>
          <t>NEFT CR-CITI0000002-ETERNAL LIMITED-ROCKTAIL HOSPITALITY SERVICES-CITIN52025100837147976</t>
        </is>
      </c>
      <c r="C50" t="inlineStr">
        <is>
          <t>CITIN52025100837147976</t>
        </is>
      </c>
      <c r="D50" t="inlineStr">
        <is>
          <t>08/10/25</t>
        </is>
      </c>
      <c r="F50" t="n">
        <v>50928.19</v>
      </c>
      <c r="G50" t="n">
        <v>665707.1800000001</v>
      </c>
    </row>
    <row r="51" hidden="1" s="135">
      <c r="A51" t="inlineStr">
        <is>
          <t>08/10/25</t>
        </is>
      </c>
      <c r="B51" t="inlineStr">
        <is>
          <t>IMPS-528119960741-ASTRANOVA ENTERPRISES-HDFC-XXXXXXXXXX1166-REPAYMENT</t>
        </is>
      </c>
      <c r="C51" t="inlineStr">
        <is>
          <t>0000528119960741</t>
        </is>
      </c>
      <c r="D51" t="inlineStr">
        <is>
          <t>08/10/25</t>
        </is>
      </c>
      <c r="F51" t="n">
        <v>200000</v>
      </c>
      <c r="G51" t="n">
        <v>865707.1800000001</v>
      </c>
    </row>
    <row r="52" hidden="1" s="135">
      <c r="A52" t="inlineStr">
        <is>
          <t>09/10/25</t>
        </is>
      </c>
      <c r="B52" t="inlineStr">
        <is>
          <t>NEFT CR-YESB0000001-ONE 97 COMMUNICATIONS LIMITED SETTL-ROCKTAIL HOSPITALITY SERVICES-YESBN12025100901044475</t>
        </is>
      </c>
      <c r="C52" t="inlineStr">
        <is>
          <t>YESBN12025100901044475</t>
        </is>
      </c>
      <c r="D52" t="inlineStr">
        <is>
          <t>09/10/25</t>
        </is>
      </c>
      <c r="F52" t="n">
        <v>21882</v>
      </c>
      <c r="G52" t="n">
        <v>887589.1800000001</v>
      </c>
    </row>
    <row r="53" hidden="1" s="135">
      <c r="A53" t="inlineStr">
        <is>
          <t>09/10/25</t>
        </is>
      </c>
      <c r="B53" t="inlineStr">
        <is>
          <t>42552394TERMINAL 1 CARDS SETTL. 09/10/25</t>
        </is>
      </c>
      <c r="C53" t="inlineStr">
        <is>
          <t>000000000000000</t>
        </is>
      </c>
      <c r="D53" t="inlineStr">
        <is>
          <t>09/10/25</t>
        </is>
      </c>
      <c r="F53" t="n">
        <v>4616</v>
      </c>
      <c r="G53" t="n">
        <v>892205.1800000001</v>
      </c>
    </row>
    <row r="54" hidden="1" s="135">
      <c r="A54" t="inlineStr">
        <is>
          <t>09/10/25</t>
        </is>
      </c>
      <c r="B54" t="inlineStr">
        <is>
          <t>UPI-HARISH RAGHAVENDRA-HARISH.RAGHAVENDRA26@OKHDFCBANK-ICIC0000069-528262186657-HARISH</t>
        </is>
      </c>
      <c r="C54" t="inlineStr">
        <is>
          <t>0000528262186657</t>
        </is>
      </c>
      <c r="D54" t="inlineStr">
        <is>
          <t>09/10/25</t>
        </is>
      </c>
      <c r="E54" t="n">
        <v>15000</v>
      </c>
      <c r="G54" t="n">
        <v>877205.1800000001</v>
      </c>
    </row>
    <row r="55" hidden="1" s="135">
      <c r="A55" t="inlineStr">
        <is>
          <t>10/10/25</t>
        </is>
      </c>
      <c r="B55" t="inlineStr">
        <is>
          <t>NEFT CR-YESB0000001-ONE 97 COMMUNICATIONS LIMITED SETTL-ROCKTAIL HOSPITALITY SERVICES-YESBN12025101001357483</t>
        </is>
      </c>
      <c r="C55" t="inlineStr">
        <is>
          <t>YESBN12025101001357483</t>
        </is>
      </c>
      <c r="D55" t="inlineStr">
        <is>
          <t>10/10/25</t>
        </is>
      </c>
      <c r="F55" t="n">
        <v>26001.28</v>
      </c>
      <c r="G55" t="n">
        <v>903206.46</v>
      </c>
    </row>
    <row r="56" hidden="1" s="135">
      <c r="A56" t="inlineStr">
        <is>
          <t>10/10/25</t>
        </is>
      </c>
      <c r="B56" t="inlineStr">
        <is>
          <t>42552394TERMINAL 1 CARDS SETTL. 10/10/25</t>
        </is>
      </c>
      <c r="C56" t="inlineStr">
        <is>
          <t>000000000000000</t>
        </is>
      </c>
      <c r="D56" t="inlineStr">
        <is>
          <t>10/10/25</t>
        </is>
      </c>
      <c r="F56" t="n">
        <v>865</v>
      </c>
      <c r="G56" t="n">
        <v>904071.46</v>
      </c>
    </row>
    <row r="57" hidden="1" s="135">
      <c r="A57" t="inlineStr">
        <is>
          <t>10/10/25</t>
        </is>
      </c>
      <c r="B57" t="inlineStr">
        <is>
          <t>NEFT CR-YESB0000001-SWIGGY LIMITED-ROCKTAIL HOSPITALITY SERVICES-YESBN12025101005972616</t>
        </is>
      </c>
      <c r="C57" t="inlineStr">
        <is>
          <t>YESBN12025101005972616</t>
        </is>
      </c>
      <c r="D57" t="inlineStr">
        <is>
          <t>10/10/25</t>
        </is>
      </c>
      <c r="F57" t="n">
        <v>9952.07</v>
      </c>
      <c r="G57" t="n">
        <v>914023.53</v>
      </c>
    </row>
    <row r="58" hidden="1" s="135">
      <c r="A58" t="inlineStr">
        <is>
          <t>11/10/25</t>
        </is>
      </c>
      <c r="B58" t="inlineStr">
        <is>
          <t>NEFT CR-UTIB0001506-PHONEPE LIMITED-PAYMENT AGGREGATOR ESCROW ACCOUNT-ROCKTAIL HOSPITALITY-UTIBN62025101184068608</t>
        </is>
      </c>
      <c r="C58" t="inlineStr">
        <is>
          <t>UTIBN62025101184068608</t>
        </is>
      </c>
      <c r="D58" t="inlineStr">
        <is>
          <t>11/10/25</t>
        </is>
      </c>
      <c r="F58" t="n">
        <v>1526.84</v>
      </c>
      <c r="G58" t="n">
        <v>915550.37</v>
      </c>
    </row>
    <row r="59" hidden="1" s="135">
      <c r="A59" t="inlineStr">
        <is>
          <t>11/10/25</t>
        </is>
      </c>
      <c r="B59" t="inlineStr">
        <is>
          <t>NEFT CR-YESB0000001-ONE 97 COMMUNICATIONS LIMITED SETTL-ROCKTAIL HOSPITALITY SERVICES-YESBN12025101102528197</t>
        </is>
      </c>
      <c r="C59" t="inlineStr">
        <is>
          <t>YESBN12025101102528197</t>
        </is>
      </c>
      <c r="D59" t="inlineStr">
        <is>
          <t>11/10/25</t>
        </is>
      </c>
      <c r="F59" t="n">
        <v>27767.83</v>
      </c>
      <c r="G59" t="n">
        <v>943318.2</v>
      </c>
    </row>
    <row r="60" hidden="1" s="135">
      <c r="A60" t="inlineStr">
        <is>
          <t>11/10/25</t>
        </is>
      </c>
      <c r="B60" t="inlineStr">
        <is>
          <t>42552394TERMINAL 1 CARDS SETTL. 11/10/25</t>
        </is>
      </c>
      <c r="C60" t="inlineStr">
        <is>
          <t>000000000000000</t>
        </is>
      </c>
      <c r="D60" t="inlineStr">
        <is>
          <t>11/10/25</t>
        </is>
      </c>
      <c r="F60" t="n">
        <v>8196.67</v>
      </c>
      <c r="G60" t="n">
        <v>951514.87</v>
      </c>
    </row>
    <row r="61" hidden="1" s="135">
      <c r="A61" t="inlineStr">
        <is>
          <t>11/10/25</t>
        </is>
      </c>
      <c r="B61" t="inlineStr">
        <is>
          <t>UPI-SYED AITAF HUSSAIN-ALTAFHUSAINN123456789@OKICICI-ANDB0000031-565027520596-SOFA REPAIR</t>
        </is>
      </c>
      <c r="C61" t="inlineStr">
        <is>
          <t>0000565027520596</t>
        </is>
      </c>
      <c r="D61" t="inlineStr">
        <is>
          <t>11/10/25</t>
        </is>
      </c>
      <c r="E61" t="n">
        <v>5000</v>
      </c>
      <c r="G61" t="n">
        <v>946514.87</v>
      </c>
    </row>
    <row r="62" hidden="1" s="135">
      <c r="A62" t="inlineStr">
        <is>
          <t>12/10/25</t>
        </is>
      </c>
      <c r="B62" t="inlineStr">
        <is>
          <t>NEFT CR-YESB0000001-ONE 97 COMMUNICATIONS LIMITED SETTL-ROCKTAIL HOSPITALITY SERVICES-YESBN12025101202583652</t>
        </is>
      </c>
      <c r="C62" t="inlineStr">
        <is>
          <t>YESBN12025101202583652</t>
        </is>
      </c>
      <c r="D62" t="inlineStr">
        <is>
          <t>12/10/25</t>
        </is>
      </c>
      <c r="F62" t="n">
        <v>84506.25999999999</v>
      </c>
      <c r="G62" t="n">
        <v>1031021.13</v>
      </c>
    </row>
    <row r="63" hidden="1" s="135">
      <c r="A63" t="inlineStr">
        <is>
          <t>12/10/25</t>
        </is>
      </c>
      <c r="B63" t="inlineStr">
        <is>
          <t>NEFT CR-UTIB0001506-PHONEPE LIMITED-PAYMENT AGGREGATOR ESCROW ACCOUNT-ROCKTAIL HOSPITALITY-UTIBN62025101294570095</t>
        </is>
      </c>
      <c r="C63" t="inlineStr">
        <is>
          <t>UTIBN62025101294570095</t>
        </is>
      </c>
      <c r="D63" t="inlineStr">
        <is>
          <t>12/10/25</t>
        </is>
      </c>
      <c r="F63" t="n">
        <v>2151.18</v>
      </c>
      <c r="G63" t="n">
        <v>1033172.31</v>
      </c>
    </row>
    <row r="64" hidden="1" s="135">
      <c r="A64" t="inlineStr">
        <is>
          <t>12/10/25</t>
        </is>
      </c>
      <c r="B64" t="inlineStr">
        <is>
          <t>42552394TERMINAL 1 CARDS SETTL. 12/10/25</t>
        </is>
      </c>
      <c r="C64" t="inlineStr">
        <is>
          <t>000000000000000</t>
        </is>
      </c>
      <c r="D64" t="inlineStr">
        <is>
          <t>12/10/25</t>
        </is>
      </c>
      <c r="F64" t="n">
        <v>15719.66</v>
      </c>
      <c r="G64" t="n">
        <v>1048891.97</v>
      </c>
    </row>
    <row r="65" hidden="1" s="135">
      <c r="A65" t="inlineStr">
        <is>
          <t>12/10/25</t>
        </is>
      </c>
      <c r="B65" t="inlineStr">
        <is>
          <t>UPI-GAMPA AMBA PRASAD-PRASADUCANMAIL@OKHDFCBANK-HDFC0004262-565118092224-MILK VENDOR</t>
        </is>
      </c>
      <c r="C65" t="inlineStr">
        <is>
          <t>0000565118092224</t>
        </is>
      </c>
      <c r="D65" t="inlineStr">
        <is>
          <t>12/10/25</t>
        </is>
      </c>
      <c r="E65" t="n">
        <v>4641</v>
      </c>
      <c r="G65" t="n">
        <v>1044250.97</v>
      </c>
    </row>
    <row r="66" hidden="1" s="135">
      <c r="A66" t="inlineStr">
        <is>
          <t>12/10/25</t>
        </is>
      </c>
      <c r="B66" t="inlineStr">
        <is>
          <t>UPI-Y KARUNAKAR-KARUNAKAR.YARLAGADDA1@YBL-DBSS0IN0136-112558585085-SIGN BOARD</t>
        </is>
      </c>
      <c r="C66" t="inlineStr">
        <is>
          <t>0000112558585085</t>
        </is>
      </c>
      <c r="D66" t="inlineStr">
        <is>
          <t>12/10/25</t>
        </is>
      </c>
      <c r="E66" t="n">
        <v>5000</v>
      </c>
      <c r="G66" t="n">
        <v>1039250.97</v>
      </c>
    </row>
    <row r="67" hidden="1" s="135">
      <c r="A67" t="inlineStr">
        <is>
          <t>12/10/25</t>
        </is>
      </c>
      <c r="B67" t="inlineStr">
        <is>
          <t>UPI-VORUGANTI BHAVANI KA-BHAVANI.KARTHIK1@YBL-CNRB0000033-304188751411-ADV</t>
        </is>
      </c>
      <c r="C67" t="inlineStr">
        <is>
          <t>0000304188751411</t>
        </is>
      </c>
      <c r="D67" t="inlineStr">
        <is>
          <t>12/10/25</t>
        </is>
      </c>
      <c r="E67" t="n">
        <v>10000</v>
      </c>
      <c r="G67" t="n">
        <v>1029250.97</v>
      </c>
    </row>
    <row r="68" hidden="1" s="135">
      <c r="A68" t="inlineStr">
        <is>
          <t>13/10/25</t>
        </is>
      </c>
      <c r="B68" t="inlineStr">
        <is>
          <t>NEFT CR-YESB0000001-ONE 97 COMMUNICATIONS LIMITED SETTL-ROCKTAIL HOSPITALITY SERVICES-YESBN12025101301912154</t>
        </is>
      </c>
      <c r="C68" t="inlineStr">
        <is>
          <t>YESBN12025101301912154</t>
        </is>
      </c>
      <c r="D68" t="inlineStr">
        <is>
          <t>13/10/25</t>
        </is>
      </c>
      <c r="F68" t="n">
        <v>58079.77</v>
      </c>
      <c r="G68" t="n">
        <v>1087330.74</v>
      </c>
    </row>
    <row r="69" hidden="1" s="135">
      <c r="A69" t="inlineStr">
        <is>
          <t>13/10/25</t>
        </is>
      </c>
      <c r="B69" t="inlineStr">
        <is>
          <t>NEFT CR-UTIB0001506-PHONEPE LIMITED-PAYMENT AGGREGATOR ESCROW ACCOUNT-ROCKTAIL HOSPITALITY-UTIBN62025101304389126</t>
        </is>
      </c>
      <c r="C69" t="inlineStr">
        <is>
          <t>UTIBN62025101304389126</t>
        </is>
      </c>
      <c r="D69" t="inlineStr">
        <is>
          <t>13/10/25</t>
        </is>
      </c>
      <c r="F69" t="n">
        <v>1257.29</v>
      </c>
      <c r="G69" t="n">
        <v>1088588.03</v>
      </c>
    </row>
    <row r="70" hidden="1" s="135">
      <c r="A70" t="inlineStr">
        <is>
          <t>13/10/25</t>
        </is>
      </c>
      <c r="B70" t="inlineStr">
        <is>
          <t>NEFT CR-SCBL0036001-AMERICAN EXPRESS BANKING CORP-ROCKTAIL HOSPITALITY SERVICES-SCBLN52025101300559815</t>
        </is>
      </c>
      <c r="C70" t="inlineStr">
        <is>
          <t>SCBLN52025101300559815</t>
        </is>
      </c>
      <c r="D70" t="inlineStr">
        <is>
          <t>13/10/25</t>
        </is>
      </c>
      <c r="F70" t="n">
        <v>1335.14</v>
      </c>
      <c r="G70" t="n">
        <v>1089923.17</v>
      </c>
    </row>
    <row r="71" hidden="1" s="135">
      <c r="A71" t="inlineStr">
        <is>
          <t>13/10/25</t>
        </is>
      </c>
      <c r="B71" t="inlineStr">
        <is>
          <t>42552394TERMINAL 1 CARDS SETTL. 13/10/25</t>
        </is>
      </c>
      <c r="C71" t="inlineStr">
        <is>
          <t>000000000000000</t>
        </is>
      </c>
      <c r="D71" t="inlineStr">
        <is>
          <t>13/10/25</t>
        </is>
      </c>
      <c r="F71" t="n">
        <v>8984.17</v>
      </c>
      <c r="G71" t="n">
        <v>1098907.34</v>
      </c>
    </row>
    <row r="72" hidden="1" s="135">
      <c r="A72" t="inlineStr">
        <is>
          <t>13/10/25</t>
        </is>
      </c>
      <c r="B72" t="inlineStr">
        <is>
          <t>SALARIES-ROCKTAIL HOSPITALITY SERVICES DR - 57500000326520 - NEFT TRANSITORY ACCOUNT</t>
        </is>
      </c>
      <c r="C72" t="inlineStr">
        <is>
          <t>0000000000000190</t>
        </is>
      </c>
      <c r="D72" t="inlineStr">
        <is>
          <t>13/10/25</t>
        </is>
      </c>
      <c r="E72" t="n">
        <v>519134</v>
      </c>
      <c r="G72" t="n">
        <v>579773.34</v>
      </c>
    </row>
    <row r="73" hidden="1" s="135">
      <c r="A73" t="inlineStr">
        <is>
          <t>13/10/25</t>
        </is>
      </c>
      <c r="B73" t="inlineStr">
        <is>
          <t>SALARIES-ROCKTAIL HOSPITALITY SERVICES DR - 05122990000036 - SALARY TRANSITORY ACCOUNT - 512</t>
        </is>
      </c>
      <c r="C73" t="inlineStr">
        <is>
          <t>0000000000000189</t>
        </is>
      </c>
      <c r="D73" t="inlineStr">
        <is>
          <t>13/10/25</t>
        </is>
      </c>
      <c r="E73" t="n">
        <v>164400</v>
      </c>
      <c r="G73" t="n">
        <v>415373.34</v>
      </c>
    </row>
    <row r="74">
      <c r="A74" t="inlineStr">
        <is>
          <t>13/10/25</t>
        </is>
      </c>
      <c r="B74" t="inlineStr">
        <is>
          <t>NEFT CR-CITI0000002-ETERNAL LIMITED-ROCKTAIL HOSPITALITY SERVICES-CITIN52025101338860064</t>
        </is>
      </c>
      <c r="C74" t="inlineStr">
        <is>
          <t>CITIN52025101338860064</t>
        </is>
      </c>
      <c r="D74" t="inlineStr">
        <is>
          <t>13/10/25</t>
        </is>
      </c>
      <c r="F74" t="n">
        <v>42965.13</v>
      </c>
      <c r="G74" t="n">
        <v>458338.47</v>
      </c>
    </row>
    <row r="75" hidden="1" s="135">
      <c r="A75" t="inlineStr">
        <is>
          <t>13/10/25</t>
        </is>
      </c>
      <c r="B75" t="inlineStr">
        <is>
          <t>IMPS-528618159341-NAGILLA HARIKRISHNA-BARB-XXXXXXXXXX0258-S</t>
        </is>
      </c>
      <c r="C75" t="inlineStr">
        <is>
          <t>0000528618159341</t>
        </is>
      </c>
      <c r="D75" t="inlineStr">
        <is>
          <t>13/10/25</t>
        </is>
      </c>
      <c r="E75" t="n">
        <v>200000</v>
      </c>
      <c r="G75" t="n">
        <v>258338.47</v>
      </c>
    </row>
    <row r="76" hidden="1" s="135">
      <c r="A76" t="inlineStr">
        <is>
          <t>13/10/25</t>
        </is>
      </c>
      <c r="B76" t="inlineStr">
        <is>
          <t>IMPS-528618149756-NAGILLA HARIKRISHNA-BARB-XXXXXXXXXX2369-S</t>
        </is>
      </c>
      <c r="C76" t="inlineStr">
        <is>
          <t>0000528618149756</t>
        </is>
      </c>
      <c r="D76" t="inlineStr">
        <is>
          <t>13/10/25</t>
        </is>
      </c>
      <c r="E76" t="n">
        <v>200000</v>
      </c>
      <c r="G76" t="n">
        <v>58338.47</v>
      </c>
    </row>
    <row r="77" hidden="1" s="135">
      <c r="A77" t="inlineStr">
        <is>
          <t>14/10/25</t>
        </is>
      </c>
      <c r="B77" t="inlineStr">
        <is>
          <t>NEFT CR-UTIB0005040-TAITAI CREAMERY (OPC) PRIVATE LIMITED-ROCKTAIL HOSPITALITY SERVICES-UTIBN62025101417058455</t>
        </is>
      </c>
      <c r="C77" t="inlineStr">
        <is>
          <t>UTIBN62025101417058455</t>
        </is>
      </c>
      <c r="D77" t="inlineStr">
        <is>
          <t>14/10/25</t>
        </is>
      </c>
      <c r="F77" t="n">
        <v>75600</v>
      </c>
      <c r="G77" t="n">
        <v>133938.47</v>
      </c>
    </row>
    <row r="78" hidden="1" s="135">
      <c r="A78" t="inlineStr">
        <is>
          <t>14/10/25</t>
        </is>
      </c>
      <c r="B78" t="inlineStr">
        <is>
          <t>NEFT CR-UTIB0005040-TAITAI CREAMERY (OPC) PRIVATE LIMITED-ROCKTAIL HOSPITALITY SERVICES-UTIBN62025101417091876</t>
        </is>
      </c>
      <c r="C78" t="inlineStr">
        <is>
          <t>UTIBN62025101417091876</t>
        </is>
      </c>
      <c r="D78" t="inlineStr">
        <is>
          <t>14/10/25</t>
        </is>
      </c>
      <c r="F78" t="n">
        <v>27381</v>
      </c>
      <c r="G78" t="n">
        <v>161319.47</v>
      </c>
    </row>
    <row r="79" hidden="1" s="135">
      <c r="A79" t="inlineStr">
        <is>
          <t>14/10/25</t>
        </is>
      </c>
      <c r="B79" t="inlineStr">
        <is>
          <t>42552394TERMINAL 1 CARDS SETTL. 14/10/25</t>
        </is>
      </c>
      <c r="C79" t="inlineStr">
        <is>
          <t>000000000000000</t>
        </is>
      </c>
      <c r="D79" t="inlineStr">
        <is>
          <t>14/10/25</t>
        </is>
      </c>
      <c r="F79" t="n">
        <v>1475.19</v>
      </c>
      <c r="G79" t="n">
        <v>162794.66</v>
      </c>
    </row>
    <row r="80" hidden="1" s="135">
      <c r="A80" t="inlineStr">
        <is>
          <t>14/10/25</t>
        </is>
      </c>
      <c r="B80" t="inlineStr">
        <is>
          <t>NEFT CR-YESB0000001-ONE 97 COMMUNICATIONS LIMITED SETTL-ROCKTAIL HOSPITALITY SERVICES-YESBN12025101402196356</t>
        </is>
      </c>
      <c r="C80" t="inlineStr">
        <is>
          <t>YESBN12025101402196356</t>
        </is>
      </c>
      <c r="D80" t="inlineStr">
        <is>
          <t>14/10/25</t>
        </is>
      </c>
      <c r="F80" t="n">
        <v>69263.45</v>
      </c>
      <c r="G80" t="n">
        <v>232058.11</v>
      </c>
    </row>
    <row r="81" hidden="1" s="135">
      <c r="A81" t="inlineStr">
        <is>
          <t>14/10/25</t>
        </is>
      </c>
      <c r="B81" t="inlineStr">
        <is>
          <t>UPI-AIRTEL-AIRTEL.PAYU@AXISBANK-UTIB0003156-112638492793-AIRTELPOSTPAIDBILL</t>
        </is>
      </c>
      <c r="C81" t="inlineStr">
        <is>
          <t>0000112638492793</t>
        </is>
      </c>
      <c r="D81" t="inlineStr">
        <is>
          <t>14/10/25</t>
        </is>
      </c>
      <c r="E81" t="n">
        <v>211.94</v>
      </c>
      <c r="G81" t="n">
        <v>231846.17</v>
      </c>
    </row>
    <row r="82" hidden="1" s="135">
      <c r="A82" t="inlineStr">
        <is>
          <t>14/10/25</t>
        </is>
      </c>
      <c r="B82" t="inlineStr">
        <is>
          <t>UPI-MAHANKALI  ANIL-CHANTIANI@YBL-UTIB0001454-112640653774-CARD SWIPE</t>
        </is>
      </c>
      <c r="C82" t="inlineStr">
        <is>
          <t>0000112640653774</t>
        </is>
      </c>
      <c r="D82" t="inlineStr">
        <is>
          <t>14/10/25</t>
        </is>
      </c>
      <c r="E82" t="n">
        <v>25000</v>
      </c>
      <c r="G82" t="n">
        <v>206846.17</v>
      </c>
    </row>
    <row r="83" hidden="1" s="135">
      <c r="A83" t="inlineStr">
        <is>
          <t>14/10/25</t>
        </is>
      </c>
      <c r="B83" t="inlineStr">
        <is>
          <t>UPI-BHANWRA  RAM-BHANWARJATCHOUDHARY251@OKSBI-SBIN0011306-112645088978-FURNITURE</t>
        </is>
      </c>
      <c r="C83" t="inlineStr">
        <is>
          <t>0000112645088978</t>
        </is>
      </c>
      <c r="D83" t="inlineStr">
        <is>
          <t>14/10/25</t>
        </is>
      </c>
      <c r="E83" t="n">
        <v>33984</v>
      </c>
      <c r="G83" t="n">
        <v>172862.17</v>
      </c>
    </row>
    <row r="84" hidden="1" s="135">
      <c r="A84" t="inlineStr">
        <is>
          <t>14/10/25</t>
        </is>
      </c>
      <c r="B84" t="inlineStr">
        <is>
          <t>NEFT CR-YESB0000001-SWIGGY LIMITED-ROCKTAIL HOSPITALITY SERVICES-YESBN12025101406117243</t>
        </is>
      </c>
      <c r="C84" t="inlineStr">
        <is>
          <t>YESBN12025101406117243</t>
        </is>
      </c>
      <c r="D84" t="inlineStr">
        <is>
          <t>14/10/25</t>
        </is>
      </c>
      <c r="F84" t="n">
        <v>22017.22</v>
      </c>
      <c r="G84" t="n">
        <v>194879.39</v>
      </c>
    </row>
    <row r="85" hidden="1" s="135">
      <c r="A85" t="inlineStr">
        <is>
          <t>15/10/25</t>
        </is>
      </c>
      <c r="B85" t="inlineStr">
        <is>
          <t>NEFT CR-YESB0000001-ONE 97 COMMUNICATIONS LIMITED SETTL-ROCKTAIL HOSPITALITY SERVICES-YESBN12025101501310623</t>
        </is>
      </c>
      <c r="C85" t="inlineStr">
        <is>
          <t>YESBN12025101501310623</t>
        </is>
      </c>
      <c r="D85" t="inlineStr">
        <is>
          <t>15/10/25</t>
        </is>
      </c>
      <c r="F85" t="n">
        <v>30576.54</v>
      </c>
      <c r="G85" t="n">
        <v>225455.93</v>
      </c>
    </row>
    <row r="86" hidden="1" s="135">
      <c r="A86" t="inlineStr">
        <is>
          <t>15/10/25</t>
        </is>
      </c>
      <c r="B86" t="inlineStr">
        <is>
          <t>NEFT CR-UTIB0001506-PHONEPE LIMITED-PAYMENT AGGREGATOR ESCROW ACCOUNT-ROCKTAIL HOSPITALITY-UTIBN62025101529095027</t>
        </is>
      </c>
      <c r="C86" t="inlineStr">
        <is>
          <t>UTIBN62025101529095027</t>
        </is>
      </c>
      <c r="D86" t="inlineStr">
        <is>
          <t>15/10/25</t>
        </is>
      </c>
      <c r="F86" t="n">
        <v>24849.71</v>
      </c>
      <c r="G86" t="n">
        <v>250305.64</v>
      </c>
    </row>
    <row r="87" hidden="1" s="135">
      <c r="A87" t="inlineStr">
        <is>
          <t>15/10/25</t>
        </is>
      </c>
      <c r="B87" t="inlineStr">
        <is>
          <t>42552394TERMINAL 1 CARDS SETTL. 15/10/25</t>
        </is>
      </c>
      <c r="C87" t="inlineStr">
        <is>
          <t>000000000000000</t>
        </is>
      </c>
      <c r="D87" t="inlineStr">
        <is>
          <t>15/10/25</t>
        </is>
      </c>
      <c r="F87" t="n">
        <v>1403.68</v>
      </c>
      <c r="G87" t="n">
        <v>251709.32</v>
      </c>
    </row>
    <row r="88" hidden="1" s="135">
      <c r="A88" t="inlineStr">
        <is>
          <t>15/10/25</t>
        </is>
      </c>
      <c r="B88" t="inlineStr">
        <is>
          <t>UPI-I ANIL KUMAR-ANILTIGER9966@YBL-SBIN0008025-112678952262-UPI</t>
        </is>
      </c>
      <c r="C88" t="inlineStr">
        <is>
          <t>0000112678952262</t>
        </is>
      </c>
      <c r="D88" t="inlineStr">
        <is>
          <t>15/10/25</t>
        </is>
      </c>
      <c r="E88" t="n">
        <v>16650</v>
      </c>
      <c r="G88" t="n">
        <v>235059.32</v>
      </c>
    </row>
    <row r="89">
      <c r="A89" t="inlineStr">
        <is>
          <t>15/10/25</t>
        </is>
      </c>
      <c r="B89" t="inlineStr">
        <is>
          <t>NEFT CR-CITI0000002-ETERNAL LIMITED-ROCKTAIL HOSPITALITY SERVICES-CITIN52025101539958263</t>
        </is>
      </c>
      <c r="C89" t="inlineStr">
        <is>
          <t>CITIN52025101539958263</t>
        </is>
      </c>
      <c r="D89" t="inlineStr">
        <is>
          <t>15/10/25</t>
        </is>
      </c>
      <c r="F89" t="n">
        <v>54593.95</v>
      </c>
      <c r="G89" t="n">
        <v>289653.27</v>
      </c>
    </row>
    <row r="90" hidden="1" s="135">
      <c r="A90" t="inlineStr">
        <is>
          <t>15/10/25</t>
        </is>
      </c>
      <c r="B90" t="inlineStr">
        <is>
          <t>ACH D- PINE LABS PVT LTD-9YBBY0K45VFHTZ</t>
        </is>
      </c>
      <c r="C90" t="inlineStr">
        <is>
          <t>0000003300258297</t>
        </is>
      </c>
      <c r="D90" t="inlineStr">
        <is>
          <t>15/10/25</t>
        </is>
      </c>
      <c r="E90" t="n">
        <v>408</v>
      </c>
      <c r="G90" t="n">
        <v>289245.27</v>
      </c>
    </row>
    <row r="91" hidden="1" s="135">
      <c r="A91" t="inlineStr">
        <is>
          <t>15/10/25</t>
        </is>
      </c>
      <c r="B91" t="inlineStr">
        <is>
          <t>NEFT CR-UTIB0000052-BUNDL TECHNOLOGIES PRIVATE LIMITED-ROCKTAIL HOSPITALITY SERVICES-UTIBN62025101531694003</t>
        </is>
      </c>
      <c r="C91" t="inlineStr">
        <is>
          <t>UTIBN62025101531694003</t>
        </is>
      </c>
      <c r="D91" t="inlineStr">
        <is>
          <t>15/10/25</t>
        </is>
      </c>
      <c r="F91" t="n">
        <v>26065.61</v>
      </c>
      <c r="G91" t="n">
        <v>315310.88</v>
      </c>
    </row>
    <row r="92" hidden="1" s="135">
      <c r="A92" t="inlineStr">
        <is>
          <t>16/10/25</t>
        </is>
      </c>
      <c r="B92" t="inlineStr">
        <is>
          <t>NEFT CR-YESB0000001-ONE 97 COMMUNICATIONS LIMITED SETTL-ROCKTAIL HOSPITALITY SERVICES-YESBN12025101601861177</t>
        </is>
      </c>
      <c r="C92" t="inlineStr">
        <is>
          <t>YESBN12025101601861177</t>
        </is>
      </c>
      <c r="D92" t="inlineStr">
        <is>
          <t>16/10/25</t>
        </is>
      </c>
      <c r="F92" t="n">
        <v>26861.69</v>
      </c>
      <c r="G92" t="n">
        <v>342172.57</v>
      </c>
    </row>
    <row r="93" hidden="1" s="135">
      <c r="A93" t="inlineStr">
        <is>
          <t>16/10/25</t>
        </is>
      </c>
      <c r="B93" t="inlineStr">
        <is>
          <t>42552394TERMINAL 1 CARDS SETTL. 16/10/25</t>
        </is>
      </c>
      <c r="C93" t="inlineStr">
        <is>
          <t>000000000000000</t>
        </is>
      </c>
      <c r="D93" t="inlineStr">
        <is>
          <t>16/10/25</t>
        </is>
      </c>
      <c r="F93" t="n">
        <v>6184.19</v>
      </c>
      <c r="G93" t="n">
        <v>348356.76</v>
      </c>
    </row>
    <row r="94" hidden="1" s="135">
      <c r="A94" t="inlineStr">
        <is>
          <t>17/10/25</t>
        </is>
      </c>
      <c r="B94" t="inlineStr">
        <is>
          <t>NEFT CR-YESB0000001-ONE 97 COMMUNICATIONS LIMITED SETTL-ROCKTAIL HOSPITALITY SERVICES-YESBN12025101700504184</t>
        </is>
      </c>
      <c r="C94" t="inlineStr">
        <is>
          <t>YESBN12025101700504184</t>
        </is>
      </c>
      <c r="D94" t="inlineStr">
        <is>
          <t>17/10/25</t>
        </is>
      </c>
      <c r="F94" t="n">
        <v>18765.99</v>
      </c>
      <c r="G94" t="n">
        <v>367122.75</v>
      </c>
    </row>
    <row r="95" hidden="1" s="135">
      <c r="A95" t="inlineStr">
        <is>
          <t>17/10/25</t>
        </is>
      </c>
      <c r="B95" t="inlineStr">
        <is>
          <t>42552394TERMINAL 1 CARDS SETTL. 17/10/25</t>
        </is>
      </c>
      <c r="C95" t="inlineStr">
        <is>
          <t>000000000000000</t>
        </is>
      </c>
      <c r="D95" t="inlineStr">
        <is>
          <t>17/10/25</t>
        </is>
      </c>
      <c r="F95" t="n">
        <v>14392.76</v>
      </c>
      <c r="G95" t="n">
        <v>381515.51</v>
      </c>
    </row>
    <row r="96" hidden="1" s="135">
      <c r="A96" t="inlineStr">
        <is>
          <t>17/10/25</t>
        </is>
      </c>
      <c r="B96" t="inlineStr">
        <is>
          <t>NEFT CR-YESB0000001-SWIGGY LIMITED-ROCKTAIL HOSPITALITY SERVICES-YESBN12025101705389357</t>
        </is>
      </c>
      <c r="C96" t="inlineStr">
        <is>
          <t>YESBN12025101705389357</t>
        </is>
      </c>
      <c r="D96" t="inlineStr">
        <is>
          <t>17/10/25</t>
        </is>
      </c>
      <c r="F96" t="n">
        <v>24683.09</v>
      </c>
      <c r="G96" t="n">
        <v>406198.6</v>
      </c>
    </row>
    <row r="97" hidden="1" s="135">
      <c r="A97" t="inlineStr">
        <is>
          <t>17/10/25</t>
        </is>
      </c>
      <c r="B97" t="inlineStr">
        <is>
          <t>UPI-BHANWRA  RAM-BHANWARJATCHOUDHARY251@OKSBI-SBIN0011306-565615784026-FURNITURE FNF</t>
        </is>
      </c>
      <c r="C97" t="inlineStr">
        <is>
          <t>0000565615784026</t>
        </is>
      </c>
      <c r="D97" t="inlineStr">
        <is>
          <t>17/10/25</t>
        </is>
      </c>
      <c r="E97" t="n">
        <v>16200</v>
      </c>
      <c r="G97" t="n">
        <v>389998.6</v>
      </c>
    </row>
    <row r="98" hidden="1" s="135">
      <c r="A98" t="inlineStr">
        <is>
          <t>17/10/25</t>
        </is>
      </c>
      <c r="B98" t="inlineStr">
        <is>
          <t>UPI-SYED ANSAR ALI-9735000703@YBL-SBIN0002106-565609682617-VALET</t>
        </is>
      </c>
      <c r="C98" t="inlineStr">
        <is>
          <t>0000565609682617</t>
        </is>
      </c>
      <c r="D98" t="inlineStr">
        <is>
          <t>17/10/25</t>
        </is>
      </c>
      <c r="E98" t="n">
        <v>24000</v>
      </c>
      <c r="G98" t="n">
        <v>365998.6</v>
      </c>
    </row>
    <row r="99" hidden="1" s="135">
      <c r="A99" t="inlineStr">
        <is>
          <t>18/10/25</t>
        </is>
      </c>
      <c r="B99" t="inlineStr">
        <is>
          <t>NEFT CR-YESB0000001-ONE 97 COMMUNICATIONS LIMITED SETTL-ROCKTAIL HOSPITALITY SERVICES-YESBN12025101802308425</t>
        </is>
      </c>
      <c r="C99" t="inlineStr">
        <is>
          <t>YESBN12025101802308425</t>
        </is>
      </c>
      <c r="D99" t="inlineStr">
        <is>
          <t>18/10/25</t>
        </is>
      </c>
      <c r="F99" t="n">
        <v>25752</v>
      </c>
      <c r="G99" t="n">
        <v>391750.6</v>
      </c>
    </row>
    <row r="100" hidden="1" s="135">
      <c r="A100" t="inlineStr">
        <is>
          <t>18/10/25</t>
        </is>
      </c>
      <c r="B100" t="inlineStr">
        <is>
          <t>42552394TERMINAL 1 CARDS SETTL. 18/10/25</t>
        </is>
      </c>
      <c r="C100" t="inlineStr">
        <is>
          <t>000000000000000</t>
        </is>
      </c>
      <c r="D100" t="inlineStr">
        <is>
          <t>18/10/25</t>
        </is>
      </c>
      <c r="F100" t="n">
        <v>8270.74</v>
      </c>
      <c r="G100" t="n">
        <v>400021.34</v>
      </c>
    </row>
    <row r="101" hidden="1" s="135">
      <c r="A101" t="inlineStr">
        <is>
          <t>19/10/25</t>
        </is>
      </c>
      <c r="B101" t="inlineStr">
        <is>
          <t>NEFT CR-YESB0000001-ONE 97 COMMUNICATIONS LIMITED SETTL-ROCKTAIL HOSPITALITY SERVICES-YESBN12025101901417601</t>
        </is>
      </c>
      <c r="C101" t="inlineStr">
        <is>
          <t>YESBN12025101901417601</t>
        </is>
      </c>
      <c r="D101" t="inlineStr">
        <is>
          <t>19/10/25</t>
        </is>
      </c>
      <c r="F101" t="n">
        <v>56196.84</v>
      </c>
      <c r="G101" t="n">
        <v>456218.18</v>
      </c>
    </row>
    <row r="102" hidden="1" s="135">
      <c r="A102" t="inlineStr">
        <is>
          <t>19/10/25</t>
        </is>
      </c>
      <c r="B102" t="inlineStr">
        <is>
          <t>NEFT CR-UTIB0001506-PHONEPE LIMITED-PAYMENT AGGREGATOR ESCROW ACCOUNT-ROCKTAIL HOSPITALITY-UTIBN62025101981036322</t>
        </is>
      </c>
      <c r="C102" t="inlineStr">
        <is>
          <t>UTIBN62025101981036322</t>
        </is>
      </c>
      <c r="D102" t="inlineStr">
        <is>
          <t>19/10/25</t>
        </is>
      </c>
      <c r="F102" t="n">
        <v>129.18</v>
      </c>
      <c r="G102" t="n">
        <v>456347.36</v>
      </c>
    </row>
    <row r="103" hidden="1" s="135">
      <c r="A103" t="inlineStr">
        <is>
          <t>19/10/25</t>
        </is>
      </c>
      <c r="B103" t="inlineStr">
        <is>
          <t>42552394TERMINAL 1 CARDS SETTL. 19/10/25</t>
        </is>
      </c>
      <c r="C103" t="inlineStr">
        <is>
          <t>000000000000000</t>
        </is>
      </c>
      <c r="D103" t="inlineStr">
        <is>
          <t>19/10/25</t>
        </is>
      </c>
      <c r="F103" t="n">
        <v>12533.1</v>
      </c>
      <c r="G103" t="n">
        <v>468880.46</v>
      </c>
    </row>
    <row r="104" hidden="1" s="135">
      <c r="A104" t="inlineStr">
        <is>
          <t>20/10/25</t>
        </is>
      </c>
      <c r="B104" t="inlineStr">
        <is>
          <t>NEFT CR-YESB0000001-ONE 97 COMMUNICATIONS LIMITED SETTL-ROCKTAIL HOSPITALITY SERVICES-YESBN12025102002252754</t>
        </is>
      </c>
      <c r="C104" t="inlineStr">
        <is>
          <t>YESBN12025102002252754</t>
        </is>
      </c>
      <c r="D104" t="inlineStr">
        <is>
          <t>20/10/25</t>
        </is>
      </c>
      <c r="F104" t="n">
        <v>56832.39</v>
      </c>
      <c r="G104" t="n">
        <v>525712.85</v>
      </c>
    </row>
    <row r="105" hidden="1" s="135">
      <c r="A105" t="inlineStr">
        <is>
          <t>20/10/25</t>
        </is>
      </c>
      <c r="B105" t="inlineStr">
        <is>
          <t>NEFT CR-UTIB0001506-PHONEPE LIMITED-PAYMENT AGGREGATOR ESCROW ACCOUNT-ROCKTAIL HOSPITALITY-UTIBN62025102091922015</t>
        </is>
      </c>
      <c r="C105" t="inlineStr">
        <is>
          <t>UTIBN62025102091922015</t>
        </is>
      </c>
      <c r="D105" t="inlineStr">
        <is>
          <t>20/10/25</t>
        </is>
      </c>
      <c r="F105" t="n">
        <v>342.18</v>
      </c>
      <c r="G105" t="n">
        <v>526055.03</v>
      </c>
    </row>
    <row r="106" hidden="1" s="135">
      <c r="A106" t="inlineStr">
        <is>
          <t>20/10/25</t>
        </is>
      </c>
      <c r="B106" t="inlineStr">
        <is>
          <t>NEFT CR-SCBL0036001-AMERICAN EXPRESS BANKING CORP-ROCKTAIL HOSPITALITY SERVICES-SCBLN52025102000534540</t>
        </is>
      </c>
      <c r="C106" t="inlineStr">
        <is>
          <t>SCBLN52025102000534540</t>
        </is>
      </c>
      <c r="D106" t="inlineStr">
        <is>
          <t>20/10/25</t>
        </is>
      </c>
      <c r="F106" t="n">
        <v>2527.06</v>
      </c>
      <c r="G106" t="n">
        <v>528582.09</v>
      </c>
    </row>
    <row r="107" hidden="1" s="135">
      <c r="A107" t="inlineStr">
        <is>
          <t>20/10/25</t>
        </is>
      </c>
      <c r="B107" t="inlineStr">
        <is>
          <t>42552394TERMINAL 1 CARDS SETTL. 20/10/25</t>
        </is>
      </c>
      <c r="C107" t="inlineStr">
        <is>
          <t>000000000000000</t>
        </is>
      </c>
      <c r="D107" t="inlineStr">
        <is>
          <t>20/10/25</t>
        </is>
      </c>
      <c r="F107" t="n">
        <v>21406.83</v>
      </c>
      <c r="G107" t="n">
        <v>549988.92</v>
      </c>
    </row>
    <row r="108" hidden="1" s="135">
      <c r="A108" t="inlineStr">
        <is>
          <t>20/10/25</t>
        </is>
      </c>
      <c r="B108" t="inlineStr">
        <is>
          <t>UPI-TIRUMALA SOUNDS AND -GPAY-11193304431@OKBIZAXIS-UTIB0000553-112946107359-MELA TENT HOUSE</t>
        </is>
      </c>
      <c r="C108" t="inlineStr">
        <is>
          <t>0000112946107359</t>
        </is>
      </c>
      <c r="D108" t="inlineStr">
        <is>
          <t>20/10/25</t>
        </is>
      </c>
      <c r="E108" t="n">
        <v>30000</v>
      </c>
      <c r="G108" t="n">
        <v>519988.92</v>
      </c>
    </row>
    <row r="109">
      <c r="A109" t="inlineStr">
        <is>
          <t>20/10/25</t>
        </is>
      </c>
      <c r="B109" t="inlineStr">
        <is>
          <t>NEFT CR-CITI0000002-ETERNAL LIMITED-ROCKTAIL HOSPITALITY SERVICES-CITIN52025102041871588</t>
        </is>
      </c>
      <c r="C109" t="inlineStr">
        <is>
          <t>CITIN52025102041871588</t>
        </is>
      </c>
      <c r="D109" t="inlineStr">
        <is>
          <t>20/10/25</t>
        </is>
      </c>
      <c r="F109" t="n">
        <v>59058.55</v>
      </c>
      <c r="G109" t="n">
        <v>579047.47</v>
      </c>
    </row>
    <row r="110" hidden="1" s="135">
      <c r="A110" t="inlineStr">
        <is>
          <t>21/10/25</t>
        </is>
      </c>
      <c r="B110" t="inlineStr">
        <is>
          <t>NEFT CR-YESB0000001-ONE 97 COMMUNICATIONS LIMITED SETTL-ROCKTAIL HOSPITALITY SERVICES-YESBN12025102101238588</t>
        </is>
      </c>
      <c r="C110" t="inlineStr">
        <is>
          <t>YESBN12025102101238588</t>
        </is>
      </c>
      <c r="D110" t="inlineStr">
        <is>
          <t>21/10/25</t>
        </is>
      </c>
      <c r="F110" t="n">
        <v>33780.11</v>
      </c>
      <c r="G110" t="n">
        <v>612827.58</v>
      </c>
    </row>
    <row r="111" hidden="1" s="135">
      <c r="A111" t="inlineStr">
        <is>
          <t>21/10/25</t>
        </is>
      </c>
      <c r="B111" t="inlineStr">
        <is>
          <t>NEFT CR-UTIB0001506-PHONEPE LIMITED-PAYMENT AGGREGATOR ESCROW ACCOUNT-ROCKTAIL HOSPITALITY-UTIBN62025102103425474</t>
        </is>
      </c>
      <c r="C111" t="inlineStr">
        <is>
          <t>UTIBN62025102103425474</t>
        </is>
      </c>
      <c r="D111" t="inlineStr">
        <is>
          <t>21/10/25</t>
        </is>
      </c>
      <c r="F111" t="n">
        <v>220</v>
      </c>
      <c r="G111" t="n">
        <v>613047.58</v>
      </c>
    </row>
    <row r="112" hidden="1" s="135">
      <c r="A112" t="inlineStr">
        <is>
          <t>21/10/25</t>
        </is>
      </c>
      <c r="B112" t="inlineStr">
        <is>
          <t>42552394TERMINAL 1 CARDS SETTL. 21/10/25</t>
        </is>
      </c>
      <c r="C112" t="inlineStr">
        <is>
          <t>000000000000000</t>
        </is>
      </c>
      <c r="D112" t="inlineStr">
        <is>
          <t>21/10/25</t>
        </is>
      </c>
      <c r="F112" t="n">
        <v>7579.68</v>
      </c>
      <c r="G112" t="n">
        <v>620627.26</v>
      </c>
    </row>
    <row r="113" hidden="1" s="135">
      <c r="A113" t="inlineStr">
        <is>
          <t>21/10/25</t>
        </is>
      </c>
      <c r="B113" t="inlineStr">
        <is>
          <t>UPI-GAMPA AMBA PRASAD-PRASADUCANMAIL@OKHDFCBANK-HDFC0004262-529463122058-MILK VENDOR</t>
        </is>
      </c>
      <c r="C113" t="inlineStr">
        <is>
          <t>0000529463122058</t>
        </is>
      </c>
      <c r="D113" t="inlineStr">
        <is>
          <t>21/10/25</t>
        </is>
      </c>
      <c r="E113" t="n">
        <v>3570</v>
      </c>
      <c r="G113" t="n">
        <v>617057.26</v>
      </c>
    </row>
    <row r="114" hidden="1" s="135">
      <c r="A114" t="inlineStr">
        <is>
          <t>21/10/25</t>
        </is>
      </c>
      <c r="B114" t="inlineStr">
        <is>
          <t>UPI-THIRUPATHAMMA MUTHUM-9490371940@YBL-CNRB0000033-529460829374-STAFF RENT</t>
        </is>
      </c>
      <c r="C114" t="inlineStr">
        <is>
          <t>0000529460829374</t>
        </is>
      </c>
      <c r="D114" t="inlineStr">
        <is>
          <t>21/10/25</t>
        </is>
      </c>
      <c r="E114" t="n">
        <v>38330</v>
      </c>
      <c r="G114" t="n">
        <v>578727.26</v>
      </c>
    </row>
    <row r="115" hidden="1" s="135">
      <c r="A115" t="inlineStr">
        <is>
          <t>21/10/25</t>
        </is>
      </c>
      <c r="B115" t="inlineStr">
        <is>
          <t>UPI-META ADS-FACEBOOKINDIAO.PAYU@MAIRTEL-AIRP0000001-112990962805-UPIINTENT</t>
        </is>
      </c>
      <c r="C115" t="inlineStr">
        <is>
          <t>0000112990962805</t>
        </is>
      </c>
      <c r="D115" t="inlineStr">
        <is>
          <t>21/10/25</t>
        </is>
      </c>
      <c r="E115" t="n">
        <v>2000</v>
      </c>
      <c r="G115" t="n">
        <v>576727.26</v>
      </c>
    </row>
    <row r="116" hidden="1" s="135">
      <c r="A116" t="inlineStr">
        <is>
          <t>21/10/25</t>
        </is>
      </c>
      <c r="B116" t="inlineStr">
        <is>
          <t>NEFT CR-YESB0000001-SWIGGY LIMITED-ROCKTAIL HOSPITALITY SERVICES-YESBN12025102105523192</t>
        </is>
      </c>
      <c r="C116" t="inlineStr">
        <is>
          <t>YESBN12025102105523192</t>
        </is>
      </c>
      <c r="D116" t="inlineStr">
        <is>
          <t>21/10/25</t>
        </is>
      </c>
      <c r="F116" t="n">
        <v>55234.75</v>
      </c>
      <c r="G116" t="n">
        <v>631962.01</v>
      </c>
    </row>
    <row r="117" hidden="1" s="135">
      <c r="A117" t="inlineStr">
        <is>
          <t>21/10/25</t>
        </is>
      </c>
      <c r="B117" t="inlineStr">
        <is>
          <t>UPI-BADHEY BHARATH-BADHEYBHARATH@OKHDFCBANK-CNRB0000033-566023703445-MELA SOCIALS</t>
        </is>
      </c>
      <c r="C117" t="inlineStr">
        <is>
          <t>0000566023703445</t>
        </is>
      </c>
      <c r="D117" t="inlineStr">
        <is>
          <t>21/10/25</t>
        </is>
      </c>
      <c r="E117" t="n">
        <v>37000</v>
      </c>
      <c r="G117" t="n">
        <v>594962.01</v>
      </c>
    </row>
    <row r="118" hidden="1" s="135">
      <c r="A118" t="inlineStr">
        <is>
          <t>22/10/25</t>
        </is>
      </c>
      <c r="B118" t="inlineStr">
        <is>
          <t>NEFT CR-YESB0000001-ONE 97 COMMUNICATIONS LIMITED SETTL-ROCKTAIL HOSPITALITY SERVICES-YESBN12025102201533266</t>
        </is>
      </c>
      <c r="C118" t="inlineStr">
        <is>
          <t>YESBN12025102201533266</t>
        </is>
      </c>
      <c r="D118" t="inlineStr">
        <is>
          <t>22/10/25</t>
        </is>
      </c>
      <c r="F118" t="n">
        <v>39105.07</v>
      </c>
      <c r="G118" t="n">
        <v>634067.08</v>
      </c>
    </row>
    <row r="119" hidden="1" s="135">
      <c r="A119" t="inlineStr">
        <is>
          <t>22/10/25</t>
        </is>
      </c>
      <c r="B119" t="inlineStr">
        <is>
          <t>NEFT CR-SCBL0036001-AMERICAN EXPRESS BANKING CORP-ROCKTAIL HOSPITALITY SERVICES-SCBLN52025102200524541</t>
        </is>
      </c>
      <c r="C119" t="inlineStr">
        <is>
          <t>SCBLN52025102200524541</t>
        </is>
      </c>
      <c r="D119" t="inlineStr">
        <is>
          <t>22/10/25</t>
        </is>
      </c>
      <c r="F119" t="n">
        <v>1743.24</v>
      </c>
      <c r="G119" t="n">
        <v>635810.3199999999</v>
      </c>
    </row>
    <row r="120" hidden="1" s="135">
      <c r="A120" t="inlineStr">
        <is>
          <t>22/10/25</t>
        </is>
      </c>
      <c r="B120" t="inlineStr">
        <is>
          <t>42552394TERMINAL 1 CARDS SETTL. 22/10/25</t>
        </is>
      </c>
      <c r="C120" t="inlineStr">
        <is>
          <t>000000000000000</t>
        </is>
      </c>
      <c r="D120" t="inlineStr">
        <is>
          <t>22/10/25</t>
        </is>
      </c>
      <c r="F120" t="n">
        <v>3966.01</v>
      </c>
      <c r="G120" t="n">
        <v>639776.33</v>
      </c>
    </row>
    <row r="121" hidden="1" s="135">
      <c r="A121" t="inlineStr">
        <is>
          <t>22/10/25</t>
        </is>
      </c>
      <c r="B121" t="inlineStr">
        <is>
          <t>NEFT CR-UTIB0000052-BUNDL TECHNOLOGIES PRIVATE LIMITED-ROCKTAIL HOSPITALITY SERVICES-UTIBN62025102214786836</t>
        </is>
      </c>
      <c r="C121" t="inlineStr">
        <is>
          <t>UTIBN62025102214786836</t>
        </is>
      </c>
      <c r="D121" t="inlineStr">
        <is>
          <t>22/10/25</t>
        </is>
      </c>
      <c r="F121" t="n">
        <v>27200.41</v>
      </c>
      <c r="G121" t="n">
        <v>666976.74</v>
      </c>
    </row>
    <row r="122">
      <c r="A122" t="inlineStr">
        <is>
          <t>22/10/25</t>
        </is>
      </c>
      <c r="B122" t="inlineStr">
        <is>
          <t>NEFT CR-CITI0000002-ETERNAL LIMITED-ROCKTAIL HOSPITALITY SERVICES-CITIN52025102242479154</t>
        </is>
      </c>
      <c r="C122" t="inlineStr">
        <is>
          <t>CITIN52025102242479154</t>
        </is>
      </c>
      <c r="D122" t="inlineStr">
        <is>
          <t>22/10/25</t>
        </is>
      </c>
      <c r="F122" t="n">
        <v>41686.89</v>
      </c>
      <c r="G122" t="n">
        <v>708663.63</v>
      </c>
    </row>
    <row r="123" hidden="1" s="135">
      <c r="A123" t="inlineStr">
        <is>
          <t>22/10/25</t>
        </is>
      </c>
      <c r="B123" t="inlineStr">
        <is>
          <t>UPI-SHANTH SAI KUMAR-SHANTHSAI@IBL-HDFC0000126-113039786363-RENT</t>
        </is>
      </c>
      <c r="C123" t="inlineStr">
        <is>
          <t>0000113039786363</t>
        </is>
      </c>
      <c r="D123" t="inlineStr">
        <is>
          <t>22/10/25</t>
        </is>
      </c>
      <c r="E123" t="n">
        <v>25000</v>
      </c>
      <c r="G123" t="n">
        <v>683663.63</v>
      </c>
    </row>
    <row r="124" hidden="1" s="135">
      <c r="A124" t="inlineStr">
        <is>
          <t>23/10/25</t>
        </is>
      </c>
      <c r="B124" t="inlineStr">
        <is>
          <t>NEFT CR-YESB0000001-ONE 97 COMMUNICATIONS LIMITED SETTL-ROCKTAIL HOSPITALITY SERVICES-YESBN12025102301234200</t>
        </is>
      </c>
      <c r="C124" t="inlineStr">
        <is>
          <t>YESBN12025102301234200</t>
        </is>
      </c>
      <c r="D124" t="inlineStr">
        <is>
          <t>23/10/25</t>
        </is>
      </c>
      <c r="F124" t="n">
        <v>38836.81</v>
      </c>
      <c r="G124" t="n">
        <v>722500.4399999999</v>
      </c>
    </row>
    <row r="125" hidden="1" s="135">
      <c r="A125" t="inlineStr">
        <is>
          <t>23/10/25</t>
        </is>
      </c>
      <c r="B125" t="inlineStr">
        <is>
          <t>NEFT CR-UTIB0001506-PHONEPE LIMITED-PAYMENT AGGREGATOR ESCROW ACCOUNT-ROCKTAIL HOSPITALITY-UTIBN62025102323642286</t>
        </is>
      </c>
      <c r="C125" t="inlineStr">
        <is>
          <t>UTIBN62025102323642286</t>
        </is>
      </c>
      <c r="D125" t="inlineStr">
        <is>
          <t>23/10/25</t>
        </is>
      </c>
      <c r="F125" t="n">
        <v>110</v>
      </c>
      <c r="G125" t="n">
        <v>722610.4399999999</v>
      </c>
    </row>
    <row r="126" hidden="1" s="135">
      <c r="A126" t="inlineStr">
        <is>
          <t>23/10/25</t>
        </is>
      </c>
      <c r="B126" t="inlineStr">
        <is>
          <t>NEFT CR-SCBL0036001-AMERICAN EXPRESS BANKING CORP-ROCKTAIL HOSPITALITY SERVICES-SCBLN52025102300524874</t>
        </is>
      </c>
      <c r="C126" t="inlineStr">
        <is>
          <t>SCBLN52025102300524874</t>
        </is>
      </c>
      <c r="D126" t="inlineStr">
        <is>
          <t>23/10/25</t>
        </is>
      </c>
      <c r="F126" t="n">
        <v>6198.83</v>
      </c>
      <c r="G126" t="n">
        <v>728809.27</v>
      </c>
    </row>
    <row r="127" hidden="1" s="135">
      <c r="A127" t="inlineStr">
        <is>
          <t>23/10/25</t>
        </is>
      </c>
      <c r="B127" t="inlineStr">
        <is>
          <t>42552394TERMINAL 1 CARDS SETTL. 23/10/25</t>
        </is>
      </c>
      <c r="C127" t="inlineStr">
        <is>
          <t>000000000000000</t>
        </is>
      </c>
      <c r="D127" t="inlineStr">
        <is>
          <t>23/10/25</t>
        </is>
      </c>
      <c r="F127" t="n">
        <v>14447.72</v>
      </c>
      <c r="G127" t="n">
        <v>743256.99</v>
      </c>
    </row>
    <row r="128" hidden="1" s="135">
      <c r="A128" t="inlineStr">
        <is>
          <t>23/10/25</t>
        </is>
      </c>
      <c r="B128" t="inlineStr">
        <is>
          <t>ACH D- PINE LABS PVT LTD-LKFVWNXRS92HQS</t>
        </is>
      </c>
      <c r="C128" t="inlineStr">
        <is>
          <t>0000003320579748</t>
        </is>
      </c>
      <c r="D128" t="inlineStr">
        <is>
          <t>23/10/25</t>
        </is>
      </c>
      <c r="E128" t="n">
        <v>1298</v>
      </c>
      <c r="G128" t="n">
        <v>741958.99</v>
      </c>
    </row>
    <row r="129" hidden="1" s="135">
      <c r="A129" t="inlineStr">
        <is>
          <t>23/10/25</t>
        </is>
      </c>
      <c r="B129" t="inlineStr">
        <is>
          <t>UPI-CRED CLUB-CRED.CLUB@AXISB-UTIB0000114-566210138143-PAYMENT ON CRED</t>
        </is>
      </c>
      <c r="C129" t="inlineStr">
        <is>
          <t>0000566210138143</t>
        </is>
      </c>
      <c r="D129" t="inlineStr">
        <is>
          <t>23/10/25</t>
        </is>
      </c>
      <c r="E129" t="n">
        <v>7487</v>
      </c>
      <c r="G129" t="n">
        <v>734471.99</v>
      </c>
    </row>
    <row r="130" hidden="1" s="135">
      <c r="A130" t="inlineStr">
        <is>
          <t>23/10/25</t>
        </is>
      </c>
      <c r="B130" t="inlineStr">
        <is>
          <t>IMPS-529613166068-HOUSE PARTY-HDFC-XXXXXXXXXX7641-LOAN RETURN</t>
        </is>
      </c>
      <c r="C130" t="inlineStr">
        <is>
          <t>0000529613166068</t>
        </is>
      </c>
      <c r="D130" t="inlineStr">
        <is>
          <t>23/10/25</t>
        </is>
      </c>
      <c r="E130" t="n">
        <v>200000</v>
      </c>
      <c r="G130" t="n">
        <v>534471.99</v>
      </c>
    </row>
    <row r="131" hidden="1" s="135">
      <c r="A131" t="inlineStr">
        <is>
          <t>23/10/25</t>
        </is>
      </c>
      <c r="B131" t="inlineStr">
        <is>
          <t>UPI-WOLFFPACK VENTURES P-ABHISHEK.LADHA11-1@OKAXIS-HDFC0000512-529665135013-LOAN</t>
        </is>
      </c>
      <c r="C131" t="inlineStr">
        <is>
          <t>0000529665135013</t>
        </is>
      </c>
      <c r="D131" t="inlineStr">
        <is>
          <t>23/10/25</t>
        </is>
      </c>
      <c r="F131" t="n">
        <v>50000</v>
      </c>
      <c r="G131" t="n">
        <v>584471.99</v>
      </c>
    </row>
    <row r="132" hidden="1" s="135">
      <c r="A132" t="inlineStr">
        <is>
          <t>23/10/25</t>
        </is>
      </c>
      <c r="B132" t="inlineStr">
        <is>
          <t>VENDOR PAYMENTS - ROCKTAIL HOSPITALITY DR - 57500000326520 - NEFT TRANSITORY ACCOUNT</t>
        </is>
      </c>
      <c r="C132" t="inlineStr">
        <is>
          <t>0000000000000191</t>
        </is>
      </c>
      <c r="D132" t="inlineStr">
        <is>
          <t>23/10/25</t>
        </is>
      </c>
      <c r="E132" t="n">
        <v>562427</v>
      </c>
      <c r="G132" t="n">
        <v>22044.99</v>
      </c>
    </row>
    <row r="133" hidden="1" s="135">
      <c r="A133" t="inlineStr">
        <is>
          <t>23/10/25</t>
        </is>
      </c>
      <c r="B133" t="inlineStr">
        <is>
          <t>NEFT RETURN-INCORRECT ACCOUNT NUMBER-LAXMI AGENCIES-IBKLN92025102303245025</t>
        </is>
      </c>
      <c r="C133" t="inlineStr">
        <is>
          <t>HDFCN52025102352676626</t>
        </is>
      </c>
      <c r="D133" t="inlineStr">
        <is>
          <t>23/10/25</t>
        </is>
      </c>
      <c r="F133" t="n">
        <v>1924</v>
      </c>
      <c r="G133" t="n">
        <v>23968.99</v>
      </c>
    </row>
    <row r="134" hidden="1" s="135">
      <c r="A134" t="inlineStr">
        <is>
          <t>23/10/25</t>
        </is>
      </c>
      <c r="B134" t="inlineStr">
        <is>
          <t>NEFT RETURN-INCORRECT ACCOUNT NUMBER-SRI HANUMAN AGENCIES-KVBLN52025102346825366</t>
        </is>
      </c>
      <c r="C134" t="inlineStr">
        <is>
          <t>HDFCN52025102352676639</t>
        </is>
      </c>
      <c r="D134" t="inlineStr">
        <is>
          <t>23/10/25</t>
        </is>
      </c>
      <c r="F134" t="n">
        <v>7021</v>
      </c>
      <c r="G134" t="n">
        <v>30989.99</v>
      </c>
    </row>
    <row r="135" hidden="1" s="135">
      <c r="A135" t="inlineStr">
        <is>
          <t>24/10/25</t>
        </is>
      </c>
      <c r="B135" t="inlineStr">
        <is>
          <t>NEFT CR-YESB0000001-ONE 97 COMMUNICATIONS LIMITED SETTL-ROCKTAIL HOSPITALITY SERVICES-YESBN12025102401591171</t>
        </is>
      </c>
      <c r="C135" t="inlineStr">
        <is>
          <t>YESBN12025102401591171</t>
        </is>
      </c>
      <c r="D135" t="inlineStr">
        <is>
          <t>24/10/25</t>
        </is>
      </c>
      <c r="F135" t="n">
        <v>19480</v>
      </c>
      <c r="G135" t="n">
        <v>50469.99</v>
      </c>
    </row>
    <row r="136" hidden="1" s="135">
      <c r="A136" t="inlineStr">
        <is>
          <t>24/10/25</t>
        </is>
      </c>
      <c r="B136" t="inlineStr">
        <is>
          <t>42552394TERMINAL 1 CARDS SETTL. 24/10/25</t>
        </is>
      </c>
      <c r="C136" t="inlineStr">
        <is>
          <t>000000000000000</t>
        </is>
      </c>
      <c r="D136" t="inlineStr">
        <is>
          <t>24/10/25</t>
        </is>
      </c>
      <c r="F136" t="n">
        <v>1323.06</v>
      </c>
      <c r="G136" t="n">
        <v>51793.05</v>
      </c>
    </row>
    <row r="137" hidden="1" s="135">
      <c r="A137" t="inlineStr">
        <is>
          <t>24/10/25</t>
        </is>
      </c>
      <c r="B137" t="inlineStr">
        <is>
          <t>NEFT CR-YESB0000001-SWIGGY LIMITED-ROCKTAIL HOSPITALITY SERVICES-YESBN12025102404916414</t>
        </is>
      </c>
      <c r="C137" t="inlineStr">
        <is>
          <t>YESBN12025102404916414</t>
        </is>
      </c>
      <c r="D137" t="inlineStr">
        <is>
          <t>24/10/25</t>
        </is>
      </c>
      <c r="F137" t="n">
        <v>32984.19</v>
      </c>
      <c r="G137" t="n">
        <v>84777.24000000001</v>
      </c>
    </row>
    <row r="138" hidden="1" s="135">
      <c r="A138" t="inlineStr">
        <is>
          <t>24/10/25</t>
        </is>
      </c>
      <c r="B138" t="inlineStr">
        <is>
          <t>UPI-CHIVUKULA UPENDER SH-8332842446@YESCRED-HDFC0009608-566340339670-DIWALI PUJA</t>
        </is>
      </c>
      <c r="C138" t="inlineStr">
        <is>
          <t>0000566340339670</t>
        </is>
      </c>
      <c r="D138" t="inlineStr">
        <is>
          <t>24/10/25</t>
        </is>
      </c>
      <c r="E138" t="n">
        <v>3000</v>
      </c>
      <c r="G138" t="n">
        <v>81777.24000000001</v>
      </c>
    </row>
    <row r="139" hidden="1" s="135">
      <c r="A139" t="inlineStr">
        <is>
          <t>25/10/25</t>
        </is>
      </c>
      <c r="B139" t="inlineStr">
        <is>
          <t>NEFT CR-YESB0000001-ONE 97 COMMUNICATIONS LIMITED SETTL-ROCKTAIL HOSPITALITY SERVICES-YESBN12025102501315902</t>
        </is>
      </c>
      <c r="C139" t="inlineStr">
        <is>
          <t>YESBN12025102501315902</t>
        </is>
      </c>
      <c r="D139" t="inlineStr">
        <is>
          <t>25/10/25</t>
        </is>
      </c>
      <c r="F139" t="n">
        <v>36652.21</v>
      </c>
      <c r="G139" t="n">
        <v>118429.45</v>
      </c>
    </row>
    <row r="140" hidden="1" s="135">
      <c r="A140" t="inlineStr">
        <is>
          <t>25/10/25</t>
        </is>
      </c>
      <c r="B140" t="inlineStr">
        <is>
          <t>NEFT CR-UTIB0001506-PHONEPE LIMITED-PAYMENT AGGREGATOR ESCROW ACCOUNT-ROCKTAIL HOSPITALITY-UTIBN62025102546303839</t>
        </is>
      </c>
      <c r="C140" t="inlineStr">
        <is>
          <t>UTIBN62025102546303839</t>
        </is>
      </c>
      <c r="D140" t="inlineStr">
        <is>
          <t>25/10/25</t>
        </is>
      </c>
      <c r="F140" t="n">
        <v>220</v>
      </c>
      <c r="G140" t="n">
        <v>118649.45</v>
      </c>
    </row>
    <row r="141" hidden="1" s="135">
      <c r="A141" t="inlineStr">
        <is>
          <t>26/10/25</t>
        </is>
      </c>
      <c r="B141" t="inlineStr">
        <is>
          <t>NEFT CR-YESB0000001-ONE 97 COMMUNICATIONS LIMITED SETTL-ROCKTAIL HOSPITALITY SERVICES-YESBN12025102601257886</t>
        </is>
      </c>
      <c r="C141" t="inlineStr">
        <is>
          <t>YESBN12025102601257886</t>
        </is>
      </c>
      <c r="D141" t="inlineStr">
        <is>
          <t>26/10/25</t>
        </is>
      </c>
      <c r="F141" t="n">
        <v>49021.23</v>
      </c>
      <c r="G141" t="n">
        <v>167670.68</v>
      </c>
    </row>
    <row r="142" hidden="1" s="135">
      <c r="A142" t="inlineStr">
        <is>
          <t>26/10/25</t>
        </is>
      </c>
      <c r="B142" t="inlineStr">
        <is>
          <t>NEFT CR-UTIB0001506-PHONEPE LIMITED-PAYMENT AGGREGATOR ESCROW ACCOUNT-ROCKTAIL HOSPITALITY-UTIBN62025102656587443</t>
        </is>
      </c>
      <c r="C142" t="inlineStr">
        <is>
          <t>UTIBN62025102656587443</t>
        </is>
      </c>
      <c r="D142" t="inlineStr">
        <is>
          <t>26/10/25</t>
        </is>
      </c>
      <c r="F142" t="n">
        <v>110</v>
      </c>
      <c r="G142" t="n">
        <v>167780.68</v>
      </c>
    </row>
    <row r="143" hidden="1" s="135">
      <c r="A143" t="inlineStr">
        <is>
          <t>26/10/25</t>
        </is>
      </c>
      <c r="B143" t="inlineStr">
        <is>
          <t>42552394TERMINAL 1 CARDS SETTL. 26/10/25</t>
        </is>
      </c>
      <c r="C143" t="inlineStr">
        <is>
          <t>000000000000000</t>
        </is>
      </c>
      <c r="D143" t="inlineStr">
        <is>
          <t>26/10/25</t>
        </is>
      </c>
      <c r="F143" t="n">
        <v>23146.27</v>
      </c>
      <c r="G143" t="n">
        <v>190926.95</v>
      </c>
    </row>
    <row r="144" hidden="1" s="135">
      <c r="A144" t="inlineStr">
        <is>
          <t>26/10/25</t>
        </is>
      </c>
      <c r="B144" t="inlineStr">
        <is>
          <t>IMPS-529912104492-HOUSE PARTY-HDFC-XXXXXXXXXX7641-ELECTRICITY BILL</t>
        </is>
      </c>
      <c r="C144" t="inlineStr">
        <is>
          <t>0000529912104492</t>
        </is>
      </c>
      <c r="D144" t="inlineStr">
        <is>
          <t>26/10/25</t>
        </is>
      </c>
      <c r="E144" t="n">
        <v>117500</v>
      </c>
      <c r="G144" t="n">
        <v>73426.95</v>
      </c>
    </row>
    <row r="145" hidden="1" s="135">
      <c r="A145" t="inlineStr">
        <is>
          <t>26/10/25</t>
        </is>
      </c>
      <c r="B145" t="inlineStr">
        <is>
          <t>UPI-P ARUN KUMAR-93937475761967@IBL-BARB0ASRAON-113226240320-STAFF RENT</t>
        </is>
      </c>
      <c r="C145" t="inlineStr">
        <is>
          <t>0000113226240320</t>
        </is>
      </c>
      <c r="D145" t="inlineStr">
        <is>
          <t>26/10/25</t>
        </is>
      </c>
      <c r="E145" t="n">
        <v>12751</v>
      </c>
      <c r="G145" t="n">
        <v>60675.95</v>
      </c>
    </row>
    <row r="146" hidden="1" s="135">
      <c r="A146" t="inlineStr">
        <is>
          <t>26/10/25</t>
        </is>
      </c>
      <c r="B146" t="inlineStr">
        <is>
          <t>UPI-SUJOY GHOSH-GSUJOY009@OKHDFCBANK-HDFC0009383-566540142891-STAFF ROOM</t>
        </is>
      </c>
      <c r="C146" t="inlineStr">
        <is>
          <t>0000566540142891</t>
        </is>
      </c>
      <c r="D146" t="inlineStr">
        <is>
          <t>26/10/25</t>
        </is>
      </c>
      <c r="E146" t="n">
        <v>8000</v>
      </c>
      <c r="G146" t="n">
        <v>52675.95</v>
      </c>
    </row>
    <row r="147" hidden="1" s="135">
      <c r="A147" t="inlineStr">
        <is>
          <t>27/10/25</t>
        </is>
      </c>
      <c r="B147" t="inlineStr">
        <is>
          <t>NEFT CR-YESB0000001-ONE 97 COMMUNICATIONS LIMITED SETTL-ROCKTAIL HOSPITALITY SERVICES-YESBN12025102702384026</t>
        </is>
      </c>
      <c r="C147" t="inlineStr">
        <is>
          <t>YESBN12025102702384026</t>
        </is>
      </c>
      <c r="D147" t="inlineStr">
        <is>
          <t>27/10/25</t>
        </is>
      </c>
      <c r="F147" t="n">
        <v>63344.01</v>
      </c>
      <c r="G147" t="n">
        <v>116019.96</v>
      </c>
    </row>
    <row r="148" hidden="1" s="135">
      <c r="A148" t="inlineStr">
        <is>
          <t>27/10/25</t>
        </is>
      </c>
      <c r="B148" t="inlineStr">
        <is>
          <t>NEFT CR-UTIB0001506-PHONEPE LIMITED-PAYMENT AGGREGATOR ESCROW ACCOUNT-ROCKTAIL HOSPITALITY-UTIBN62025102766283201</t>
        </is>
      </c>
      <c r="C148" t="inlineStr">
        <is>
          <t>UTIBN62025102766283201</t>
        </is>
      </c>
      <c r="D148" t="inlineStr">
        <is>
          <t>27/10/25</t>
        </is>
      </c>
      <c r="F148" t="n">
        <v>330</v>
      </c>
      <c r="G148" t="n">
        <v>116349.96</v>
      </c>
    </row>
    <row r="149" hidden="1" s="135">
      <c r="A149" t="inlineStr">
        <is>
          <t>27/10/25</t>
        </is>
      </c>
      <c r="B149" t="inlineStr">
        <is>
          <t>42552394TERMINAL 1 CARDS SETTL. 27/10/25</t>
        </is>
      </c>
      <c r="C149" t="inlineStr">
        <is>
          <t>000000000000000</t>
        </is>
      </c>
      <c r="D149" t="inlineStr">
        <is>
          <t>27/10/25</t>
        </is>
      </c>
      <c r="F149" t="n">
        <v>14880.3</v>
      </c>
      <c r="G149" t="n">
        <v>131230.26</v>
      </c>
    </row>
    <row r="150" hidden="1" s="135">
      <c r="A150" t="inlineStr">
        <is>
          <t>27/10/25</t>
        </is>
      </c>
      <c r="B150" t="inlineStr">
        <is>
          <t>UPI-SATYAJIT   JAUR-SATYAJITJAUR@OKICICI-KKBK0000565-113256799309-LOVE BAKERY</t>
        </is>
      </c>
      <c r="C150" t="inlineStr">
        <is>
          <t>0000113256799309</t>
        </is>
      </c>
      <c r="D150" t="inlineStr">
        <is>
          <t>27/10/25</t>
        </is>
      </c>
      <c r="E150" t="n">
        <v>10318</v>
      </c>
      <c r="G150" t="n">
        <v>120912.26</v>
      </c>
    </row>
    <row r="151">
      <c r="A151" t="inlineStr">
        <is>
          <t>27/10/25</t>
        </is>
      </c>
      <c r="B151" t="inlineStr">
        <is>
          <t>NEFT CR-CITI0000002-ETERNAL LIMITED-ROCKTAIL HOSPITALITY SERVICES-CITIN52025102744279131</t>
        </is>
      </c>
      <c r="C151" t="inlineStr">
        <is>
          <t>CITIN52025102744279131</t>
        </is>
      </c>
      <c r="D151" t="inlineStr">
        <is>
          <t>27/10/25</t>
        </is>
      </c>
      <c r="F151" t="n">
        <v>65157.11</v>
      </c>
      <c r="G151" t="n">
        <v>186069.37</v>
      </c>
    </row>
    <row r="152" hidden="1" s="135">
      <c r="A152" t="inlineStr">
        <is>
          <t>27/10/25</t>
        </is>
      </c>
      <c r="B152" t="inlineStr">
        <is>
          <t>UPI-CHURROLTO FOODS PRIV-CHURROLTO@YBL-HDFC0003974-113265686087-CHUROLTO PURCHASE</t>
        </is>
      </c>
      <c r="C152" t="inlineStr">
        <is>
          <t>0000113265686087</t>
        </is>
      </c>
      <c r="D152" t="inlineStr">
        <is>
          <t>27/10/25</t>
        </is>
      </c>
      <c r="E152" t="n">
        <v>17591</v>
      </c>
      <c r="G152" t="n">
        <v>168478.37</v>
      </c>
    </row>
    <row r="153" hidden="1" s="135">
      <c r="A153" t="inlineStr">
        <is>
          <t>28/10/25</t>
        </is>
      </c>
      <c r="B153" t="inlineStr">
        <is>
          <t>NEFT CR-YESB0000001-ONE 97 COMMUNICATIONS LIMITED SETTL-ROCKTAIL HOSPITALITY SERVICES-YESBN12025102800759935</t>
        </is>
      </c>
      <c r="C153" t="inlineStr">
        <is>
          <t>YESBN12025102800759935</t>
        </is>
      </c>
      <c r="D153" t="inlineStr">
        <is>
          <t>28/10/25</t>
        </is>
      </c>
      <c r="F153" t="n">
        <v>23074.76</v>
      </c>
      <c r="G153" t="n">
        <v>191553.13</v>
      </c>
    </row>
    <row r="154" hidden="1" s="135">
      <c r="A154" t="inlineStr">
        <is>
          <t>28/10/25</t>
        </is>
      </c>
      <c r="B154" t="inlineStr">
        <is>
          <t>42552394TERMINAL 1 CARDS SETTL. 28/10/25</t>
        </is>
      </c>
      <c r="C154" t="inlineStr">
        <is>
          <t>000000000000000</t>
        </is>
      </c>
      <c r="D154" t="inlineStr">
        <is>
          <t>28/10/25</t>
        </is>
      </c>
      <c r="F154" t="n">
        <v>11638.87</v>
      </c>
      <c r="G154" t="n">
        <v>203192</v>
      </c>
    </row>
    <row r="155" hidden="1" s="135">
      <c r="A155" t="inlineStr">
        <is>
          <t>28/10/25</t>
        </is>
      </c>
      <c r="B155" t="inlineStr">
        <is>
          <t>UPI-GAMPA AMBA PRASAD-PRASADUCANMAIL@OKHDFCBANK-HDFC0004262-113296668851-MILK VENDOR</t>
        </is>
      </c>
      <c r="C155" t="inlineStr">
        <is>
          <t>0000113296668851</t>
        </is>
      </c>
      <c r="D155" t="inlineStr">
        <is>
          <t>28/10/25</t>
        </is>
      </c>
      <c r="E155" t="n">
        <v>3570</v>
      </c>
      <c r="G155" t="n">
        <v>199622</v>
      </c>
    </row>
    <row r="156" hidden="1" s="135">
      <c r="A156" t="inlineStr">
        <is>
          <t>28/10/25</t>
        </is>
      </c>
      <c r="B156" t="inlineStr">
        <is>
          <t>NEFT CR-YESB0000001-SWIGGY LIMITED-ROCKTAIL HOSPITALITY SERVICES-YESBN12025102805002383</t>
        </is>
      </c>
      <c r="C156" t="inlineStr">
        <is>
          <t>YESBN12025102805002383</t>
        </is>
      </c>
      <c r="D156" t="inlineStr">
        <is>
          <t>28/10/25</t>
        </is>
      </c>
      <c r="F156" t="n">
        <v>58109.58</v>
      </c>
      <c r="G156" t="n">
        <v>257731.58</v>
      </c>
    </row>
    <row r="157" hidden="1" s="135">
      <c r="A157" t="inlineStr">
        <is>
          <t>29/10/25</t>
        </is>
      </c>
      <c r="B157" t="inlineStr">
        <is>
          <t>UPI-AIRTEL-AIRTEL4.PAYU@ICICI-ICIC0DC0099-530274291644-UPI MANDATE</t>
        </is>
      </c>
      <c r="C157" t="inlineStr">
        <is>
          <t>0000530274291644</t>
        </is>
      </c>
      <c r="D157" t="inlineStr">
        <is>
          <t>29/10/25</t>
        </is>
      </c>
      <c r="E157" t="n">
        <v>4718.82</v>
      </c>
      <c r="G157" t="n">
        <v>253012.76</v>
      </c>
    </row>
    <row r="158" hidden="1" s="135">
      <c r="A158" t="inlineStr">
        <is>
          <t>29/10/25</t>
        </is>
      </c>
      <c r="B158" t="inlineStr">
        <is>
          <t>NEFT CR-YESB0000001-ONE 97 COMMUNICATIONS LIMITED SETTL-ROCKTAIL HOSPITALITY SERVICES-YESBN12025102900875545</t>
        </is>
      </c>
      <c r="C158" t="inlineStr">
        <is>
          <t>YESBN12025102900875545</t>
        </is>
      </c>
      <c r="D158" t="inlineStr">
        <is>
          <t>29/10/25</t>
        </is>
      </c>
      <c r="F158" t="n">
        <v>20033.91</v>
      </c>
      <c r="G158" t="n">
        <v>273046.67</v>
      </c>
    </row>
    <row r="159" hidden="1" s="135">
      <c r="A159" t="inlineStr">
        <is>
          <t>29/10/25</t>
        </is>
      </c>
      <c r="B159" t="inlineStr">
        <is>
          <t>NEFT CR-UTIB0001506-PHONEPE LIMITED-PAYMENT AGGREGATOR ESCROW ACCOUNT-ROCKTAIL HOSPITALITY-UTIBN62025102988649977</t>
        </is>
      </c>
      <c r="C159" t="inlineStr">
        <is>
          <t>UTIBN62025102988649977</t>
        </is>
      </c>
      <c r="D159" t="inlineStr">
        <is>
          <t>29/10/25</t>
        </is>
      </c>
      <c r="F159" t="n">
        <v>286</v>
      </c>
      <c r="G159" t="n">
        <v>273332.67</v>
      </c>
    </row>
    <row r="160" hidden="1" s="135">
      <c r="A160" t="inlineStr">
        <is>
          <t>29/10/25</t>
        </is>
      </c>
      <c r="B160" t="inlineStr">
        <is>
          <t>42552394TERMINAL 1 CARDS SETTL. 29/10/25</t>
        </is>
      </c>
      <c r="C160" t="inlineStr">
        <is>
          <t>000000000000000</t>
        </is>
      </c>
      <c r="D160" t="inlineStr">
        <is>
          <t>29/10/25</t>
        </is>
      </c>
      <c r="F160" t="n">
        <v>5616.99</v>
      </c>
      <c r="G160" t="n">
        <v>278949.66</v>
      </c>
    </row>
    <row r="161" hidden="1" s="135">
      <c r="A161" t="inlineStr">
        <is>
          <t>29/10/25</t>
        </is>
      </c>
      <c r="B161" t="inlineStr">
        <is>
          <t>UPI-SHREY SINGH-SHREYSINGH0501-1@OKHDFCBANK-HDFC0004216-113331491172-LEGAL</t>
        </is>
      </c>
      <c r="C161" t="inlineStr">
        <is>
          <t>0000113331491172</t>
        </is>
      </c>
      <c r="D161" t="inlineStr">
        <is>
          <t>29/10/25</t>
        </is>
      </c>
      <c r="E161" t="n">
        <v>2500</v>
      </c>
      <c r="G161" t="n">
        <v>276449.66</v>
      </c>
    </row>
    <row r="162" hidden="1" s="135">
      <c r="A162" t="inlineStr">
        <is>
          <t>29/10/25</t>
        </is>
      </c>
      <c r="B162" t="inlineStr">
        <is>
          <t>UPI-GHANSHYAM TAK-9032357065TAK-1@OKHDFCBANK-BARB0CHILAK-566868538255-DIWALI SWEETS</t>
        </is>
      </c>
      <c r="C162" t="inlineStr">
        <is>
          <t>0000566868538255</t>
        </is>
      </c>
      <c r="D162" t="inlineStr">
        <is>
          <t>29/10/25</t>
        </is>
      </c>
      <c r="E162" t="n">
        <v>5460</v>
      </c>
      <c r="G162" t="n">
        <v>270989.66</v>
      </c>
    </row>
    <row r="163" hidden="1" s="135">
      <c r="A163" t="inlineStr">
        <is>
          <t>29/10/25</t>
        </is>
      </c>
      <c r="B163" t="inlineStr">
        <is>
          <t>NEFT CR-UTIB0000052-BUNDL TECHNOLOGIES PRIVATE LIMITED-ROCKTAIL HOSPITALITY SERVICES-UTIBN62025102990401735</t>
        </is>
      </c>
      <c r="C163" t="inlineStr">
        <is>
          <t>UTIBN62025102990401735</t>
        </is>
      </c>
      <c r="D163" t="inlineStr">
        <is>
          <t>29/10/25</t>
        </is>
      </c>
      <c r="F163" t="n">
        <v>36388.42</v>
      </c>
      <c r="G163" t="n">
        <v>307378.08</v>
      </c>
    </row>
    <row r="164">
      <c r="A164" t="inlineStr">
        <is>
          <t>29/10/25</t>
        </is>
      </c>
      <c r="B164" t="inlineStr">
        <is>
          <t>NEFT CR-CITI0000002-ETERNAL LIMITED-ROCKTAIL HOSPITALITY SERVICES-CITIN52025102945837468</t>
        </is>
      </c>
      <c r="C164" t="inlineStr">
        <is>
          <t>CITIN52025102945837468</t>
        </is>
      </c>
      <c r="D164" t="inlineStr">
        <is>
          <t>29/10/25</t>
        </is>
      </c>
      <c r="F164" t="n">
        <v>65058.96</v>
      </c>
      <c r="G164" t="n">
        <v>372437.04</v>
      </c>
    </row>
    <row r="165" hidden="1" s="135">
      <c r="A165" t="inlineStr">
        <is>
          <t>30/10/25</t>
        </is>
      </c>
      <c r="B165" t="inlineStr">
        <is>
          <t>NEFT CR-YESB0000001-ONE 97 COMMUNICATIONS LIMITED SETTL-ROCKTAIL HOSPITALITY SERVICES-YESBN12025103001214775</t>
        </is>
      </c>
      <c r="C165" t="inlineStr">
        <is>
          <t>YESBN12025103001214775</t>
        </is>
      </c>
      <c r="D165" t="inlineStr">
        <is>
          <t>30/10/25</t>
        </is>
      </c>
      <c r="F165" t="n">
        <v>18326</v>
      </c>
      <c r="G165" t="n">
        <v>390763.04</v>
      </c>
    </row>
    <row r="166" hidden="1" s="135">
      <c r="A166" t="inlineStr">
        <is>
          <t>30/10/25</t>
        </is>
      </c>
      <c r="B166" t="inlineStr">
        <is>
          <t>NEFT CR-UTIB0001506-PHONEPE LIMITED-PAYMENT AGGREGATOR ESCROW ACCOUNT-ROCKTAIL HOSPITALITY-UTIBN62025103000023706</t>
        </is>
      </c>
      <c r="C166" t="inlineStr">
        <is>
          <t>UTIBN62025103000023706</t>
        </is>
      </c>
      <c r="D166" t="inlineStr">
        <is>
          <t>30/10/25</t>
        </is>
      </c>
      <c r="F166" t="n">
        <v>110</v>
      </c>
      <c r="G166" t="n">
        <v>390873.04</v>
      </c>
    </row>
    <row r="167" hidden="1" s="135">
      <c r="A167" t="inlineStr">
        <is>
          <t>30/10/25</t>
        </is>
      </c>
      <c r="B167" t="inlineStr">
        <is>
          <t>42552394TERMINAL 1 CARDS SETTL. 30/10/25</t>
        </is>
      </c>
      <c r="C167" t="inlineStr">
        <is>
          <t>000000000000000</t>
        </is>
      </c>
      <c r="D167" t="inlineStr">
        <is>
          <t>30/10/25</t>
        </is>
      </c>
      <c r="F167" t="n">
        <v>9881.709999999999</v>
      </c>
      <c r="G167" t="n">
        <v>400754.75</v>
      </c>
    </row>
    <row r="168" hidden="1" s="135">
      <c r="A168" t="inlineStr">
        <is>
          <t>30/10/25</t>
        </is>
      </c>
      <c r="B168" t="inlineStr">
        <is>
          <t>UPI-BUTUKURI CHANDRA RED-CHREDDY332@IBL-UBIN0803944-530301632344-BENNE LEAF</t>
        </is>
      </c>
      <c r="C168" t="inlineStr">
        <is>
          <t>0000530301632344</t>
        </is>
      </c>
      <c r="D168" t="inlineStr">
        <is>
          <t>30/10/25</t>
        </is>
      </c>
      <c r="E168" t="n">
        <v>2000</v>
      </c>
      <c r="G168" t="n">
        <v>398754.75</v>
      </c>
    </row>
    <row r="169" hidden="1" s="135">
      <c r="A169" t="inlineStr">
        <is>
          <t>30/10/25</t>
        </is>
      </c>
      <c r="B169" t="inlineStr">
        <is>
          <t>UPI-BUTUKURI CHANDRA RED-CHREDDY332@IBL-UBIN0803944-566942126755-BENNE</t>
        </is>
      </c>
      <c r="C169" t="inlineStr">
        <is>
          <t>0000566942126755</t>
        </is>
      </c>
      <c r="D169" t="inlineStr">
        <is>
          <t>30/10/25</t>
        </is>
      </c>
      <c r="E169" t="n">
        <v>100</v>
      </c>
      <c r="G169" t="n">
        <v>398654.75</v>
      </c>
    </row>
    <row r="170" hidden="1" s="135">
      <c r="A170" t="inlineStr">
        <is>
          <t>30/10/25</t>
        </is>
      </c>
      <c r="B170" t="inlineStr">
        <is>
          <t>NEFT DR-UTIB0003241-SRINIVAS AGENCY-NETBANK, MUM-HDFCN52025103063055650-JULY VENDOR</t>
        </is>
      </c>
      <c r="C170" t="inlineStr">
        <is>
          <t>HDFCN52025103063055650</t>
        </is>
      </c>
      <c r="D170" t="inlineStr">
        <is>
          <t>30/10/25</t>
        </is>
      </c>
      <c r="E170" t="n">
        <v>150788</v>
      </c>
      <c r="G170" t="n">
        <v>247866.75</v>
      </c>
    </row>
    <row r="171" hidden="1" s="135">
      <c r="A171" t="inlineStr">
        <is>
          <t>30/10/25</t>
        </is>
      </c>
      <c r="B171" t="inlineStr">
        <is>
          <t>UPI-DIGGYREDDY KUSHAL RE-9908441203@YBL-HDFC0004343-113388314228-GAS VENDOR</t>
        </is>
      </c>
      <c r="C171" t="inlineStr">
        <is>
          <t>0000113388314228</t>
        </is>
      </c>
      <c r="D171" t="inlineStr">
        <is>
          <t>30/10/25</t>
        </is>
      </c>
      <c r="E171" t="n">
        <v>71380</v>
      </c>
      <c r="G171" t="n">
        <v>176486.75</v>
      </c>
    </row>
    <row r="172" hidden="1" s="135">
      <c r="A172" t="inlineStr">
        <is>
          <t>31/10/25</t>
        </is>
      </c>
      <c r="B172" t="inlineStr">
        <is>
          <t>NEFT CR-YESB0000001-ONE 97 COMMUNICATIONS LIMITED SETTL-ROCKTAIL HOSPITALITY SERVICES-YESBN12025103101226643</t>
        </is>
      </c>
      <c r="C172" t="inlineStr">
        <is>
          <t>YESBN12025103101226643</t>
        </is>
      </c>
      <c r="D172" t="inlineStr">
        <is>
          <t>31/10/25</t>
        </is>
      </c>
      <c r="F172" t="n">
        <v>32765.24</v>
      </c>
      <c r="G172" t="n">
        <v>209251.99</v>
      </c>
    </row>
    <row r="173" hidden="1" s="135">
      <c r="A173" t="inlineStr">
        <is>
          <t>31/10/25</t>
        </is>
      </c>
      <c r="B173" t="inlineStr">
        <is>
          <t>42552394TERMINAL 1 CARDS SETTL. 31/10/25</t>
        </is>
      </c>
      <c r="C173" t="inlineStr">
        <is>
          <t>000000000000000</t>
        </is>
      </c>
      <c r="D173" t="inlineStr">
        <is>
          <t>31/10/25</t>
        </is>
      </c>
      <c r="F173" t="n">
        <v>8133.02</v>
      </c>
      <c r="G173" t="n">
        <v>217385.01</v>
      </c>
    </row>
    <row r="174"/>
    <row r="175"/>
    <row r="176"/>
    <row r="177"/>
    <row r="178"/>
  </sheetData>
  <autoFilter ref="A10:G173">
    <filterColumn colId="1" hiddenButton="0" showButton="1">
      <filters>
        <filter val="NEFT CR-CITI0000002-ETERNAL LIMITED-ROCKTAIL HOSPITALITY SERVICES-CITIN52025100134584901"/>
        <filter val="NEFT CR-CITI0000002-ETERNAL LIMITED-ROCKTAIL HOSPITALITY SERVICES-CITIN52025100636240957"/>
        <filter val="NEFT CR-CITI0000002-ETERNAL LIMITED-ROCKTAIL HOSPITALITY SERVICES-CITIN52025100837147976"/>
        <filter val="NEFT CR-CITI0000002-ETERNAL LIMITED-ROCKTAIL HOSPITALITY SERVICES-CITIN52025101338860064"/>
        <filter val="NEFT CR-CITI0000002-ETERNAL LIMITED-ROCKTAIL HOSPITALITY SERVICES-CITIN52025101539958263"/>
        <filter val="NEFT CR-CITI0000002-ETERNAL LIMITED-ROCKTAIL HOSPITALITY SERVICES-CITIN52025102041871588"/>
        <filter val="NEFT CR-CITI0000002-ETERNAL LIMITED-ROCKTAIL HOSPITALITY SERVICES-CITIN52025102242479154"/>
        <filter val="NEFT CR-CITI0000002-ETERNAL LIMITED-ROCKTAIL HOSPITALITY SERVICES-CITIN52025102744279131"/>
        <filter val="NEFT CR-CITI0000002-ETERNAL LIMITED-ROCKTAIL HOSPITALITY SERVICES-CITIN52025102945837468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350"/>
  <sheetViews>
    <sheetView workbookViewId="0">
      <selection activeCell="A1" sqref="A1"/>
    </sheetView>
  </sheetViews>
  <sheetFormatPr baseColWidth="8" defaultRowHeight="15"/>
  <sheetData>
    <row r="1">
      <c r="O1" t="n">
        <v>458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458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290.64</v>
      </c>
      <c r="AW1" t="n">
        <v>290.64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</row>
    <row r="2">
      <c r="O2" t="n">
        <v>104252</v>
      </c>
      <c r="P2" t="n">
        <v>1200.5</v>
      </c>
      <c r="Q2" t="n">
        <v>0</v>
      </c>
      <c r="R2" t="n">
        <v>14429.40000000003</v>
      </c>
      <c r="S2" t="n">
        <v>40</v>
      </c>
      <c r="T2" t="n">
        <v>0</v>
      </c>
      <c r="U2" t="n">
        <v>206.1</v>
      </c>
      <c r="V2" t="n">
        <v>4539.870000000007</v>
      </c>
      <c r="W2" t="n">
        <v>95316.87000000023</v>
      </c>
      <c r="X2" t="n">
        <v>90777.00000000017</v>
      </c>
      <c r="Y2" t="n">
        <v>6591.34</v>
      </c>
      <c r="Z2" t="n">
        <v>17387.15000000005</v>
      </c>
      <c r="AA2" t="n">
        <v>1753.390000000001</v>
      </c>
      <c r="AB2" t="n">
        <v>19140.53999999996</v>
      </c>
      <c r="AC2" t="n">
        <v>3445.24000000001</v>
      </c>
      <c r="AD2" t="n">
        <v>0</v>
      </c>
      <c r="AE2" t="n">
        <v>90777.00000000017</v>
      </c>
      <c r="AF2" t="n">
        <v>0</v>
      </c>
      <c r="AG2" t="n">
        <v>0</v>
      </c>
      <c r="AH2" t="n">
        <v>90.40999999999983</v>
      </c>
      <c r="AI2" t="n">
        <v>4541.27</v>
      </c>
      <c r="AJ2" t="n">
        <v>-1.400000000000001</v>
      </c>
      <c r="AK2" t="n">
        <v>8076.91999999999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27217.46000000007</v>
      </c>
      <c r="AV2" t="n">
        <v>0</v>
      </c>
      <c r="AW2" t="n">
        <v>68099.40999999992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O3" t="n">
        <v>123017.36</v>
      </c>
      <c r="P3" t="n">
        <v>1416.59</v>
      </c>
      <c r="Q3" t="n">
        <v>0</v>
      </c>
      <c r="R3" t="n">
        <v>17026.69200000003</v>
      </c>
      <c r="S3" t="n">
        <v>47.2</v>
      </c>
      <c r="T3" t="n">
        <v>0</v>
      </c>
      <c r="U3" t="n">
        <v>243.198</v>
      </c>
      <c r="V3" t="n">
        <v>5357.046600000008</v>
      </c>
      <c r="W3" t="n">
        <v>112473.9066000003</v>
      </c>
      <c r="X3" t="n">
        <v>107116.8600000002</v>
      </c>
      <c r="Y3" t="n">
        <v>7777.781199999999</v>
      </c>
      <c r="Z3" t="n">
        <v>20516.83700000006</v>
      </c>
      <c r="AA3" t="n">
        <v>2069.000200000001</v>
      </c>
      <c r="AB3" t="n">
        <v>22585.83719999995</v>
      </c>
      <c r="AC3" t="n">
        <v>4065.383200000012</v>
      </c>
      <c r="AD3" t="n">
        <v>0</v>
      </c>
      <c r="AE3" t="n">
        <v>107116.8600000002</v>
      </c>
      <c r="AF3" t="n">
        <v>0</v>
      </c>
      <c r="AG3" t="n">
        <v>0</v>
      </c>
      <c r="AH3" t="n">
        <v>106.6837999999998</v>
      </c>
      <c r="AI3" t="n">
        <v>5358.698599999999</v>
      </c>
      <c r="AJ3" t="n">
        <v>-1.652000000000001</v>
      </c>
      <c r="AK3" t="n">
        <v>9530.765599999988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32116.60280000008</v>
      </c>
      <c r="AV3" t="n">
        <v>0</v>
      </c>
      <c r="AW3" t="n">
        <v>80357.30379999989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O4" t="n">
        <v>104710</v>
      </c>
      <c r="P4" t="n">
        <v>1200.5</v>
      </c>
      <c r="Q4" t="n">
        <v>0</v>
      </c>
      <c r="R4" t="n">
        <v>14429.40000000003</v>
      </c>
      <c r="S4" t="n">
        <v>40</v>
      </c>
      <c r="T4" t="n">
        <v>0</v>
      </c>
      <c r="U4" t="n">
        <v>206.1</v>
      </c>
      <c r="V4" t="n">
        <v>4539.870000000007</v>
      </c>
      <c r="W4" t="n">
        <v>95774.87000000023</v>
      </c>
      <c r="X4" t="n">
        <v>90777.00000000017</v>
      </c>
      <c r="Y4" t="n">
        <v>6591.34</v>
      </c>
      <c r="Z4" t="n">
        <v>17387.15000000005</v>
      </c>
      <c r="AA4" t="n">
        <v>1753.390000000001</v>
      </c>
      <c r="AB4" t="n">
        <v>19140.53999999996</v>
      </c>
      <c r="AC4" t="n">
        <v>3445.24000000001</v>
      </c>
      <c r="AD4" t="n">
        <v>0</v>
      </c>
      <c r="AE4" t="n">
        <v>90777.00000000017</v>
      </c>
      <c r="AF4" t="n">
        <v>0</v>
      </c>
      <c r="AG4" t="n">
        <v>0</v>
      </c>
      <c r="AH4" t="n">
        <v>90.40999999999983</v>
      </c>
      <c r="AI4" t="n">
        <v>4541.27</v>
      </c>
      <c r="AJ4" t="n">
        <v>-1.400000000000001</v>
      </c>
      <c r="AK4" t="n">
        <v>8076.91999999999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27217.46000000007</v>
      </c>
      <c r="AV4" t="n">
        <v>290.64</v>
      </c>
      <c r="AW4" t="n">
        <v>68390.04999999992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[Promo]</t>
        </is>
      </c>
      <c r="S5" t="inlineStr">
        <is>
          <t>Restaurant Discount [BOGO, Freebies, Gold, Brand pack &amp; others]</t>
        </is>
      </c>
      <c r="T5" t="inlineStr">
        <is>
          <t xml:space="preserve">Brand pack subscription fee </t>
        </is>
      </c>
      <c r="U5" t="inlineStr">
        <is>
          <t xml:space="preserve">Delivery charge discount 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(excludes customer GST)
[(A) + (7) - (8) - (6) - (3)]</t>
        </is>
      </c>
      <c r="Y5" t="inlineStr">
        <is>
          <t>Service fees %</t>
        </is>
      </c>
      <c r="Z5" t="inlineStr">
        <is>
          <t>Service fee
[ (9) * (10) ]</t>
        </is>
      </c>
      <c r="AA5" t="inlineStr">
        <is>
          <t>Payment mechanism fee</t>
        </is>
      </c>
      <c r="AB5" t="inlineStr">
        <is>
          <t>Service fee &amp; payment mechanism fees
[(11) + (12)]</t>
        </is>
      </c>
      <c r="AC5" t="inlineStr">
        <is>
          <t>Taxes on service &amp; payment mechanism fees
(B) * 18%</t>
        </is>
      </c>
      <c r="AD5" t="inlineStr">
        <is>
          <t>Applicable amount for TCS</t>
        </is>
      </c>
      <c r="AE5" t="inlineStr">
        <is>
          <t>Applicable amount for 9(5)</t>
        </is>
      </c>
      <c r="AF5" t="inlineStr">
        <is>
          <t>Tax collected at source</t>
        </is>
      </c>
      <c r="AG5" t="inlineStr">
        <is>
          <t>TCS IGST amount</t>
        </is>
      </c>
      <c r="AH5" t="inlineStr">
        <is>
          <t>TDS 194O amount</t>
        </is>
      </c>
      <c r="AI5" t="inlineStr">
        <is>
          <t>GST paid by Zomato on behalf of restaurant - under section 9(5)</t>
        </is>
      </c>
      <c r="AJ5" t="inlineStr">
        <is>
          <t>GST to be paid by Restaurant partner to Govt.</t>
        </is>
      </c>
      <c r="AK5" t="inlineStr">
        <is>
          <t>Government charges
[(13) + (16) + (17) + (18) + (19)]</t>
        </is>
      </c>
      <c r="AL5" t="inlineStr">
        <is>
          <t>Customer Compensation/Recoupment</t>
        </is>
      </c>
      <c r="AM5" t="inlineStr">
        <is>
          <t>Delivery Charges Recovery</t>
        </is>
      </c>
      <c r="AN5" t="inlineStr">
        <is>
          <t>Amount received in cash (on self delivery orders)</t>
        </is>
      </c>
      <c r="AO5" t="inlineStr">
        <is>
          <t>Credit note/(Debit Note) adjustment</t>
        </is>
      </c>
      <c r="AP5" t="inlineStr">
        <is>
          <t>Promo recovery adjustment</t>
        </is>
      </c>
      <c r="AQ5" t="inlineStr">
        <is>
          <t>Extra Inventory Ads and Misc. (order level deduction)</t>
        </is>
      </c>
      <c r="AR5" t="inlineStr">
        <is>
          <t>Brand loyalty points redemption</t>
        </is>
      </c>
      <c r="AS5" t="inlineStr">
        <is>
          <t>Express Order Fee</t>
        </is>
      </c>
      <c r="AT5" t="inlineStr">
        <is>
          <t>Other order-level deductions
[(21) + (22) + (23) + (24) + (25) + (26) + (27) + (28)]</t>
        </is>
      </c>
      <c r="AU5" t="inlineStr">
        <is>
          <t>Net Deductions
(B) + (C) + (D)</t>
        </is>
      </c>
      <c r="AV5" t="inlineStr">
        <is>
          <t>Net Additions 
(cancellation refund for cancelled orders/Tip for Kitchen Staff for delivered orders)</t>
        </is>
      </c>
      <c r="AW5" t="inlineStr">
        <is>
          <t>Order level Payout
(A) - (E) + (F)</t>
        </is>
      </c>
      <c r="AX5" t="inlineStr">
        <is>
          <t>Settlement status</t>
        </is>
      </c>
      <c r="AY5" t="inlineStr">
        <is>
          <t>Settlement date</t>
        </is>
      </c>
      <c r="AZ5" t="inlineStr">
        <is>
          <t>Bank UTR</t>
        </is>
      </c>
      <c r="BA5" t="inlineStr">
        <is>
          <t>Unsettled Amount</t>
        </is>
      </c>
      <c r="BB5" t="inlineStr">
        <is>
          <t>Customer ID</t>
        </is>
      </c>
    </row>
    <row r="6">
      <c r="A6" t="inlineStr">
        <is>
          <t>1</t>
        </is>
      </c>
      <c r="B6" t="inlineStr">
        <is>
          <t>7523134878</t>
        </is>
      </c>
      <c r="C6" t="inlineStr">
        <is>
          <t>2025-12-01 00:00:33</t>
        </is>
      </c>
      <c r="D6" t="inlineStr">
        <is>
          <t>49</t>
        </is>
      </c>
      <c r="E6" t="inlineStr">
        <is>
          <t>Sha Sha - Shandaar Shawarma</t>
        </is>
      </c>
      <c r="F6" t="inlineStr">
        <is>
          <t>18557902</t>
        </is>
      </c>
      <c r="G6" t="inlineStr">
        <is>
          <t>30% off upto ₹75 (2025-06-25 - 2031-01-01)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36</t>
        </is>
      </c>
      <c r="O6" t="n">
        <v>448</v>
      </c>
      <c r="P6" t="n">
        <v>3.5</v>
      </c>
      <c r="Q6" t="n">
        <v>0</v>
      </c>
      <c r="R6" t="n">
        <v>75</v>
      </c>
      <c r="S6" t="n">
        <v>0</v>
      </c>
      <c r="T6" t="n">
        <v>0</v>
      </c>
      <c r="U6" t="n">
        <v>0</v>
      </c>
      <c r="V6" t="n">
        <v>18.83</v>
      </c>
      <c r="W6" t="n">
        <v>395.33</v>
      </c>
      <c r="X6" t="n">
        <v>376.5</v>
      </c>
      <c r="Y6" t="n">
        <v>19</v>
      </c>
      <c r="Z6" t="n">
        <v>71.54000000000001</v>
      </c>
      <c r="AA6" t="n">
        <v>7.27</v>
      </c>
      <c r="AB6" t="n">
        <v>78.81</v>
      </c>
      <c r="AC6" t="n">
        <v>14.19</v>
      </c>
      <c r="AD6" t="n">
        <v>0</v>
      </c>
      <c r="AE6" t="n">
        <v>376.5</v>
      </c>
      <c r="AF6" t="n">
        <v>0</v>
      </c>
      <c r="AG6" t="n">
        <v>0</v>
      </c>
      <c r="AH6" t="n">
        <v>0.38</v>
      </c>
      <c r="AI6" t="n">
        <v>18.83</v>
      </c>
      <c r="AJ6" t="n">
        <v>0</v>
      </c>
      <c r="AK6" t="n">
        <v>33.4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112.21</v>
      </c>
      <c r="AV6" t="n">
        <v>0</v>
      </c>
      <c r="AW6" t="n">
        <v>283.12</v>
      </c>
      <c r="AX6" t="inlineStr">
        <is>
          <t>settled</t>
        </is>
      </c>
      <c r="AY6" t="inlineStr">
        <is>
          <t>2025-12-10 05:30:00</t>
        </is>
      </c>
      <c r="AZ6" t="inlineStr">
        <is>
          <t>CITIN25668288188</t>
        </is>
      </c>
      <c r="BA6" t="n">
        <v>0</v>
      </c>
      <c r="BB6" t="inlineStr">
        <is>
          <t>3c7b18817b075ea2002b7e560ced4dffa0f4e085ec4005bca773c48f7ecbde7a</t>
        </is>
      </c>
    </row>
    <row r="7">
      <c r="A7" t="inlineStr">
        <is>
          <t>2</t>
        </is>
      </c>
      <c r="B7" t="inlineStr">
        <is>
          <t>7535704376</t>
        </is>
      </c>
      <c r="C7" t="inlineStr">
        <is>
          <t>2025-12-01 00:23:15</t>
        </is>
      </c>
      <c r="D7" t="inlineStr">
        <is>
          <t>49</t>
        </is>
      </c>
      <c r="E7" t="inlineStr">
        <is>
          <t>Sha Sha - Shandaar Shawarma</t>
        </is>
      </c>
      <c r="F7" t="inlineStr">
        <is>
          <t>18557902</t>
        </is>
      </c>
      <c r="G7" t="inlineStr">
        <is>
          <t>30% off upto ₹75 (2025-06-25 - 2031-01-01)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36</t>
        </is>
      </c>
      <c r="O7" t="n">
        <v>229</v>
      </c>
      <c r="P7" t="n">
        <v>3.5</v>
      </c>
      <c r="Q7" t="n">
        <v>0</v>
      </c>
      <c r="R7" t="n">
        <v>68.7</v>
      </c>
      <c r="S7" t="n">
        <v>0</v>
      </c>
      <c r="T7" t="n">
        <v>0</v>
      </c>
      <c r="U7" t="n">
        <v>0</v>
      </c>
      <c r="V7" t="n">
        <v>8.19</v>
      </c>
      <c r="W7" t="n">
        <v>171.99</v>
      </c>
      <c r="X7" t="n">
        <v>163.8</v>
      </c>
      <c r="Y7" t="n">
        <v>19</v>
      </c>
      <c r="Z7" t="n">
        <v>31.12</v>
      </c>
      <c r="AA7" t="n">
        <v>3.16</v>
      </c>
      <c r="AB7" t="n">
        <v>34.28</v>
      </c>
      <c r="AC7" t="n">
        <v>6.17</v>
      </c>
      <c r="AD7" t="n">
        <v>0</v>
      </c>
      <c r="AE7" t="n">
        <v>163.8</v>
      </c>
      <c r="AF7" t="n">
        <v>0</v>
      </c>
      <c r="AG7" t="n">
        <v>0</v>
      </c>
      <c r="AH7" t="n">
        <v>0.16</v>
      </c>
      <c r="AI7" t="n">
        <v>8.199999999999999</v>
      </c>
      <c r="AJ7" t="n">
        <v>-0.01</v>
      </c>
      <c r="AK7" t="n">
        <v>14.53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48.81</v>
      </c>
      <c r="AV7" t="n">
        <v>0</v>
      </c>
      <c r="AW7" t="n">
        <v>123.18</v>
      </c>
      <c r="AX7" t="inlineStr">
        <is>
          <t>settled</t>
        </is>
      </c>
      <c r="AY7" t="inlineStr">
        <is>
          <t>2025-12-10 05:30:00</t>
        </is>
      </c>
      <c r="AZ7" t="inlineStr">
        <is>
          <t>CITIN25668288188</t>
        </is>
      </c>
      <c r="BA7" t="n">
        <v>0</v>
      </c>
      <c r="BB7" t="inlineStr">
        <is>
          <t>72ef68e4765975864e58a76f2c277ef47e4abe3d2a4231de22a49722992400a9</t>
        </is>
      </c>
    </row>
    <row r="8">
      <c r="A8" t="inlineStr">
        <is>
          <t>3</t>
        </is>
      </c>
      <c r="B8" t="inlineStr">
        <is>
          <t>7515231648</t>
        </is>
      </c>
      <c r="C8" t="inlineStr">
        <is>
          <t>2025-12-01 00:26:39</t>
        </is>
      </c>
      <c r="D8" t="inlineStr">
        <is>
          <t>49</t>
        </is>
      </c>
      <c r="E8" t="inlineStr">
        <is>
          <t>Sha Sha - Shandaar Shawarma</t>
        </is>
      </c>
      <c r="F8" t="inlineStr">
        <is>
          <t>18557902</t>
        </is>
      </c>
      <c r="G8" t="inlineStr">
        <is>
          <t>30% off upto ₹75 (2025-06-25 - 2031-01-01)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36</t>
        </is>
      </c>
      <c r="O8" t="n">
        <v>229</v>
      </c>
      <c r="P8" t="n">
        <v>3.5</v>
      </c>
      <c r="Q8" t="n">
        <v>0</v>
      </c>
      <c r="R8" t="n">
        <v>68.7</v>
      </c>
      <c r="S8" t="n">
        <v>0</v>
      </c>
      <c r="T8" t="n">
        <v>0</v>
      </c>
      <c r="U8" t="n">
        <v>0</v>
      </c>
      <c r="V8" t="n">
        <v>8.19</v>
      </c>
      <c r="W8" t="n">
        <v>171.99</v>
      </c>
      <c r="X8" t="n">
        <v>163.8</v>
      </c>
      <c r="Y8" t="n">
        <v>19</v>
      </c>
      <c r="Z8" t="n">
        <v>31.12</v>
      </c>
      <c r="AA8" t="n">
        <v>3.16</v>
      </c>
      <c r="AB8" t="n">
        <v>34.28</v>
      </c>
      <c r="AC8" t="n">
        <v>6.17</v>
      </c>
      <c r="AD8" t="n">
        <v>0</v>
      </c>
      <c r="AE8" t="n">
        <v>163.8</v>
      </c>
      <c r="AF8" t="n">
        <v>0</v>
      </c>
      <c r="AG8" t="n">
        <v>0</v>
      </c>
      <c r="AH8" t="n">
        <v>0.16</v>
      </c>
      <c r="AI8" t="n">
        <v>8.199999999999999</v>
      </c>
      <c r="AJ8" t="n">
        <v>-0.01</v>
      </c>
      <c r="AK8" t="n">
        <v>14.53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48.81</v>
      </c>
      <c r="AV8" t="n">
        <v>0</v>
      </c>
      <c r="AW8" t="n">
        <v>123.18</v>
      </c>
      <c r="AX8" t="inlineStr">
        <is>
          <t>settled</t>
        </is>
      </c>
      <c r="AY8" t="inlineStr">
        <is>
          <t>2025-12-10 05:30:00</t>
        </is>
      </c>
      <c r="AZ8" t="inlineStr">
        <is>
          <t>CITIN25668288188</t>
        </is>
      </c>
      <c r="BA8" t="n">
        <v>0</v>
      </c>
      <c r="BB8" t="inlineStr">
        <is>
          <t>bf47ae751ca8467d78b11b367090fc90a9657cc0227743ffc7f0da4a03dc419c</t>
        </is>
      </c>
    </row>
    <row r="9">
      <c r="A9" t="inlineStr">
        <is>
          <t>4</t>
        </is>
      </c>
      <c r="B9" t="inlineStr">
        <is>
          <t>7536593090</t>
        </is>
      </c>
      <c r="C9" t="inlineStr">
        <is>
          <t>2025-12-01 00:46:43</t>
        </is>
      </c>
      <c r="D9" t="inlineStr">
        <is>
          <t>49</t>
        </is>
      </c>
      <c r="E9" t="inlineStr">
        <is>
          <t>Sha Sha - Shandaar Shawarma</t>
        </is>
      </c>
      <c r="F9" t="inlineStr">
        <is>
          <t>18557902</t>
        </is>
      </c>
      <c r="G9" t="inlineStr">
        <is>
          <t>NA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O2</t>
        </is>
      </c>
      <c r="N9" t="inlineStr">
        <is>
          <t>36</t>
        </is>
      </c>
      <c r="O9" t="n">
        <v>1374</v>
      </c>
      <c r="P9" t="n">
        <v>3.5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68.88</v>
      </c>
      <c r="W9" t="n">
        <v>1446.38</v>
      </c>
      <c r="X9" t="n">
        <v>1377.5</v>
      </c>
      <c r="Y9" t="n">
        <v>19</v>
      </c>
      <c r="Z9" t="n">
        <v>261.72</v>
      </c>
      <c r="AA9" t="n">
        <v>26.61</v>
      </c>
      <c r="AB9" t="n">
        <v>288.33</v>
      </c>
      <c r="AC9" t="n">
        <v>51.9</v>
      </c>
      <c r="AD9" t="n">
        <v>0</v>
      </c>
      <c r="AE9" t="n">
        <v>1377.5</v>
      </c>
      <c r="AF9" t="n">
        <v>0</v>
      </c>
      <c r="AG9" t="n">
        <v>0</v>
      </c>
      <c r="AH9" t="n">
        <v>1.38</v>
      </c>
      <c r="AI9" t="n">
        <v>68.88</v>
      </c>
      <c r="AJ9" t="n">
        <v>0</v>
      </c>
      <c r="AK9" t="n">
        <v>122.16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410.49</v>
      </c>
      <c r="AV9" t="n">
        <v>0</v>
      </c>
      <c r="AW9" t="n">
        <v>1035.89</v>
      </c>
      <c r="AX9" t="inlineStr">
        <is>
          <t>settled</t>
        </is>
      </c>
      <c r="AY9" t="inlineStr">
        <is>
          <t>2025-12-10 05:30:00</t>
        </is>
      </c>
      <c r="AZ9" t="inlineStr">
        <is>
          <t>CITIN25668288188</t>
        </is>
      </c>
      <c r="BA9" t="n">
        <v>0</v>
      </c>
      <c r="BB9" t="inlineStr">
        <is>
          <t>d29f71c19578460377108dfed6916d0c048aafa7508783f7a0ea419e858c7197</t>
        </is>
      </c>
    </row>
    <row r="10">
      <c r="A10" t="inlineStr">
        <is>
          <t>5</t>
        </is>
      </c>
      <c r="B10" t="inlineStr">
        <is>
          <t>7537381153</t>
        </is>
      </c>
      <c r="C10" t="inlineStr">
        <is>
          <t>2025-12-01 00:50:25</t>
        </is>
      </c>
      <c r="D10" t="inlineStr">
        <is>
          <t>49</t>
        </is>
      </c>
      <c r="E10" t="inlineStr">
        <is>
          <t>Sha Sha - Shandaar Shawarma</t>
        </is>
      </c>
      <c r="F10" t="inlineStr">
        <is>
          <t>18557902</t>
        </is>
      </c>
      <c r="G10" t="inlineStr">
        <is>
          <t>NA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36</t>
        </is>
      </c>
      <c r="O10" t="n">
        <v>229</v>
      </c>
      <c r="P10" t="n">
        <v>3.5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11.63</v>
      </c>
      <c r="W10" t="n">
        <v>244.13</v>
      </c>
      <c r="X10" t="n">
        <v>232.5</v>
      </c>
      <c r="Y10" t="n">
        <v>19</v>
      </c>
      <c r="Z10" t="n">
        <v>44.18</v>
      </c>
      <c r="AA10" t="n">
        <v>4.49</v>
      </c>
      <c r="AB10" t="n">
        <v>48.67</v>
      </c>
      <c r="AC10" t="n">
        <v>8.76</v>
      </c>
      <c r="AD10" t="n">
        <v>0</v>
      </c>
      <c r="AE10" t="n">
        <v>232.5</v>
      </c>
      <c r="AF10" t="n">
        <v>0</v>
      </c>
      <c r="AG10" t="n">
        <v>0</v>
      </c>
      <c r="AH10" t="n">
        <v>0.23</v>
      </c>
      <c r="AI10" t="n">
        <v>11.63</v>
      </c>
      <c r="AJ10" t="n">
        <v>0</v>
      </c>
      <c r="AK10" t="n">
        <v>20.62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69.29000000000001</v>
      </c>
      <c r="AV10" t="n">
        <v>0</v>
      </c>
      <c r="AW10" t="n">
        <v>174.84</v>
      </c>
      <c r="AX10" t="inlineStr">
        <is>
          <t>settled</t>
        </is>
      </c>
      <c r="AY10" t="inlineStr">
        <is>
          <t>2025-12-10 05:30:00</t>
        </is>
      </c>
      <c r="AZ10" t="inlineStr">
        <is>
          <t>CITIN25668288188</t>
        </is>
      </c>
      <c r="BA10" t="n">
        <v>0</v>
      </c>
      <c r="BB10" t="inlineStr">
        <is>
          <t>185cbfdb59e6f39207e7e37bcf84de6ee7f820b378e5e9a0aa67fd000cc1960e</t>
        </is>
      </c>
    </row>
    <row r="11">
      <c r="A11" t="inlineStr">
        <is>
          <t>6</t>
        </is>
      </c>
      <c r="B11" t="inlineStr">
        <is>
          <t>7537590612</t>
        </is>
      </c>
      <c r="C11" t="inlineStr">
        <is>
          <t>2025-12-01 01:12:05</t>
        </is>
      </c>
      <c r="D11" t="inlineStr">
        <is>
          <t>49</t>
        </is>
      </c>
      <c r="E11" t="inlineStr">
        <is>
          <t>Sha Sha - Shandaar Shawarma</t>
        </is>
      </c>
      <c r="F11" t="inlineStr">
        <is>
          <t>18557902</t>
        </is>
      </c>
      <c r="G11" t="inlineStr">
        <is>
          <t>30% off upto ₹75 (2025-06-25 - 2031-01-01)</t>
        </is>
      </c>
      <c r="H11" t="inlineStr">
        <is>
          <t>ONLINE</t>
        </is>
      </c>
      <c r="I11" t="inlineStr">
        <is>
          <t>DELIVERED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O2</t>
        </is>
      </c>
      <c r="N11" t="inlineStr">
        <is>
          <t>36</t>
        </is>
      </c>
      <c r="O11" t="n">
        <v>229</v>
      </c>
      <c r="P11" t="n">
        <v>3.5</v>
      </c>
      <c r="Q11" t="n">
        <v>0</v>
      </c>
      <c r="R11" t="n">
        <v>68.7</v>
      </c>
      <c r="S11" t="n">
        <v>0</v>
      </c>
      <c r="T11" t="n">
        <v>0</v>
      </c>
      <c r="U11" t="n">
        <v>0</v>
      </c>
      <c r="V11" t="n">
        <v>8.19</v>
      </c>
      <c r="W11" t="n">
        <v>171.99</v>
      </c>
      <c r="X11" t="n">
        <v>163.8</v>
      </c>
      <c r="Y11" t="n">
        <v>19</v>
      </c>
      <c r="Z11" t="n">
        <v>31.12</v>
      </c>
      <c r="AA11" t="n">
        <v>3.16</v>
      </c>
      <c r="AB11" t="n">
        <v>34.28</v>
      </c>
      <c r="AC11" t="n">
        <v>6.17</v>
      </c>
      <c r="AD11" t="n">
        <v>0</v>
      </c>
      <c r="AE11" t="n">
        <v>163.8</v>
      </c>
      <c r="AF11" t="n">
        <v>0</v>
      </c>
      <c r="AG11" t="n">
        <v>0</v>
      </c>
      <c r="AH11" t="n">
        <v>0.16</v>
      </c>
      <c r="AI11" t="n">
        <v>8.199999999999999</v>
      </c>
      <c r="AJ11" t="n">
        <v>-0.01</v>
      </c>
      <c r="AK11" t="n">
        <v>14.53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48.81</v>
      </c>
      <c r="AV11" t="n">
        <v>0</v>
      </c>
      <c r="AW11" t="n">
        <v>123.18</v>
      </c>
      <c r="AX11" t="inlineStr">
        <is>
          <t>settled</t>
        </is>
      </c>
      <c r="AY11" t="inlineStr">
        <is>
          <t>2025-12-10 05:30:00</t>
        </is>
      </c>
      <c r="AZ11" t="inlineStr">
        <is>
          <t>CITIN25668288188</t>
        </is>
      </c>
      <c r="BA11" t="n">
        <v>0</v>
      </c>
      <c r="BB11" t="inlineStr">
        <is>
          <t>a1949b2b3697426151581d6d1cf55e46dcc4a4479f63a994d6321a7e42eb5f24</t>
        </is>
      </c>
    </row>
    <row r="12">
      <c r="A12" t="inlineStr">
        <is>
          <t>7</t>
        </is>
      </c>
      <c r="B12" t="inlineStr">
        <is>
          <t>7531805344</t>
        </is>
      </c>
      <c r="C12" t="inlineStr">
        <is>
          <t>2025-12-01 01:48:54</t>
        </is>
      </c>
      <c r="D12" t="inlineStr">
        <is>
          <t>49</t>
        </is>
      </c>
      <c r="E12" t="inlineStr">
        <is>
          <t>Sha Sha - Shandaar Shawarma</t>
        </is>
      </c>
      <c r="F12" t="inlineStr">
        <is>
          <t>18557902</t>
        </is>
      </c>
      <c r="G12" t="inlineStr">
        <is>
          <t>NA</t>
        </is>
      </c>
      <c r="H12" t="inlineStr">
        <is>
          <t>ONLINE</t>
        </is>
      </c>
      <c r="I12" t="inlineStr">
        <is>
          <t>DELIVERED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O2</t>
        </is>
      </c>
      <c r="N12" t="inlineStr">
        <is>
          <t>36</t>
        </is>
      </c>
      <c r="O12" t="n">
        <v>229</v>
      </c>
      <c r="P12" t="n">
        <v>3.5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11.63</v>
      </c>
      <c r="W12" t="n">
        <v>244.13</v>
      </c>
      <c r="X12" t="n">
        <v>232.5</v>
      </c>
      <c r="Y12" t="n">
        <v>19</v>
      </c>
      <c r="Z12" t="n">
        <v>44.18</v>
      </c>
      <c r="AA12" t="n">
        <v>4.49</v>
      </c>
      <c r="AB12" t="n">
        <v>48.67</v>
      </c>
      <c r="AC12" t="n">
        <v>8.76</v>
      </c>
      <c r="AD12" t="n">
        <v>0</v>
      </c>
      <c r="AE12" t="n">
        <v>232.5</v>
      </c>
      <c r="AF12" t="n">
        <v>0</v>
      </c>
      <c r="AG12" t="n">
        <v>0</v>
      </c>
      <c r="AH12" t="n">
        <v>0.23</v>
      </c>
      <c r="AI12" t="n">
        <v>11.63</v>
      </c>
      <c r="AJ12" t="n">
        <v>0</v>
      </c>
      <c r="AK12" t="n">
        <v>20.62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69.29000000000001</v>
      </c>
      <c r="AV12" t="n">
        <v>0</v>
      </c>
      <c r="AW12" t="n">
        <v>174.84</v>
      </c>
      <c r="AX12" t="inlineStr">
        <is>
          <t>settled</t>
        </is>
      </c>
      <c r="AY12" t="inlineStr">
        <is>
          <t>2025-12-10 05:30:00</t>
        </is>
      </c>
      <c r="AZ12" t="inlineStr">
        <is>
          <t>CITIN25668288188</t>
        </is>
      </c>
      <c r="BA12" t="n">
        <v>0</v>
      </c>
      <c r="BB12" t="inlineStr">
        <is>
          <t>78416b40b01f30cd5f938dae60baa5742d9c87092ebf3d82e2069986f7f51b14</t>
        </is>
      </c>
    </row>
    <row r="13">
      <c r="A13" t="inlineStr">
        <is>
          <t>8</t>
        </is>
      </c>
      <c r="B13" t="inlineStr">
        <is>
          <t>7536925636</t>
        </is>
      </c>
      <c r="C13" t="inlineStr">
        <is>
          <t>2025-12-01 01:53:13</t>
        </is>
      </c>
      <c r="D13" t="inlineStr">
        <is>
          <t>49</t>
        </is>
      </c>
      <c r="E13" t="inlineStr">
        <is>
          <t>Sha Sha - Shandaar Shawarma</t>
        </is>
      </c>
      <c r="F13" t="inlineStr">
        <is>
          <t>18557902</t>
        </is>
      </c>
      <c r="G13" t="inlineStr">
        <is>
          <t>30% off upto ₹75 (2025-06-25 - 2031-01-01)</t>
        </is>
      </c>
      <c r="H13" t="inlineStr">
        <is>
          <t>ONLINE</t>
        </is>
      </c>
      <c r="I13" t="inlineStr">
        <is>
          <t>DELIVERED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O2</t>
        </is>
      </c>
      <c r="N13" t="inlineStr">
        <is>
          <t>36</t>
        </is>
      </c>
      <c r="O13" t="n">
        <v>229</v>
      </c>
      <c r="P13" t="n">
        <v>3.5</v>
      </c>
      <c r="Q13" t="n">
        <v>0</v>
      </c>
      <c r="R13" t="n">
        <v>68.7</v>
      </c>
      <c r="S13" t="n">
        <v>0</v>
      </c>
      <c r="T13" t="n">
        <v>0</v>
      </c>
      <c r="U13" t="n">
        <v>0</v>
      </c>
      <c r="V13" t="n">
        <v>8.19</v>
      </c>
      <c r="W13" t="n">
        <v>171.99</v>
      </c>
      <c r="X13" t="n">
        <v>163.8</v>
      </c>
      <c r="Y13" t="n">
        <v>19</v>
      </c>
      <c r="Z13" t="n">
        <v>31.12</v>
      </c>
      <c r="AA13" t="n">
        <v>3.16</v>
      </c>
      <c r="AB13" t="n">
        <v>34.28</v>
      </c>
      <c r="AC13" t="n">
        <v>6.17</v>
      </c>
      <c r="AD13" t="n">
        <v>0</v>
      </c>
      <c r="AE13" t="n">
        <v>163.8</v>
      </c>
      <c r="AF13" t="n">
        <v>0</v>
      </c>
      <c r="AG13" t="n">
        <v>0</v>
      </c>
      <c r="AH13" t="n">
        <v>0.16</v>
      </c>
      <c r="AI13" t="n">
        <v>8.199999999999999</v>
      </c>
      <c r="AJ13" t="n">
        <v>-0.01</v>
      </c>
      <c r="AK13" t="n">
        <v>14.53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48.81</v>
      </c>
      <c r="AV13" t="n">
        <v>0</v>
      </c>
      <c r="AW13" t="n">
        <v>123.18</v>
      </c>
      <c r="AX13" t="inlineStr">
        <is>
          <t>settled</t>
        </is>
      </c>
      <c r="AY13" t="inlineStr">
        <is>
          <t>2025-12-10 05:30:00</t>
        </is>
      </c>
      <c r="AZ13" t="inlineStr">
        <is>
          <t>CITIN25668288188</t>
        </is>
      </c>
      <c r="BA13" t="n">
        <v>0</v>
      </c>
      <c r="BB13" t="inlineStr">
        <is>
          <t>f965c705b5c4cac429aaa12fa644d2d6b611f69f55ef841ad3fea42d208be5e0</t>
        </is>
      </c>
    </row>
    <row r="14">
      <c r="A14" t="inlineStr">
        <is>
          <t>9</t>
        </is>
      </c>
      <c r="B14" t="inlineStr">
        <is>
          <t>7528565199</t>
        </is>
      </c>
      <c r="C14" t="inlineStr">
        <is>
          <t>2025-12-01 02:14:10</t>
        </is>
      </c>
      <c r="D14" t="inlineStr">
        <is>
          <t>49</t>
        </is>
      </c>
      <c r="E14" t="inlineStr">
        <is>
          <t>Sha Sha - Shandaar Shawarma</t>
        </is>
      </c>
      <c r="F14" t="inlineStr">
        <is>
          <t>18557902</t>
        </is>
      </c>
      <c r="G14" t="inlineStr">
        <is>
          <t>30% off upto ₹75 (2025-06-25 - 2031-01-01)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36</t>
        </is>
      </c>
      <c r="O14" t="n">
        <v>229</v>
      </c>
      <c r="P14" t="n">
        <v>3.5</v>
      </c>
      <c r="Q14" t="n">
        <v>0</v>
      </c>
      <c r="R14" t="n">
        <v>68.7</v>
      </c>
      <c r="S14" t="n">
        <v>0</v>
      </c>
      <c r="T14" t="n">
        <v>0</v>
      </c>
      <c r="U14" t="n">
        <v>0</v>
      </c>
      <c r="V14" t="n">
        <v>8.19</v>
      </c>
      <c r="W14" t="n">
        <v>171.99</v>
      </c>
      <c r="X14" t="n">
        <v>163.8</v>
      </c>
      <c r="Y14" t="n">
        <v>19</v>
      </c>
      <c r="Z14" t="n">
        <v>31.12</v>
      </c>
      <c r="AA14" t="n">
        <v>3.16</v>
      </c>
      <c r="AB14" t="n">
        <v>34.28</v>
      </c>
      <c r="AC14" t="n">
        <v>6.17</v>
      </c>
      <c r="AD14" t="n">
        <v>0</v>
      </c>
      <c r="AE14" t="n">
        <v>163.8</v>
      </c>
      <c r="AF14" t="n">
        <v>0</v>
      </c>
      <c r="AG14" t="n">
        <v>0</v>
      </c>
      <c r="AH14" t="n">
        <v>0.16</v>
      </c>
      <c r="AI14" t="n">
        <v>8.199999999999999</v>
      </c>
      <c r="AJ14" t="n">
        <v>-0.01</v>
      </c>
      <c r="AK14" t="n">
        <v>14.53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48.81</v>
      </c>
      <c r="AV14" t="n">
        <v>0</v>
      </c>
      <c r="AW14" t="n">
        <v>123.18</v>
      </c>
      <c r="AX14" t="inlineStr">
        <is>
          <t>settled</t>
        </is>
      </c>
      <c r="AY14" t="inlineStr">
        <is>
          <t>2025-12-10 05:30:00</t>
        </is>
      </c>
      <c r="AZ14" t="inlineStr">
        <is>
          <t>CITIN25668288188</t>
        </is>
      </c>
      <c r="BA14" t="n">
        <v>0</v>
      </c>
      <c r="BB14" t="inlineStr">
        <is>
          <t>db8cc3d58cc23f5e9e88ae7c8040f0ad24d725714a290a17d6822bd2564c992a</t>
        </is>
      </c>
    </row>
    <row r="15">
      <c r="A15" t="inlineStr">
        <is>
          <t>10</t>
        </is>
      </c>
      <c r="B15" t="inlineStr">
        <is>
          <t>7532984205</t>
        </is>
      </c>
      <c r="C15" t="inlineStr">
        <is>
          <t>2025-12-01 02:22:59</t>
        </is>
      </c>
      <c r="D15" t="inlineStr">
        <is>
          <t>49</t>
        </is>
      </c>
      <c r="E15" t="inlineStr">
        <is>
          <t>Sha Sha - Shandaar Shawarma</t>
        </is>
      </c>
      <c r="F15" t="inlineStr">
        <is>
          <t>18557902</t>
        </is>
      </c>
      <c r="G15" t="inlineStr">
        <is>
          <t>30% off upto ₹75 (2025-06-25 - 2031-01-01)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36</t>
        </is>
      </c>
      <c r="O15" t="n">
        <v>229</v>
      </c>
      <c r="P15" t="n">
        <v>3.5</v>
      </c>
      <c r="Q15" t="n">
        <v>0</v>
      </c>
      <c r="R15" t="n">
        <v>68.7</v>
      </c>
      <c r="S15" t="n">
        <v>0</v>
      </c>
      <c r="T15" t="n">
        <v>0</v>
      </c>
      <c r="U15" t="n">
        <v>0</v>
      </c>
      <c r="V15" t="n">
        <v>8.19</v>
      </c>
      <c r="W15" t="n">
        <v>171.99</v>
      </c>
      <c r="X15" t="n">
        <v>163.8</v>
      </c>
      <c r="Y15" t="n">
        <v>19</v>
      </c>
      <c r="Z15" t="n">
        <v>31.12</v>
      </c>
      <c r="AA15" t="n">
        <v>3.16</v>
      </c>
      <c r="AB15" t="n">
        <v>34.28</v>
      </c>
      <c r="AC15" t="n">
        <v>6.17</v>
      </c>
      <c r="AD15" t="n">
        <v>0</v>
      </c>
      <c r="AE15" t="n">
        <v>163.8</v>
      </c>
      <c r="AF15" t="n">
        <v>0</v>
      </c>
      <c r="AG15" t="n">
        <v>0</v>
      </c>
      <c r="AH15" t="n">
        <v>0.16</v>
      </c>
      <c r="AI15" t="n">
        <v>8.199999999999999</v>
      </c>
      <c r="AJ15" t="n">
        <v>-0.01</v>
      </c>
      <c r="AK15" t="n">
        <v>14.53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48.81</v>
      </c>
      <c r="AV15" t="n">
        <v>0</v>
      </c>
      <c r="AW15" t="n">
        <v>123.18</v>
      </c>
      <c r="AX15" t="inlineStr">
        <is>
          <t>settled</t>
        </is>
      </c>
      <c r="AY15" t="inlineStr">
        <is>
          <t>2025-12-10 05:30:00</t>
        </is>
      </c>
      <c r="AZ15" t="inlineStr">
        <is>
          <t>CITIN25668288188</t>
        </is>
      </c>
      <c r="BA15" t="n">
        <v>0</v>
      </c>
      <c r="BB15" t="inlineStr">
        <is>
          <t>a4a70e0e977a73da377b4f40475eaf264e2652e623d22ae3ef862491d5035f2f</t>
        </is>
      </c>
    </row>
    <row r="16">
      <c r="A16" t="inlineStr">
        <is>
          <t>11</t>
        </is>
      </c>
      <c r="B16" t="inlineStr">
        <is>
          <t>7536164921</t>
        </is>
      </c>
      <c r="C16" t="inlineStr">
        <is>
          <t>2025-12-01 02:27:36</t>
        </is>
      </c>
      <c r="D16" t="inlineStr">
        <is>
          <t>49</t>
        </is>
      </c>
      <c r="E16" t="inlineStr">
        <is>
          <t>Sha Sha - Shandaar Shawarma</t>
        </is>
      </c>
      <c r="F16" t="inlineStr">
        <is>
          <t>18557902</t>
        </is>
      </c>
      <c r="G16" t="inlineStr">
        <is>
          <t>30% off upto ₹75 (2025-06-25 - 2031-01-01)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36</t>
        </is>
      </c>
      <c r="O16" t="n">
        <v>229</v>
      </c>
      <c r="P16" t="n">
        <v>3.5</v>
      </c>
      <c r="Q16" t="n">
        <v>0</v>
      </c>
      <c r="R16" t="n">
        <v>68.7</v>
      </c>
      <c r="S16" t="n">
        <v>0</v>
      </c>
      <c r="T16" t="n">
        <v>0</v>
      </c>
      <c r="U16" t="n">
        <v>0</v>
      </c>
      <c r="V16" t="n">
        <v>8.19</v>
      </c>
      <c r="W16" t="n">
        <v>171.99</v>
      </c>
      <c r="X16" t="n">
        <v>163.8</v>
      </c>
      <c r="Y16" t="n">
        <v>19</v>
      </c>
      <c r="Z16" t="n">
        <v>31.12</v>
      </c>
      <c r="AA16" t="n">
        <v>3.16</v>
      </c>
      <c r="AB16" t="n">
        <v>34.28</v>
      </c>
      <c r="AC16" t="n">
        <v>6.17</v>
      </c>
      <c r="AD16" t="n">
        <v>0</v>
      </c>
      <c r="AE16" t="n">
        <v>163.8</v>
      </c>
      <c r="AF16" t="n">
        <v>0</v>
      </c>
      <c r="AG16" t="n">
        <v>0</v>
      </c>
      <c r="AH16" t="n">
        <v>0.16</v>
      </c>
      <c r="AI16" t="n">
        <v>8.199999999999999</v>
      </c>
      <c r="AJ16" t="n">
        <v>-0.01</v>
      </c>
      <c r="AK16" t="n">
        <v>14.53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48.81</v>
      </c>
      <c r="AV16" t="n">
        <v>0</v>
      </c>
      <c r="AW16" t="n">
        <v>123.18</v>
      </c>
      <c r="AX16" t="inlineStr">
        <is>
          <t>settled</t>
        </is>
      </c>
      <c r="AY16" t="inlineStr">
        <is>
          <t>2025-12-10 05:30:00</t>
        </is>
      </c>
      <c r="AZ16" t="inlineStr">
        <is>
          <t>CITIN25668288188</t>
        </is>
      </c>
      <c r="BA16" t="n">
        <v>0</v>
      </c>
      <c r="BB16" t="inlineStr">
        <is>
          <t>218632630ad9fc43ae206c2932d5bf7ccd42ed4de1d3e430540e219cc9b72fc3</t>
        </is>
      </c>
    </row>
    <row r="17">
      <c r="A17" t="inlineStr">
        <is>
          <t>12</t>
        </is>
      </c>
      <c r="B17" t="inlineStr">
        <is>
          <t>7535091172</t>
        </is>
      </c>
      <c r="C17" t="inlineStr">
        <is>
          <t>2025-12-01 02:41:38</t>
        </is>
      </c>
      <c r="D17" t="inlineStr">
        <is>
          <t>49</t>
        </is>
      </c>
      <c r="E17" t="inlineStr">
        <is>
          <t>Sha Sha - Shandaar Shawarma</t>
        </is>
      </c>
      <c r="F17" t="inlineStr">
        <is>
          <t>18557902</t>
        </is>
      </c>
      <c r="G17" t="inlineStr">
        <is>
          <t>30% off upto ₹75 (2025-06-25 - 2031-01-01)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36</t>
        </is>
      </c>
      <c r="O17" t="n">
        <v>229</v>
      </c>
      <c r="P17" t="n">
        <v>3.5</v>
      </c>
      <c r="Q17" t="n">
        <v>0</v>
      </c>
      <c r="R17" t="n">
        <v>68.7</v>
      </c>
      <c r="S17" t="n">
        <v>0</v>
      </c>
      <c r="T17" t="n">
        <v>0</v>
      </c>
      <c r="U17" t="n">
        <v>0</v>
      </c>
      <c r="V17" t="n">
        <v>8.19</v>
      </c>
      <c r="W17" t="n">
        <v>171.99</v>
      </c>
      <c r="X17" t="n">
        <v>163.8</v>
      </c>
      <c r="Y17" t="n">
        <v>19</v>
      </c>
      <c r="Z17" t="n">
        <v>31.12</v>
      </c>
      <c r="AA17" t="n">
        <v>3.16</v>
      </c>
      <c r="AB17" t="n">
        <v>34.28</v>
      </c>
      <c r="AC17" t="n">
        <v>6.17</v>
      </c>
      <c r="AD17" t="n">
        <v>0</v>
      </c>
      <c r="AE17" t="n">
        <v>163.8</v>
      </c>
      <c r="AF17" t="n">
        <v>0</v>
      </c>
      <c r="AG17" t="n">
        <v>0</v>
      </c>
      <c r="AH17" t="n">
        <v>0.16</v>
      </c>
      <c r="AI17" t="n">
        <v>8.199999999999999</v>
      </c>
      <c r="AJ17" t="n">
        <v>-0.01</v>
      </c>
      <c r="AK17" t="n">
        <v>14.53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48.81</v>
      </c>
      <c r="AV17" t="n">
        <v>0</v>
      </c>
      <c r="AW17" t="n">
        <v>123.18</v>
      </c>
      <c r="AX17" t="inlineStr">
        <is>
          <t>settled</t>
        </is>
      </c>
      <c r="AY17" t="inlineStr">
        <is>
          <t>2025-12-10 05:30:00</t>
        </is>
      </c>
      <c r="AZ17" t="inlineStr">
        <is>
          <t>CITIN25668288188</t>
        </is>
      </c>
      <c r="BA17" t="n">
        <v>0</v>
      </c>
      <c r="BB17" t="inlineStr">
        <is>
          <t>38165d7f703a46752ffe1a82bd95152a4fa7b2821454b1c805acb19a8e4bbb11</t>
        </is>
      </c>
    </row>
    <row r="18">
      <c r="A18" t="inlineStr">
        <is>
          <t>13</t>
        </is>
      </c>
      <c r="B18" t="inlineStr">
        <is>
          <t>7535300658</t>
        </is>
      </c>
      <c r="C18" t="inlineStr">
        <is>
          <t>2025-12-01 02:53:54</t>
        </is>
      </c>
      <c r="D18" t="inlineStr">
        <is>
          <t>49</t>
        </is>
      </c>
      <c r="E18" t="inlineStr">
        <is>
          <t>Sha Sha - Shandaar Shawarma</t>
        </is>
      </c>
      <c r="F18" t="inlineStr">
        <is>
          <t>18557902</t>
        </is>
      </c>
      <c r="G18" t="inlineStr">
        <is>
          <t>NA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36</t>
        </is>
      </c>
      <c r="O18" t="n">
        <v>219</v>
      </c>
      <c r="P18" t="n">
        <v>3.5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11.13</v>
      </c>
      <c r="W18" t="n">
        <v>233.63</v>
      </c>
      <c r="X18" t="n">
        <v>222.5</v>
      </c>
      <c r="Y18" t="n">
        <v>19</v>
      </c>
      <c r="Z18" t="n">
        <v>42.28</v>
      </c>
      <c r="AA18" t="n">
        <v>4.3</v>
      </c>
      <c r="AB18" t="n">
        <v>46.58</v>
      </c>
      <c r="AC18" t="n">
        <v>8.380000000000001</v>
      </c>
      <c r="AD18" t="n">
        <v>0</v>
      </c>
      <c r="AE18" t="n">
        <v>222.5</v>
      </c>
      <c r="AF18" t="n">
        <v>0</v>
      </c>
      <c r="AG18" t="n">
        <v>0</v>
      </c>
      <c r="AH18" t="n">
        <v>0.22</v>
      </c>
      <c r="AI18" t="n">
        <v>11.13</v>
      </c>
      <c r="AJ18" t="n">
        <v>0</v>
      </c>
      <c r="AK18" t="n">
        <v>19.73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66.31</v>
      </c>
      <c r="AV18" t="n">
        <v>0</v>
      </c>
      <c r="AW18" t="n">
        <v>167.32</v>
      </c>
      <c r="AX18" t="inlineStr">
        <is>
          <t>settled</t>
        </is>
      </c>
      <c r="AY18" t="inlineStr">
        <is>
          <t>2025-12-10 05:30:00</t>
        </is>
      </c>
      <c r="AZ18" t="inlineStr">
        <is>
          <t>CITIN25668288188</t>
        </is>
      </c>
      <c r="BA18" t="n">
        <v>0</v>
      </c>
      <c r="BB18" t="inlineStr">
        <is>
          <t>2500ddad7a248958027a84a3a9170548f70a568a52792b0e527074bdb40cadc4</t>
        </is>
      </c>
    </row>
    <row r="19">
      <c r="A19" t="inlineStr">
        <is>
          <t>14</t>
        </is>
      </c>
      <c r="B19" t="inlineStr">
        <is>
          <t>7537822891</t>
        </is>
      </c>
      <c r="C19" t="inlineStr">
        <is>
          <t>2025-12-01 03:04:10</t>
        </is>
      </c>
      <c r="D19" t="inlineStr">
        <is>
          <t>49</t>
        </is>
      </c>
      <c r="E19" t="inlineStr">
        <is>
          <t>Sha Sha - Shandaar Shawarma</t>
        </is>
      </c>
      <c r="F19" t="inlineStr">
        <is>
          <t>18557902</t>
        </is>
      </c>
      <c r="G19" t="inlineStr">
        <is>
          <t>30% off upto ₹75 (2025-06-25 - 2031-01-01)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36</t>
        </is>
      </c>
      <c r="O19" t="n">
        <v>219</v>
      </c>
      <c r="P19" t="n">
        <v>3.5</v>
      </c>
      <c r="Q19" t="n">
        <v>0</v>
      </c>
      <c r="R19" t="n">
        <v>65.7</v>
      </c>
      <c r="S19" t="n">
        <v>0</v>
      </c>
      <c r="T19" t="n">
        <v>0</v>
      </c>
      <c r="U19" t="n">
        <v>0</v>
      </c>
      <c r="V19" t="n">
        <v>7.84</v>
      </c>
      <c r="W19" t="n">
        <v>164.64</v>
      </c>
      <c r="X19" t="n">
        <v>156.8</v>
      </c>
      <c r="Y19" t="n">
        <v>19</v>
      </c>
      <c r="Z19" t="n">
        <v>29.79</v>
      </c>
      <c r="AA19" t="n">
        <v>3.03</v>
      </c>
      <c r="AB19" t="n">
        <v>32.82</v>
      </c>
      <c r="AC19" t="n">
        <v>5.91</v>
      </c>
      <c r="AD19" t="n">
        <v>0</v>
      </c>
      <c r="AE19" t="n">
        <v>156.8</v>
      </c>
      <c r="AF19" t="n">
        <v>0</v>
      </c>
      <c r="AG19" t="n">
        <v>0</v>
      </c>
      <c r="AH19" t="n">
        <v>0.16</v>
      </c>
      <c r="AI19" t="n">
        <v>7.85</v>
      </c>
      <c r="AJ19" t="n">
        <v>-0.01</v>
      </c>
      <c r="AK19" t="n">
        <v>13.92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46.74</v>
      </c>
      <c r="AV19" t="n">
        <v>0</v>
      </c>
      <c r="AW19" t="n">
        <v>117.9</v>
      </c>
      <c r="AX19" t="inlineStr">
        <is>
          <t>settled</t>
        </is>
      </c>
      <c r="AY19" t="inlineStr">
        <is>
          <t>2025-12-10 05:30:00</t>
        </is>
      </c>
      <c r="AZ19" t="inlineStr">
        <is>
          <t>CITIN25668288188</t>
        </is>
      </c>
      <c r="BA19" t="n">
        <v>0</v>
      </c>
      <c r="BB19" t="inlineStr">
        <is>
          <t>dffca9971bdd0111cec3def15d1c6f86ec2660f93105bdc2fd1995bc9fc8a4d2</t>
        </is>
      </c>
    </row>
    <row r="20">
      <c r="A20" t="inlineStr">
        <is>
          <t>15</t>
        </is>
      </c>
      <c r="B20" t="inlineStr">
        <is>
          <t>7528368168</t>
        </is>
      </c>
      <c r="C20" t="inlineStr">
        <is>
          <t>2025-12-01 03:24:20</t>
        </is>
      </c>
      <c r="D20" t="inlineStr">
        <is>
          <t>49</t>
        </is>
      </c>
      <c r="E20" t="inlineStr">
        <is>
          <t>Sha Sha - Shandaar Shawarma</t>
        </is>
      </c>
      <c r="F20" t="inlineStr">
        <is>
          <t>18557902</t>
        </is>
      </c>
      <c r="G20" t="inlineStr">
        <is>
          <t>30% off upto ₹75 (2025-06-25 - 2031-01-01)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36</t>
        </is>
      </c>
      <c r="O20" t="n">
        <v>328</v>
      </c>
      <c r="P20" t="n">
        <v>3.5</v>
      </c>
      <c r="Q20" t="n">
        <v>0</v>
      </c>
      <c r="R20" t="n">
        <v>75</v>
      </c>
      <c r="S20" t="n">
        <v>0</v>
      </c>
      <c r="T20" t="n">
        <v>0</v>
      </c>
      <c r="U20" t="n">
        <v>0</v>
      </c>
      <c r="V20" t="n">
        <v>12.83</v>
      </c>
      <c r="W20" t="n">
        <v>269.33</v>
      </c>
      <c r="X20" t="n">
        <v>256.5</v>
      </c>
      <c r="Y20" t="n">
        <v>19</v>
      </c>
      <c r="Z20" t="n">
        <v>48.74</v>
      </c>
      <c r="AA20" t="n">
        <v>4.96</v>
      </c>
      <c r="AB20" t="n">
        <v>53.7</v>
      </c>
      <c r="AC20" t="n">
        <v>9.66</v>
      </c>
      <c r="AD20" t="n">
        <v>0</v>
      </c>
      <c r="AE20" t="n">
        <v>256.5</v>
      </c>
      <c r="AF20" t="n">
        <v>0</v>
      </c>
      <c r="AG20" t="n">
        <v>0</v>
      </c>
      <c r="AH20" t="n">
        <v>0.26</v>
      </c>
      <c r="AI20" t="n">
        <v>12.83</v>
      </c>
      <c r="AJ20" t="n">
        <v>0</v>
      </c>
      <c r="AK20" t="n">
        <v>22.75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76.45</v>
      </c>
      <c r="AV20" t="n">
        <v>0</v>
      </c>
      <c r="AW20" t="n">
        <v>192.88</v>
      </c>
      <c r="AX20" t="inlineStr">
        <is>
          <t>settled</t>
        </is>
      </c>
      <c r="AY20" t="inlineStr">
        <is>
          <t>2025-12-10 05:30:00</t>
        </is>
      </c>
      <c r="AZ20" t="inlineStr">
        <is>
          <t>CITIN25668288188</t>
        </is>
      </c>
      <c r="BA20" t="n">
        <v>0</v>
      </c>
      <c r="BB20" t="inlineStr">
        <is>
          <t>505c062546b9455f6c790b5580b0b85f23fcf23c312eb33d31ba64116c678ead</t>
        </is>
      </c>
    </row>
    <row r="21">
      <c r="A21" t="inlineStr">
        <is>
          <t>16</t>
        </is>
      </c>
      <c r="B21" t="inlineStr">
        <is>
          <t>7517616357</t>
        </is>
      </c>
      <c r="C21" t="inlineStr">
        <is>
          <t>2025-12-01 03:25:50</t>
        </is>
      </c>
      <c r="D21" t="inlineStr">
        <is>
          <t>49</t>
        </is>
      </c>
      <c r="E21" t="inlineStr">
        <is>
          <t>Sha Sha - Shandaar Shawarma</t>
        </is>
      </c>
      <c r="F21" t="inlineStr">
        <is>
          <t>18557902</t>
        </is>
      </c>
      <c r="G21" t="inlineStr">
        <is>
          <t>NA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36</t>
        </is>
      </c>
      <c r="O21" t="n">
        <v>578</v>
      </c>
      <c r="P21" t="n">
        <v>3.5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29.08</v>
      </c>
      <c r="W21" t="n">
        <v>610.58</v>
      </c>
      <c r="X21" t="n">
        <v>581.5</v>
      </c>
      <c r="Y21" t="n">
        <v>19</v>
      </c>
      <c r="Z21" t="n">
        <v>110.48</v>
      </c>
      <c r="AA21" t="n">
        <v>11.23</v>
      </c>
      <c r="AB21" t="n">
        <v>121.71</v>
      </c>
      <c r="AC21" t="n">
        <v>21.91</v>
      </c>
      <c r="AD21" t="n">
        <v>0</v>
      </c>
      <c r="AE21" t="n">
        <v>581.5</v>
      </c>
      <c r="AF21" t="n">
        <v>0</v>
      </c>
      <c r="AG21" t="n">
        <v>0</v>
      </c>
      <c r="AH21" t="n">
        <v>0.58</v>
      </c>
      <c r="AI21" t="n">
        <v>29.08</v>
      </c>
      <c r="AJ21" t="n">
        <v>0</v>
      </c>
      <c r="AK21" t="n">
        <v>51.57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173.28</v>
      </c>
      <c r="AV21" t="n">
        <v>0</v>
      </c>
      <c r="AW21" t="n">
        <v>437.3</v>
      </c>
      <c r="AX21" t="inlineStr">
        <is>
          <t>settled</t>
        </is>
      </c>
      <c r="AY21" t="inlineStr">
        <is>
          <t>2025-12-10 05:30:00</t>
        </is>
      </c>
      <c r="AZ21" t="inlineStr">
        <is>
          <t>CITIN25668288188</t>
        </is>
      </c>
      <c r="BA21" t="n">
        <v>0</v>
      </c>
      <c r="BB21" t="inlineStr">
        <is>
          <t>340559a9bf9192ec8146e034939bfbd15045e4156c99e2be393e4c6193214a2e</t>
        </is>
      </c>
    </row>
    <row r="22">
      <c r="A22" t="inlineStr">
        <is>
          <t>17</t>
        </is>
      </c>
      <c r="B22" t="inlineStr">
        <is>
          <t>7537667311</t>
        </is>
      </c>
      <c r="C22" t="inlineStr">
        <is>
          <t>2025-12-01 13:08:58</t>
        </is>
      </c>
      <c r="D22" t="inlineStr">
        <is>
          <t>49</t>
        </is>
      </c>
      <c r="E22" t="inlineStr">
        <is>
          <t>Sha Sha - Shandaar Shawarma</t>
        </is>
      </c>
      <c r="F22" t="inlineStr">
        <is>
          <t>18557902</t>
        </is>
      </c>
      <c r="G22" t="inlineStr">
        <is>
          <t>30% off upto ₹75 (2025-06-25 - 2031-01-01)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36</t>
        </is>
      </c>
      <c r="O22" t="n">
        <v>219</v>
      </c>
      <c r="P22" t="n">
        <v>3.5</v>
      </c>
      <c r="Q22" t="n">
        <v>0</v>
      </c>
      <c r="R22" t="n">
        <v>65.7</v>
      </c>
      <c r="S22" t="n">
        <v>0</v>
      </c>
      <c r="T22" t="n">
        <v>0</v>
      </c>
      <c r="U22" t="n">
        <v>0</v>
      </c>
      <c r="V22" t="n">
        <v>7.84</v>
      </c>
      <c r="W22" t="n">
        <v>164.64</v>
      </c>
      <c r="X22" t="n">
        <v>156.8</v>
      </c>
      <c r="Y22" t="n">
        <v>19</v>
      </c>
      <c r="Z22" t="n">
        <v>29.79</v>
      </c>
      <c r="AA22" t="n">
        <v>3.03</v>
      </c>
      <c r="AB22" t="n">
        <v>32.82</v>
      </c>
      <c r="AC22" t="n">
        <v>5.91</v>
      </c>
      <c r="AD22" t="n">
        <v>0</v>
      </c>
      <c r="AE22" t="n">
        <v>156.8</v>
      </c>
      <c r="AF22" t="n">
        <v>0</v>
      </c>
      <c r="AG22" t="n">
        <v>0</v>
      </c>
      <c r="AH22" t="n">
        <v>0.16</v>
      </c>
      <c r="AI22" t="n">
        <v>7.85</v>
      </c>
      <c r="AJ22" t="n">
        <v>-0.01</v>
      </c>
      <c r="AK22" t="n">
        <v>13.92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46.74</v>
      </c>
      <c r="AV22" t="n">
        <v>0</v>
      </c>
      <c r="AW22" t="n">
        <v>117.9</v>
      </c>
      <c r="AX22" t="inlineStr">
        <is>
          <t>settled</t>
        </is>
      </c>
      <c r="AY22" t="inlineStr">
        <is>
          <t>2025-12-10 05:30:00</t>
        </is>
      </c>
      <c r="AZ22" t="inlineStr">
        <is>
          <t>CITIN25668288188</t>
        </is>
      </c>
      <c r="BA22" t="n">
        <v>0</v>
      </c>
      <c r="BB22" t="inlineStr">
        <is>
          <t>cf94b36b40ba4ad5a14560d903f8f53806fef742ba9d72bc8d13ef132d66c279</t>
        </is>
      </c>
    </row>
    <row r="23">
      <c r="A23" t="inlineStr">
        <is>
          <t>18</t>
        </is>
      </c>
      <c r="B23" t="inlineStr">
        <is>
          <t>7538357230</t>
        </is>
      </c>
      <c r="C23" t="inlineStr">
        <is>
          <t>2025-12-01 13:20:31</t>
        </is>
      </c>
      <c r="D23" t="inlineStr">
        <is>
          <t>49</t>
        </is>
      </c>
      <c r="E23" t="inlineStr">
        <is>
          <t>Sha Sha - Shandaar Shawarma</t>
        </is>
      </c>
      <c r="F23" t="inlineStr">
        <is>
          <t>18557902</t>
        </is>
      </c>
      <c r="G23" t="inlineStr">
        <is>
          <t>30% off upto ₹75 (2025-06-25 - 2031-01-01)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36</t>
        </is>
      </c>
      <c r="O23" t="n">
        <v>219</v>
      </c>
      <c r="P23" t="n">
        <v>3.5</v>
      </c>
      <c r="Q23" t="n">
        <v>0</v>
      </c>
      <c r="R23" t="n">
        <v>65.7</v>
      </c>
      <c r="S23" t="n">
        <v>0</v>
      </c>
      <c r="T23" t="n">
        <v>0</v>
      </c>
      <c r="U23" t="n">
        <v>0</v>
      </c>
      <c r="V23" t="n">
        <v>7.84</v>
      </c>
      <c r="W23" t="n">
        <v>164.64</v>
      </c>
      <c r="X23" t="n">
        <v>156.8</v>
      </c>
      <c r="Y23" t="n">
        <v>19</v>
      </c>
      <c r="Z23" t="n">
        <v>29.79</v>
      </c>
      <c r="AA23" t="n">
        <v>3.03</v>
      </c>
      <c r="AB23" t="n">
        <v>32.82</v>
      </c>
      <c r="AC23" t="n">
        <v>5.91</v>
      </c>
      <c r="AD23" t="n">
        <v>0</v>
      </c>
      <c r="AE23" t="n">
        <v>156.8</v>
      </c>
      <c r="AF23" t="n">
        <v>0</v>
      </c>
      <c r="AG23" t="n">
        <v>0</v>
      </c>
      <c r="AH23" t="n">
        <v>0.16</v>
      </c>
      <c r="AI23" t="n">
        <v>7.85</v>
      </c>
      <c r="AJ23" t="n">
        <v>-0.01</v>
      </c>
      <c r="AK23" t="n">
        <v>13.92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46.74</v>
      </c>
      <c r="AV23" t="n">
        <v>0</v>
      </c>
      <c r="AW23" t="n">
        <v>117.9</v>
      </c>
      <c r="AX23" t="inlineStr">
        <is>
          <t>settled</t>
        </is>
      </c>
      <c r="AY23" t="inlineStr">
        <is>
          <t>2025-12-10 05:30:00</t>
        </is>
      </c>
      <c r="AZ23" t="inlineStr">
        <is>
          <t>CITIN25668288188</t>
        </is>
      </c>
      <c r="BA23" t="n">
        <v>0</v>
      </c>
      <c r="BB23" t="inlineStr">
        <is>
          <t>3704a57fe5edaae369465b0cb6a181dfffb85f8a7c57f37241fcfd89bdcf9a9a</t>
        </is>
      </c>
    </row>
    <row r="24">
      <c r="A24" t="inlineStr">
        <is>
          <t>19</t>
        </is>
      </c>
      <c r="B24" t="inlineStr">
        <is>
          <t>7534771365</t>
        </is>
      </c>
      <c r="C24" t="inlineStr">
        <is>
          <t>2025-12-01 15:05:28</t>
        </is>
      </c>
      <c r="D24" t="inlineStr">
        <is>
          <t>49</t>
        </is>
      </c>
      <c r="E24" t="inlineStr">
        <is>
          <t>Sha Sha - Shandaar Shawarma</t>
        </is>
      </c>
      <c r="F24" t="inlineStr">
        <is>
          <t>18557902</t>
        </is>
      </c>
      <c r="G24" t="inlineStr">
        <is>
          <t>30% off upto ₹75 (2025-06-25 - 2031-01-01)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36</t>
        </is>
      </c>
      <c r="O24" t="n">
        <v>229</v>
      </c>
      <c r="P24" t="n">
        <v>3.5</v>
      </c>
      <c r="Q24" t="n">
        <v>0</v>
      </c>
      <c r="R24" t="n">
        <v>68.7</v>
      </c>
      <c r="S24" t="n">
        <v>0</v>
      </c>
      <c r="T24" t="n">
        <v>0</v>
      </c>
      <c r="U24" t="n">
        <v>0</v>
      </c>
      <c r="V24" t="n">
        <v>8.19</v>
      </c>
      <c r="W24" t="n">
        <v>171.99</v>
      </c>
      <c r="X24" t="n">
        <v>163.8</v>
      </c>
      <c r="Y24" t="n">
        <v>19</v>
      </c>
      <c r="Z24" t="n">
        <v>31.12</v>
      </c>
      <c r="AA24" t="n">
        <v>3.16</v>
      </c>
      <c r="AB24" t="n">
        <v>34.28</v>
      </c>
      <c r="AC24" t="n">
        <v>6.17</v>
      </c>
      <c r="AD24" t="n">
        <v>0</v>
      </c>
      <c r="AE24" t="n">
        <v>163.8</v>
      </c>
      <c r="AF24" t="n">
        <v>0</v>
      </c>
      <c r="AG24" t="n">
        <v>0</v>
      </c>
      <c r="AH24" t="n">
        <v>0.16</v>
      </c>
      <c r="AI24" t="n">
        <v>8.199999999999999</v>
      </c>
      <c r="AJ24" t="n">
        <v>-0.01</v>
      </c>
      <c r="AK24" t="n">
        <v>14.53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48.81</v>
      </c>
      <c r="AV24" t="n">
        <v>0</v>
      </c>
      <c r="AW24" t="n">
        <v>123.18</v>
      </c>
      <c r="AX24" t="inlineStr">
        <is>
          <t>settled</t>
        </is>
      </c>
      <c r="AY24" t="inlineStr">
        <is>
          <t>2025-12-10 05:30:00</t>
        </is>
      </c>
      <c r="AZ24" t="inlineStr">
        <is>
          <t>CITIN25668288188</t>
        </is>
      </c>
      <c r="BA24" t="n">
        <v>0</v>
      </c>
      <c r="BB24" t="inlineStr">
        <is>
          <t>981bd64341e87ed3054732db2783bb812130cd2ac7b5dd59f85f8feb76874edc</t>
        </is>
      </c>
    </row>
    <row r="25">
      <c r="A25" t="inlineStr">
        <is>
          <t>20</t>
        </is>
      </c>
      <c r="B25" t="inlineStr">
        <is>
          <t>7537430847</t>
        </is>
      </c>
      <c r="C25" t="inlineStr">
        <is>
          <t>2025-12-01 15:54:44</t>
        </is>
      </c>
      <c r="D25" t="inlineStr">
        <is>
          <t>49</t>
        </is>
      </c>
      <c r="E25" t="inlineStr">
        <is>
          <t>Sha Sha - Shandaar Shawarma</t>
        </is>
      </c>
      <c r="F25" t="inlineStr">
        <is>
          <t>18557902</t>
        </is>
      </c>
      <c r="G25" t="inlineStr">
        <is>
          <t>NA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36</t>
        </is>
      </c>
      <c r="O25" t="n">
        <v>467</v>
      </c>
      <c r="P25" t="n">
        <v>3.5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23.53</v>
      </c>
      <c r="W25" t="n">
        <v>494.03</v>
      </c>
      <c r="X25" t="n">
        <v>470.5</v>
      </c>
      <c r="Y25" t="n">
        <v>19</v>
      </c>
      <c r="Z25" t="n">
        <v>89.40000000000001</v>
      </c>
      <c r="AA25" t="n">
        <v>9.09</v>
      </c>
      <c r="AB25" t="n">
        <v>98.48999999999999</v>
      </c>
      <c r="AC25" t="n">
        <v>17.73</v>
      </c>
      <c r="AD25" t="n">
        <v>0</v>
      </c>
      <c r="AE25" t="n">
        <v>470.5</v>
      </c>
      <c r="AF25" t="n">
        <v>0</v>
      </c>
      <c r="AG25" t="n">
        <v>0</v>
      </c>
      <c r="AH25" t="n">
        <v>0.47</v>
      </c>
      <c r="AI25" t="n">
        <v>23.53</v>
      </c>
      <c r="AJ25" t="n">
        <v>0</v>
      </c>
      <c r="AK25" t="n">
        <v>41.73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140.22</v>
      </c>
      <c r="AV25" t="n">
        <v>0</v>
      </c>
      <c r="AW25" t="n">
        <v>353.81</v>
      </c>
      <c r="AX25" t="inlineStr">
        <is>
          <t>settled</t>
        </is>
      </c>
      <c r="AY25" t="inlineStr">
        <is>
          <t>2025-12-10 05:30:00</t>
        </is>
      </c>
      <c r="AZ25" t="inlineStr">
        <is>
          <t>CITIN25668288188</t>
        </is>
      </c>
      <c r="BA25" t="n">
        <v>0</v>
      </c>
      <c r="BB25" t="inlineStr">
        <is>
          <t>94afbba1e9c5838a09d5d01fe8d1a1d0de331a56ce1cf9bbf619b31c924b6fd2</t>
        </is>
      </c>
    </row>
    <row r="26">
      <c r="A26" t="inlineStr">
        <is>
          <t>21</t>
        </is>
      </c>
      <c r="B26" t="inlineStr">
        <is>
          <t>7530690485</t>
        </is>
      </c>
      <c r="C26" t="inlineStr">
        <is>
          <t>2025-12-01 15:57:27</t>
        </is>
      </c>
      <c r="D26" t="inlineStr">
        <is>
          <t>49</t>
        </is>
      </c>
      <c r="E26" t="inlineStr">
        <is>
          <t>Sha Sha - Shandaar Shawarma</t>
        </is>
      </c>
      <c r="F26" t="inlineStr">
        <is>
          <t>18557902</t>
        </is>
      </c>
      <c r="G26" t="inlineStr">
        <is>
          <t>NA</t>
        </is>
      </c>
      <c r="H26" t="inlineStr">
        <is>
          <t>ONLINE</t>
        </is>
      </c>
      <c r="I26" t="inlineStr">
        <is>
          <t>DELIVERED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O2</t>
        </is>
      </c>
      <c r="N26" t="inlineStr">
        <is>
          <t>36</t>
        </is>
      </c>
      <c r="O26" t="n">
        <v>229</v>
      </c>
      <c r="P26" t="n">
        <v>3.5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11.63</v>
      </c>
      <c r="W26" t="n">
        <v>244.13</v>
      </c>
      <c r="X26" t="n">
        <v>232.5</v>
      </c>
      <c r="Y26" t="n">
        <v>19</v>
      </c>
      <c r="Z26" t="n">
        <v>44.18</v>
      </c>
      <c r="AA26" t="n">
        <v>4.49</v>
      </c>
      <c r="AB26" t="n">
        <v>48.67</v>
      </c>
      <c r="AC26" t="n">
        <v>8.76</v>
      </c>
      <c r="AD26" t="n">
        <v>0</v>
      </c>
      <c r="AE26" t="n">
        <v>232.5</v>
      </c>
      <c r="AF26" t="n">
        <v>0</v>
      </c>
      <c r="AG26" t="n">
        <v>0</v>
      </c>
      <c r="AH26" t="n">
        <v>0.23</v>
      </c>
      <c r="AI26" t="n">
        <v>11.63</v>
      </c>
      <c r="AJ26" t="n">
        <v>0</v>
      </c>
      <c r="AK26" t="n">
        <v>20.62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69.29000000000001</v>
      </c>
      <c r="AV26" t="n">
        <v>0</v>
      </c>
      <c r="AW26" t="n">
        <v>174.84</v>
      </c>
      <c r="AX26" t="inlineStr">
        <is>
          <t>settled</t>
        </is>
      </c>
      <c r="AY26" t="inlineStr">
        <is>
          <t>2025-12-10 05:30:00</t>
        </is>
      </c>
      <c r="AZ26" t="inlineStr">
        <is>
          <t>CITIN25668288188</t>
        </is>
      </c>
      <c r="BA26" t="n">
        <v>0</v>
      </c>
      <c r="BB26" t="inlineStr">
        <is>
          <t>83a612bf7bf0c1af5ad12b07177b973aa1d06ec0009a6c58042d615705378c06</t>
        </is>
      </c>
    </row>
    <row r="27">
      <c r="A27" t="inlineStr">
        <is>
          <t>22</t>
        </is>
      </c>
      <c r="B27" t="inlineStr">
        <is>
          <t>7535161566</t>
        </is>
      </c>
      <c r="C27" t="inlineStr">
        <is>
          <t>2025-12-01 16:02:52</t>
        </is>
      </c>
      <c r="D27" t="inlineStr">
        <is>
          <t>49</t>
        </is>
      </c>
      <c r="E27" t="inlineStr">
        <is>
          <t>Sha Sha - Shandaar Shawarma</t>
        </is>
      </c>
      <c r="F27" t="inlineStr">
        <is>
          <t>18557902</t>
        </is>
      </c>
      <c r="G27" t="inlineStr">
        <is>
          <t>30% off upto ₹75 (2025-06-25 - 2031-01-01)</t>
        </is>
      </c>
      <c r="H27" t="inlineStr">
        <is>
          <t>ONLINE</t>
        </is>
      </c>
      <c r="I27" t="inlineStr">
        <is>
          <t>DELIVERED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O2</t>
        </is>
      </c>
      <c r="N27" t="inlineStr">
        <is>
          <t>36</t>
        </is>
      </c>
      <c r="O27" t="n">
        <v>368</v>
      </c>
      <c r="P27" t="n">
        <v>3.5</v>
      </c>
      <c r="Q27" t="n">
        <v>0</v>
      </c>
      <c r="R27" t="n">
        <v>75</v>
      </c>
      <c r="S27" t="n">
        <v>0</v>
      </c>
      <c r="T27" t="n">
        <v>0</v>
      </c>
      <c r="U27" t="n">
        <v>0</v>
      </c>
      <c r="V27" t="n">
        <v>14.83</v>
      </c>
      <c r="W27" t="n">
        <v>311.33</v>
      </c>
      <c r="X27" t="n">
        <v>296.5</v>
      </c>
      <c r="Y27" t="n">
        <v>19</v>
      </c>
      <c r="Z27" t="n">
        <v>56.34</v>
      </c>
      <c r="AA27" t="n">
        <v>5.73</v>
      </c>
      <c r="AB27" t="n">
        <v>62.07</v>
      </c>
      <c r="AC27" t="n">
        <v>11.17</v>
      </c>
      <c r="AD27" t="n">
        <v>0</v>
      </c>
      <c r="AE27" t="n">
        <v>296.5</v>
      </c>
      <c r="AF27" t="n">
        <v>0</v>
      </c>
      <c r="AG27" t="n">
        <v>0</v>
      </c>
      <c r="AH27" t="n">
        <v>0.3</v>
      </c>
      <c r="AI27" t="n">
        <v>14.83</v>
      </c>
      <c r="AJ27" t="n">
        <v>0</v>
      </c>
      <c r="AK27" t="n">
        <v>26.3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88.37</v>
      </c>
      <c r="AV27" t="n">
        <v>0</v>
      </c>
      <c r="AW27" t="n">
        <v>222.96</v>
      </c>
      <c r="AX27" t="inlineStr">
        <is>
          <t>settled</t>
        </is>
      </c>
      <c r="AY27" t="inlineStr">
        <is>
          <t>2025-12-10 05:30:00</t>
        </is>
      </c>
      <c r="AZ27" t="inlineStr">
        <is>
          <t>CITIN25668288188</t>
        </is>
      </c>
      <c r="BA27" t="n">
        <v>0</v>
      </c>
      <c r="BB27" t="inlineStr">
        <is>
          <t>cac8dc6f644da8ae35cb8eb84907e367cac69a01b9641a8479c9b1d8092d947a</t>
        </is>
      </c>
    </row>
    <row r="28">
      <c r="A28" t="inlineStr">
        <is>
          <t>23</t>
        </is>
      </c>
      <c r="B28" t="inlineStr">
        <is>
          <t>7537193902</t>
        </is>
      </c>
      <c r="C28" t="inlineStr">
        <is>
          <t>2025-12-01 16:04:58</t>
        </is>
      </c>
      <c r="D28" t="inlineStr">
        <is>
          <t>49</t>
        </is>
      </c>
      <c r="E28" t="inlineStr">
        <is>
          <t>Sha Sha - Shandaar Shawarma</t>
        </is>
      </c>
      <c r="F28" t="inlineStr">
        <is>
          <t>18557902</t>
        </is>
      </c>
      <c r="G28" t="inlineStr">
        <is>
          <t>30% off upto ₹75 (2025-06-25 - 2031-01-01)</t>
        </is>
      </c>
      <c r="H28" t="inlineStr">
        <is>
          <t>ONLINE</t>
        </is>
      </c>
      <c r="I28" t="inlineStr">
        <is>
          <t>DELIVERED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O2</t>
        </is>
      </c>
      <c r="N28" t="inlineStr">
        <is>
          <t>36</t>
        </is>
      </c>
      <c r="O28" t="n">
        <v>229</v>
      </c>
      <c r="P28" t="n">
        <v>3.5</v>
      </c>
      <c r="Q28" t="n">
        <v>0</v>
      </c>
      <c r="R28" t="n">
        <v>68.7</v>
      </c>
      <c r="S28" t="n">
        <v>0</v>
      </c>
      <c r="T28" t="n">
        <v>0</v>
      </c>
      <c r="U28" t="n">
        <v>0</v>
      </c>
      <c r="V28" t="n">
        <v>8.19</v>
      </c>
      <c r="W28" t="n">
        <v>171.99</v>
      </c>
      <c r="X28" t="n">
        <v>163.8</v>
      </c>
      <c r="Y28" t="n">
        <v>19</v>
      </c>
      <c r="Z28" t="n">
        <v>31.12</v>
      </c>
      <c r="AA28" t="n">
        <v>3.16</v>
      </c>
      <c r="AB28" t="n">
        <v>34.28</v>
      </c>
      <c r="AC28" t="n">
        <v>6.17</v>
      </c>
      <c r="AD28" t="n">
        <v>0</v>
      </c>
      <c r="AE28" t="n">
        <v>163.8</v>
      </c>
      <c r="AF28" t="n">
        <v>0</v>
      </c>
      <c r="AG28" t="n">
        <v>0</v>
      </c>
      <c r="AH28" t="n">
        <v>0.16</v>
      </c>
      <c r="AI28" t="n">
        <v>8.199999999999999</v>
      </c>
      <c r="AJ28" t="n">
        <v>-0.01</v>
      </c>
      <c r="AK28" t="n">
        <v>14.53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48.81</v>
      </c>
      <c r="AV28" t="n">
        <v>0</v>
      </c>
      <c r="AW28" t="n">
        <v>123.18</v>
      </c>
      <c r="AX28" t="inlineStr">
        <is>
          <t>settled</t>
        </is>
      </c>
      <c r="AY28" t="inlineStr">
        <is>
          <t>2025-12-10 05:30:00</t>
        </is>
      </c>
      <c r="AZ28" t="inlineStr">
        <is>
          <t>CITIN25668288188</t>
        </is>
      </c>
      <c r="BA28" t="n">
        <v>0</v>
      </c>
      <c r="BB28" t="inlineStr">
        <is>
          <t>bbae99c069f5a4a75d2a57f7e63747ee4c107267c3a7a0a27a9964f12c47f02f</t>
        </is>
      </c>
    </row>
    <row r="29">
      <c r="A29" t="inlineStr">
        <is>
          <t>24</t>
        </is>
      </c>
      <c r="B29" t="inlineStr">
        <is>
          <t>7536393562</t>
        </is>
      </c>
      <c r="C29" t="inlineStr">
        <is>
          <t>2025-12-01 16:41:11</t>
        </is>
      </c>
      <c r="D29" t="inlineStr">
        <is>
          <t>49</t>
        </is>
      </c>
      <c r="E29" t="inlineStr">
        <is>
          <t>Sha Sha - Shandaar Shawarma</t>
        </is>
      </c>
      <c r="F29" t="inlineStr">
        <is>
          <t>18557902</t>
        </is>
      </c>
      <c r="G29" t="inlineStr">
        <is>
          <t>NA</t>
        </is>
      </c>
      <c r="H29" t="inlineStr">
        <is>
          <t>ONLINE</t>
        </is>
      </c>
      <c r="I29" t="inlineStr">
        <is>
          <t>DELIVERED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O2</t>
        </is>
      </c>
      <c r="N29" t="inlineStr">
        <is>
          <t>36</t>
        </is>
      </c>
      <c r="O29" t="n">
        <v>229</v>
      </c>
      <c r="P29" t="n">
        <v>3.5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11.63</v>
      </c>
      <c r="W29" t="n">
        <v>244.13</v>
      </c>
      <c r="X29" t="n">
        <v>232.5</v>
      </c>
      <c r="Y29" t="n">
        <v>19</v>
      </c>
      <c r="Z29" t="n">
        <v>44.18</v>
      </c>
      <c r="AA29" t="n">
        <v>4.49</v>
      </c>
      <c r="AB29" t="n">
        <v>48.67</v>
      </c>
      <c r="AC29" t="n">
        <v>8.76</v>
      </c>
      <c r="AD29" t="n">
        <v>0</v>
      </c>
      <c r="AE29" t="n">
        <v>232.5</v>
      </c>
      <c r="AF29" t="n">
        <v>0</v>
      </c>
      <c r="AG29" t="n">
        <v>0</v>
      </c>
      <c r="AH29" t="n">
        <v>0.23</v>
      </c>
      <c r="AI29" t="n">
        <v>11.63</v>
      </c>
      <c r="AJ29" t="n">
        <v>0</v>
      </c>
      <c r="AK29" t="n">
        <v>20.62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69.29000000000001</v>
      </c>
      <c r="AV29" t="n">
        <v>0</v>
      </c>
      <c r="AW29" t="n">
        <v>174.84</v>
      </c>
      <c r="AX29" t="inlineStr">
        <is>
          <t>settled</t>
        </is>
      </c>
      <c r="AY29" t="inlineStr">
        <is>
          <t>2025-12-10 05:30:00</t>
        </is>
      </c>
      <c r="AZ29" t="inlineStr">
        <is>
          <t>CITIN25668288188</t>
        </is>
      </c>
      <c r="BA29" t="n">
        <v>0</v>
      </c>
      <c r="BB29" t="inlineStr">
        <is>
          <t>6a6990f81183de7a875020f6ecc1a256c8b0b1b3d2914bf093e6eeb2453b9ba9</t>
        </is>
      </c>
    </row>
    <row r="30">
      <c r="A30" t="inlineStr">
        <is>
          <t>25</t>
        </is>
      </c>
      <c r="B30" t="inlineStr">
        <is>
          <t>7539303157</t>
        </is>
      </c>
      <c r="C30" t="inlineStr">
        <is>
          <t>2025-12-01 17:53:40</t>
        </is>
      </c>
      <c r="D30" t="inlineStr">
        <is>
          <t>49</t>
        </is>
      </c>
      <c r="E30" t="inlineStr">
        <is>
          <t>Sha Sha - Shandaar Shawarma</t>
        </is>
      </c>
      <c r="F30" t="inlineStr">
        <is>
          <t>18557902</t>
        </is>
      </c>
      <c r="G30" t="inlineStr">
        <is>
          <t>30% off upto ₹75 (2025-06-25 - 2031-01-01)</t>
        </is>
      </c>
      <c r="H30" t="inlineStr">
        <is>
          <t>ONLINE</t>
        </is>
      </c>
      <c r="I30" t="inlineStr">
        <is>
          <t>DELIVERED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O2</t>
        </is>
      </c>
      <c r="N30" t="inlineStr">
        <is>
          <t>36</t>
        </is>
      </c>
      <c r="O30" t="n">
        <v>199</v>
      </c>
      <c r="P30" t="n">
        <v>3.5</v>
      </c>
      <c r="Q30" t="n">
        <v>0</v>
      </c>
      <c r="R30" t="n">
        <v>59.7</v>
      </c>
      <c r="S30" t="n">
        <v>0</v>
      </c>
      <c r="T30" t="n">
        <v>0</v>
      </c>
      <c r="U30" t="n">
        <v>0</v>
      </c>
      <c r="V30" t="n">
        <v>7.14</v>
      </c>
      <c r="W30" t="n">
        <v>149.94</v>
      </c>
      <c r="X30" t="n">
        <v>142.8</v>
      </c>
      <c r="Y30" t="n">
        <v>19</v>
      </c>
      <c r="Z30" t="n">
        <v>27.13</v>
      </c>
      <c r="AA30" t="n">
        <v>2.76</v>
      </c>
      <c r="AB30" t="n">
        <v>29.89</v>
      </c>
      <c r="AC30" t="n">
        <v>5.38</v>
      </c>
      <c r="AD30" t="n">
        <v>0</v>
      </c>
      <c r="AE30" t="n">
        <v>142.8</v>
      </c>
      <c r="AF30" t="n">
        <v>0</v>
      </c>
      <c r="AG30" t="n">
        <v>0</v>
      </c>
      <c r="AH30" t="n">
        <v>0.14</v>
      </c>
      <c r="AI30" t="n">
        <v>7.15</v>
      </c>
      <c r="AJ30" t="n">
        <v>-0.01</v>
      </c>
      <c r="AK30" t="n">
        <v>12.67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42.56</v>
      </c>
      <c r="AV30" t="n">
        <v>0</v>
      </c>
      <c r="AW30" t="n">
        <v>107.38</v>
      </c>
      <c r="AX30" t="inlineStr">
        <is>
          <t>settled</t>
        </is>
      </c>
      <c r="AY30" t="inlineStr">
        <is>
          <t>2025-12-10 05:30:00</t>
        </is>
      </c>
      <c r="AZ30" t="inlineStr">
        <is>
          <t>CITIN25668288188</t>
        </is>
      </c>
      <c r="BA30" t="n">
        <v>0</v>
      </c>
      <c r="BB30" t="inlineStr">
        <is>
          <t>26c33a1aaadd53fe20f74d4d41459630ff6bd27838b27f9704ad3821d47a8d65</t>
        </is>
      </c>
    </row>
    <row r="31">
      <c r="A31" t="inlineStr">
        <is>
          <t>26</t>
        </is>
      </c>
      <c r="B31" t="inlineStr">
        <is>
          <t>7538616196</t>
        </is>
      </c>
      <c r="C31" t="inlineStr">
        <is>
          <t>2025-12-01 18:04:24</t>
        </is>
      </c>
      <c r="D31" t="inlineStr">
        <is>
          <t>49</t>
        </is>
      </c>
      <c r="E31" t="inlineStr">
        <is>
          <t>Sha Sha - Shandaar Shawarma</t>
        </is>
      </c>
      <c r="F31" t="inlineStr">
        <is>
          <t>18557902</t>
        </is>
      </c>
      <c r="G31" t="inlineStr">
        <is>
          <t>NA</t>
        </is>
      </c>
      <c r="H31" t="inlineStr">
        <is>
          <t>ONLINE</t>
        </is>
      </c>
      <c r="I31" t="inlineStr">
        <is>
          <t>DELIVERED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O2</t>
        </is>
      </c>
      <c r="N31" t="inlineStr">
        <is>
          <t>36</t>
        </is>
      </c>
      <c r="O31" t="n">
        <v>229</v>
      </c>
      <c r="P31" t="n">
        <v>3.5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11.63</v>
      </c>
      <c r="W31" t="n">
        <v>244.13</v>
      </c>
      <c r="X31" t="n">
        <v>232.5</v>
      </c>
      <c r="Y31" t="n">
        <v>19</v>
      </c>
      <c r="Z31" t="n">
        <v>44.18</v>
      </c>
      <c r="AA31" t="n">
        <v>4.49</v>
      </c>
      <c r="AB31" t="n">
        <v>48.67</v>
      </c>
      <c r="AC31" t="n">
        <v>8.76</v>
      </c>
      <c r="AD31" t="n">
        <v>0</v>
      </c>
      <c r="AE31" t="n">
        <v>232.5</v>
      </c>
      <c r="AF31" t="n">
        <v>0</v>
      </c>
      <c r="AG31" t="n">
        <v>0</v>
      </c>
      <c r="AH31" t="n">
        <v>0.23</v>
      </c>
      <c r="AI31" t="n">
        <v>11.63</v>
      </c>
      <c r="AJ31" t="n">
        <v>0</v>
      </c>
      <c r="AK31" t="n">
        <v>20.62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69.29000000000001</v>
      </c>
      <c r="AV31" t="n">
        <v>0</v>
      </c>
      <c r="AW31" t="n">
        <v>174.84</v>
      </c>
      <c r="AX31" t="inlineStr">
        <is>
          <t>settled</t>
        </is>
      </c>
      <c r="AY31" t="inlineStr">
        <is>
          <t>2025-12-10 05:30:00</t>
        </is>
      </c>
      <c r="AZ31" t="inlineStr">
        <is>
          <t>CITIN25668288188</t>
        </is>
      </c>
      <c r="BA31" t="n">
        <v>0</v>
      </c>
      <c r="BB31" t="inlineStr">
        <is>
          <t>10f8fb0885e3b5ab98feee3e076d4ca116674f9d0de9bb608fa144a29fe0475e</t>
        </is>
      </c>
    </row>
    <row r="32">
      <c r="A32" t="inlineStr">
        <is>
          <t>27</t>
        </is>
      </c>
      <c r="B32" t="inlineStr">
        <is>
          <t>7538454252</t>
        </is>
      </c>
      <c r="C32" t="inlineStr">
        <is>
          <t>2025-12-01 18:11:57</t>
        </is>
      </c>
      <c r="D32" t="inlineStr">
        <is>
          <t>49</t>
        </is>
      </c>
      <c r="E32" t="inlineStr">
        <is>
          <t>Sha Sha - Shandaar Shawarma</t>
        </is>
      </c>
      <c r="F32" t="inlineStr">
        <is>
          <t>18557902</t>
        </is>
      </c>
      <c r="G32" t="inlineStr">
        <is>
          <t>30% off upto ₹75 (2025-06-25 - 2031-01-01)</t>
        </is>
      </c>
      <c r="H32" t="inlineStr">
        <is>
          <t>ONLINE</t>
        </is>
      </c>
      <c r="I32" t="inlineStr">
        <is>
          <t>DELIVERED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O2</t>
        </is>
      </c>
      <c r="N32" t="inlineStr">
        <is>
          <t>36</t>
        </is>
      </c>
      <c r="O32" t="n">
        <v>219</v>
      </c>
      <c r="P32" t="n">
        <v>3.5</v>
      </c>
      <c r="Q32" t="n">
        <v>0</v>
      </c>
      <c r="R32" t="n">
        <v>65.7</v>
      </c>
      <c r="S32" t="n">
        <v>0</v>
      </c>
      <c r="T32" t="n">
        <v>0</v>
      </c>
      <c r="U32" t="n">
        <v>0</v>
      </c>
      <c r="V32" t="n">
        <v>7.84</v>
      </c>
      <c r="W32" t="n">
        <v>164.64</v>
      </c>
      <c r="X32" t="n">
        <v>156.8</v>
      </c>
      <c r="Y32" t="n">
        <v>19</v>
      </c>
      <c r="Z32" t="n">
        <v>29.79</v>
      </c>
      <c r="AA32" t="n">
        <v>3.03</v>
      </c>
      <c r="AB32" t="n">
        <v>32.82</v>
      </c>
      <c r="AC32" t="n">
        <v>5.91</v>
      </c>
      <c r="AD32" t="n">
        <v>0</v>
      </c>
      <c r="AE32" t="n">
        <v>156.8</v>
      </c>
      <c r="AF32" t="n">
        <v>0</v>
      </c>
      <c r="AG32" t="n">
        <v>0</v>
      </c>
      <c r="AH32" t="n">
        <v>0.16</v>
      </c>
      <c r="AI32" t="n">
        <v>7.85</v>
      </c>
      <c r="AJ32" t="n">
        <v>-0.01</v>
      </c>
      <c r="AK32" t="n">
        <v>13.92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46.74</v>
      </c>
      <c r="AV32" t="n">
        <v>0</v>
      </c>
      <c r="AW32" t="n">
        <v>117.9</v>
      </c>
      <c r="AX32" t="inlineStr">
        <is>
          <t>settled</t>
        </is>
      </c>
      <c r="AY32" t="inlineStr">
        <is>
          <t>2025-12-10 05:30:00</t>
        </is>
      </c>
      <c r="AZ32" t="inlineStr">
        <is>
          <t>CITIN25668288188</t>
        </is>
      </c>
      <c r="BA32" t="n">
        <v>0</v>
      </c>
      <c r="BB32" t="inlineStr">
        <is>
          <t>99bbec3f3557c37fbf25d3f02048aa6cb8f261ad1ed9403e3c0189a570cd6178</t>
        </is>
      </c>
    </row>
    <row r="33">
      <c r="A33" t="inlineStr">
        <is>
          <t>28</t>
        </is>
      </c>
      <c r="B33" t="inlineStr">
        <is>
          <t>7538343893</t>
        </is>
      </c>
      <c r="C33" t="inlineStr">
        <is>
          <t>2025-12-01 18:24:25</t>
        </is>
      </c>
      <c r="D33" t="inlineStr">
        <is>
          <t>49</t>
        </is>
      </c>
      <c r="E33" t="inlineStr">
        <is>
          <t>Sha Sha - Shandaar Shawarma</t>
        </is>
      </c>
      <c r="F33" t="inlineStr">
        <is>
          <t>18557902</t>
        </is>
      </c>
      <c r="G33" t="inlineStr">
        <is>
          <t>30% off upto ₹75 (2025-06-25 - 2031-01-01)</t>
        </is>
      </c>
      <c r="H33" t="inlineStr">
        <is>
          <t>ONLINE</t>
        </is>
      </c>
      <c r="I33" t="inlineStr">
        <is>
          <t>DELIVERED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O2</t>
        </is>
      </c>
      <c r="N33" t="inlineStr">
        <is>
          <t>36</t>
        </is>
      </c>
      <c r="O33" t="n">
        <v>219</v>
      </c>
      <c r="P33" t="n">
        <v>3.5</v>
      </c>
      <c r="Q33" t="n">
        <v>0</v>
      </c>
      <c r="R33" t="n">
        <v>65.7</v>
      </c>
      <c r="S33" t="n">
        <v>0</v>
      </c>
      <c r="T33" t="n">
        <v>0</v>
      </c>
      <c r="U33" t="n">
        <v>0</v>
      </c>
      <c r="V33" t="n">
        <v>7.84</v>
      </c>
      <c r="W33" t="n">
        <v>164.64</v>
      </c>
      <c r="X33" t="n">
        <v>156.8</v>
      </c>
      <c r="Y33" t="n">
        <v>19</v>
      </c>
      <c r="Z33" t="n">
        <v>29.79</v>
      </c>
      <c r="AA33" t="n">
        <v>3.03</v>
      </c>
      <c r="AB33" t="n">
        <v>32.82</v>
      </c>
      <c r="AC33" t="n">
        <v>5.91</v>
      </c>
      <c r="AD33" t="n">
        <v>0</v>
      </c>
      <c r="AE33" t="n">
        <v>156.8</v>
      </c>
      <c r="AF33" t="n">
        <v>0</v>
      </c>
      <c r="AG33" t="n">
        <v>0</v>
      </c>
      <c r="AH33" t="n">
        <v>0.16</v>
      </c>
      <c r="AI33" t="n">
        <v>7.85</v>
      </c>
      <c r="AJ33" t="n">
        <v>-0.01</v>
      </c>
      <c r="AK33" t="n">
        <v>13.92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46.74</v>
      </c>
      <c r="AV33" t="n">
        <v>0</v>
      </c>
      <c r="AW33" t="n">
        <v>117.9</v>
      </c>
      <c r="AX33" t="inlineStr">
        <is>
          <t>settled</t>
        </is>
      </c>
      <c r="AY33" t="inlineStr">
        <is>
          <t>2025-12-10 05:30:00</t>
        </is>
      </c>
      <c r="AZ33" t="inlineStr">
        <is>
          <t>CITIN25668288188</t>
        </is>
      </c>
      <c r="BA33" t="n">
        <v>0</v>
      </c>
      <c r="BB33" t="inlineStr">
        <is>
          <t>53808ff160a0e15cc9189b883a1ad77e7c2d7518a31381ac31d52b14224fffe1</t>
        </is>
      </c>
    </row>
    <row r="34">
      <c r="A34" t="inlineStr">
        <is>
          <t>29</t>
        </is>
      </c>
      <c r="B34" t="inlineStr">
        <is>
          <t>7527640679</t>
        </is>
      </c>
      <c r="C34" t="inlineStr">
        <is>
          <t>2025-12-01 18:27:58</t>
        </is>
      </c>
      <c r="D34" t="inlineStr">
        <is>
          <t>49</t>
        </is>
      </c>
      <c r="E34" t="inlineStr">
        <is>
          <t>Sha Sha - Shandaar Shawarma</t>
        </is>
      </c>
      <c r="F34" t="inlineStr">
        <is>
          <t>18557902</t>
        </is>
      </c>
      <c r="G34" t="inlineStr">
        <is>
          <t>30% off upto ₹75 (2025-06-25 - 2031-01-01)</t>
        </is>
      </c>
      <c r="H34" t="inlineStr">
        <is>
          <t>ONLINE</t>
        </is>
      </c>
      <c r="I34" t="inlineStr">
        <is>
          <t>DELIVERED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O2</t>
        </is>
      </c>
      <c r="N34" t="inlineStr">
        <is>
          <t>36</t>
        </is>
      </c>
      <c r="O34" t="n">
        <v>229</v>
      </c>
      <c r="P34" t="n">
        <v>3.5</v>
      </c>
      <c r="Q34" t="n">
        <v>0</v>
      </c>
      <c r="R34" t="n">
        <v>68.7</v>
      </c>
      <c r="S34" t="n">
        <v>0</v>
      </c>
      <c r="T34" t="n">
        <v>0</v>
      </c>
      <c r="U34" t="n">
        <v>0</v>
      </c>
      <c r="V34" t="n">
        <v>8.19</v>
      </c>
      <c r="W34" t="n">
        <v>171.99</v>
      </c>
      <c r="X34" t="n">
        <v>163.8</v>
      </c>
      <c r="Y34" t="n">
        <v>19</v>
      </c>
      <c r="Z34" t="n">
        <v>31.12</v>
      </c>
      <c r="AA34" t="n">
        <v>3.16</v>
      </c>
      <c r="AB34" t="n">
        <v>34.28</v>
      </c>
      <c r="AC34" t="n">
        <v>6.17</v>
      </c>
      <c r="AD34" t="n">
        <v>0</v>
      </c>
      <c r="AE34" t="n">
        <v>163.8</v>
      </c>
      <c r="AF34" t="n">
        <v>0</v>
      </c>
      <c r="AG34" t="n">
        <v>0</v>
      </c>
      <c r="AH34" t="n">
        <v>0.16</v>
      </c>
      <c r="AI34" t="n">
        <v>8.199999999999999</v>
      </c>
      <c r="AJ34" t="n">
        <v>-0.01</v>
      </c>
      <c r="AK34" t="n">
        <v>14.53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48.81</v>
      </c>
      <c r="AV34" t="n">
        <v>0</v>
      </c>
      <c r="AW34" t="n">
        <v>123.18</v>
      </c>
      <c r="AX34" t="inlineStr">
        <is>
          <t>settled</t>
        </is>
      </c>
      <c r="AY34" t="inlineStr">
        <is>
          <t>2025-12-10 05:30:00</t>
        </is>
      </c>
      <c r="AZ34" t="inlineStr">
        <is>
          <t>CITIN25668288188</t>
        </is>
      </c>
      <c r="BA34" t="n">
        <v>0</v>
      </c>
      <c r="BB34" t="inlineStr">
        <is>
          <t>7d10643de08ba7791d1e63486efe605d0601dc0599afb9adb2b11bfdf5407f27</t>
        </is>
      </c>
    </row>
    <row r="35">
      <c r="A35" t="inlineStr">
        <is>
          <t>30</t>
        </is>
      </c>
      <c r="B35" t="inlineStr">
        <is>
          <t>7508151431</t>
        </is>
      </c>
      <c r="C35" t="inlineStr">
        <is>
          <t>2025-12-01 19:17:18</t>
        </is>
      </c>
      <c r="D35" t="inlineStr">
        <is>
          <t>49</t>
        </is>
      </c>
      <c r="E35" t="inlineStr">
        <is>
          <t>Sha Sha - Shandaar Shawarma</t>
        </is>
      </c>
      <c r="F35" t="inlineStr">
        <is>
          <t>18557902</t>
        </is>
      </c>
      <c r="G35" t="inlineStr">
        <is>
          <t>30% off upto ₹75 (2025-06-25 - 2031-01-01)</t>
        </is>
      </c>
      <c r="H35" t="inlineStr">
        <is>
          <t>ONLINE</t>
        </is>
      </c>
      <c r="I35" t="inlineStr">
        <is>
          <t>DELIVERED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O2</t>
        </is>
      </c>
      <c r="N35" t="inlineStr">
        <is>
          <t>36</t>
        </is>
      </c>
      <c r="O35" t="n">
        <v>229</v>
      </c>
      <c r="P35" t="n">
        <v>3.5</v>
      </c>
      <c r="Q35" t="n">
        <v>0</v>
      </c>
      <c r="R35" t="n">
        <v>68.7</v>
      </c>
      <c r="S35" t="n">
        <v>0</v>
      </c>
      <c r="T35" t="n">
        <v>0</v>
      </c>
      <c r="U35" t="n">
        <v>0</v>
      </c>
      <c r="V35" t="n">
        <v>8.19</v>
      </c>
      <c r="W35" t="n">
        <v>171.99</v>
      </c>
      <c r="X35" t="n">
        <v>163.8</v>
      </c>
      <c r="Y35" t="n">
        <v>19</v>
      </c>
      <c r="Z35" t="n">
        <v>31.12</v>
      </c>
      <c r="AA35" t="n">
        <v>3.16</v>
      </c>
      <c r="AB35" t="n">
        <v>34.28</v>
      </c>
      <c r="AC35" t="n">
        <v>6.17</v>
      </c>
      <c r="AD35" t="n">
        <v>0</v>
      </c>
      <c r="AE35" t="n">
        <v>163.8</v>
      </c>
      <c r="AF35" t="n">
        <v>0</v>
      </c>
      <c r="AG35" t="n">
        <v>0</v>
      </c>
      <c r="AH35" t="n">
        <v>0.16</v>
      </c>
      <c r="AI35" t="n">
        <v>8.199999999999999</v>
      </c>
      <c r="AJ35" t="n">
        <v>-0.01</v>
      </c>
      <c r="AK35" t="n">
        <v>14.53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48.81</v>
      </c>
      <c r="AV35" t="n">
        <v>0</v>
      </c>
      <c r="AW35" t="n">
        <v>123.18</v>
      </c>
      <c r="AX35" t="inlineStr">
        <is>
          <t>settled</t>
        </is>
      </c>
      <c r="AY35" t="inlineStr">
        <is>
          <t>2025-12-10 05:30:00</t>
        </is>
      </c>
      <c r="AZ35" t="inlineStr">
        <is>
          <t>CITIN25668288188</t>
        </is>
      </c>
      <c r="BA35" t="n">
        <v>0</v>
      </c>
      <c r="BB35" t="inlineStr">
        <is>
          <t>dc48dbadd8f58a50a13d04f5989559f2b5494802a60e157b54114a1ccc831a39</t>
        </is>
      </c>
    </row>
    <row r="36">
      <c r="A36" t="inlineStr">
        <is>
          <t>31</t>
        </is>
      </c>
      <c r="B36" t="inlineStr">
        <is>
          <t>7531353339</t>
        </is>
      </c>
      <c r="C36" t="inlineStr">
        <is>
          <t>2025-12-01 20:38:15</t>
        </is>
      </c>
      <c r="D36" t="inlineStr">
        <is>
          <t>49</t>
        </is>
      </c>
      <c r="E36" t="inlineStr">
        <is>
          <t>Sha Sha - Shandaar Shawarma</t>
        </is>
      </c>
      <c r="F36" t="inlineStr">
        <is>
          <t>18557902</t>
        </is>
      </c>
      <c r="G36" t="inlineStr">
        <is>
          <t>30% off upto ₹75 (2025-06-25 - 2031-01-01)</t>
        </is>
      </c>
      <c r="H36" t="inlineStr">
        <is>
          <t>ONLINE</t>
        </is>
      </c>
      <c r="I36" t="inlineStr">
        <is>
          <t>DELIVERED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O2</t>
        </is>
      </c>
      <c r="N36" t="inlineStr">
        <is>
          <t>36</t>
        </is>
      </c>
      <c r="O36" t="n">
        <v>229</v>
      </c>
      <c r="P36" t="n">
        <v>3.5</v>
      </c>
      <c r="Q36" t="n">
        <v>0</v>
      </c>
      <c r="R36" t="n">
        <v>68.7</v>
      </c>
      <c r="S36" t="n">
        <v>0</v>
      </c>
      <c r="T36" t="n">
        <v>0</v>
      </c>
      <c r="U36" t="n">
        <v>0</v>
      </c>
      <c r="V36" t="n">
        <v>8.19</v>
      </c>
      <c r="W36" t="n">
        <v>171.99</v>
      </c>
      <c r="X36" t="n">
        <v>163.8</v>
      </c>
      <c r="Y36" t="n">
        <v>19</v>
      </c>
      <c r="Z36" t="n">
        <v>31.12</v>
      </c>
      <c r="AA36" t="n">
        <v>3.16</v>
      </c>
      <c r="AB36" t="n">
        <v>34.28</v>
      </c>
      <c r="AC36" t="n">
        <v>6.17</v>
      </c>
      <c r="AD36" t="n">
        <v>0</v>
      </c>
      <c r="AE36" t="n">
        <v>163.8</v>
      </c>
      <c r="AF36" t="n">
        <v>0</v>
      </c>
      <c r="AG36" t="n">
        <v>0</v>
      </c>
      <c r="AH36" t="n">
        <v>0.16</v>
      </c>
      <c r="AI36" t="n">
        <v>8.199999999999999</v>
      </c>
      <c r="AJ36" t="n">
        <v>-0.01</v>
      </c>
      <c r="AK36" t="n">
        <v>14.53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48.81</v>
      </c>
      <c r="AV36" t="n">
        <v>0</v>
      </c>
      <c r="AW36" t="n">
        <v>123.18</v>
      </c>
      <c r="AX36" t="inlineStr">
        <is>
          <t>settled</t>
        </is>
      </c>
      <c r="AY36" t="inlineStr">
        <is>
          <t>2025-12-10 05:30:00</t>
        </is>
      </c>
      <c r="AZ36" t="inlineStr">
        <is>
          <t>CITIN25668288188</t>
        </is>
      </c>
      <c r="BA36" t="n">
        <v>0</v>
      </c>
      <c r="BB36" t="inlineStr">
        <is>
          <t>37bb1d707cfea3f3131cb83c3162682cde0ed2f505bf68b9120aaf15ee1d73dc</t>
        </is>
      </c>
    </row>
    <row r="37">
      <c r="A37" t="inlineStr">
        <is>
          <t>32</t>
        </is>
      </c>
      <c r="B37" t="inlineStr">
        <is>
          <t>7540077524</t>
        </is>
      </c>
      <c r="C37" t="inlineStr">
        <is>
          <t>2025-12-01 20:43:50</t>
        </is>
      </c>
      <c r="D37" t="inlineStr">
        <is>
          <t>49</t>
        </is>
      </c>
      <c r="E37" t="inlineStr">
        <is>
          <t>Sha Sha - Shandaar Shawarma</t>
        </is>
      </c>
      <c r="F37" t="inlineStr">
        <is>
          <t>18557902</t>
        </is>
      </c>
      <c r="G37" t="inlineStr">
        <is>
          <t>30% off upto ₹75 (2025-06-25 - 2031-01-01), Winback Coupon</t>
        </is>
      </c>
      <c r="H37" t="inlineStr">
        <is>
          <t>ONLINE</t>
        </is>
      </c>
      <c r="I37" t="inlineStr">
        <is>
          <t>DELIVERED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O2</t>
        </is>
      </c>
      <c r="N37" t="inlineStr">
        <is>
          <t>36</t>
        </is>
      </c>
      <c r="O37" t="n">
        <v>338</v>
      </c>
      <c r="P37" t="n">
        <v>3.5</v>
      </c>
      <c r="Q37" t="n">
        <v>0</v>
      </c>
      <c r="R37" t="n">
        <v>75</v>
      </c>
      <c r="S37" t="n">
        <v>40</v>
      </c>
      <c r="T37" t="n">
        <v>0</v>
      </c>
      <c r="U37" t="n">
        <v>0</v>
      </c>
      <c r="V37" t="n">
        <v>11.33</v>
      </c>
      <c r="W37" t="n">
        <v>237.83</v>
      </c>
      <c r="X37" t="n">
        <v>226.5</v>
      </c>
      <c r="Y37" t="n">
        <v>19</v>
      </c>
      <c r="Z37" t="n">
        <v>43.04</v>
      </c>
      <c r="AA37" t="n">
        <v>4.38</v>
      </c>
      <c r="AB37" t="n">
        <v>47.42</v>
      </c>
      <c r="AC37" t="n">
        <v>8.539999999999999</v>
      </c>
      <c r="AD37" t="n">
        <v>0</v>
      </c>
      <c r="AE37" t="n">
        <v>226.5</v>
      </c>
      <c r="AF37" t="n">
        <v>0</v>
      </c>
      <c r="AG37" t="n">
        <v>0</v>
      </c>
      <c r="AH37" t="n">
        <v>0.23</v>
      </c>
      <c r="AI37" t="n">
        <v>11.33</v>
      </c>
      <c r="AJ37" t="n">
        <v>0</v>
      </c>
      <c r="AK37" t="n">
        <v>20.1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67.52</v>
      </c>
      <c r="AV37" t="n">
        <v>0</v>
      </c>
      <c r="AW37" t="n">
        <v>170.31</v>
      </c>
      <c r="AX37" t="inlineStr">
        <is>
          <t>settled</t>
        </is>
      </c>
      <c r="AY37" t="inlineStr">
        <is>
          <t>2025-12-10 05:30:00</t>
        </is>
      </c>
      <c r="AZ37" t="inlineStr">
        <is>
          <t>CITIN25668288188</t>
        </is>
      </c>
      <c r="BA37" t="n">
        <v>0</v>
      </c>
      <c r="BB37" t="inlineStr">
        <is>
          <t>08f7fb8c9b34de191093cb4ea335fc67de976c66e9c117ed63db7f1f0528aa4c</t>
        </is>
      </c>
    </row>
    <row r="38">
      <c r="A38" t="inlineStr">
        <is>
          <t>33</t>
        </is>
      </c>
      <c r="B38" t="inlineStr">
        <is>
          <t>7522964735</t>
        </is>
      </c>
      <c r="C38" t="inlineStr">
        <is>
          <t>2025-12-01 20:53:40</t>
        </is>
      </c>
      <c r="D38" t="inlineStr">
        <is>
          <t>49</t>
        </is>
      </c>
      <c r="E38" t="inlineStr">
        <is>
          <t>Sha Sha - Shandaar Shawarma</t>
        </is>
      </c>
      <c r="F38" t="inlineStr">
        <is>
          <t>18557902</t>
        </is>
      </c>
      <c r="G38" t="inlineStr">
        <is>
          <t>NA</t>
        </is>
      </c>
      <c r="H38" t="inlineStr">
        <is>
          <t>ONLINE</t>
        </is>
      </c>
      <c r="I38" t="inlineStr">
        <is>
          <t>DELIVERED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O2</t>
        </is>
      </c>
      <c r="N38" t="inlineStr">
        <is>
          <t>36</t>
        </is>
      </c>
      <c r="O38" t="n">
        <v>518</v>
      </c>
      <c r="P38" t="n">
        <v>3.5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26.08</v>
      </c>
      <c r="W38" t="n">
        <v>547.58</v>
      </c>
      <c r="X38" t="n">
        <v>521.5</v>
      </c>
      <c r="Y38" t="n">
        <v>19</v>
      </c>
      <c r="Z38" t="n">
        <v>99.08</v>
      </c>
      <c r="AA38" t="n">
        <v>10.08</v>
      </c>
      <c r="AB38" t="n">
        <v>109.16</v>
      </c>
      <c r="AC38" t="n">
        <v>19.64</v>
      </c>
      <c r="AD38" t="n">
        <v>0</v>
      </c>
      <c r="AE38" t="n">
        <v>521.5</v>
      </c>
      <c r="AF38" t="n">
        <v>0</v>
      </c>
      <c r="AG38" t="n">
        <v>0</v>
      </c>
      <c r="AH38" t="n">
        <v>0.52</v>
      </c>
      <c r="AI38" t="n">
        <v>26.08</v>
      </c>
      <c r="AJ38" t="n">
        <v>0</v>
      </c>
      <c r="AK38" t="n">
        <v>46.24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155.4</v>
      </c>
      <c r="AV38" t="n">
        <v>0</v>
      </c>
      <c r="AW38" t="n">
        <v>392.18</v>
      </c>
      <c r="AX38" t="inlineStr">
        <is>
          <t>settled</t>
        </is>
      </c>
      <c r="AY38" t="inlineStr">
        <is>
          <t>2025-12-10 05:30:00</t>
        </is>
      </c>
      <c r="AZ38" t="inlineStr">
        <is>
          <t>CITIN25668288188</t>
        </is>
      </c>
      <c r="BA38" t="n">
        <v>0</v>
      </c>
      <c r="BB38" t="inlineStr">
        <is>
          <t>c78c8f1d92a3b7a497fe7b917aecee6a76e82644a421c6efc62b054656a18bb4</t>
        </is>
      </c>
    </row>
    <row r="39">
      <c r="A39" t="inlineStr">
        <is>
          <t>34</t>
        </is>
      </c>
      <c r="B39" t="inlineStr">
        <is>
          <t>7539464516</t>
        </is>
      </c>
      <c r="C39" t="inlineStr">
        <is>
          <t>2025-12-01 21:04:30</t>
        </is>
      </c>
      <c r="D39" t="inlineStr">
        <is>
          <t>49</t>
        </is>
      </c>
      <c r="E39" t="inlineStr">
        <is>
          <t>Sha Sha - Shandaar Shawarma</t>
        </is>
      </c>
      <c r="F39" t="inlineStr">
        <is>
          <t>18557902</t>
        </is>
      </c>
      <c r="G39" t="inlineStr">
        <is>
          <t>NA</t>
        </is>
      </c>
      <c r="H39" t="inlineStr">
        <is>
          <t>ONLINE</t>
        </is>
      </c>
      <c r="I39" t="inlineStr">
        <is>
          <t>DELIVERED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O2</t>
        </is>
      </c>
      <c r="N39" t="inlineStr">
        <is>
          <t>36</t>
        </is>
      </c>
      <c r="O39" t="n">
        <v>458</v>
      </c>
      <c r="P39" t="n">
        <v>3.5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23.08</v>
      </c>
      <c r="W39" t="n">
        <v>484.58</v>
      </c>
      <c r="X39" t="n">
        <v>461.5</v>
      </c>
      <c r="Y39" t="n">
        <v>19</v>
      </c>
      <c r="Z39" t="n">
        <v>87.68000000000001</v>
      </c>
      <c r="AA39" t="n">
        <v>8.92</v>
      </c>
      <c r="AB39" t="n">
        <v>96.59999999999999</v>
      </c>
      <c r="AC39" t="n">
        <v>17.39</v>
      </c>
      <c r="AD39" t="n">
        <v>0</v>
      </c>
      <c r="AE39" t="n">
        <v>461.5</v>
      </c>
      <c r="AF39" t="n">
        <v>0</v>
      </c>
      <c r="AG39" t="n">
        <v>0</v>
      </c>
      <c r="AH39" t="n">
        <v>0.46</v>
      </c>
      <c r="AI39" t="n">
        <v>23.08</v>
      </c>
      <c r="AJ39" t="n">
        <v>0</v>
      </c>
      <c r="AK39" t="n">
        <v>40.93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137.53</v>
      </c>
      <c r="AV39" t="n">
        <v>0</v>
      </c>
      <c r="AW39" t="n">
        <v>347.05</v>
      </c>
      <c r="AX39" t="inlineStr">
        <is>
          <t>settled</t>
        </is>
      </c>
      <c r="AY39" t="inlineStr">
        <is>
          <t>2025-12-10 05:30:00</t>
        </is>
      </c>
      <c r="AZ39" t="inlineStr">
        <is>
          <t>CITIN25668288188</t>
        </is>
      </c>
      <c r="BA39" t="n">
        <v>0</v>
      </c>
      <c r="BB39" t="inlineStr">
        <is>
          <t>268922e921cf8047d0a35e72516dde23d8a5d232811b39cc877762f09f1d0175</t>
        </is>
      </c>
    </row>
    <row r="40">
      <c r="A40" t="inlineStr">
        <is>
          <t>35</t>
        </is>
      </c>
      <c r="B40" t="inlineStr">
        <is>
          <t>7533157161</t>
        </is>
      </c>
      <c r="C40" t="inlineStr">
        <is>
          <t>2025-12-01 21:44:04</t>
        </is>
      </c>
      <c r="D40" t="inlineStr">
        <is>
          <t>49</t>
        </is>
      </c>
      <c r="E40" t="inlineStr">
        <is>
          <t>Sha Sha - Shandaar Shawarma</t>
        </is>
      </c>
      <c r="F40" t="inlineStr">
        <is>
          <t>18557902</t>
        </is>
      </c>
      <c r="G40" t="inlineStr">
        <is>
          <t>30% off upto ₹75 (2025-06-25 - 2031-01-01)</t>
        </is>
      </c>
      <c r="H40" t="inlineStr">
        <is>
          <t>ONLINE</t>
        </is>
      </c>
      <c r="I40" t="inlineStr">
        <is>
          <t>DELIVERED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O2</t>
        </is>
      </c>
      <c r="N40" t="inlineStr">
        <is>
          <t>36</t>
        </is>
      </c>
      <c r="O40" t="n">
        <v>229</v>
      </c>
      <c r="P40" t="n">
        <v>3.5</v>
      </c>
      <c r="Q40" t="n">
        <v>0</v>
      </c>
      <c r="R40" t="n">
        <v>68.7</v>
      </c>
      <c r="S40" t="n">
        <v>0</v>
      </c>
      <c r="T40" t="n">
        <v>0</v>
      </c>
      <c r="U40" t="n">
        <v>0</v>
      </c>
      <c r="V40" t="n">
        <v>8.19</v>
      </c>
      <c r="W40" t="n">
        <v>171.99</v>
      </c>
      <c r="X40" t="n">
        <v>163.8</v>
      </c>
      <c r="Y40" t="n">
        <v>19</v>
      </c>
      <c r="Z40" t="n">
        <v>31.12</v>
      </c>
      <c r="AA40" t="n">
        <v>3.16</v>
      </c>
      <c r="AB40" t="n">
        <v>34.28</v>
      </c>
      <c r="AC40" t="n">
        <v>6.17</v>
      </c>
      <c r="AD40" t="n">
        <v>0</v>
      </c>
      <c r="AE40" t="n">
        <v>163.8</v>
      </c>
      <c r="AF40" t="n">
        <v>0</v>
      </c>
      <c r="AG40" t="n">
        <v>0</v>
      </c>
      <c r="AH40" t="n">
        <v>0.16</v>
      </c>
      <c r="AI40" t="n">
        <v>8.199999999999999</v>
      </c>
      <c r="AJ40" t="n">
        <v>-0.01</v>
      </c>
      <c r="AK40" t="n">
        <v>14.53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48.81</v>
      </c>
      <c r="AV40" t="n">
        <v>0</v>
      </c>
      <c r="AW40" t="n">
        <v>123.18</v>
      </c>
      <c r="AX40" t="inlineStr">
        <is>
          <t>settled</t>
        </is>
      </c>
      <c r="AY40" t="inlineStr">
        <is>
          <t>2025-12-10 05:30:00</t>
        </is>
      </c>
      <c r="AZ40" t="inlineStr">
        <is>
          <t>CITIN25668288188</t>
        </is>
      </c>
      <c r="BA40" t="n">
        <v>0</v>
      </c>
      <c r="BB40" t="inlineStr">
        <is>
          <t>6fdd51e7250609e7d8d06d85ba8de5d8675b3dbd0771057d77521c8ca1a7bee5</t>
        </is>
      </c>
    </row>
    <row r="41">
      <c r="A41" t="inlineStr">
        <is>
          <t>36</t>
        </is>
      </c>
      <c r="B41" t="inlineStr">
        <is>
          <t>7539288920</t>
        </is>
      </c>
      <c r="C41" t="inlineStr">
        <is>
          <t>2025-12-01 22:02:17</t>
        </is>
      </c>
      <c r="D41" t="inlineStr">
        <is>
          <t>49</t>
        </is>
      </c>
      <c r="E41" t="inlineStr">
        <is>
          <t>Sha Sha - Shandaar Shawarma</t>
        </is>
      </c>
      <c r="F41" t="inlineStr">
        <is>
          <t>18557902</t>
        </is>
      </c>
      <c r="G41" t="inlineStr">
        <is>
          <t>30% off upto ₹75 (2025-06-25 - 2031-01-01)</t>
        </is>
      </c>
      <c r="H41" t="inlineStr">
        <is>
          <t>ONLINE</t>
        </is>
      </c>
      <c r="I41" t="inlineStr">
        <is>
          <t>DELIVERED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O2</t>
        </is>
      </c>
      <c r="N41" t="inlineStr">
        <is>
          <t>36</t>
        </is>
      </c>
      <c r="O41" t="n">
        <v>345</v>
      </c>
      <c r="P41" t="n">
        <v>3.5</v>
      </c>
      <c r="Q41" t="n">
        <v>0</v>
      </c>
      <c r="R41" t="n">
        <v>75</v>
      </c>
      <c r="S41" t="n">
        <v>0</v>
      </c>
      <c r="T41" t="n">
        <v>0</v>
      </c>
      <c r="U41" t="n">
        <v>0</v>
      </c>
      <c r="V41" t="n">
        <v>13.68</v>
      </c>
      <c r="W41" t="n">
        <v>287.18</v>
      </c>
      <c r="X41" t="n">
        <v>273.5</v>
      </c>
      <c r="Y41" t="n">
        <v>19</v>
      </c>
      <c r="Z41" t="n">
        <v>51.96</v>
      </c>
      <c r="AA41" t="n">
        <v>5.28</v>
      </c>
      <c r="AB41" t="n">
        <v>57.24</v>
      </c>
      <c r="AC41" t="n">
        <v>10.3</v>
      </c>
      <c r="AD41" t="n">
        <v>0</v>
      </c>
      <c r="AE41" t="n">
        <v>273.5</v>
      </c>
      <c r="AF41" t="n">
        <v>0</v>
      </c>
      <c r="AG41" t="n">
        <v>0</v>
      </c>
      <c r="AH41" t="n">
        <v>0.27</v>
      </c>
      <c r="AI41" t="n">
        <v>13.68</v>
      </c>
      <c r="AJ41" t="n">
        <v>0</v>
      </c>
      <c r="AK41" t="n">
        <v>24.25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81.48999999999999</v>
      </c>
      <c r="AV41" t="n">
        <v>0</v>
      </c>
      <c r="AW41" t="n">
        <v>205.69</v>
      </c>
      <c r="AX41" t="inlineStr">
        <is>
          <t>settled</t>
        </is>
      </c>
      <c r="AY41" t="inlineStr">
        <is>
          <t>2025-12-10 05:30:00</t>
        </is>
      </c>
      <c r="AZ41" t="inlineStr">
        <is>
          <t>CITIN25668288188</t>
        </is>
      </c>
      <c r="BA41" t="n">
        <v>0</v>
      </c>
      <c r="BB41" t="inlineStr">
        <is>
          <t>97b4133bde4eb0767e9ce68171387ff49f31d258169b1f78ae8f5981ef069b25</t>
        </is>
      </c>
    </row>
    <row r="42">
      <c r="A42" t="inlineStr">
        <is>
          <t>37</t>
        </is>
      </c>
      <c r="B42" t="inlineStr">
        <is>
          <t>7536749999</t>
        </is>
      </c>
      <c r="C42" t="inlineStr">
        <is>
          <t>2025-12-01 22:19:27</t>
        </is>
      </c>
      <c r="D42" t="inlineStr">
        <is>
          <t>49</t>
        </is>
      </c>
      <c r="E42" t="inlineStr">
        <is>
          <t>Sha Sha - Shandaar Shawarma</t>
        </is>
      </c>
      <c r="F42" t="inlineStr">
        <is>
          <t>18557902</t>
        </is>
      </c>
      <c r="G42" t="inlineStr">
        <is>
          <t>NA</t>
        </is>
      </c>
      <c r="H42" t="inlineStr">
        <is>
          <t>ONLINE</t>
        </is>
      </c>
      <c r="I42" t="inlineStr">
        <is>
          <t>DELIVERED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O2</t>
        </is>
      </c>
      <c r="N42" t="inlineStr">
        <is>
          <t>36</t>
        </is>
      </c>
      <c r="O42" t="n">
        <v>229</v>
      </c>
      <c r="P42" t="n">
        <v>3.5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11.63</v>
      </c>
      <c r="W42" t="n">
        <v>244.13</v>
      </c>
      <c r="X42" t="n">
        <v>232.5</v>
      </c>
      <c r="Y42" t="n">
        <v>19</v>
      </c>
      <c r="Z42" t="n">
        <v>44.18</v>
      </c>
      <c r="AA42" t="n">
        <v>4.49</v>
      </c>
      <c r="AB42" t="n">
        <v>48.67</v>
      </c>
      <c r="AC42" t="n">
        <v>8.76</v>
      </c>
      <c r="AD42" t="n">
        <v>0</v>
      </c>
      <c r="AE42" t="n">
        <v>232.5</v>
      </c>
      <c r="AF42" t="n">
        <v>0</v>
      </c>
      <c r="AG42" t="n">
        <v>0</v>
      </c>
      <c r="AH42" t="n">
        <v>0.23</v>
      </c>
      <c r="AI42" t="n">
        <v>11.63</v>
      </c>
      <c r="AJ42" t="n">
        <v>0</v>
      </c>
      <c r="AK42" t="n">
        <v>20.62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69.29000000000001</v>
      </c>
      <c r="AV42" t="n">
        <v>0</v>
      </c>
      <c r="AW42" t="n">
        <v>174.84</v>
      </c>
      <c r="AX42" t="inlineStr">
        <is>
          <t>settled</t>
        </is>
      </c>
      <c r="AY42" t="inlineStr">
        <is>
          <t>2025-12-10 05:30:00</t>
        </is>
      </c>
      <c r="AZ42" t="inlineStr">
        <is>
          <t>CITIN25668288188</t>
        </is>
      </c>
      <c r="BA42" t="n">
        <v>0</v>
      </c>
      <c r="BB42" t="inlineStr">
        <is>
          <t>33bb677df76373021d3f4b8be6df65fc409d8b4afdae636be54e6b078c70cc0b</t>
        </is>
      </c>
    </row>
    <row r="43">
      <c r="A43" t="inlineStr">
        <is>
          <t>38</t>
        </is>
      </c>
      <c r="B43" t="inlineStr">
        <is>
          <t>7540491798</t>
        </is>
      </c>
      <c r="C43" t="inlineStr">
        <is>
          <t>2025-12-01 22:30:49</t>
        </is>
      </c>
      <c r="D43" t="inlineStr">
        <is>
          <t>49</t>
        </is>
      </c>
      <c r="E43" t="inlineStr">
        <is>
          <t>Sha Sha - Shandaar Shawarma</t>
        </is>
      </c>
      <c r="F43" t="inlineStr">
        <is>
          <t>18557902</t>
        </is>
      </c>
      <c r="G43" t="inlineStr">
        <is>
          <t>NA</t>
        </is>
      </c>
      <c r="H43" t="inlineStr">
        <is>
          <t>ONLINE</t>
        </is>
      </c>
      <c r="I43" t="inlineStr">
        <is>
          <t>DELIVERED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O2</t>
        </is>
      </c>
      <c r="N43" t="inlineStr">
        <is>
          <t>36</t>
        </is>
      </c>
      <c r="O43" t="n">
        <v>219</v>
      </c>
      <c r="P43" t="n">
        <v>3.5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11.13</v>
      </c>
      <c r="W43" t="n">
        <v>233.63</v>
      </c>
      <c r="X43" t="n">
        <v>222.5</v>
      </c>
      <c r="Y43" t="n">
        <v>19</v>
      </c>
      <c r="Z43" t="n">
        <v>42.28</v>
      </c>
      <c r="AA43" t="n">
        <v>4.3</v>
      </c>
      <c r="AB43" t="n">
        <v>46.58</v>
      </c>
      <c r="AC43" t="n">
        <v>8.380000000000001</v>
      </c>
      <c r="AD43" t="n">
        <v>0</v>
      </c>
      <c r="AE43" t="n">
        <v>222.5</v>
      </c>
      <c r="AF43" t="n">
        <v>0</v>
      </c>
      <c r="AG43" t="n">
        <v>0</v>
      </c>
      <c r="AH43" t="n">
        <v>0.22</v>
      </c>
      <c r="AI43" t="n">
        <v>11.13</v>
      </c>
      <c r="AJ43" t="n">
        <v>0</v>
      </c>
      <c r="AK43" t="n">
        <v>19.73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66.31</v>
      </c>
      <c r="AV43" t="n">
        <v>0</v>
      </c>
      <c r="AW43" t="n">
        <v>167.32</v>
      </c>
      <c r="AX43" t="inlineStr">
        <is>
          <t>settled</t>
        </is>
      </c>
      <c r="AY43" t="inlineStr">
        <is>
          <t>2025-12-10 05:30:00</t>
        </is>
      </c>
      <c r="AZ43" t="inlineStr">
        <is>
          <t>CITIN25668288188</t>
        </is>
      </c>
      <c r="BA43" t="n">
        <v>0</v>
      </c>
      <c r="BB43" t="inlineStr">
        <is>
          <t>b578c06a9b85fcfc4f51b2049cb2afdd4e0595f74a55f34c26c25b374f999326</t>
        </is>
      </c>
    </row>
    <row r="44">
      <c r="A44" t="inlineStr">
        <is>
          <t>39</t>
        </is>
      </c>
      <c r="B44" t="inlineStr">
        <is>
          <t>7531942978</t>
        </is>
      </c>
      <c r="C44" t="inlineStr">
        <is>
          <t>2025-12-01 22:41:17</t>
        </is>
      </c>
      <c r="D44" t="inlineStr">
        <is>
          <t>49</t>
        </is>
      </c>
      <c r="E44" t="inlineStr">
        <is>
          <t>Sha Sha - Shandaar Shawarma</t>
        </is>
      </c>
      <c r="F44" t="inlineStr">
        <is>
          <t>18557902</t>
        </is>
      </c>
      <c r="G44" t="inlineStr">
        <is>
          <t>30% off upto ₹75 (2025-06-25 - 2031-01-01)</t>
        </is>
      </c>
      <c r="H44" t="inlineStr">
        <is>
          <t>ONLINE</t>
        </is>
      </c>
      <c r="I44" t="inlineStr">
        <is>
          <t>DELIVERED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O2</t>
        </is>
      </c>
      <c r="N44" t="inlineStr">
        <is>
          <t>36</t>
        </is>
      </c>
      <c r="O44" t="n">
        <v>229</v>
      </c>
      <c r="P44" t="n">
        <v>3.5</v>
      </c>
      <c r="Q44" t="n">
        <v>0</v>
      </c>
      <c r="R44" t="n">
        <v>68.7</v>
      </c>
      <c r="S44" t="n">
        <v>0</v>
      </c>
      <c r="T44" t="n">
        <v>0</v>
      </c>
      <c r="U44" t="n">
        <v>0</v>
      </c>
      <c r="V44" t="n">
        <v>8.19</v>
      </c>
      <c r="W44" t="n">
        <v>171.99</v>
      </c>
      <c r="X44" t="n">
        <v>163.8</v>
      </c>
      <c r="Y44" t="n">
        <v>19</v>
      </c>
      <c r="Z44" t="n">
        <v>31.12</v>
      </c>
      <c r="AA44" t="n">
        <v>3.16</v>
      </c>
      <c r="AB44" t="n">
        <v>34.28</v>
      </c>
      <c r="AC44" t="n">
        <v>6.17</v>
      </c>
      <c r="AD44" t="n">
        <v>0</v>
      </c>
      <c r="AE44" t="n">
        <v>163.8</v>
      </c>
      <c r="AF44" t="n">
        <v>0</v>
      </c>
      <c r="AG44" t="n">
        <v>0</v>
      </c>
      <c r="AH44" t="n">
        <v>0.16</v>
      </c>
      <c r="AI44" t="n">
        <v>8.199999999999999</v>
      </c>
      <c r="AJ44" t="n">
        <v>-0.01</v>
      </c>
      <c r="AK44" t="n">
        <v>14.53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48.81</v>
      </c>
      <c r="AV44" t="n">
        <v>0</v>
      </c>
      <c r="AW44" t="n">
        <v>123.18</v>
      </c>
      <c r="AX44" t="inlineStr">
        <is>
          <t>settled</t>
        </is>
      </c>
      <c r="AY44" t="inlineStr">
        <is>
          <t>2025-12-10 05:30:00</t>
        </is>
      </c>
      <c r="AZ44" t="inlineStr">
        <is>
          <t>CITIN25668288188</t>
        </is>
      </c>
      <c r="BA44" t="n">
        <v>0</v>
      </c>
      <c r="BB44" t="inlineStr">
        <is>
          <t>bbae99c069f5a4a75d2a57f7e63747ee4c107267c3a7a0a27a9964f12c47f02f</t>
        </is>
      </c>
    </row>
    <row r="45">
      <c r="A45" t="inlineStr">
        <is>
          <t>40</t>
        </is>
      </c>
      <c r="B45" t="inlineStr">
        <is>
          <t>7539425202</t>
        </is>
      </c>
      <c r="C45" t="inlineStr">
        <is>
          <t>2025-12-01 22:57:02</t>
        </is>
      </c>
      <c r="D45" t="inlineStr">
        <is>
          <t>49</t>
        </is>
      </c>
      <c r="E45" t="inlineStr">
        <is>
          <t>Sha Sha - Shandaar Shawarma</t>
        </is>
      </c>
      <c r="F45" t="inlineStr">
        <is>
          <t>18557902</t>
        </is>
      </c>
      <c r="G45" t="inlineStr">
        <is>
          <t>30% off upto ₹75 (2025-06-25 - 2031-01-01)</t>
        </is>
      </c>
      <c r="H45" t="inlineStr">
        <is>
          <t>ONLINE</t>
        </is>
      </c>
      <c r="I45" t="inlineStr">
        <is>
          <t>DELIVERED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O2</t>
        </is>
      </c>
      <c r="N45" t="inlineStr">
        <is>
          <t>36</t>
        </is>
      </c>
      <c r="O45" t="n">
        <v>219</v>
      </c>
      <c r="P45" t="n">
        <v>3.5</v>
      </c>
      <c r="Q45" t="n">
        <v>0</v>
      </c>
      <c r="R45" t="n">
        <v>65.7</v>
      </c>
      <c r="S45" t="n">
        <v>0</v>
      </c>
      <c r="T45" t="n">
        <v>0</v>
      </c>
      <c r="U45" t="n">
        <v>0</v>
      </c>
      <c r="V45" t="n">
        <v>7.84</v>
      </c>
      <c r="W45" t="n">
        <v>164.64</v>
      </c>
      <c r="X45" t="n">
        <v>156.8</v>
      </c>
      <c r="Y45" t="n">
        <v>19</v>
      </c>
      <c r="Z45" t="n">
        <v>29.79</v>
      </c>
      <c r="AA45" t="n">
        <v>3.03</v>
      </c>
      <c r="AB45" t="n">
        <v>32.82</v>
      </c>
      <c r="AC45" t="n">
        <v>5.91</v>
      </c>
      <c r="AD45" t="n">
        <v>0</v>
      </c>
      <c r="AE45" t="n">
        <v>156.8</v>
      </c>
      <c r="AF45" t="n">
        <v>0</v>
      </c>
      <c r="AG45" t="n">
        <v>0</v>
      </c>
      <c r="AH45" t="n">
        <v>0.16</v>
      </c>
      <c r="AI45" t="n">
        <v>7.85</v>
      </c>
      <c r="AJ45" t="n">
        <v>-0.01</v>
      </c>
      <c r="AK45" t="n">
        <v>13.92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46.74</v>
      </c>
      <c r="AV45" t="n">
        <v>0</v>
      </c>
      <c r="AW45" t="n">
        <v>117.9</v>
      </c>
      <c r="AX45" t="inlineStr">
        <is>
          <t>settled</t>
        </is>
      </c>
      <c r="AY45" t="inlineStr">
        <is>
          <t>2025-12-10 05:30:00</t>
        </is>
      </c>
      <c r="AZ45" t="inlineStr">
        <is>
          <t>CITIN25668288188</t>
        </is>
      </c>
      <c r="BA45" t="n">
        <v>0</v>
      </c>
      <c r="BB45" t="inlineStr">
        <is>
          <t>8ced41d5c09616d32fd8a7dfd7ce8a730e5359d9784036ffe881835bc8200ae2</t>
        </is>
      </c>
    </row>
    <row r="46">
      <c r="A46" t="inlineStr">
        <is>
          <t>41</t>
        </is>
      </c>
      <c r="B46" t="inlineStr">
        <is>
          <t>7525437942</t>
        </is>
      </c>
      <c r="C46" t="inlineStr">
        <is>
          <t>2025-12-01 23:04:14</t>
        </is>
      </c>
      <c r="D46" t="inlineStr">
        <is>
          <t>49</t>
        </is>
      </c>
      <c r="E46" t="inlineStr">
        <is>
          <t>Sha Sha - Shandaar Shawarma</t>
        </is>
      </c>
      <c r="F46" t="inlineStr">
        <is>
          <t>18557902</t>
        </is>
      </c>
      <c r="G46" t="inlineStr">
        <is>
          <t>30% off upto ₹75 (2025-06-25 - 2031-01-01)</t>
        </is>
      </c>
      <c r="H46" t="inlineStr">
        <is>
          <t>ONLINE</t>
        </is>
      </c>
      <c r="I46" t="inlineStr">
        <is>
          <t>DELIVERED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O2</t>
        </is>
      </c>
      <c r="N46" t="inlineStr">
        <is>
          <t>36</t>
        </is>
      </c>
      <c r="O46" t="n">
        <v>289</v>
      </c>
      <c r="P46" t="n">
        <v>3.5</v>
      </c>
      <c r="Q46" t="n">
        <v>0</v>
      </c>
      <c r="R46" t="n">
        <v>75</v>
      </c>
      <c r="S46" t="n">
        <v>0</v>
      </c>
      <c r="T46" t="n">
        <v>0</v>
      </c>
      <c r="U46" t="n">
        <v>0</v>
      </c>
      <c r="V46" t="n">
        <v>10.88</v>
      </c>
      <c r="W46" t="n">
        <v>228.38</v>
      </c>
      <c r="X46" t="n">
        <v>217.5</v>
      </c>
      <c r="Y46" t="n">
        <v>19</v>
      </c>
      <c r="Z46" t="n">
        <v>41.32</v>
      </c>
      <c r="AA46" t="n">
        <v>4.2</v>
      </c>
      <c r="AB46" t="n">
        <v>45.52</v>
      </c>
      <c r="AC46" t="n">
        <v>8.199999999999999</v>
      </c>
      <c r="AD46" t="n">
        <v>0</v>
      </c>
      <c r="AE46" t="n">
        <v>217.5</v>
      </c>
      <c r="AF46" t="n">
        <v>0</v>
      </c>
      <c r="AG46" t="n">
        <v>0</v>
      </c>
      <c r="AH46" t="n">
        <v>0.22</v>
      </c>
      <c r="AI46" t="n">
        <v>10.88</v>
      </c>
      <c r="AJ46" t="n">
        <v>0</v>
      </c>
      <c r="AK46" t="n">
        <v>19.3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64.81999999999999</v>
      </c>
      <c r="AV46" t="n">
        <v>0</v>
      </c>
      <c r="AW46" t="n">
        <v>163.56</v>
      </c>
      <c r="AX46" t="inlineStr">
        <is>
          <t>settled</t>
        </is>
      </c>
      <c r="AY46" t="inlineStr">
        <is>
          <t>2025-12-10 05:30:00</t>
        </is>
      </c>
      <c r="AZ46" t="inlineStr">
        <is>
          <t>CITIN25668288188</t>
        </is>
      </c>
      <c r="BA46" t="n">
        <v>0</v>
      </c>
      <c r="BB46" t="inlineStr">
        <is>
          <t>1076e907452424938b28d9a0243ff7d639e92e379b81b6e6ba2d64a31e8e3fbc</t>
        </is>
      </c>
    </row>
    <row r="47">
      <c r="A47" t="inlineStr">
        <is>
          <t>42</t>
        </is>
      </c>
      <c r="B47" t="inlineStr">
        <is>
          <t>7532371514</t>
        </is>
      </c>
      <c r="C47" t="inlineStr">
        <is>
          <t>2025-12-01 23:18:12</t>
        </is>
      </c>
      <c r="D47" t="inlineStr">
        <is>
          <t>49</t>
        </is>
      </c>
      <c r="E47" t="inlineStr">
        <is>
          <t>Sha Sha - Shandaar Shawarma</t>
        </is>
      </c>
      <c r="F47" t="inlineStr">
        <is>
          <t>18557902</t>
        </is>
      </c>
      <c r="G47" t="inlineStr">
        <is>
          <t>NA</t>
        </is>
      </c>
      <c r="H47" t="inlineStr">
        <is>
          <t>ONLINE</t>
        </is>
      </c>
      <c r="I47" t="inlineStr">
        <is>
          <t>DELIVERED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O2</t>
        </is>
      </c>
      <c r="N47" t="inlineStr">
        <is>
          <t>36</t>
        </is>
      </c>
      <c r="O47" t="n">
        <v>229</v>
      </c>
      <c r="P47" t="n">
        <v>3.5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11.63</v>
      </c>
      <c r="W47" t="n">
        <v>244.13</v>
      </c>
      <c r="X47" t="n">
        <v>232.5</v>
      </c>
      <c r="Y47" t="n">
        <v>19</v>
      </c>
      <c r="Z47" t="n">
        <v>44.18</v>
      </c>
      <c r="AA47" t="n">
        <v>4.49</v>
      </c>
      <c r="AB47" t="n">
        <v>48.67</v>
      </c>
      <c r="AC47" t="n">
        <v>8.76</v>
      </c>
      <c r="AD47" t="n">
        <v>0</v>
      </c>
      <c r="AE47" t="n">
        <v>232.5</v>
      </c>
      <c r="AF47" t="n">
        <v>0</v>
      </c>
      <c r="AG47" t="n">
        <v>0</v>
      </c>
      <c r="AH47" t="n">
        <v>0.23</v>
      </c>
      <c r="AI47" t="n">
        <v>11.63</v>
      </c>
      <c r="AJ47" t="n">
        <v>0</v>
      </c>
      <c r="AK47" t="n">
        <v>20.62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69.29000000000001</v>
      </c>
      <c r="AV47" t="n">
        <v>0</v>
      </c>
      <c r="AW47" t="n">
        <v>174.84</v>
      </c>
      <c r="AX47" t="inlineStr">
        <is>
          <t>settled</t>
        </is>
      </c>
      <c r="AY47" t="inlineStr">
        <is>
          <t>2025-12-10 05:30:00</t>
        </is>
      </c>
      <c r="AZ47" t="inlineStr">
        <is>
          <t>CITIN25668288188</t>
        </is>
      </c>
      <c r="BA47" t="n">
        <v>0</v>
      </c>
      <c r="BB47" t="inlineStr">
        <is>
          <t>8373f66d66c8bbdcfef5358fbbd53c21a4a2898d0fcda742d7f1559885d6673b</t>
        </is>
      </c>
    </row>
    <row r="48">
      <c r="A48" t="inlineStr">
        <is>
          <t>43</t>
        </is>
      </c>
      <c r="B48" t="inlineStr">
        <is>
          <t>7540409788</t>
        </is>
      </c>
      <c r="C48" t="inlineStr">
        <is>
          <t>2025-12-01 23:38:23</t>
        </is>
      </c>
      <c r="D48" t="inlineStr">
        <is>
          <t>49</t>
        </is>
      </c>
      <c r="E48" t="inlineStr">
        <is>
          <t>Sha Sha - Shandaar Shawarma</t>
        </is>
      </c>
      <c r="F48" t="inlineStr">
        <is>
          <t>18557902</t>
        </is>
      </c>
      <c r="G48" t="inlineStr">
        <is>
          <t>30% off upto ₹75 (2025-06-25 - 2031-01-01)</t>
        </is>
      </c>
      <c r="H48" t="inlineStr">
        <is>
          <t>ONLINE</t>
        </is>
      </c>
      <c r="I48" t="inlineStr">
        <is>
          <t>DELIVERED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O2</t>
        </is>
      </c>
      <c r="N48" t="inlineStr">
        <is>
          <t>36</t>
        </is>
      </c>
      <c r="O48" t="n">
        <v>448</v>
      </c>
      <c r="P48" t="n">
        <v>3.5</v>
      </c>
      <c r="Q48" t="n">
        <v>0</v>
      </c>
      <c r="R48" t="n">
        <v>75</v>
      </c>
      <c r="S48" t="n">
        <v>0</v>
      </c>
      <c r="T48" t="n">
        <v>0</v>
      </c>
      <c r="U48" t="n">
        <v>0</v>
      </c>
      <c r="V48" t="n">
        <v>18.83</v>
      </c>
      <c r="W48" t="n">
        <v>395.33</v>
      </c>
      <c r="X48" t="n">
        <v>376.5</v>
      </c>
      <c r="Y48" t="n">
        <v>19</v>
      </c>
      <c r="Z48" t="n">
        <v>71.54000000000001</v>
      </c>
      <c r="AA48" t="n">
        <v>7.27</v>
      </c>
      <c r="AB48" t="n">
        <v>78.81</v>
      </c>
      <c r="AC48" t="n">
        <v>14.19</v>
      </c>
      <c r="AD48" t="n">
        <v>0</v>
      </c>
      <c r="AE48" t="n">
        <v>376.5</v>
      </c>
      <c r="AF48" t="n">
        <v>0</v>
      </c>
      <c r="AG48" t="n">
        <v>0</v>
      </c>
      <c r="AH48" t="n">
        <v>0.38</v>
      </c>
      <c r="AI48" t="n">
        <v>18.83</v>
      </c>
      <c r="AJ48" t="n">
        <v>0</v>
      </c>
      <c r="AK48" t="n">
        <v>33.4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112.21</v>
      </c>
      <c r="AV48" t="n">
        <v>0</v>
      </c>
      <c r="AW48" t="n">
        <v>283.12</v>
      </c>
      <c r="AX48" t="inlineStr">
        <is>
          <t>settled</t>
        </is>
      </c>
      <c r="AY48" t="inlineStr">
        <is>
          <t>2025-12-10 05:30:00</t>
        </is>
      </c>
      <c r="AZ48" t="inlineStr">
        <is>
          <t>CITIN25668288188</t>
        </is>
      </c>
      <c r="BA48" t="n">
        <v>0</v>
      </c>
      <c r="BB48" t="inlineStr">
        <is>
          <t>c864cabf967482366bc1c469efc09862e44310c384611918b958675dd5273767</t>
        </is>
      </c>
    </row>
    <row r="49">
      <c r="A49" t="inlineStr">
        <is>
          <t>44</t>
        </is>
      </c>
      <c r="B49" t="inlineStr">
        <is>
          <t>7538519149</t>
        </is>
      </c>
      <c r="C49" t="inlineStr">
        <is>
          <t>2025-12-01 23:50:59</t>
        </is>
      </c>
      <c r="D49" t="inlineStr">
        <is>
          <t>49</t>
        </is>
      </c>
      <c r="E49" t="inlineStr">
        <is>
          <t>Sha Sha - Shandaar Shawarma</t>
        </is>
      </c>
      <c r="F49" t="inlineStr">
        <is>
          <t>18557902</t>
        </is>
      </c>
      <c r="G49" t="inlineStr">
        <is>
          <t>NA</t>
        </is>
      </c>
      <c r="H49" t="inlineStr">
        <is>
          <t>ONLINE</t>
        </is>
      </c>
      <c r="I49" t="inlineStr">
        <is>
          <t>DELIVERED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O2</t>
        </is>
      </c>
      <c r="N49" t="inlineStr">
        <is>
          <t>36</t>
        </is>
      </c>
      <c r="O49" t="n">
        <v>518</v>
      </c>
      <c r="P49" t="n">
        <v>3.5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26.08</v>
      </c>
      <c r="W49" t="n">
        <v>547.58</v>
      </c>
      <c r="X49" t="n">
        <v>521.5</v>
      </c>
      <c r="Y49" t="n">
        <v>19</v>
      </c>
      <c r="Z49" t="n">
        <v>99.08</v>
      </c>
      <c r="AA49" t="n">
        <v>10.08</v>
      </c>
      <c r="AB49" t="n">
        <v>109.16</v>
      </c>
      <c r="AC49" t="n">
        <v>19.64</v>
      </c>
      <c r="AD49" t="n">
        <v>0</v>
      </c>
      <c r="AE49" t="n">
        <v>521.5</v>
      </c>
      <c r="AF49" t="n">
        <v>0</v>
      </c>
      <c r="AG49" t="n">
        <v>0</v>
      </c>
      <c r="AH49" t="n">
        <v>0.52</v>
      </c>
      <c r="AI49" t="n">
        <v>26.08</v>
      </c>
      <c r="AJ49" t="n">
        <v>0</v>
      </c>
      <c r="AK49" t="n">
        <v>46.24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155.4</v>
      </c>
      <c r="AV49" t="n">
        <v>0</v>
      </c>
      <c r="AW49" t="n">
        <v>392.18</v>
      </c>
      <c r="AX49" t="inlineStr">
        <is>
          <t>settled</t>
        </is>
      </c>
      <c r="AY49" t="inlineStr">
        <is>
          <t>2025-12-10 05:30:00</t>
        </is>
      </c>
      <c r="AZ49" t="inlineStr">
        <is>
          <t>CITIN25668288188</t>
        </is>
      </c>
      <c r="BA49" t="n">
        <v>0</v>
      </c>
      <c r="BB49" t="inlineStr">
        <is>
          <t>b46d1c0612436528c39413227f1aa7fb172f940001bac4ef4c39fe649494c124</t>
        </is>
      </c>
    </row>
    <row r="50">
      <c r="A50" t="inlineStr">
        <is>
          <t>45</t>
        </is>
      </c>
      <c r="B50" t="inlineStr">
        <is>
          <t>7533385719</t>
        </is>
      </c>
      <c r="C50" t="inlineStr">
        <is>
          <t>2025-12-02 00:12:31</t>
        </is>
      </c>
      <c r="D50" t="inlineStr">
        <is>
          <t>49</t>
        </is>
      </c>
      <c r="E50" t="inlineStr">
        <is>
          <t>Sha Sha - Shandaar Shawarma</t>
        </is>
      </c>
      <c r="F50" t="inlineStr">
        <is>
          <t>18557902</t>
        </is>
      </c>
      <c r="G50" t="inlineStr">
        <is>
          <t>NA</t>
        </is>
      </c>
      <c r="H50" t="inlineStr">
        <is>
          <t>ONLINE</t>
        </is>
      </c>
      <c r="I50" t="inlineStr">
        <is>
          <t>DELIVERED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O2</t>
        </is>
      </c>
      <c r="N50" t="inlineStr">
        <is>
          <t>36</t>
        </is>
      </c>
      <c r="O50" t="n">
        <v>219</v>
      </c>
      <c r="P50" t="n">
        <v>3.5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11.13</v>
      </c>
      <c r="W50" t="n">
        <v>233.63</v>
      </c>
      <c r="X50" t="n">
        <v>222.5</v>
      </c>
      <c r="Y50" t="n">
        <v>19</v>
      </c>
      <c r="Z50" t="n">
        <v>42.28</v>
      </c>
      <c r="AA50" t="n">
        <v>4.3</v>
      </c>
      <c r="AB50" t="n">
        <v>46.58</v>
      </c>
      <c r="AC50" t="n">
        <v>8.380000000000001</v>
      </c>
      <c r="AD50" t="n">
        <v>0</v>
      </c>
      <c r="AE50" t="n">
        <v>222.5</v>
      </c>
      <c r="AF50" t="n">
        <v>0</v>
      </c>
      <c r="AG50" t="n">
        <v>0</v>
      </c>
      <c r="AH50" t="n">
        <v>0.22</v>
      </c>
      <c r="AI50" t="n">
        <v>11.13</v>
      </c>
      <c r="AJ50" t="n">
        <v>0</v>
      </c>
      <c r="AK50" t="n">
        <v>19.73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66.31</v>
      </c>
      <c r="AV50" t="n">
        <v>0</v>
      </c>
      <c r="AW50" t="n">
        <v>167.32</v>
      </c>
      <c r="AX50" t="inlineStr">
        <is>
          <t>settled</t>
        </is>
      </c>
      <c r="AY50" t="inlineStr">
        <is>
          <t>2025-12-10 05:30:00</t>
        </is>
      </c>
      <c r="AZ50" t="inlineStr">
        <is>
          <t>CITIN25668288188</t>
        </is>
      </c>
      <c r="BA50" t="n">
        <v>0</v>
      </c>
      <c r="BB50" t="inlineStr">
        <is>
          <t>addfa40b1b88803ba5dc5b111cce752267e4435d48b23a4c90022998053b6113</t>
        </is>
      </c>
    </row>
    <row r="51">
      <c r="A51" t="inlineStr">
        <is>
          <t>46</t>
        </is>
      </c>
      <c r="B51" t="inlineStr">
        <is>
          <t>7533458426</t>
        </is>
      </c>
      <c r="C51" t="inlineStr">
        <is>
          <t>2025-12-02 00:48:46</t>
        </is>
      </c>
      <c r="D51" t="inlineStr">
        <is>
          <t>49</t>
        </is>
      </c>
      <c r="E51" t="inlineStr">
        <is>
          <t>Sha Sha - Shandaar Shawarma</t>
        </is>
      </c>
      <c r="F51" t="inlineStr">
        <is>
          <t>18557902</t>
        </is>
      </c>
      <c r="G51" t="inlineStr">
        <is>
          <t>NA</t>
        </is>
      </c>
      <c r="H51" t="inlineStr">
        <is>
          <t>ONLINE</t>
        </is>
      </c>
      <c r="I51" t="inlineStr">
        <is>
          <t>DELIVERED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O2</t>
        </is>
      </c>
      <c r="N51" t="inlineStr">
        <is>
          <t>36</t>
        </is>
      </c>
      <c r="O51" t="n">
        <v>458</v>
      </c>
      <c r="P51" t="n">
        <v>3.5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23.08</v>
      </c>
      <c r="W51" t="n">
        <v>484.58</v>
      </c>
      <c r="X51" t="n">
        <v>461.5</v>
      </c>
      <c r="Y51" t="n">
        <v>19</v>
      </c>
      <c r="Z51" t="n">
        <v>87.68000000000001</v>
      </c>
      <c r="AA51" t="n">
        <v>8.92</v>
      </c>
      <c r="AB51" t="n">
        <v>96.59999999999999</v>
      </c>
      <c r="AC51" t="n">
        <v>17.39</v>
      </c>
      <c r="AD51" t="n">
        <v>0</v>
      </c>
      <c r="AE51" t="n">
        <v>461.5</v>
      </c>
      <c r="AF51" t="n">
        <v>0</v>
      </c>
      <c r="AG51" t="n">
        <v>0</v>
      </c>
      <c r="AH51" t="n">
        <v>0.46</v>
      </c>
      <c r="AI51" t="n">
        <v>23.08</v>
      </c>
      <c r="AJ51" t="n">
        <v>0</v>
      </c>
      <c r="AK51" t="n">
        <v>40.93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137.53</v>
      </c>
      <c r="AV51" t="n">
        <v>0</v>
      </c>
      <c r="AW51" t="n">
        <v>347.05</v>
      </c>
      <c r="AX51" t="inlineStr">
        <is>
          <t>settled</t>
        </is>
      </c>
      <c r="AY51" t="inlineStr">
        <is>
          <t>2025-12-10 05:30:00</t>
        </is>
      </c>
      <c r="AZ51" t="inlineStr">
        <is>
          <t>CITIN25668288188</t>
        </is>
      </c>
      <c r="BA51" t="n">
        <v>0</v>
      </c>
      <c r="BB51" t="inlineStr">
        <is>
          <t>56871c1397550907f3dbc25c0075371122b17d87281093bf1a95883e35073270</t>
        </is>
      </c>
    </row>
    <row r="52">
      <c r="A52" t="inlineStr">
        <is>
          <t>47</t>
        </is>
      </c>
      <c r="B52" t="inlineStr">
        <is>
          <t>7537431338</t>
        </is>
      </c>
      <c r="C52" t="inlineStr">
        <is>
          <t>2025-12-02 00:50:55</t>
        </is>
      </c>
      <c r="D52" t="inlineStr">
        <is>
          <t>49</t>
        </is>
      </c>
      <c r="E52" t="inlineStr">
        <is>
          <t>Sha Sha - Shandaar Shawarma</t>
        </is>
      </c>
      <c r="F52" t="inlineStr">
        <is>
          <t>18557902</t>
        </is>
      </c>
      <c r="G52" t="inlineStr">
        <is>
          <t>30% off upto ₹75 (2025-06-25 - 2031-01-01)</t>
        </is>
      </c>
      <c r="H52" t="inlineStr">
        <is>
          <t>ONLINE</t>
        </is>
      </c>
      <c r="I52" t="inlineStr">
        <is>
          <t>DELIVERED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O2</t>
        </is>
      </c>
      <c r="N52" t="inlineStr">
        <is>
          <t>36</t>
        </is>
      </c>
      <c r="O52" t="n">
        <v>229</v>
      </c>
      <c r="P52" t="n">
        <v>3.5</v>
      </c>
      <c r="Q52" t="n">
        <v>0</v>
      </c>
      <c r="R52" t="n">
        <v>68.7</v>
      </c>
      <c r="S52" t="n">
        <v>0</v>
      </c>
      <c r="T52" t="n">
        <v>0</v>
      </c>
      <c r="U52" t="n">
        <v>0</v>
      </c>
      <c r="V52" t="n">
        <v>8.19</v>
      </c>
      <c r="W52" t="n">
        <v>171.99</v>
      </c>
      <c r="X52" t="n">
        <v>163.8</v>
      </c>
      <c r="Y52" t="n">
        <v>19</v>
      </c>
      <c r="Z52" t="n">
        <v>31.12</v>
      </c>
      <c r="AA52" t="n">
        <v>3.16</v>
      </c>
      <c r="AB52" t="n">
        <v>34.28</v>
      </c>
      <c r="AC52" t="n">
        <v>6.17</v>
      </c>
      <c r="AD52" t="n">
        <v>0</v>
      </c>
      <c r="AE52" t="n">
        <v>163.8</v>
      </c>
      <c r="AF52" t="n">
        <v>0</v>
      </c>
      <c r="AG52" t="n">
        <v>0</v>
      </c>
      <c r="AH52" t="n">
        <v>0.16</v>
      </c>
      <c r="AI52" t="n">
        <v>8.199999999999999</v>
      </c>
      <c r="AJ52" t="n">
        <v>-0.01</v>
      </c>
      <c r="AK52" t="n">
        <v>14.53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48.81</v>
      </c>
      <c r="AV52" t="n">
        <v>0</v>
      </c>
      <c r="AW52" t="n">
        <v>123.18</v>
      </c>
      <c r="AX52" t="inlineStr">
        <is>
          <t>settled</t>
        </is>
      </c>
      <c r="AY52" t="inlineStr">
        <is>
          <t>2025-12-10 05:30:00</t>
        </is>
      </c>
      <c r="AZ52" t="inlineStr">
        <is>
          <t>CITIN25668288188</t>
        </is>
      </c>
      <c r="BA52" t="n">
        <v>0</v>
      </c>
      <c r="BB52" t="inlineStr">
        <is>
          <t>0bda503afa00a75e2d3ab13f48efbd762d31e5638eaef9dea4197fb80082d5f9</t>
        </is>
      </c>
    </row>
    <row r="53">
      <c r="A53" t="inlineStr">
        <is>
          <t>48</t>
        </is>
      </c>
      <c r="B53" t="inlineStr">
        <is>
          <t>7540924774</t>
        </is>
      </c>
      <c r="C53" t="inlineStr">
        <is>
          <t>2025-12-02 01:10:51</t>
        </is>
      </c>
      <c r="D53" t="inlineStr">
        <is>
          <t>49</t>
        </is>
      </c>
      <c r="E53" t="inlineStr">
        <is>
          <t>Sha Sha - Shandaar Shawarma</t>
        </is>
      </c>
      <c r="F53" t="inlineStr">
        <is>
          <t>18557902</t>
        </is>
      </c>
      <c r="G53" t="inlineStr">
        <is>
          <t>NA</t>
        </is>
      </c>
      <c r="H53" t="inlineStr">
        <is>
          <t>ONLINE</t>
        </is>
      </c>
      <c r="I53" t="inlineStr">
        <is>
          <t>DELIVERED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O2</t>
        </is>
      </c>
      <c r="N53" t="inlineStr">
        <is>
          <t>36</t>
        </is>
      </c>
      <c r="O53" t="n">
        <v>229</v>
      </c>
      <c r="P53" t="n">
        <v>3.5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11.63</v>
      </c>
      <c r="W53" t="n">
        <v>244.13</v>
      </c>
      <c r="X53" t="n">
        <v>232.5</v>
      </c>
      <c r="Y53" t="n">
        <v>19</v>
      </c>
      <c r="Z53" t="n">
        <v>44.18</v>
      </c>
      <c r="AA53" t="n">
        <v>4.49</v>
      </c>
      <c r="AB53" t="n">
        <v>48.67</v>
      </c>
      <c r="AC53" t="n">
        <v>8.76</v>
      </c>
      <c r="AD53" t="n">
        <v>0</v>
      </c>
      <c r="AE53" t="n">
        <v>232.5</v>
      </c>
      <c r="AF53" t="n">
        <v>0</v>
      </c>
      <c r="AG53" t="n">
        <v>0</v>
      </c>
      <c r="AH53" t="n">
        <v>0.23</v>
      </c>
      <c r="AI53" t="n">
        <v>11.63</v>
      </c>
      <c r="AJ53" t="n">
        <v>0</v>
      </c>
      <c r="AK53" t="n">
        <v>20.62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69.29000000000001</v>
      </c>
      <c r="AV53" t="n">
        <v>0</v>
      </c>
      <c r="AW53" t="n">
        <v>174.84</v>
      </c>
      <c r="AX53" t="inlineStr">
        <is>
          <t>settled</t>
        </is>
      </c>
      <c r="AY53" t="inlineStr">
        <is>
          <t>2025-12-10 05:30:00</t>
        </is>
      </c>
      <c r="AZ53" t="inlineStr">
        <is>
          <t>CITIN25668288188</t>
        </is>
      </c>
      <c r="BA53" t="n">
        <v>0</v>
      </c>
      <c r="BB53" t="inlineStr">
        <is>
          <t>59a17ace4aca16b6acd9fc32e08702adf4f0f818ca17ddcda6230b1575621dec</t>
        </is>
      </c>
    </row>
    <row r="54">
      <c r="A54" t="inlineStr">
        <is>
          <t>49</t>
        </is>
      </c>
      <c r="B54" t="inlineStr">
        <is>
          <t>7540769728</t>
        </is>
      </c>
      <c r="C54" t="inlineStr">
        <is>
          <t>2025-12-02 01:20:09</t>
        </is>
      </c>
      <c r="D54" t="inlineStr">
        <is>
          <t>49</t>
        </is>
      </c>
      <c r="E54" t="inlineStr">
        <is>
          <t>Sha Sha - Shandaar Shawarma</t>
        </is>
      </c>
      <c r="F54" t="inlineStr">
        <is>
          <t>18557902</t>
        </is>
      </c>
      <c r="G54" t="inlineStr">
        <is>
          <t>30% off upto ₹75 (2025-06-25 - 2031-01-01)</t>
        </is>
      </c>
      <c r="H54" t="inlineStr">
        <is>
          <t>ONLINE</t>
        </is>
      </c>
      <c r="I54" t="inlineStr">
        <is>
          <t>DELIVERED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O2</t>
        </is>
      </c>
      <c r="N54" t="inlineStr">
        <is>
          <t>36</t>
        </is>
      </c>
      <c r="O54" t="n">
        <v>229</v>
      </c>
      <c r="P54" t="n">
        <v>3.5</v>
      </c>
      <c r="Q54" t="n">
        <v>0</v>
      </c>
      <c r="R54" t="n">
        <v>68.7</v>
      </c>
      <c r="S54" t="n">
        <v>0</v>
      </c>
      <c r="T54" t="n">
        <v>0</v>
      </c>
      <c r="U54" t="n">
        <v>0</v>
      </c>
      <c r="V54" t="n">
        <v>8.19</v>
      </c>
      <c r="W54" t="n">
        <v>171.99</v>
      </c>
      <c r="X54" t="n">
        <v>163.8</v>
      </c>
      <c r="Y54" t="n">
        <v>19</v>
      </c>
      <c r="Z54" t="n">
        <v>31.12</v>
      </c>
      <c r="AA54" t="n">
        <v>3.16</v>
      </c>
      <c r="AB54" t="n">
        <v>34.28</v>
      </c>
      <c r="AC54" t="n">
        <v>6.17</v>
      </c>
      <c r="AD54" t="n">
        <v>0</v>
      </c>
      <c r="AE54" t="n">
        <v>163.8</v>
      </c>
      <c r="AF54" t="n">
        <v>0</v>
      </c>
      <c r="AG54" t="n">
        <v>0</v>
      </c>
      <c r="AH54" t="n">
        <v>0.16</v>
      </c>
      <c r="AI54" t="n">
        <v>8.199999999999999</v>
      </c>
      <c r="AJ54" t="n">
        <v>-0.01</v>
      </c>
      <c r="AK54" t="n">
        <v>14.53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48.81</v>
      </c>
      <c r="AV54" t="n">
        <v>0</v>
      </c>
      <c r="AW54" t="n">
        <v>123.18</v>
      </c>
      <c r="AX54" t="inlineStr">
        <is>
          <t>settled</t>
        </is>
      </c>
      <c r="AY54" t="inlineStr">
        <is>
          <t>2025-12-10 05:30:00</t>
        </is>
      </c>
      <c r="AZ54" t="inlineStr">
        <is>
          <t>CITIN25668288188</t>
        </is>
      </c>
      <c r="BA54" t="n">
        <v>0</v>
      </c>
      <c r="BB54" t="inlineStr">
        <is>
          <t>8df1408d9e433d5fd6a376602d4a7871d79bfde0b3a5508f7c551c0672a9d0fb</t>
        </is>
      </c>
    </row>
    <row r="55">
      <c r="A55" t="inlineStr">
        <is>
          <t>50</t>
        </is>
      </c>
      <c r="B55" t="inlineStr">
        <is>
          <t>7533871073</t>
        </is>
      </c>
      <c r="C55" t="inlineStr">
        <is>
          <t>2025-12-02 01:51:44</t>
        </is>
      </c>
      <c r="D55" t="inlineStr">
        <is>
          <t>49</t>
        </is>
      </c>
      <c r="E55" t="inlineStr">
        <is>
          <t>Sha Sha - Shandaar Shawarma</t>
        </is>
      </c>
      <c r="F55" t="inlineStr">
        <is>
          <t>18557902</t>
        </is>
      </c>
      <c r="G55" t="inlineStr">
        <is>
          <t>30% off upto ₹75 (2025-06-25 - 2031-01-01)</t>
        </is>
      </c>
      <c r="H55" t="inlineStr">
        <is>
          <t>ONLINE</t>
        </is>
      </c>
      <c r="I55" t="inlineStr">
        <is>
          <t>DELIVERED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O2</t>
        </is>
      </c>
      <c r="N55" t="inlineStr">
        <is>
          <t>36</t>
        </is>
      </c>
      <c r="O55" t="n">
        <v>229</v>
      </c>
      <c r="P55" t="n">
        <v>3.5</v>
      </c>
      <c r="Q55" t="n">
        <v>0</v>
      </c>
      <c r="R55" t="n">
        <v>68.7</v>
      </c>
      <c r="S55" t="n">
        <v>0</v>
      </c>
      <c r="T55" t="n">
        <v>0</v>
      </c>
      <c r="U55" t="n">
        <v>0</v>
      </c>
      <c r="V55" t="n">
        <v>8.19</v>
      </c>
      <c r="W55" t="n">
        <v>171.99</v>
      </c>
      <c r="X55" t="n">
        <v>163.8</v>
      </c>
      <c r="Y55" t="n">
        <v>19</v>
      </c>
      <c r="Z55" t="n">
        <v>31.12</v>
      </c>
      <c r="AA55" t="n">
        <v>3.16</v>
      </c>
      <c r="AB55" t="n">
        <v>34.28</v>
      </c>
      <c r="AC55" t="n">
        <v>6.17</v>
      </c>
      <c r="AD55" t="n">
        <v>0</v>
      </c>
      <c r="AE55" t="n">
        <v>163.8</v>
      </c>
      <c r="AF55" t="n">
        <v>0</v>
      </c>
      <c r="AG55" t="n">
        <v>0</v>
      </c>
      <c r="AH55" t="n">
        <v>0.16</v>
      </c>
      <c r="AI55" t="n">
        <v>8.199999999999999</v>
      </c>
      <c r="AJ55" t="n">
        <v>-0.01</v>
      </c>
      <c r="AK55" t="n">
        <v>14.53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48.81</v>
      </c>
      <c r="AV55" t="n">
        <v>0</v>
      </c>
      <c r="AW55" t="n">
        <v>123.18</v>
      </c>
      <c r="AX55" t="inlineStr">
        <is>
          <t>settled</t>
        </is>
      </c>
      <c r="AY55" t="inlineStr">
        <is>
          <t>2025-12-10 05:30:00</t>
        </is>
      </c>
      <c r="AZ55" t="inlineStr">
        <is>
          <t>CITIN25668288188</t>
        </is>
      </c>
      <c r="BA55" t="n">
        <v>0</v>
      </c>
      <c r="BB55" t="inlineStr">
        <is>
          <t>ced42fcdb608f866f3283ce4b994b13e1c150e641351693603f881df36aa2fa0</t>
        </is>
      </c>
    </row>
    <row r="56">
      <c r="A56" t="inlineStr">
        <is>
          <t>51</t>
        </is>
      </c>
      <c r="B56" t="inlineStr">
        <is>
          <t>7540720931</t>
        </is>
      </c>
      <c r="C56" t="inlineStr">
        <is>
          <t>2025-12-02 02:14:19</t>
        </is>
      </c>
      <c r="D56" t="inlineStr">
        <is>
          <t>49</t>
        </is>
      </c>
      <c r="E56" t="inlineStr">
        <is>
          <t>Sha Sha - Shandaar Shawarma</t>
        </is>
      </c>
      <c r="F56" t="inlineStr">
        <is>
          <t>18557902</t>
        </is>
      </c>
      <c r="G56" t="inlineStr">
        <is>
          <t>NA</t>
        </is>
      </c>
      <c r="H56" t="inlineStr">
        <is>
          <t>ONLINE</t>
        </is>
      </c>
      <c r="I56" t="inlineStr">
        <is>
          <t>DELIVERED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O2</t>
        </is>
      </c>
      <c r="N56" t="inlineStr">
        <is>
          <t>36</t>
        </is>
      </c>
      <c r="O56" t="n">
        <v>229</v>
      </c>
      <c r="P56" t="n">
        <v>3.5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11.63</v>
      </c>
      <c r="W56" t="n">
        <v>244.13</v>
      </c>
      <c r="X56" t="n">
        <v>232.5</v>
      </c>
      <c r="Y56" t="n">
        <v>19</v>
      </c>
      <c r="Z56" t="n">
        <v>44.18</v>
      </c>
      <c r="AA56" t="n">
        <v>4.49</v>
      </c>
      <c r="AB56" t="n">
        <v>48.67</v>
      </c>
      <c r="AC56" t="n">
        <v>8.76</v>
      </c>
      <c r="AD56" t="n">
        <v>0</v>
      </c>
      <c r="AE56" t="n">
        <v>232.5</v>
      </c>
      <c r="AF56" t="n">
        <v>0</v>
      </c>
      <c r="AG56" t="n">
        <v>0</v>
      </c>
      <c r="AH56" t="n">
        <v>0.23</v>
      </c>
      <c r="AI56" t="n">
        <v>11.63</v>
      </c>
      <c r="AJ56" t="n">
        <v>0</v>
      </c>
      <c r="AK56" t="n">
        <v>20.62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69.29000000000001</v>
      </c>
      <c r="AV56" t="n">
        <v>0</v>
      </c>
      <c r="AW56" t="n">
        <v>174.84</v>
      </c>
      <c r="AX56" t="inlineStr">
        <is>
          <t>settled</t>
        </is>
      </c>
      <c r="AY56" t="inlineStr">
        <is>
          <t>2025-12-10 05:30:00</t>
        </is>
      </c>
      <c r="AZ56" t="inlineStr">
        <is>
          <t>CITIN25668288188</t>
        </is>
      </c>
      <c r="BA56" t="n">
        <v>0</v>
      </c>
      <c r="BB56" t="inlineStr">
        <is>
          <t>b9a618ec20a51eb66aa2da79b2ffa9af7fb5fd4fd3e999ffea40f34bfe2d107c</t>
        </is>
      </c>
    </row>
    <row r="57">
      <c r="A57" t="inlineStr">
        <is>
          <t>52</t>
        </is>
      </c>
      <c r="B57" t="inlineStr">
        <is>
          <t>7533732526</t>
        </is>
      </c>
      <c r="C57" t="inlineStr">
        <is>
          <t>2025-12-02 02:21:45</t>
        </is>
      </c>
      <c r="D57" t="inlineStr">
        <is>
          <t>49</t>
        </is>
      </c>
      <c r="E57" t="inlineStr">
        <is>
          <t>Sha Sha - Shandaar Shawarma</t>
        </is>
      </c>
      <c r="F57" t="inlineStr">
        <is>
          <t>18557902</t>
        </is>
      </c>
      <c r="G57" t="inlineStr">
        <is>
          <t>NA</t>
        </is>
      </c>
      <c r="H57" t="inlineStr">
        <is>
          <t>ONLINE</t>
        </is>
      </c>
      <c r="I57" t="inlineStr">
        <is>
          <t>DELIVERED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O2</t>
        </is>
      </c>
      <c r="N57" t="inlineStr">
        <is>
          <t>36</t>
        </is>
      </c>
      <c r="O57" t="n">
        <v>438</v>
      </c>
      <c r="P57" t="n">
        <v>3.5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22.08</v>
      </c>
      <c r="W57" t="n">
        <v>463.58</v>
      </c>
      <c r="X57" t="n">
        <v>441.5</v>
      </c>
      <c r="Y57" t="n">
        <v>19</v>
      </c>
      <c r="Z57" t="n">
        <v>83.88</v>
      </c>
      <c r="AA57" t="n">
        <v>8.529999999999999</v>
      </c>
      <c r="AB57" t="n">
        <v>92.41</v>
      </c>
      <c r="AC57" t="n">
        <v>16.64</v>
      </c>
      <c r="AD57" t="n">
        <v>0</v>
      </c>
      <c r="AE57" t="n">
        <v>441.5</v>
      </c>
      <c r="AF57" t="n">
        <v>0</v>
      </c>
      <c r="AG57" t="n">
        <v>0</v>
      </c>
      <c r="AH57" t="n">
        <v>0.44</v>
      </c>
      <c r="AI57" t="n">
        <v>22.08</v>
      </c>
      <c r="AJ57" t="n">
        <v>0</v>
      </c>
      <c r="AK57" t="n">
        <v>39.16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131.57</v>
      </c>
      <c r="AV57" t="n">
        <v>0</v>
      </c>
      <c r="AW57" t="n">
        <v>332.01</v>
      </c>
      <c r="AX57" t="inlineStr">
        <is>
          <t>settled</t>
        </is>
      </c>
      <c r="AY57" t="inlineStr">
        <is>
          <t>2025-12-10 05:30:00</t>
        </is>
      </c>
      <c r="AZ57" t="inlineStr">
        <is>
          <t>CITIN25668288188</t>
        </is>
      </c>
      <c r="BA57" t="n">
        <v>0</v>
      </c>
      <c r="BB57" t="inlineStr">
        <is>
          <t>5366663c3ee129ff9a9b34d016e2bcdd392afd69582b5e398d05d8fa741f7a66</t>
        </is>
      </c>
    </row>
    <row r="58">
      <c r="A58" t="inlineStr">
        <is>
          <t>53</t>
        </is>
      </c>
      <c r="B58" t="inlineStr">
        <is>
          <t>7535906235</t>
        </is>
      </c>
      <c r="C58" t="inlineStr">
        <is>
          <t>2025-12-02 02:41:02</t>
        </is>
      </c>
      <c r="D58" t="inlineStr">
        <is>
          <t>49</t>
        </is>
      </c>
      <c r="E58" t="inlineStr">
        <is>
          <t>Sha Sha - Shandaar Shawarma</t>
        </is>
      </c>
      <c r="F58" t="inlineStr">
        <is>
          <t>18557902</t>
        </is>
      </c>
      <c r="G58" t="inlineStr">
        <is>
          <t>NA</t>
        </is>
      </c>
      <c r="H58" t="inlineStr">
        <is>
          <t>ONLINE</t>
        </is>
      </c>
      <c r="I58" t="inlineStr">
        <is>
          <t>DELIVERED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O2</t>
        </is>
      </c>
      <c r="N58" t="inlineStr">
        <is>
          <t>36</t>
        </is>
      </c>
      <c r="O58" t="n">
        <v>458</v>
      </c>
      <c r="P58" t="n">
        <v>3.5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23.08</v>
      </c>
      <c r="W58" t="n">
        <v>484.58</v>
      </c>
      <c r="X58" t="n">
        <v>461.5</v>
      </c>
      <c r="Y58" t="n">
        <v>19</v>
      </c>
      <c r="Z58" t="n">
        <v>87.68000000000001</v>
      </c>
      <c r="AA58" t="n">
        <v>8.92</v>
      </c>
      <c r="AB58" t="n">
        <v>96.59999999999999</v>
      </c>
      <c r="AC58" t="n">
        <v>17.39</v>
      </c>
      <c r="AD58" t="n">
        <v>0</v>
      </c>
      <c r="AE58" t="n">
        <v>461.5</v>
      </c>
      <c r="AF58" t="n">
        <v>0</v>
      </c>
      <c r="AG58" t="n">
        <v>0</v>
      </c>
      <c r="AH58" t="n">
        <v>0.46</v>
      </c>
      <c r="AI58" t="n">
        <v>23.08</v>
      </c>
      <c r="AJ58" t="n">
        <v>0</v>
      </c>
      <c r="AK58" t="n">
        <v>40.93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137.53</v>
      </c>
      <c r="AV58" t="n">
        <v>0</v>
      </c>
      <c r="AW58" t="n">
        <v>347.05</v>
      </c>
      <c r="AX58" t="inlineStr">
        <is>
          <t>settled</t>
        </is>
      </c>
      <c r="AY58" t="inlineStr">
        <is>
          <t>2025-12-10 05:30:00</t>
        </is>
      </c>
      <c r="AZ58" t="inlineStr">
        <is>
          <t>CITIN25668288188</t>
        </is>
      </c>
      <c r="BA58" t="n">
        <v>0</v>
      </c>
      <c r="BB58" t="inlineStr">
        <is>
          <t>8d429e575383900532e5c09bf6f034a188d7c8b9e4401773089c3c8826046a1b</t>
        </is>
      </c>
    </row>
    <row r="59">
      <c r="A59" t="inlineStr">
        <is>
          <t>54</t>
        </is>
      </c>
      <c r="B59" t="inlineStr">
        <is>
          <t>7533711309</t>
        </is>
      </c>
      <c r="C59" t="inlineStr">
        <is>
          <t>2025-12-02 02:52:33</t>
        </is>
      </c>
      <c r="D59" t="inlineStr">
        <is>
          <t>49</t>
        </is>
      </c>
      <c r="E59" t="inlineStr">
        <is>
          <t>Sha Sha - Shandaar Shawarma</t>
        </is>
      </c>
      <c r="F59" t="inlineStr">
        <is>
          <t>18557902</t>
        </is>
      </c>
      <c r="G59" t="inlineStr">
        <is>
          <t>30% off upto ₹75 (2025-06-25 - 2031-01-01)</t>
        </is>
      </c>
      <c r="H59" t="inlineStr">
        <is>
          <t>ONLINE</t>
        </is>
      </c>
      <c r="I59" t="inlineStr">
        <is>
          <t>DELIVERED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O2</t>
        </is>
      </c>
      <c r="N59" t="inlineStr">
        <is>
          <t>36</t>
        </is>
      </c>
      <c r="O59" t="n">
        <v>229</v>
      </c>
      <c r="P59" t="n">
        <v>3.5</v>
      </c>
      <c r="Q59" t="n">
        <v>0</v>
      </c>
      <c r="R59" t="n">
        <v>68.7</v>
      </c>
      <c r="S59" t="n">
        <v>0</v>
      </c>
      <c r="T59" t="n">
        <v>0</v>
      </c>
      <c r="U59" t="n">
        <v>0</v>
      </c>
      <c r="V59" t="n">
        <v>8.19</v>
      </c>
      <c r="W59" t="n">
        <v>171.99</v>
      </c>
      <c r="X59" t="n">
        <v>163.8</v>
      </c>
      <c r="Y59" t="n">
        <v>19</v>
      </c>
      <c r="Z59" t="n">
        <v>31.12</v>
      </c>
      <c r="AA59" t="n">
        <v>3.16</v>
      </c>
      <c r="AB59" t="n">
        <v>34.28</v>
      </c>
      <c r="AC59" t="n">
        <v>6.17</v>
      </c>
      <c r="AD59" t="n">
        <v>0</v>
      </c>
      <c r="AE59" t="n">
        <v>163.8</v>
      </c>
      <c r="AF59" t="n">
        <v>0</v>
      </c>
      <c r="AG59" t="n">
        <v>0</v>
      </c>
      <c r="AH59" t="n">
        <v>0.16</v>
      </c>
      <c r="AI59" t="n">
        <v>8.199999999999999</v>
      </c>
      <c r="AJ59" t="n">
        <v>-0.01</v>
      </c>
      <c r="AK59" t="n">
        <v>14.53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48.81</v>
      </c>
      <c r="AV59" t="n">
        <v>0</v>
      </c>
      <c r="AW59" t="n">
        <v>123.18</v>
      </c>
      <c r="AX59" t="inlineStr">
        <is>
          <t>settled</t>
        </is>
      </c>
      <c r="AY59" t="inlineStr">
        <is>
          <t>2025-12-10 05:30:00</t>
        </is>
      </c>
      <c r="AZ59" t="inlineStr">
        <is>
          <t>CITIN25668288188</t>
        </is>
      </c>
      <c r="BA59" t="n">
        <v>0</v>
      </c>
      <c r="BB59" t="inlineStr">
        <is>
          <t>9e6d81c74896b250fddc74f79a08d4c3d88c75c197e0f396d8e3988c75b89f8b</t>
        </is>
      </c>
    </row>
    <row r="60">
      <c r="A60" t="inlineStr">
        <is>
          <t>55</t>
        </is>
      </c>
      <c r="B60" t="inlineStr">
        <is>
          <t>7537815589</t>
        </is>
      </c>
      <c r="C60" t="inlineStr">
        <is>
          <t>2025-12-02 02:53:44</t>
        </is>
      </c>
      <c r="D60" t="inlineStr">
        <is>
          <t>49</t>
        </is>
      </c>
      <c r="E60" t="inlineStr">
        <is>
          <t>Sha Sha - Shandaar Shawarma</t>
        </is>
      </c>
      <c r="F60" t="inlineStr">
        <is>
          <t>18557902</t>
        </is>
      </c>
      <c r="G60" t="inlineStr">
        <is>
          <t>30% off upto ₹75 (2025-06-25 - 2031-01-01)</t>
        </is>
      </c>
      <c r="H60" t="inlineStr">
        <is>
          <t>ONLINE</t>
        </is>
      </c>
      <c r="I60" t="inlineStr">
        <is>
          <t>DELIVERED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O2</t>
        </is>
      </c>
      <c r="N60" t="inlineStr">
        <is>
          <t>36</t>
        </is>
      </c>
      <c r="O60" t="n">
        <v>229</v>
      </c>
      <c r="P60" t="n">
        <v>3.5</v>
      </c>
      <c r="Q60" t="n">
        <v>0</v>
      </c>
      <c r="R60" t="n">
        <v>68.7</v>
      </c>
      <c r="S60" t="n">
        <v>0</v>
      </c>
      <c r="T60" t="n">
        <v>0</v>
      </c>
      <c r="U60" t="n">
        <v>0</v>
      </c>
      <c r="V60" t="n">
        <v>8.19</v>
      </c>
      <c r="W60" t="n">
        <v>171.99</v>
      </c>
      <c r="X60" t="n">
        <v>163.8</v>
      </c>
      <c r="Y60" t="n">
        <v>19</v>
      </c>
      <c r="Z60" t="n">
        <v>31.12</v>
      </c>
      <c r="AA60" t="n">
        <v>3.16</v>
      </c>
      <c r="AB60" t="n">
        <v>34.28</v>
      </c>
      <c r="AC60" t="n">
        <v>6.17</v>
      </c>
      <c r="AD60" t="n">
        <v>0</v>
      </c>
      <c r="AE60" t="n">
        <v>163.8</v>
      </c>
      <c r="AF60" t="n">
        <v>0</v>
      </c>
      <c r="AG60" t="n">
        <v>0</v>
      </c>
      <c r="AH60" t="n">
        <v>0.16</v>
      </c>
      <c r="AI60" t="n">
        <v>8.199999999999999</v>
      </c>
      <c r="AJ60" t="n">
        <v>-0.01</v>
      </c>
      <c r="AK60" t="n">
        <v>14.53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48.81</v>
      </c>
      <c r="AV60" t="n">
        <v>0</v>
      </c>
      <c r="AW60" t="n">
        <v>123.18</v>
      </c>
      <c r="AX60" t="inlineStr">
        <is>
          <t>settled</t>
        </is>
      </c>
      <c r="AY60" t="inlineStr">
        <is>
          <t>2025-12-10 05:30:00</t>
        </is>
      </c>
      <c r="AZ60" t="inlineStr">
        <is>
          <t>CITIN25668288188</t>
        </is>
      </c>
      <c r="BA60" t="n">
        <v>0</v>
      </c>
      <c r="BB60" t="inlineStr">
        <is>
          <t>41243fa67459419a7cd1557e13e79b4f04ef3c5e18bebd593d85c448af4e7434</t>
        </is>
      </c>
    </row>
    <row r="61">
      <c r="A61" t="inlineStr">
        <is>
          <t>56</t>
        </is>
      </c>
      <c r="B61" t="inlineStr">
        <is>
          <t>7539614500</t>
        </is>
      </c>
      <c r="C61" t="inlineStr">
        <is>
          <t>2025-12-02 03:06:25</t>
        </is>
      </c>
      <c r="D61" t="inlineStr">
        <is>
          <t>49</t>
        </is>
      </c>
      <c r="E61" t="inlineStr">
        <is>
          <t>Sha Sha - Shandaar Shawarma</t>
        </is>
      </c>
      <c r="F61" t="inlineStr">
        <is>
          <t>18557902</t>
        </is>
      </c>
      <c r="G61" t="inlineStr">
        <is>
          <t>30% off upto ₹75 (2025-06-25 - 2031-01-01)</t>
        </is>
      </c>
      <c r="H61" t="inlineStr">
        <is>
          <t>ONLINE</t>
        </is>
      </c>
      <c r="I61" t="inlineStr">
        <is>
          <t>DELIVERED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O2</t>
        </is>
      </c>
      <c r="N61" t="inlineStr">
        <is>
          <t>36</t>
        </is>
      </c>
      <c r="O61" t="n">
        <v>229</v>
      </c>
      <c r="P61" t="n">
        <v>3.5</v>
      </c>
      <c r="Q61" t="n">
        <v>0</v>
      </c>
      <c r="R61" t="n">
        <v>68.7</v>
      </c>
      <c r="S61" t="n">
        <v>0</v>
      </c>
      <c r="T61" t="n">
        <v>0</v>
      </c>
      <c r="U61" t="n">
        <v>0</v>
      </c>
      <c r="V61" t="n">
        <v>8.19</v>
      </c>
      <c r="W61" t="n">
        <v>171.99</v>
      </c>
      <c r="X61" t="n">
        <v>163.8</v>
      </c>
      <c r="Y61" t="n">
        <v>19</v>
      </c>
      <c r="Z61" t="n">
        <v>31.12</v>
      </c>
      <c r="AA61" t="n">
        <v>3.16</v>
      </c>
      <c r="AB61" t="n">
        <v>34.28</v>
      </c>
      <c r="AC61" t="n">
        <v>6.17</v>
      </c>
      <c r="AD61" t="n">
        <v>0</v>
      </c>
      <c r="AE61" t="n">
        <v>163.8</v>
      </c>
      <c r="AF61" t="n">
        <v>0</v>
      </c>
      <c r="AG61" t="n">
        <v>0</v>
      </c>
      <c r="AH61" t="n">
        <v>0.16</v>
      </c>
      <c r="AI61" t="n">
        <v>8.199999999999999</v>
      </c>
      <c r="AJ61" t="n">
        <v>-0.01</v>
      </c>
      <c r="AK61" t="n">
        <v>14.53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48.81</v>
      </c>
      <c r="AV61" t="n">
        <v>0</v>
      </c>
      <c r="AW61" t="n">
        <v>123.18</v>
      </c>
      <c r="AX61" t="inlineStr">
        <is>
          <t>settled</t>
        </is>
      </c>
      <c r="AY61" t="inlineStr">
        <is>
          <t>2025-12-10 05:30:00</t>
        </is>
      </c>
      <c r="AZ61" t="inlineStr">
        <is>
          <t>CITIN25668288188</t>
        </is>
      </c>
      <c r="BA61" t="n">
        <v>0</v>
      </c>
      <c r="BB61" t="inlineStr">
        <is>
          <t>ec750e3e9a99e87487e5ba2f1e10f3a31937ce19c22bbbaf0096d512b57fc106</t>
        </is>
      </c>
    </row>
    <row r="62">
      <c r="A62" t="inlineStr">
        <is>
          <t>57</t>
        </is>
      </c>
      <c r="B62" t="inlineStr">
        <is>
          <t>7539312557</t>
        </is>
      </c>
      <c r="C62" t="inlineStr">
        <is>
          <t>2025-12-02 03:07:53</t>
        </is>
      </c>
      <c r="D62" t="inlineStr">
        <is>
          <t>49</t>
        </is>
      </c>
      <c r="E62" t="inlineStr">
        <is>
          <t>Sha Sha - Shandaar Shawarma</t>
        </is>
      </c>
      <c r="F62" t="inlineStr">
        <is>
          <t>18557902</t>
        </is>
      </c>
      <c r="G62" t="inlineStr">
        <is>
          <t>NA</t>
        </is>
      </c>
      <c r="H62" t="inlineStr">
        <is>
          <t>ONLINE</t>
        </is>
      </c>
      <c r="I62" t="inlineStr">
        <is>
          <t>DELIVERED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O2</t>
        </is>
      </c>
      <c r="N62" t="inlineStr">
        <is>
          <t>36</t>
        </is>
      </c>
      <c r="O62" t="n">
        <v>458</v>
      </c>
      <c r="P62" t="n">
        <v>3.5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23.08</v>
      </c>
      <c r="W62" t="n">
        <v>484.58</v>
      </c>
      <c r="X62" t="n">
        <v>461.5</v>
      </c>
      <c r="Y62" t="n">
        <v>19</v>
      </c>
      <c r="Z62" t="n">
        <v>87.68000000000001</v>
      </c>
      <c r="AA62" t="n">
        <v>8.92</v>
      </c>
      <c r="AB62" t="n">
        <v>96.59999999999999</v>
      </c>
      <c r="AC62" t="n">
        <v>17.39</v>
      </c>
      <c r="AD62" t="n">
        <v>0</v>
      </c>
      <c r="AE62" t="n">
        <v>461.5</v>
      </c>
      <c r="AF62" t="n">
        <v>0</v>
      </c>
      <c r="AG62" t="n">
        <v>0</v>
      </c>
      <c r="AH62" t="n">
        <v>0.46</v>
      </c>
      <c r="AI62" t="n">
        <v>23.08</v>
      </c>
      <c r="AJ62" t="n">
        <v>0</v>
      </c>
      <c r="AK62" t="n">
        <v>40.93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137.53</v>
      </c>
      <c r="AV62" t="n">
        <v>0</v>
      </c>
      <c r="AW62" t="n">
        <v>347.05</v>
      </c>
      <c r="AX62" t="inlineStr">
        <is>
          <t>settled</t>
        </is>
      </c>
      <c r="AY62" t="inlineStr">
        <is>
          <t>2025-12-10 05:30:00</t>
        </is>
      </c>
      <c r="AZ62" t="inlineStr">
        <is>
          <t>CITIN25668288188</t>
        </is>
      </c>
      <c r="BA62" t="n">
        <v>0</v>
      </c>
      <c r="BB62" t="inlineStr">
        <is>
          <t>bf330ad85593681399ab8db3c4f539add1791a0d3d43063d60856156faa04e85</t>
        </is>
      </c>
    </row>
    <row r="63">
      <c r="A63" t="inlineStr">
        <is>
          <t>58</t>
        </is>
      </c>
      <c r="B63" t="inlineStr">
        <is>
          <t>7535741056</t>
        </is>
      </c>
      <c r="C63" t="inlineStr">
        <is>
          <t>2025-12-02 03:17:03</t>
        </is>
      </c>
      <c r="D63" t="inlineStr">
        <is>
          <t>49</t>
        </is>
      </c>
      <c r="E63" t="inlineStr">
        <is>
          <t>Sha Sha - Shandaar Shawarma</t>
        </is>
      </c>
      <c r="F63" t="inlineStr">
        <is>
          <t>18557902</t>
        </is>
      </c>
      <c r="G63" t="inlineStr">
        <is>
          <t>30% off upto ₹75 (2025-06-25 - 2031-01-01)</t>
        </is>
      </c>
      <c r="H63" t="inlineStr">
        <is>
          <t>ONLINE</t>
        </is>
      </c>
      <c r="I63" t="inlineStr">
        <is>
          <t>DELIVERED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O2</t>
        </is>
      </c>
      <c r="N63" t="inlineStr">
        <is>
          <t>36</t>
        </is>
      </c>
      <c r="O63" t="n">
        <v>229</v>
      </c>
      <c r="P63" t="n">
        <v>3.5</v>
      </c>
      <c r="Q63" t="n">
        <v>0</v>
      </c>
      <c r="R63" t="n">
        <v>68.7</v>
      </c>
      <c r="S63" t="n">
        <v>0</v>
      </c>
      <c r="T63" t="n">
        <v>0</v>
      </c>
      <c r="U63" t="n">
        <v>0</v>
      </c>
      <c r="V63" t="n">
        <v>8.19</v>
      </c>
      <c r="W63" t="n">
        <v>171.99</v>
      </c>
      <c r="X63" t="n">
        <v>163.8</v>
      </c>
      <c r="Y63" t="n">
        <v>19</v>
      </c>
      <c r="Z63" t="n">
        <v>31.12</v>
      </c>
      <c r="AA63" t="n">
        <v>3.16</v>
      </c>
      <c r="AB63" t="n">
        <v>34.28</v>
      </c>
      <c r="AC63" t="n">
        <v>6.17</v>
      </c>
      <c r="AD63" t="n">
        <v>0</v>
      </c>
      <c r="AE63" t="n">
        <v>163.8</v>
      </c>
      <c r="AF63" t="n">
        <v>0</v>
      </c>
      <c r="AG63" t="n">
        <v>0</v>
      </c>
      <c r="AH63" t="n">
        <v>0.16</v>
      </c>
      <c r="AI63" t="n">
        <v>8.199999999999999</v>
      </c>
      <c r="AJ63" t="n">
        <v>-0.01</v>
      </c>
      <c r="AK63" t="n">
        <v>14.53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48.81</v>
      </c>
      <c r="AV63" t="n">
        <v>0</v>
      </c>
      <c r="AW63" t="n">
        <v>123.18</v>
      </c>
      <c r="AX63" t="inlineStr">
        <is>
          <t>settled</t>
        </is>
      </c>
      <c r="AY63" t="inlineStr">
        <is>
          <t>2025-12-10 05:30:00</t>
        </is>
      </c>
      <c r="AZ63" t="inlineStr">
        <is>
          <t>CITIN25668288188</t>
        </is>
      </c>
      <c r="BA63" t="n">
        <v>0</v>
      </c>
      <c r="BB63" t="inlineStr">
        <is>
          <t>73b556463b1cbe562c7af4bc3e2d345d11bbc4059e9c55c4c4657ff4691eb511</t>
        </is>
      </c>
    </row>
    <row r="64">
      <c r="A64" t="inlineStr">
        <is>
          <t>59</t>
        </is>
      </c>
      <c r="B64" t="inlineStr">
        <is>
          <t>7536011991</t>
        </is>
      </c>
      <c r="C64" t="inlineStr">
        <is>
          <t>2025-12-02 03:59:01</t>
        </is>
      </c>
      <c r="D64" t="inlineStr">
        <is>
          <t>49</t>
        </is>
      </c>
      <c r="E64" t="inlineStr">
        <is>
          <t>Sha Sha - Shandaar Shawarma</t>
        </is>
      </c>
      <c r="F64" t="inlineStr">
        <is>
          <t>18557902</t>
        </is>
      </c>
      <c r="G64" t="inlineStr">
        <is>
          <t>30% off upto ₹75 (2025-06-25 - 2031-01-01)</t>
        </is>
      </c>
      <c r="H64" t="inlineStr">
        <is>
          <t>ONLINE</t>
        </is>
      </c>
      <c r="I64" t="inlineStr">
        <is>
          <t>DELIVERED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O2</t>
        </is>
      </c>
      <c r="N64" t="inlineStr">
        <is>
          <t>36</t>
        </is>
      </c>
      <c r="O64" t="n">
        <v>368</v>
      </c>
      <c r="P64" t="n">
        <v>3.5</v>
      </c>
      <c r="Q64" t="n">
        <v>0</v>
      </c>
      <c r="R64" t="n">
        <v>75</v>
      </c>
      <c r="S64" t="n">
        <v>0</v>
      </c>
      <c r="T64" t="n">
        <v>0</v>
      </c>
      <c r="U64" t="n">
        <v>0</v>
      </c>
      <c r="V64" t="n">
        <v>14.83</v>
      </c>
      <c r="W64" t="n">
        <v>311.33</v>
      </c>
      <c r="X64" t="n">
        <v>296.5</v>
      </c>
      <c r="Y64" t="n">
        <v>19</v>
      </c>
      <c r="Z64" t="n">
        <v>56.34</v>
      </c>
      <c r="AA64" t="n">
        <v>5.73</v>
      </c>
      <c r="AB64" t="n">
        <v>62.07</v>
      </c>
      <c r="AC64" t="n">
        <v>11.17</v>
      </c>
      <c r="AD64" t="n">
        <v>0</v>
      </c>
      <c r="AE64" t="n">
        <v>296.5</v>
      </c>
      <c r="AF64" t="n">
        <v>0</v>
      </c>
      <c r="AG64" t="n">
        <v>0</v>
      </c>
      <c r="AH64" t="n">
        <v>0.3</v>
      </c>
      <c r="AI64" t="n">
        <v>14.83</v>
      </c>
      <c r="AJ64" t="n">
        <v>0</v>
      </c>
      <c r="AK64" t="n">
        <v>26.3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88.37</v>
      </c>
      <c r="AV64" t="n">
        <v>0</v>
      </c>
      <c r="AW64" t="n">
        <v>222.96</v>
      </c>
      <c r="AX64" t="inlineStr">
        <is>
          <t>settled</t>
        </is>
      </c>
      <c r="AY64" t="inlineStr">
        <is>
          <t>2025-12-10 05:30:00</t>
        </is>
      </c>
      <c r="AZ64" t="inlineStr">
        <is>
          <t>CITIN25668288188</t>
        </is>
      </c>
      <c r="BA64" t="n">
        <v>0</v>
      </c>
      <c r="BB64" t="inlineStr">
        <is>
          <t>7a4ece48576114456ec3198aa4f27487a5565679e001e922c458a5f3a4de41fb</t>
        </is>
      </c>
    </row>
    <row r="65">
      <c r="A65" t="inlineStr">
        <is>
          <t>60</t>
        </is>
      </c>
      <c r="B65" t="inlineStr">
        <is>
          <t>7535328775</t>
        </is>
      </c>
      <c r="C65" t="inlineStr">
        <is>
          <t>2025-12-02 04:15:21</t>
        </is>
      </c>
      <c r="D65" t="inlineStr">
        <is>
          <t>49</t>
        </is>
      </c>
      <c r="E65" t="inlineStr">
        <is>
          <t>Sha Sha - Shandaar Shawarma</t>
        </is>
      </c>
      <c r="F65" t="inlineStr">
        <is>
          <t>18557902</t>
        </is>
      </c>
      <c r="G65" t="inlineStr">
        <is>
          <t>NA</t>
        </is>
      </c>
      <c r="H65" t="inlineStr">
        <is>
          <t>ONLINE</t>
        </is>
      </c>
      <c r="I65" t="inlineStr">
        <is>
          <t>DELIVERED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O2</t>
        </is>
      </c>
      <c r="N65" t="inlineStr">
        <is>
          <t>36</t>
        </is>
      </c>
      <c r="O65" t="n">
        <v>239</v>
      </c>
      <c r="P65" t="n">
        <v>3.5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12.13</v>
      </c>
      <c r="W65" t="n">
        <v>254.63</v>
      </c>
      <c r="X65" t="n">
        <v>242.5</v>
      </c>
      <c r="Y65" t="n">
        <v>19</v>
      </c>
      <c r="Z65" t="n">
        <v>46.08</v>
      </c>
      <c r="AA65" t="n">
        <v>4.69</v>
      </c>
      <c r="AB65" t="n">
        <v>50.77</v>
      </c>
      <c r="AC65" t="n">
        <v>9.130000000000001</v>
      </c>
      <c r="AD65" t="n">
        <v>0</v>
      </c>
      <c r="AE65" t="n">
        <v>242.5</v>
      </c>
      <c r="AF65" t="n">
        <v>0</v>
      </c>
      <c r="AG65" t="n">
        <v>0</v>
      </c>
      <c r="AH65" t="n">
        <v>0.24</v>
      </c>
      <c r="AI65" t="n">
        <v>12.13</v>
      </c>
      <c r="AJ65" t="n">
        <v>0</v>
      </c>
      <c r="AK65" t="n">
        <v>21.5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72.27</v>
      </c>
      <c r="AV65" t="n">
        <v>0</v>
      </c>
      <c r="AW65" t="n">
        <v>182.36</v>
      </c>
      <c r="AX65" t="inlineStr">
        <is>
          <t>settled</t>
        </is>
      </c>
      <c r="AY65" t="inlineStr">
        <is>
          <t>2025-12-10 05:30:00</t>
        </is>
      </c>
      <c r="AZ65" t="inlineStr">
        <is>
          <t>CITIN25668288188</t>
        </is>
      </c>
      <c r="BA65" t="n">
        <v>0</v>
      </c>
      <c r="BB65" t="inlineStr">
        <is>
          <t>82e7bfbfb2c7b1c8581dc000a4b7822b7a53707bc3fd969bb3105da0a102712a</t>
        </is>
      </c>
    </row>
    <row r="66">
      <c r="A66" t="inlineStr">
        <is>
          <t>61</t>
        </is>
      </c>
      <c r="B66" t="inlineStr">
        <is>
          <t>7530743966</t>
        </is>
      </c>
      <c r="C66" t="inlineStr">
        <is>
          <t>2025-12-02 12:19:59</t>
        </is>
      </c>
      <c r="D66" t="inlineStr">
        <is>
          <t>49</t>
        </is>
      </c>
      <c r="E66" t="inlineStr">
        <is>
          <t>Sha Sha - Shandaar Shawarma</t>
        </is>
      </c>
      <c r="F66" t="inlineStr">
        <is>
          <t>18557902</t>
        </is>
      </c>
      <c r="G66" t="inlineStr">
        <is>
          <t>30% off upto ₹75 (2025-06-25 - 2031-01-01)</t>
        </is>
      </c>
      <c r="H66" t="inlineStr">
        <is>
          <t>ONLINE</t>
        </is>
      </c>
      <c r="I66" t="inlineStr">
        <is>
          <t>DELIVERED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O2</t>
        </is>
      </c>
      <c r="N66" t="inlineStr">
        <is>
          <t>36</t>
        </is>
      </c>
      <c r="O66" t="n">
        <v>646</v>
      </c>
      <c r="P66" t="n">
        <v>3.5</v>
      </c>
      <c r="Q66" t="n">
        <v>0</v>
      </c>
      <c r="R66" t="n">
        <v>75</v>
      </c>
      <c r="S66" t="n">
        <v>0</v>
      </c>
      <c r="T66" t="n">
        <v>0</v>
      </c>
      <c r="U66" t="n">
        <v>0</v>
      </c>
      <c r="V66" t="n">
        <v>28.73</v>
      </c>
      <c r="W66" t="n">
        <v>603.23</v>
      </c>
      <c r="X66" t="n">
        <v>574.5</v>
      </c>
      <c r="Y66" t="n">
        <v>19</v>
      </c>
      <c r="Z66" t="n">
        <v>109.16</v>
      </c>
      <c r="AA66" t="n">
        <v>11.1</v>
      </c>
      <c r="AB66" t="n">
        <v>120.26</v>
      </c>
      <c r="AC66" t="n">
        <v>21.65</v>
      </c>
      <c r="AD66" t="n">
        <v>0</v>
      </c>
      <c r="AE66" t="n">
        <v>574.5</v>
      </c>
      <c r="AF66" t="n">
        <v>0</v>
      </c>
      <c r="AG66" t="n">
        <v>0</v>
      </c>
      <c r="AH66" t="n">
        <v>0.57</v>
      </c>
      <c r="AI66" t="n">
        <v>28.73</v>
      </c>
      <c r="AJ66" t="n">
        <v>0</v>
      </c>
      <c r="AK66" t="n">
        <v>50.95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171.21</v>
      </c>
      <c r="AV66" t="n">
        <v>0</v>
      </c>
      <c r="AW66" t="n">
        <v>432.02</v>
      </c>
      <c r="AX66" t="inlineStr">
        <is>
          <t>settled</t>
        </is>
      </c>
      <c r="AY66" t="inlineStr">
        <is>
          <t>2025-12-10 05:30:00</t>
        </is>
      </c>
      <c r="AZ66" t="inlineStr">
        <is>
          <t>CITIN25668288188</t>
        </is>
      </c>
      <c r="BA66" t="n">
        <v>0</v>
      </c>
      <c r="BB66" t="inlineStr">
        <is>
          <t>3c70e07015b7a71ffd52339dc3884ea5c36bf25c67a04ab8a72ef50158f708a2</t>
        </is>
      </c>
    </row>
    <row r="67">
      <c r="A67" t="inlineStr">
        <is>
          <t>62</t>
        </is>
      </c>
      <c r="B67" t="inlineStr">
        <is>
          <t>7540700826</t>
        </is>
      </c>
      <c r="C67" t="inlineStr">
        <is>
          <t>2025-12-02 13:07:27</t>
        </is>
      </c>
      <c r="D67" t="inlineStr">
        <is>
          <t>49</t>
        </is>
      </c>
      <c r="E67" t="inlineStr">
        <is>
          <t>Sha Sha - Shandaar Shawarma</t>
        </is>
      </c>
      <c r="F67" t="inlineStr">
        <is>
          <t>18557902</t>
        </is>
      </c>
      <c r="G67" t="inlineStr">
        <is>
          <t>NA</t>
        </is>
      </c>
      <c r="H67" t="inlineStr">
        <is>
          <t>ONLINE</t>
        </is>
      </c>
      <c r="I67" t="inlineStr">
        <is>
          <t>DELIVERED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O2</t>
        </is>
      </c>
      <c r="N67" t="inlineStr">
        <is>
          <t>36</t>
        </is>
      </c>
      <c r="O67" t="n">
        <v>229</v>
      </c>
      <c r="P67" t="n">
        <v>3.5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11.63</v>
      </c>
      <c r="W67" t="n">
        <v>244.13</v>
      </c>
      <c r="X67" t="n">
        <v>232.5</v>
      </c>
      <c r="Y67" t="n">
        <v>19</v>
      </c>
      <c r="Z67" t="n">
        <v>44.18</v>
      </c>
      <c r="AA67" t="n">
        <v>4.49</v>
      </c>
      <c r="AB67" t="n">
        <v>48.67</v>
      </c>
      <c r="AC67" t="n">
        <v>8.76</v>
      </c>
      <c r="AD67" t="n">
        <v>0</v>
      </c>
      <c r="AE67" t="n">
        <v>232.5</v>
      </c>
      <c r="AF67" t="n">
        <v>0</v>
      </c>
      <c r="AG67" t="n">
        <v>0</v>
      </c>
      <c r="AH67" t="n">
        <v>0.23</v>
      </c>
      <c r="AI67" t="n">
        <v>11.63</v>
      </c>
      <c r="AJ67" t="n">
        <v>0</v>
      </c>
      <c r="AK67" t="n">
        <v>20.62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69.29000000000001</v>
      </c>
      <c r="AV67" t="n">
        <v>0</v>
      </c>
      <c r="AW67" t="n">
        <v>174.84</v>
      </c>
      <c r="AX67" t="inlineStr">
        <is>
          <t>settled</t>
        </is>
      </c>
      <c r="AY67" t="inlineStr">
        <is>
          <t>2025-12-10 05:30:00</t>
        </is>
      </c>
      <c r="AZ67" t="inlineStr">
        <is>
          <t>CITIN25668288188</t>
        </is>
      </c>
      <c r="BA67" t="n">
        <v>0</v>
      </c>
      <c r="BB67" t="inlineStr">
        <is>
          <t>7e5b8a03fad2c755daf418b770dbb3ab3dd6220646d88bbfcf2a6daa21bc59bb</t>
        </is>
      </c>
    </row>
    <row r="68">
      <c r="A68" t="inlineStr">
        <is>
          <t>63</t>
        </is>
      </c>
      <c r="B68" t="inlineStr">
        <is>
          <t>7533154937</t>
        </is>
      </c>
      <c r="C68" t="inlineStr">
        <is>
          <t>2025-12-02 13:29:36</t>
        </is>
      </c>
      <c r="D68" t="inlineStr">
        <is>
          <t>49</t>
        </is>
      </c>
      <c r="E68" t="inlineStr">
        <is>
          <t>Sha Sha - Shandaar Shawarma</t>
        </is>
      </c>
      <c r="F68" t="inlineStr">
        <is>
          <t>18557902</t>
        </is>
      </c>
      <c r="G68" t="inlineStr">
        <is>
          <t>30% off upto ₹75 (2025-06-25 - 2031-01-01)</t>
        </is>
      </c>
      <c r="H68" t="inlineStr">
        <is>
          <t>ONLINE</t>
        </is>
      </c>
      <c r="I68" t="inlineStr">
        <is>
          <t>DELIVERED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O2</t>
        </is>
      </c>
      <c r="N68" t="inlineStr">
        <is>
          <t>36</t>
        </is>
      </c>
      <c r="O68" t="n">
        <v>229</v>
      </c>
      <c r="P68" t="n">
        <v>3.5</v>
      </c>
      <c r="Q68" t="n">
        <v>0</v>
      </c>
      <c r="R68" t="n">
        <v>68.7</v>
      </c>
      <c r="S68" t="n">
        <v>0</v>
      </c>
      <c r="T68" t="n">
        <v>0</v>
      </c>
      <c r="U68" t="n">
        <v>0</v>
      </c>
      <c r="V68" t="n">
        <v>8.19</v>
      </c>
      <c r="W68" t="n">
        <v>171.99</v>
      </c>
      <c r="X68" t="n">
        <v>163.8</v>
      </c>
      <c r="Y68" t="n">
        <v>19</v>
      </c>
      <c r="Z68" t="n">
        <v>31.12</v>
      </c>
      <c r="AA68" t="n">
        <v>3.16</v>
      </c>
      <c r="AB68" t="n">
        <v>34.28</v>
      </c>
      <c r="AC68" t="n">
        <v>6.17</v>
      </c>
      <c r="AD68" t="n">
        <v>0</v>
      </c>
      <c r="AE68" t="n">
        <v>163.8</v>
      </c>
      <c r="AF68" t="n">
        <v>0</v>
      </c>
      <c r="AG68" t="n">
        <v>0</v>
      </c>
      <c r="AH68" t="n">
        <v>0.16</v>
      </c>
      <c r="AI68" t="n">
        <v>8.199999999999999</v>
      </c>
      <c r="AJ68" t="n">
        <v>-0.01</v>
      </c>
      <c r="AK68" t="n">
        <v>14.53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48.81</v>
      </c>
      <c r="AV68" t="n">
        <v>0</v>
      </c>
      <c r="AW68" t="n">
        <v>123.18</v>
      </c>
      <c r="AX68" t="inlineStr">
        <is>
          <t>settled</t>
        </is>
      </c>
      <c r="AY68" t="inlineStr">
        <is>
          <t>2025-12-10 05:30:00</t>
        </is>
      </c>
      <c r="AZ68" t="inlineStr">
        <is>
          <t>CITIN25668288188</t>
        </is>
      </c>
      <c r="BA68" t="n">
        <v>0</v>
      </c>
      <c r="BB68" t="inlineStr">
        <is>
          <t>7888bf7e2637ff726bfc4fcb10de90121a72dc9cf7fdd43d4d83fcbe8cc4b68c</t>
        </is>
      </c>
    </row>
    <row r="69">
      <c r="A69" t="inlineStr">
        <is>
          <t>64</t>
        </is>
      </c>
      <c r="B69" t="inlineStr">
        <is>
          <t>7537625938</t>
        </is>
      </c>
      <c r="C69" t="inlineStr">
        <is>
          <t>2025-12-02 13:36:25</t>
        </is>
      </c>
      <c r="D69" t="inlineStr">
        <is>
          <t>49</t>
        </is>
      </c>
      <c r="E69" t="inlineStr">
        <is>
          <t>Sha Sha - Shandaar Shawarma</t>
        </is>
      </c>
      <c r="F69" t="inlineStr">
        <is>
          <t>18557902</t>
        </is>
      </c>
      <c r="G69" t="inlineStr">
        <is>
          <t>NA</t>
        </is>
      </c>
      <c r="H69" t="inlineStr">
        <is>
          <t>ONLINE</t>
        </is>
      </c>
      <c r="I69" t="inlineStr">
        <is>
          <t>DELIVERED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O2</t>
        </is>
      </c>
      <c r="N69" t="inlineStr">
        <is>
          <t>36</t>
        </is>
      </c>
      <c r="O69" t="n">
        <v>219</v>
      </c>
      <c r="P69" t="n">
        <v>3.5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11.13</v>
      </c>
      <c r="W69" t="n">
        <v>233.63</v>
      </c>
      <c r="X69" t="n">
        <v>222.5</v>
      </c>
      <c r="Y69" t="n">
        <v>19</v>
      </c>
      <c r="Z69" t="n">
        <v>42.28</v>
      </c>
      <c r="AA69" t="n">
        <v>4.3</v>
      </c>
      <c r="AB69" t="n">
        <v>46.58</v>
      </c>
      <c r="AC69" t="n">
        <v>8.380000000000001</v>
      </c>
      <c r="AD69" t="n">
        <v>0</v>
      </c>
      <c r="AE69" t="n">
        <v>222.5</v>
      </c>
      <c r="AF69" t="n">
        <v>0</v>
      </c>
      <c r="AG69" t="n">
        <v>0</v>
      </c>
      <c r="AH69" t="n">
        <v>0.22</v>
      </c>
      <c r="AI69" t="n">
        <v>11.13</v>
      </c>
      <c r="AJ69" t="n">
        <v>0</v>
      </c>
      <c r="AK69" t="n">
        <v>19.73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66.31</v>
      </c>
      <c r="AV69" t="n">
        <v>0</v>
      </c>
      <c r="AW69" t="n">
        <v>167.32</v>
      </c>
      <c r="AX69" t="inlineStr">
        <is>
          <t>settled</t>
        </is>
      </c>
      <c r="AY69" t="inlineStr">
        <is>
          <t>2025-12-10 05:30:00</t>
        </is>
      </c>
      <c r="AZ69" t="inlineStr">
        <is>
          <t>CITIN25668288188</t>
        </is>
      </c>
      <c r="BA69" t="n">
        <v>0</v>
      </c>
      <c r="BB69" t="inlineStr">
        <is>
          <t>d0da4075961346fc2588b4c4d9bc2fdb90a46200026b42f69d934e25c56276c3</t>
        </is>
      </c>
    </row>
    <row r="70">
      <c r="A70" t="inlineStr">
        <is>
          <t>65</t>
        </is>
      </c>
      <c r="B70" t="inlineStr">
        <is>
          <t>7541535978</t>
        </is>
      </c>
      <c r="C70" t="inlineStr">
        <is>
          <t>2025-12-02 13:53:38</t>
        </is>
      </c>
      <c r="D70" t="inlineStr">
        <is>
          <t>49</t>
        </is>
      </c>
      <c r="E70" t="inlineStr">
        <is>
          <t>Sha Sha - Shandaar Shawarma</t>
        </is>
      </c>
      <c r="F70" t="inlineStr">
        <is>
          <t>18557902</t>
        </is>
      </c>
      <c r="G70" t="inlineStr">
        <is>
          <t>30% off upto ₹75 (2025-06-25 - 2031-01-01)</t>
        </is>
      </c>
      <c r="H70" t="inlineStr">
        <is>
          <t>ONLINE</t>
        </is>
      </c>
      <c r="I70" t="inlineStr">
        <is>
          <t>DELIVERED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O2</t>
        </is>
      </c>
      <c r="N70" t="inlineStr">
        <is>
          <t>36</t>
        </is>
      </c>
      <c r="O70" t="n">
        <v>289</v>
      </c>
      <c r="P70" t="n">
        <v>3.5</v>
      </c>
      <c r="Q70" t="n">
        <v>0</v>
      </c>
      <c r="R70" t="n">
        <v>75</v>
      </c>
      <c r="S70" t="n">
        <v>0</v>
      </c>
      <c r="T70" t="n">
        <v>0</v>
      </c>
      <c r="U70" t="n">
        <v>0</v>
      </c>
      <c r="V70" t="n">
        <v>10.88</v>
      </c>
      <c r="W70" t="n">
        <v>228.38</v>
      </c>
      <c r="X70" t="n">
        <v>217.5</v>
      </c>
      <c r="Y70" t="n">
        <v>19</v>
      </c>
      <c r="Z70" t="n">
        <v>41.32</v>
      </c>
      <c r="AA70" t="n">
        <v>4.2</v>
      </c>
      <c r="AB70" t="n">
        <v>45.52</v>
      </c>
      <c r="AC70" t="n">
        <v>8.199999999999999</v>
      </c>
      <c r="AD70" t="n">
        <v>0</v>
      </c>
      <c r="AE70" t="n">
        <v>217.5</v>
      </c>
      <c r="AF70" t="n">
        <v>0</v>
      </c>
      <c r="AG70" t="n">
        <v>0</v>
      </c>
      <c r="AH70" t="n">
        <v>0.22</v>
      </c>
      <c r="AI70" t="n">
        <v>10.88</v>
      </c>
      <c r="AJ70" t="n">
        <v>0</v>
      </c>
      <c r="AK70" t="n">
        <v>19.3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64.81999999999999</v>
      </c>
      <c r="AV70" t="n">
        <v>0</v>
      </c>
      <c r="AW70" t="n">
        <v>163.56</v>
      </c>
      <c r="AX70" t="inlineStr">
        <is>
          <t>settled</t>
        </is>
      </c>
      <c r="AY70" t="inlineStr">
        <is>
          <t>2025-12-10 05:30:00</t>
        </is>
      </c>
      <c r="AZ70" t="inlineStr">
        <is>
          <t>CITIN25668288188</t>
        </is>
      </c>
      <c r="BA70" t="n">
        <v>0</v>
      </c>
      <c r="BB70" t="inlineStr">
        <is>
          <t>cc07b289cd2f008e070eabe9dc5b85c3c5e5dc11a713dd63c8fbacb66da81b53</t>
        </is>
      </c>
    </row>
    <row r="71">
      <c r="A71" t="inlineStr">
        <is>
          <t>66</t>
        </is>
      </c>
      <c r="B71" t="inlineStr">
        <is>
          <t>7541311624</t>
        </is>
      </c>
      <c r="C71" t="inlineStr">
        <is>
          <t>2025-12-02 15:08:37</t>
        </is>
      </c>
      <c r="D71" t="inlineStr">
        <is>
          <t>49</t>
        </is>
      </c>
      <c r="E71" t="inlineStr">
        <is>
          <t>Sha Sha - Shandaar Shawarma</t>
        </is>
      </c>
      <c r="F71" t="inlineStr">
        <is>
          <t>18557902</t>
        </is>
      </c>
      <c r="G71" t="inlineStr">
        <is>
          <t>NA</t>
        </is>
      </c>
      <c r="H71" t="inlineStr">
        <is>
          <t>ONLINE</t>
        </is>
      </c>
      <c r="I71" t="inlineStr">
        <is>
          <t>DELIVERED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O2</t>
        </is>
      </c>
      <c r="N71" t="inlineStr">
        <is>
          <t>36</t>
        </is>
      </c>
      <c r="O71" t="n">
        <v>229</v>
      </c>
      <c r="P71" t="n">
        <v>3.5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11.63</v>
      </c>
      <c r="W71" t="n">
        <v>244.13</v>
      </c>
      <c r="X71" t="n">
        <v>232.5</v>
      </c>
      <c r="Y71" t="n">
        <v>19</v>
      </c>
      <c r="Z71" t="n">
        <v>44.18</v>
      </c>
      <c r="AA71" t="n">
        <v>4.49</v>
      </c>
      <c r="AB71" t="n">
        <v>48.67</v>
      </c>
      <c r="AC71" t="n">
        <v>8.76</v>
      </c>
      <c r="AD71" t="n">
        <v>0</v>
      </c>
      <c r="AE71" t="n">
        <v>232.5</v>
      </c>
      <c r="AF71" t="n">
        <v>0</v>
      </c>
      <c r="AG71" t="n">
        <v>0</v>
      </c>
      <c r="AH71" t="n">
        <v>0.23</v>
      </c>
      <c r="AI71" t="n">
        <v>11.63</v>
      </c>
      <c r="AJ71" t="n">
        <v>0</v>
      </c>
      <c r="AK71" t="n">
        <v>20.62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69.29000000000001</v>
      </c>
      <c r="AV71" t="n">
        <v>0</v>
      </c>
      <c r="AW71" t="n">
        <v>174.84</v>
      </c>
      <c r="AX71" t="inlineStr">
        <is>
          <t>settled</t>
        </is>
      </c>
      <c r="AY71" t="inlineStr">
        <is>
          <t>2025-12-10 05:30:00</t>
        </is>
      </c>
      <c r="AZ71" t="inlineStr">
        <is>
          <t>CITIN25668288188</t>
        </is>
      </c>
      <c r="BA71" t="n">
        <v>0</v>
      </c>
      <c r="BB71" t="inlineStr">
        <is>
          <t>5fc3cefea32a645e1e50d46fe1ef04cc17cb4392874356b126f867fcc534f5a2</t>
        </is>
      </c>
    </row>
    <row r="72">
      <c r="A72" t="inlineStr">
        <is>
          <t>67</t>
        </is>
      </c>
      <c r="B72" t="inlineStr">
        <is>
          <t>7535797409</t>
        </is>
      </c>
      <c r="C72" t="inlineStr">
        <is>
          <t>2025-12-02 15:19:42</t>
        </is>
      </c>
      <c r="D72" t="inlineStr">
        <is>
          <t>49</t>
        </is>
      </c>
      <c r="E72" t="inlineStr">
        <is>
          <t>Sha Sha - Shandaar Shawarma</t>
        </is>
      </c>
      <c r="F72" t="inlineStr">
        <is>
          <t>18557902</t>
        </is>
      </c>
      <c r="G72" t="inlineStr">
        <is>
          <t>30% off upto ₹75 (2025-06-25 - 2031-01-01)</t>
        </is>
      </c>
      <c r="H72" t="inlineStr">
        <is>
          <t>ONLINE</t>
        </is>
      </c>
      <c r="I72" t="inlineStr">
        <is>
          <t>DELIVERED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O2</t>
        </is>
      </c>
      <c r="N72" t="inlineStr">
        <is>
          <t>36</t>
        </is>
      </c>
      <c r="O72" t="n">
        <v>219</v>
      </c>
      <c r="P72" t="n">
        <v>3.5</v>
      </c>
      <c r="Q72" t="n">
        <v>0</v>
      </c>
      <c r="R72" t="n">
        <v>65.7</v>
      </c>
      <c r="S72" t="n">
        <v>0</v>
      </c>
      <c r="T72" t="n">
        <v>0</v>
      </c>
      <c r="U72" t="n">
        <v>0</v>
      </c>
      <c r="V72" t="n">
        <v>7.84</v>
      </c>
      <c r="W72" t="n">
        <v>164.64</v>
      </c>
      <c r="X72" t="n">
        <v>156.8</v>
      </c>
      <c r="Y72" t="n">
        <v>19</v>
      </c>
      <c r="Z72" t="n">
        <v>29.79</v>
      </c>
      <c r="AA72" t="n">
        <v>3.03</v>
      </c>
      <c r="AB72" t="n">
        <v>32.82</v>
      </c>
      <c r="AC72" t="n">
        <v>5.91</v>
      </c>
      <c r="AD72" t="n">
        <v>0</v>
      </c>
      <c r="AE72" t="n">
        <v>156.8</v>
      </c>
      <c r="AF72" t="n">
        <v>0</v>
      </c>
      <c r="AG72" t="n">
        <v>0</v>
      </c>
      <c r="AH72" t="n">
        <v>0.16</v>
      </c>
      <c r="AI72" t="n">
        <v>7.85</v>
      </c>
      <c r="AJ72" t="n">
        <v>-0.01</v>
      </c>
      <c r="AK72" t="n">
        <v>13.92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46.74</v>
      </c>
      <c r="AV72" t="n">
        <v>0</v>
      </c>
      <c r="AW72" t="n">
        <v>117.9</v>
      </c>
      <c r="AX72" t="inlineStr">
        <is>
          <t>settled</t>
        </is>
      </c>
      <c r="AY72" t="inlineStr">
        <is>
          <t>2025-12-10 05:30:00</t>
        </is>
      </c>
      <c r="AZ72" t="inlineStr">
        <is>
          <t>CITIN25668288188</t>
        </is>
      </c>
      <c r="BA72" t="n">
        <v>0</v>
      </c>
      <c r="BB72" t="inlineStr">
        <is>
          <t>d65aff85a52226b8db518f2b4b169e1b92d50804522451d2530f1e941cf76137</t>
        </is>
      </c>
    </row>
    <row r="73">
      <c r="A73" t="inlineStr">
        <is>
          <t>68</t>
        </is>
      </c>
      <c r="B73" t="inlineStr">
        <is>
          <t>7537737675</t>
        </is>
      </c>
      <c r="C73" t="inlineStr">
        <is>
          <t>2025-12-02 16:16:54</t>
        </is>
      </c>
      <c r="D73" t="inlineStr">
        <is>
          <t>49</t>
        </is>
      </c>
      <c r="E73" t="inlineStr">
        <is>
          <t>Sha Sha - Shandaar Shawarma</t>
        </is>
      </c>
      <c r="F73" t="inlineStr">
        <is>
          <t>18557902</t>
        </is>
      </c>
      <c r="G73" t="inlineStr">
        <is>
          <t>NA</t>
        </is>
      </c>
      <c r="H73" t="inlineStr">
        <is>
          <t>ONLINE</t>
        </is>
      </c>
      <c r="I73" t="inlineStr">
        <is>
          <t>DELIVERED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O2</t>
        </is>
      </c>
      <c r="N73" t="inlineStr">
        <is>
          <t>36</t>
        </is>
      </c>
      <c r="O73" t="n">
        <v>345</v>
      </c>
      <c r="P73" t="n">
        <v>3.5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17.43</v>
      </c>
      <c r="W73" t="n">
        <v>365.93</v>
      </c>
      <c r="X73" t="n">
        <v>348.5</v>
      </c>
      <c r="Y73" t="n">
        <v>19</v>
      </c>
      <c r="Z73" t="n">
        <v>66.22</v>
      </c>
      <c r="AA73" t="n">
        <v>6.73</v>
      </c>
      <c r="AB73" t="n">
        <v>72.95</v>
      </c>
      <c r="AC73" t="n">
        <v>13.13</v>
      </c>
      <c r="AD73" t="n">
        <v>0</v>
      </c>
      <c r="AE73" t="n">
        <v>348.5</v>
      </c>
      <c r="AF73" t="n">
        <v>0</v>
      </c>
      <c r="AG73" t="n">
        <v>0</v>
      </c>
      <c r="AH73" t="n">
        <v>0.35</v>
      </c>
      <c r="AI73" t="n">
        <v>17.43</v>
      </c>
      <c r="AJ73" t="n">
        <v>0</v>
      </c>
      <c r="AK73" t="n">
        <v>30.91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103.86</v>
      </c>
      <c r="AV73" t="n">
        <v>0</v>
      </c>
      <c r="AW73" t="n">
        <v>262.07</v>
      </c>
      <c r="AX73" t="inlineStr">
        <is>
          <t>settled</t>
        </is>
      </c>
      <c r="AY73" t="inlineStr">
        <is>
          <t>2025-12-10 05:30:00</t>
        </is>
      </c>
      <c r="AZ73" t="inlineStr">
        <is>
          <t>CITIN25668288188</t>
        </is>
      </c>
      <c r="BA73" t="n">
        <v>0</v>
      </c>
      <c r="BB73" t="inlineStr">
        <is>
          <t>255b7498145afeb6eb30414fd91befba03cc7026052dc9ed95376e17b424e1f3</t>
        </is>
      </c>
    </row>
    <row r="74">
      <c r="A74" t="inlineStr">
        <is>
          <t>69</t>
        </is>
      </c>
      <c r="B74" t="inlineStr">
        <is>
          <t>7541024999</t>
        </is>
      </c>
      <c r="C74" t="inlineStr">
        <is>
          <t>2025-12-02 16:32:39</t>
        </is>
      </c>
      <c r="D74" t="inlineStr">
        <is>
          <t>49</t>
        </is>
      </c>
      <c r="E74" t="inlineStr">
        <is>
          <t>Sha Sha - Shandaar Shawarma</t>
        </is>
      </c>
      <c r="F74" t="inlineStr">
        <is>
          <t>18557902</t>
        </is>
      </c>
      <c r="G74" t="inlineStr">
        <is>
          <t>NA</t>
        </is>
      </c>
      <c r="H74" t="inlineStr">
        <is>
          <t>ONLINE</t>
        </is>
      </c>
      <c r="I74" t="inlineStr">
        <is>
          <t>DELIVERED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O2</t>
        </is>
      </c>
      <c r="N74" t="inlineStr">
        <is>
          <t>36</t>
        </is>
      </c>
      <c r="O74" t="n">
        <v>229</v>
      </c>
      <c r="P74" t="n">
        <v>3.5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11.63</v>
      </c>
      <c r="W74" t="n">
        <v>244.13</v>
      </c>
      <c r="X74" t="n">
        <v>232.5</v>
      </c>
      <c r="Y74" t="n">
        <v>19</v>
      </c>
      <c r="Z74" t="n">
        <v>44.18</v>
      </c>
      <c r="AA74" t="n">
        <v>4.49</v>
      </c>
      <c r="AB74" t="n">
        <v>48.67</v>
      </c>
      <c r="AC74" t="n">
        <v>8.76</v>
      </c>
      <c r="AD74" t="n">
        <v>0</v>
      </c>
      <c r="AE74" t="n">
        <v>232.5</v>
      </c>
      <c r="AF74" t="n">
        <v>0</v>
      </c>
      <c r="AG74" t="n">
        <v>0</v>
      </c>
      <c r="AH74" t="n">
        <v>0.23</v>
      </c>
      <c r="AI74" t="n">
        <v>11.63</v>
      </c>
      <c r="AJ74" t="n">
        <v>0</v>
      </c>
      <c r="AK74" t="n">
        <v>20.62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69.29000000000001</v>
      </c>
      <c r="AV74" t="n">
        <v>0</v>
      </c>
      <c r="AW74" t="n">
        <v>174.84</v>
      </c>
      <c r="AX74" t="inlineStr">
        <is>
          <t>settled</t>
        </is>
      </c>
      <c r="AY74" t="inlineStr">
        <is>
          <t>2025-12-10 05:30:00</t>
        </is>
      </c>
      <c r="AZ74" t="inlineStr">
        <is>
          <t>CITIN25668288188</t>
        </is>
      </c>
      <c r="BA74" t="n">
        <v>0</v>
      </c>
      <c r="BB74" t="inlineStr">
        <is>
          <t>b7263f2aea0c85115216452e7f322fba40ca5995eadaa8ede77e7202b66340f4</t>
        </is>
      </c>
    </row>
    <row r="75">
      <c r="A75" t="inlineStr">
        <is>
          <t>70</t>
        </is>
      </c>
      <c r="B75" t="inlineStr">
        <is>
          <t>7542148777</t>
        </is>
      </c>
      <c r="C75" t="inlineStr">
        <is>
          <t>2025-12-02 16:35:17</t>
        </is>
      </c>
      <c r="D75" t="inlineStr">
        <is>
          <t>49</t>
        </is>
      </c>
      <c r="E75" t="inlineStr">
        <is>
          <t>Sha Sha - Shandaar Shawarma</t>
        </is>
      </c>
      <c r="F75" t="inlineStr">
        <is>
          <t>18557902</t>
        </is>
      </c>
      <c r="G75" t="inlineStr">
        <is>
          <t>30% off upto ₹75 (2025-06-25 - 2031-01-01)</t>
        </is>
      </c>
      <c r="H75" t="inlineStr">
        <is>
          <t>ONLINE</t>
        </is>
      </c>
      <c r="I75" t="inlineStr">
        <is>
          <t>DELIVERED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O2</t>
        </is>
      </c>
      <c r="N75" t="inlineStr">
        <is>
          <t>36</t>
        </is>
      </c>
      <c r="O75" t="n">
        <v>219</v>
      </c>
      <c r="P75" t="n">
        <v>3.5</v>
      </c>
      <c r="Q75" t="n">
        <v>0</v>
      </c>
      <c r="R75" t="n">
        <v>65.7</v>
      </c>
      <c r="S75" t="n">
        <v>0</v>
      </c>
      <c r="T75" t="n">
        <v>0</v>
      </c>
      <c r="U75" t="n">
        <v>0</v>
      </c>
      <c r="V75" t="n">
        <v>7.84</v>
      </c>
      <c r="W75" t="n">
        <v>164.64</v>
      </c>
      <c r="X75" t="n">
        <v>156.8</v>
      </c>
      <c r="Y75" t="n">
        <v>19</v>
      </c>
      <c r="Z75" t="n">
        <v>29.79</v>
      </c>
      <c r="AA75" t="n">
        <v>3.03</v>
      </c>
      <c r="AB75" t="n">
        <v>32.82</v>
      </c>
      <c r="AC75" t="n">
        <v>5.91</v>
      </c>
      <c r="AD75" t="n">
        <v>0</v>
      </c>
      <c r="AE75" t="n">
        <v>156.8</v>
      </c>
      <c r="AF75" t="n">
        <v>0</v>
      </c>
      <c r="AG75" t="n">
        <v>0</v>
      </c>
      <c r="AH75" t="n">
        <v>0.16</v>
      </c>
      <c r="AI75" t="n">
        <v>7.85</v>
      </c>
      <c r="AJ75" t="n">
        <v>-0.01</v>
      </c>
      <c r="AK75" t="n">
        <v>13.92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46.74</v>
      </c>
      <c r="AV75" t="n">
        <v>0</v>
      </c>
      <c r="AW75" t="n">
        <v>117.9</v>
      </c>
      <c r="AX75" t="inlineStr">
        <is>
          <t>settled</t>
        </is>
      </c>
      <c r="AY75" t="inlineStr">
        <is>
          <t>2025-12-10 05:30:00</t>
        </is>
      </c>
      <c r="AZ75" t="inlineStr">
        <is>
          <t>CITIN25668288188</t>
        </is>
      </c>
      <c r="BA75" t="n">
        <v>0</v>
      </c>
      <c r="BB75" t="inlineStr">
        <is>
          <t>de4d8ac62a55e419b12b2bd7422ad6a7127650aecfa06707855183b53064f3d8</t>
        </is>
      </c>
    </row>
    <row r="76">
      <c r="A76" t="inlineStr">
        <is>
          <t>71</t>
        </is>
      </c>
      <c r="B76" t="inlineStr">
        <is>
          <t>7533955588</t>
        </is>
      </c>
      <c r="C76" t="inlineStr">
        <is>
          <t>2025-12-02 17:01:23</t>
        </is>
      </c>
      <c r="D76" t="inlineStr">
        <is>
          <t>49</t>
        </is>
      </c>
      <c r="E76" t="inlineStr">
        <is>
          <t>Sha Sha - Shandaar Shawarma</t>
        </is>
      </c>
      <c r="F76" t="inlineStr">
        <is>
          <t>18557902</t>
        </is>
      </c>
      <c r="G76" t="inlineStr">
        <is>
          <t>30% off upto ₹75 (2025-06-25 - 2031-01-01)</t>
        </is>
      </c>
      <c r="H76" t="inlineStr">
        <is>
          <t>ONLINE</t>
        </is>
      </c>
      <c r="I76" t="inlineStr">
        <is>
          <t>DELIVERED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O2</t>
        </is>
      </c>
      <c r="N76" t="inlineStr">
        <is>
          <t>36</t>
        </is>
      </c>
      <c r="O76" t="n">
        <v>219</v>
      </c>
      <c r="P76" t="n">
        <v>3.5</v>
      </c>
      <c r="Q76" t="n">
        <v>0</v>
      </c>
      <c r="R76" t="n">
        <v>65.7</v>
      </c>
      <c r="S76" t="n">
        <v>0</v>
      </c>
      <c r="T76" t="n">
        <v>0</v>
      </c>
      <c r="U76" t="n">
        <v>0</v>
      </c>
      <c r="V76" t="n">
        <v>7.84</v>
      </c>
      <c r="W76" t="n">
        <v>164.64</v>
      </c>
      <c r="X76" t="n">
        <v>156.8</v>
      </c>
      <c r="Y76" t="n">
        <v>19</v>
      </c>
      <c r="Z76" t="n">
        <v>29.79</v>
      </c>
      <c r="AA76" t="n">
        <v>3.03</v>
      </c>
      <c r="AB76" t="n">
        <v>32.82</v>
      </c>
      <c r="AC76" t="n">
        <v>5.91</v>
      </c>
      <c r="AD76" t="n">
        <v>0</v>
      </c>
      <c r="AE76" t="n">
        <v>156.8</v>
      </c>
      <c r="AF76" t="n">
        <v>0</v>
      </c>
      <c r="AG76" t="n">
        <v>0</v>
      </c>
      <c r="AH76" t="n">
        <v>0.16</v>
      </c>
      <c r="AI76" t="n">
        <v>7.85</v>
      </c>
      <c r="AJ76" t="n">
        <v>-0.01</v>
      </c>
      <c r="AK76" t="n">
        <v>13.92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46.74</v>
      </c>
      <c r="AV76" t="n">
        <v>0</v>
      </c>
      <c r="AW76" t="n">
        <v>117.9</v>
      </c>
      <c r="AX76" t="inlineStr">
        <is>
          <t>settled</t>
        </is>
      </c>
      <c r="AY76" t="inlineStr">
        <is>
          <t>2025-12-10 05:30:00</t>
        </is>
      </c>
      <c r="AZ76" t="inlineStr">
        <is>
          <t>CITIN25668288188</t>
        </is>
      </c>
      <c r="BA76" t="n">
        <v>0</v>
      </c>
      <c r="BB76" t="inlineStr">
        <is>
          <t>3dfcf14461054bf73fe3683d34e9d89740f80ee3bbf5127eaea863a3301dc6d3</t>
        </is>
      </c>
    </row>
    <row r="77">
      <c r="A77" t="inlineStr">
        <is>
          <t>72</t>
        </is>
      </c>
      <c r="B77" t="inlineStr">
        <is>
          <t>7536105779</t>
        </is>
      </c>
      <c r="C77" t="inlineStr">
        <is>
          <t>2025-12-02 17:08:27</t>
        </is>
      </c>
      <c r="D77" t="inlineStr">
        <is>
          <t>49</t>
        </is>
      </c>
      <c r="E77" t="inlineStr">
        <is>
          <t>Sha Sha - Shandaar Shawarma</t>
        </is>
      </c>
      <c r="F77" t="inlineStr">
        <is>
          <t>18557902</t>
        </is>
      </c>
      <c r="G77" t="inlineStr">
        <is>
          <t>30% off upto ₹75 (2025-06-25 - 2031-01-01)</t>
        </is>
      </c>
      <c r="H77" t="inlineStr">
        <is>
          <t>ONLINE</t>
        </is>
      </c>
      <c r="I77" t="inlineStr">
        <is>
          <t>DELIVERED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O2</t>
        </is>
      </c>
      <c r="N77" t="inlineStr">
        <is>
          <t>36</t>
        </is>
      </c>
      <c r="O77" t="n">
        <v>219</v>
      </c>
      <c r="P77" t="n">
        <v>3.5</v>
      </c>
      <c r="Q77" t="n">
        <v>0</v>
      </c>
      <c r="R77" t="n">
        <v>65.7</v>
      </c>
      <c r="S77" t="n">
        <v>0</v>
      </c>
      <c r="T77" t="n">
        <v>0</v>
      </c>
      <c r="U77" t="n">
        <v>0</v>
      </c>
      <c r="V77" t="n">
        <v>7.84</v>
      </c>
      <c r="W77" t="n">
        <v>164.64</v>
      </c>
      <c r="X77" t="n">
        <v>156.8</v>
      </c>
      <c r="Y77" t="n">
        <v>19</v>
      </c>
      <c r="Z77" t="n">
        <v>29.79</v>
      </c>
      <c r="AA77" t="n">
        <v>3.03</v>
      </c>
      <c r="AB77" t="n">
        <v>32.82</v>
      </c>
      <c r="AC77" t="n">
        <v>5.91</v>
      </c>
      <c r="AD77" t="n">
        <v>0</v>
      </c>
      <c r="AE77" t="n">
        <v>156.8</v>
      </c>
      <c r="AF77" t="n">
        <v>0</v>
      </c>
      <c r="AG77" t="n">
        <v>0</v>
      </c>
      <c r="AH77" t="n">
        <v>0.16</v>
      </c>
      <c r="AI77" t="n">
        <v>7.85</v>
      </c>
      <c r="AJ77" t="n">
        <v>-0.01</v>
      </c>
      <c r="AK77" t="n">
        <v>13.92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46.74</v>
      </c>
      <c r="AV77" t="n">
        <v>0</v>
      </c>
      <c r="AW77" t="n">
        <v>117.9</v>
      </c>
      <c r="AX77" t="inlineStr">
        <is>
          <t>settled</t>
        </is>
      </c>
      <c r="AY77" t="inlineStr">
        <is>
          <t>2025-12-10 05:30:00</t>
        </is>
      </c>
      <c r="AZ77" t="inlineStr">
        <is>
          <t>CITIN25668288188</t>
        </is>
      </c>
      <c r="BA77" t="n">
        <v>0</v>
      </c>
      <c r="BB77" t="inlineStr">
        <is>
          <t>6ced2b00c7025645f5cbe441c35048b3d6dc1b20c234987112e4da45205d9fcb</t>
        </is>
      </c>
    </row>
    <row r="78">
      <c r="A78" t="inlineStr">
        <is>
          <t>73</t>
        </is>
      </c>
      <c r="B78" t="inlineStr">
        <is>
          <t>7535898889</t>
        </is>
      </c>
      <c r="C78" t="inlineStr">
        <is>
          <t>2025-12-02 17:18:03</t>
        </is>
      </c>
      <c r="D78" t="inlineStr">
        <is>
          <t>49</t>
        </is>
      </c>
      <c r="E78" t="inlineStr">
        <is>
          <t>Sha Sha - Shandaar Shawarma</t>
        </is>
      </c>
      <c r="F78" t="inlineStr">
        <is>
          <t>18557902</t>
        </is>
      </c>
      <c r="G78" t="inlineStr">
        <is>
          <t>NA</t>
        </is>
      </c>
      <c r="H78" t="inlineStr">
        <is>
          <t>ONLINE</t>
        </is>
      </c>
      <c r="I78" t="inlineStr">
        <is>
          <t>DELIVERED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O2</t>
        </is>
      </c>
      <c r="N78" t="inlineStr">
        <is>
          <t>36</t>
        </is>
      </c>
      <c r="O78" t="n">
        <v>229</v>
      </c>
      <c r="P78" t="n">
        <v>3.5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11.63</v>
      </c>
      <c r="W78" t="n">
        <v>244.13</v>
      </c>
      <c r="X78" t="n">
        <v>232.5</v>
      </c>
      <c r="Y78" t="n">
        <v>19</v>
      </c>
      <c r="Z78" t="n">
        <v>44.18</v>
      </c>
      <c r="AA78" t="n">
        <v>4.49</v>
      </c>
      <c r="AB78" t="n">
        <v>48.67</v>
      </c>
      <c r="AC78" t="n">
        <v>8.76</v>
      </c>
      <c r="AD78" t="n">
        <v>0</v>
      </c>
      <c r="AE78" t="n">
        <v>232.5</v>
      </c>
      <c r="AF78" t="n">
        <v>0</v>
      </c>
      <c r="AG78" t="n">
        <v>0</v>
      </c>
      <c r="AH78" t="n">
        <v>0.23</v>
      </c>
      <c r="AI78" t="n">
        <v>11.63</v>
      </c>
      <c r="AJ78" t="n">
        <v>0</v>
      </c>
      <c r="AK78" t="n">
        <v>20.62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69.29000000000001</v>
      </c>
      <c r="AV78" t="n">
        <v>0</v>
      </c>
      <c r="AW78" t="n">
        <v>174.84</v>
      </c>
      <c r="AX78" t="inlineStr">
        <is>
          <t>settled</t>
        </is>
      </c>
      <c r="AY78" t="inlineStr">
        <is>
          <t>2025-12-10 05:30:00</t>
        </is>
      </c>
      <c r="AZ78" t="inlineStr">
        <is>
          <t>CITIN25668288188</t>
        </is>
      </c>
      <c r="BA78" t="n">
        <v>0</v>
      </c>
      <c r="BB78" t="inlineStr">
        <is>
          <t>875f8aaadf0133a6a8b2a9763bcc684106bb50fb4efc2c503a7ac147980cc492</t>
        </is>
      </c>
    </row>
    <row r="79">
      <c r="A79" t="inlineStr">
        <is>
          <t>74</t>
        </is>
      </c>
      <c r="B79" t="inlineStr">
        <is>
          <t>7530310014</t>
        </is>
      </c>
      <c r="C79" t="inlineStr">
        <is>
          <t>2025-12-02 17:22:17</t>
        </is>
      </c>
      <c r="D79" t="inlineStr">
        <is>
          <t>49</t>
        </is>
      </c>
      <c r="E79" t="inlineStr">
        <is>
          <t>Sha Sha - Shandaar Shawarma</t>
        </is>
      </c>
      <c r="F79" t="inlineStr">
        <is>
          <t>18557902</t>
        </is>
      </c>
      <c r="G79" t="inlineStr">
        <is>
          <t>NA</t>
        </is>
      </c>
      <c r="H79" t="inlineStr">
        <is>
          <t>ONLINE</t>
        </is>
      </c>
      <c r="I79" t="inlineStr">
        <is>
          <t>DELIVERED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O2</t>
        </is>
      </c>
      <c r="N79" t="inlineStr">
        <is>
          <t>36</t>
        </is>
      </c>
      <c r="O79" t="n">
        <v>229</v>
      </c>
      <c r="P79" t="n">
        <v>3.5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11.63</v>
      </c>
      <c r="W79" t="n">
        <v>244.13</v>
      </c>
      <c r="X79" t="n">
        <v>232.5</v>
      </c>
      <c r="Y79" t="n">
        <v>19</v>
      </c>
      <c r="Z79" t="n">
        <v>44.18</v>
      </c>
      <c r="AA79" t="n">
        <v>4.49</v>
      </c>
      <c r="AB79" t="n">
        <v>48.67</v>
      </c>
      <c r="AC79" t="n">
        <v>8.76</v>
      </c>
      <c r="AD79" t="n">
        <v>0</v>
      </c>
      <c r="AE79" t="n">
        <v>232.5</v>
      </c>
      <c r="AF79" t="n">
        <v>0</v>
      </c>
      <c r="AG79" t="n">
        <v>0</v>
      </c>
      <c r="AH79" t="n">
        <v>0.23</v>
      </c>
      <c r="AI79" t="n">
        <v>11.63</v>
      </c>
      <c r="AJ79" t="n">
        <v>0</v>
      </c>
      <c r="AK79" t="n">
        <v>20.62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69.29000000000001</v>
      </c>
      <c r="AV79" t="n">
        <v>0</v>
      </c>
      <c r="AW79" t="n">
        <v>174.84</v>
      </c>
      <c r="AX79" t="inlineStr">
        <is>
          <t>settled</t>
        </is>
      </c>
      <c r="AY79" t="inlineStr">
        <is>
          <t>2025-12-10 05:30:00</t>
        </is>
      </c>
      <c r="AZ79" t="inlineStr">
        <is>
          <t>CITIN25668288188</t>
        </is>
      </c>
      <c r="BA79" t="n">
        <v>0</v>
      </c>
      <c r="BB79" t="inlineStr">
        <is>
          <t>7e989fabfebe7ee66556c96c97f79ce380c05a1d37c0c877de4418123bac18cd</t>
        </is>
      </c>
    </row>
    <row r="80">
      <c r="A80" t="inlineStr">
        <is>
          <t>75</t>
        </is>
      </c>
      <c r="B80" t="inlineStr">
        <is>
          <t>7541195434</t>
        </is>
      </c>
      <c r="C80" t="inlineStr">
        <is>
          <t>2025-12-02 17:41:43</t>
        </is>
      </c>
      <c r="D80" t="inlineStr">
        <is>
          <t>49</t>
        </is>
      </c>
      <c r="E80" t="inlineStr">
        <is>
          <t>Sha Sha - Shandaar Shawarma</t>
        </is>
      </c>
      <c r="F80" t="inlineStr">
        <is>
          <t>18557902</t>
        </is>
      </c>
      <c r="G80" t="inlineStr">
        <is>
          <t>30% off upto ₹75 (2025-06-25 - 2031-01-01)</t>
        </is>
      </c>
      <c r="H80" t="inlineStr">
        <is>
          <t>ONLINE</t>
        </is>
      </c>
      <c r="I80" t="inlineStr">
        <is>
          <t>DELIVERED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O2</t>
        </is>
      </c>
      <c r="N80" t="inlineStr">
        <is>
          <t>36</t>
        </is>
      </c>
      <c r="O80" t="n">
        <v>219</v>
      </c>
      <c r="P80" t="n">
        <v>3.5</v>
      </c>
      <c r="Q80" t="n">
        <v>0</v>
      </c>
      <c r="R80" t="n">
        <v>65.7</v>
      </c>
      <c r="S80" t="n">
        <v>0</v>
      </c>
      <c r="T80" t="n">
        <v>0</v>
      </c>
      <c r="U80" t="n">
        <v>0</v>
      </c>
      <c r="V80" t="n">
        <v>7.84</v>
      </c>
      <c r="W80" t="n">
        <v>164.64</v>
      </c>
      <c r="X80" t="n">
        <v>156.8</v>
      </c>
      <c r="Y80" t="n">
        <v>19</v>
      </c>
      <c r="Z80" t="n">
        <v>29.79</v>
      </c>
      <c r="AA80" t="n">
        <v>3.03</v>
      </c>
      <c r="AB80" t="n">
        <v>32.82</v>
      </c>
      <c r="AC80" t="n">
        <v>5.91</v>
      </c>
      <c r="AD80" t="n">
        <v>0</v>
      </c>
      <c r="AE80" t="n">
        <v>156.8</v>
      </c>
      <c r="AF80" t="n">
        <v>0</v>
      </c>
      <c r="AG80" t="n">
        <v>0</v>
      </c>
      <c r="AH80" t="n">
        <v>0.16</v>
      </c>
      <c r="AI80" t="n">
        <v>7.85</v>
      </c>
      <c r="AJ80" t="n">
        <v>-0.01</v>
      </c>
      <c r="AK80" t="n">
        <v>13.92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46.74</v>
      </c>
      <c r="AV80" t="n">
        <v>0</v>
      </c>
      <c r="AW80" t="n">
        <v>117.9</v>
      </c>
      <c r="AX80" t="inlineStr">
        <is>
          <t>settled</t>
        </is>
      </c>
      <c r="AY80" t="inlineStr">
        <is>
          <t>2025-12-10 05:30:00</t>
        </is>
      </c>
      <c r="AZ80" t="inlineStr">
        <is>
          <t>CITIN25668288188</t>
        </is>
      </c>
      <c r="BA80" t="n">
        <v>0</v>
      </c>
      <c r="BB80" t="inlineStr">
        <is>
          <t>718d63a7939d245643b0131953f51eab00eb134cf46c33488d9e984d2382ea7c</t>
        </is>
      </c>
    </row>
    <row r="81">
      <c r="A81" t="inlineStr">
        <is>
          <t>76</t>
        </is>
      </c>
      <c r="B81" t="inlineStr">
        <is>
          <t>7540047758</t>
        </is>
      </c>
      <c r="C81" t="inlineStr">
        <is>
          <t>2025-12-02 18:41:23</t>
        </is>
      </c>
      <c r="D81" t="inlineStr">
        <is>
          <t>49</t>
        </is>
      </c>
      <c r="E81" t="inlineStr">
        <is>
          <t>Sha Sha - Shandaar Shawarma</t>
        </is>
      </c>
      <c r="F81" t="inlineStr">
        <is>
          <t>18557902</t>
        </is>
      </c>
      <c r="G81" t="inlineStr">
        <is>
          <t>30% off upto ₹75 (2025-06-25 - 2031-01-01)</t>
        </is>
      </c>
      <c r="H81" t="inlineStr">
        <is>
          <t>ONLINE</t>
        </is>
      </c>
      <c r="I81" t="inlineStr">
        <is>
          <t>DELIVERED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O2</t>
        </is>
      </c>
      <c r="N81" t="inlineStr">
        <is>
          <t>36</t>
        </is>
      </c>
      <c r="O81" t="n">
        <v>229</v>
      </c>
      <c r="P81" t="n">
        <v>3.5</v>
      </c>
      <c r="Q81" t="n">
        <v>0</v>
      </c>
      <c r="R81" t="n">
        <v>68.7</v>
      </c>
      <c r="S81" t="n">
        <v>0</v>
      </c>
      <c r="T81" t="n">
        <v>0</v>
      </c>
      <c r="U81" t="n">
        <v>0</v>
      </c>
      <c r="V81" t="n">
        <v>8.19</v>
      </c>
      <c r="W81" t="n">
        <v>171.99</v>
      </c>
      <c r="X81" t="n">
        <v>163.8</v>
      </c>
      <c r="Y81" t="n">
        <v>19</v>
      </c>
      <c r="Z81" t="n">
        <v>31.12</v>
      </c>
      <c r="AA81" t="n">
        <v>3.16</v>
      </c>
      <c r="AB81" t="n">
        <v>34.28</v>
      </c>
      <c r="AC81" t="n">
        <v>6.17</v>
      </c>
      <c r="AD81" t="n">
        <v>0</v>
      </c>
      <c r="AE81" t="n">
        <v>163.8</v>
      </c>
      <c r="AF81" t="n">
        <v>0</v>
      </c>
      <c r="AG81" t="n">
        <v>0</v>
      </c>
      <c r="AH81" t="n">
        <v>0.16</v>
      </c>
      <c r="AI81" t="n">
        <v>8.199999999999999</v>
      </c>
      <c r="AJ81" t="n">
        <v>-0.01</v>
      </c>
      <c r="AK81" t="n">
        <v>14.53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48.81</v>
      </c>
      <c r="AV81" t="n">
        <v>0</v>
      </c>
      <c r="AW81" t="n">
        <v>123.18</v>
      </c>
      <c r="AX81" t="inlineStr">
        <is>
          <t>settled</t>
        </is>
      </c>
      <c r="AY81" t="inlineStr">
        <is>
          <t>2025-12-10 05:30:00</t>
        </is>
      </c>
      <c r="AZ81" t="inlineStr">
        <is>
          <t>CITIN25668288188</t>
        </is>
      </c>
      <c r="BA81" t="n">
        <v>0</v>
      </c>
      <c r="BB81" t="inlineStr">
        <is>
          <t>bbae99c069f5a4a75d2a57f7e63747ee4c107267c3a7a0a27a9964f12c47f02f</t>
        </is>
      </c>
    </row>
    <row r="82">
      <c r="A82" t="inlineStr">
        <is>
          <t>77</t>
        </is>
      </c>
      <c r="B82" t="inlineStr">
        <is>
          <t>7536269702</t>
        </is>
      </c>
      <c r="C82" t="inlineStr">
        <is>
          <t>2025-12-02 20:02:32</t>
        </is>
      </c>
      <c r="D82" t="inlineStr">
        <is>
          <t>49</t>
        </is>
      </c>
      <c r="E82" t="inlineStr">
        <is>
          <t>Sha Sha - Shandaar Shawarma</t>
        </is>
      </c>
      <c r="F82" t="inlineStr">
        <is>
          <t>18557902</t>
        </is>
      </c>
      <c r="G82" t="inlineStr">
        <is>
          <t>30% off upto ₹75 (2025-06-25 - 2031-01-01)</t>
        </is>
      </c>
      <c r="H82" t="inlineStr">
        <is>
          <t>ONLINE</t>
        </is>
      </c>
      <c r="I82" t="inlineStr">
        <is>
          <t>DELIVERED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O2</t>
        </is>
      </c>
      <c r="N82" t="inlineStr">
        <is>
          <t>36</t>
        </is>
      </c>
      <c r="O82" t="n">
        <v>219</v>
      </c>
      <c r="P82" t="n">
        <v>3.5</v>
      </c>
      <c r="Q82" t="n">
        <v>0</v>
      </c>
      <c r="R82" t="n">
        <v>65.7</v>
      </c>
      <c r="S82" t="n">
        <v>0</v>
      </c>
      <c r="T82" t="n">
        <v>0</v>
      </c>
      <c r="U82" t="n">
        <v>0</v>
      </c>
      <c r="V82" t="n">
        <v>7.84</v>
      </c>
      <c r="W82" t="n">
        <v>164.64</v>
      </c>
      <c r="X82" t="n">
        <v>156.8</v>
      </c>
      <c r="Y82" t="n">
        <v>19</v>
      </c>
      <c r="Z82" t="n">
        <v>29.79</v>
      </c>
      <c r="AA82" t="n">
        <v>3.03</v>
      </c>
      <c r="AB82" t="n">
        <v>32.82</v>
      </c>
      <c r="AC82" t="n">
        <v>5.91</v>
      </c>
      <c r="AD82" t="n">
        <v>0</v>
      </c>
      <c r="AE82" t="n">
        <v>156.8</v>
      </c>
      <c r="AF82" t="n">
        <v>0</v>
      </c>
      <c r="AG82" t="n">
        <v>0</v>
      </c>
      <c r="AH82" t="n">
        <v>0.16</v>
      </c>
      <c r="AI82" t="n">
        <v>7.85</v>
      </c>
      <c r="AJ82" t="n">
        <v>-0.01</v>
      </c>
      <c r="AK82" t="n">
        <v>13.92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46.74</v>
      </c>
      <c r="AV82" t="n">
        <v>0</v>
      </c>
      <c r="AW82" t="n">
        <v>117.9</v>
      </c>
      <c r="AX82" t="inlineStr">
        <is>
          <t>settled</t>
        </is>
      </c>
      <c r="AY82" t="inlineStr">
        <is>
          <t>2025-12-10 05:30:00</t>
        </is>
      </c>
      <c r="AZ82" t="inlineStr">
        <is>
          <t>CITIN25668288188</t>
        </is>
      </c>
      <c r="BA82" t="n">
        <v>0</v>
      </c>
      <c r="BB82" t="inlineStr">
        <is>
          <t>7118fd055e7e280a9acac4f98f3ab4e33297e0b7cf258b3d9ff9c2a04c523051</t>
        </is>
      </c>
    </row>
    <row r="83">
      <c r="A83" t="inlineStr">
        <is>
          <t>78</t>
        </is>
      </c>
      <c r="B83" t="inlineStr">
        <is>
          <t>7542342192</t>
        </is>
      </c>
      <c r="C83" t="inlineStr">
        <is>
          <t>2025-12-02 20:22:05</t>
        </is>
      </c>
      <c r="D83" t="inlineStr">
        <is>
          <t>49</t>
        </is>
      </c>
      <c r="E83" t="inlineStr">
        <is>
          <t>Sha Sha - Shandaar Shawarma</t>
        </is>
      </c>
      <c r="F83" t="inlineStr">
        <is>
          <t>18557902</t>
        </is>
      </c>
      <c r="G83" t="inlineStr">
        <is>
          <t>30% off upto ₹75 (2025-06-25 - 2031-01-01)</t>
        </is>
      </c>
      <c r="H83" t="inlineStr">
        <is>
          <t>ONLINE</t>
        </is>
      </c>
      <c r="I83" t="inlineStr">
        <is>
          <t>DELIVERED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O2</t>
        </is>
      </c>
      <c r="N83" t="inlineStr">
        <is>
          <t>36</t>
        </is>
      </c>
      <c r="O83" t="n">
        <v>229</v>
      </c>
      <c r="P83" t="n">
        <v>3.5</v>
      </c>
      <c r="Q83" t="n">
        <v>0</v>
      </c>
      <c r="R83" t="n">
        <v>68.7</v>
      </c>
      <c r="S83" t="n">
        <v>0</v>
      </c>
      <c r="T83" t="n">
        <v>0</v>
      </c>
      <c r="U83" t="n">
        <v>0</v>
      </c>
      <c r="V83" t="n">
        <v>8.19</v>
      </c>
      <c r="W83" t="n">
        <v>171.99</v>
      </c>
      <c r="X83" t="n">
        <v>163.8</v>
      </c>
      <c r="Y83" t="n">
        <v>19</v>
      </c>
      <c r="Z83" t="n">
        <v>31.12</v>
      </c>
      <c r="AA83" t="n">
        <v>3.16</v>
      </c>
      <c r="AB83" t="n">
        <v>34.28</v>
      </c>
      <c r="AC83" t="n">
        <v>6.17</v>
      </c>
      <c r="AD83" t="n">
        <v>0</v>
      </c>
      <c r="AE83" t="n">
        <v>163.8</v>
      </c>
      <c r="AF83" t="n">
        <v>0</v>
      </c>
      <c r="AG83" t="n">
        <v>0</v>
      </c>
      <c r="AH83" t="n">
        <v>0.16</v>
      </c>
      <c r="AI83" t="n">
        <v>8.199999999999999</v>
      </c>
      <c r="AJ83" t="n">
        <v>-0.01</v>
      </c>
      <c r="AK83" t="n">
        <v>14.53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48.81</v>
      </c>
      <c r="AV83" t="n">
        <v>0</v>
      </c>
      <c r="AW83" t="n">
        <v>123.18</v>
      </c>
      <c r="AX83" t="inlineStr">
        <is>
          <t>settled</t>
        </is>
      </c>
      <c r="AY83" t="inlineStr">
        <is>
          <t>2025-12-10 05:30:00</t>
        </is>
      </c>
      <c r="AZ83" t="inlineStr">
        <is>
          <t>CITIN25668288188</t>
        </is>
      </c>
      <c r="BA83" t="n">
        <v>0</v>
      </c>
      <c r="BB83" t="inlineStr">
        <is>
          <t>226c2a10b70680e9154a97fe00d3f16ba56e0db0c36d0e8d18c2cdf3d07652cd</t>
        </is>
      </c>
    </row>
    <row r="84">
      <c r="A84" t="inlineStr">
        <is>
          <t>79</t>
        </is>
      </c>
      <c r="B84" t="inlineStr">
        <is>
          <t>7542025525</t>
        </is>
      </c>
      <c r="C84" t="inlineStr">
        <is>
          <t>2025-12-02 21:12:30</t>
        </is>
      </c>
      <c r="D84" t="inlineStr">
        <is>
          <t>49</t>
        </is>
      </c>
      <c r="E84" t="inlineStr">
        <is>
          <t>Sha Sha - Shandaar Shawarma</t>
        </is>
      </c>
      <c r="F84" t="inlineStr">
        <is>
          <t>18557902</t>
        </is>
      </c>
      <c r="G84" t="inlineStr">
        <is>
          <t>NA</t>
        </is>
      </c>
      <c r="H84" t="inlineStr">
        <is>
          <t>ONLINE</t>
        </is>
      </c>
      <c r="I84" t="inlineStr">
        <is>
          <t>DELIVERED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O2</t>
        </is>
      </c>
      <c r="N84" t="inlineStr">
        <is>
          <t>36</t>
        </is>
      </c>
      <c r="O84" t="n">
        <v>229</v>
      </c>
      <c r="P84" t="n">
        <v>3.5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11.63</v>
      </c>
      <c r="W84" t="n">
        <v>244.13</v>
      </c>
      <c r="X84" t="n">
        <v>232.5</v>
      </c>
      <c r="Y84" t="n">
        <v>19</v>
      </c>
      <c r="Z84" t="n">
        <v>44.18</v>
      </c>
      <c r="AA84" t="n">
        <v>4.49</v>
      </c>
      <c r="AB84" t="n">
        <v>48.67</v>
      </c>
      <c r="AC84" t="n">
        <v>8.76</v>
      </c>
      <c r="AD84" t="n">
        <v>0</v>
      </c>
      <c r="AE84" t="n">
        <v>232.5</v>
      </c>
      <c r="AF84" t="n">
        <v>0</v>
      </c>
      <c r="AG84" t="n">
        <v>0</v>
      </c>
      <c r="AH84" t="n">
        <v>0.23</v>
      </c>
      <c r="AI84" t="n">
        <v>11.63</v>
      </c>
      <c r="AJ84" t="n">
        <v>0</v>
      </c>
      <c r="AK84" t="n">
        <v>20.62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69.29000000000001</v>
      </c>
      <c r="AV84" t="n">
        <v>0</v>
      </c>
      <c r="AW84" t="n">
        <v>174.84</v>
      </c>
      <c r="AX84" t="inlineStr">
        <is>
          <t>settled</t>
        </is>
      </c>
      <c r="AY84" t="inlineStr">
        <is>
          <t>2025-12-10 05:30:00</t>
        </is>
      </c>
      <c r="AZ84" t="inlineStr">
        <is>
          <t>CITIN25668288188</t>
        </is>
      </c>
      <c r="BA84" t="n">
        <v>0</v>
      </c>
      <c r="BB84" t="inlineStr">
        <is>
          <t>10f8fb0885e3b5ab98feee3e076d4ca116674f9d0de9bb608fa144a29fe0475e</t>
        </is>
      </c>
    </row>
    <row r="85">
      <c r="A85" t="inlineStr">
        <is>
          <t>80</t>
        </is>
      </c>
      <c r="B85" t="inlineStr">
        <is>
          <t>7542442329</t>
        </is>
      </c>
      <c r="C85" t="inlineStr">
        <is>
          <t>2025-12-02 21:24:09</t>
        </is>
      </c>
      <c r="D85" t="inlineStr">
        <is>
          <t>49</t>
        </is>
      </c>
      <c r="E85" t="inlineStr">
        <is>
          <t>Sha Sha - Shandaar Shawarma</t>
        </is>
      </c>
      <c r="F85" t="inlineStr">
        <is>
          <t>18557902</t>
        </is>
      </c>
      <c r="G85" t="inlineStr">
        <is>
          <t>30% off upto ₹75 (2025-06-25 - 2031-01-01)</t>
        </is>
      </c>
      <c r="H85" t="inlineStr">
        <is>
          <t>ONLINE</t>
        </is>
      </c>
      <c r="I85" t="inlineStr">
        <is>
          <t>DELIVERED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O2</t>
        </is>
      </c>
      <c r="N85" t="inlineStr">
        <is>
          <t>36</t>
        </is>
      </c>
      <c r="O85" t="n">
        <v>229</v>
      </c>
      <c r="P85" t="n">
        <v>3.5</v>
      </c>
      <c r="Q85" t="n">
        <v>0</v>
      </c>
      <c r="R85" t="n">
        <v>68.7</v>
      </c>
      <c r="S85" t="n">
        <v>0</v>
      </c>
      <c r="T85" t="n">
        <v>0</v>
      </c>
      <c r="U85" t="n">
        <v>0</v>
      </c>
      <c r="V85" t="n">
        <v>8.19</v>
      </c>
      <c r="W85" t="n">
        <v>171.99</v>
      </c>
      <c r="X85" t="n">
        <v>163.8</v>
      </c>
      <c r="Y85" t="n">
        <v>19</v>
      </c>
      <c r="Z85" t="n">
        <v>31.12</v>
      </c>
      <c r="AA85" t="n">
        <v>3.16</v>
      </c>
      <c r="AB85" t="n">
        <v>34.28</v>
      </c>
      <c r="AC85" t="n">
        <v>6.17</v>
      </c>
      <c r="AD85" t="n">
        <v>0</v>
      </c>
      <c r="AE85" t="n">
        <v>163.8</v>
      </c>
      <c r="AF85" t="n">
        <v>0</v>
      </c>
      <c r="AG85" t="n">
        <v>0</v>
      </c>
      <c r="AH85" t="n">
        <v>0.16</v>
      </c>
      <c r="AI85" t="n">
        <v>8.199999999999999</v>
      </c>
      <c r="AJ85" t="n">
        <v>-0.01</v>
      </c>
      <c r="AK85" t="n">
        <v>14.53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48.81</v>
      </c>
      <c r="AV85" t="n">
        <v>0</v>
      </c>
      <c r="AW85" t="n">
        <v>123.18</v>
      </c>
      <c r="AX85" t="inlineStr">
        <is>
          <t>settled</t>
        </is>
      </c>
      <c r="AY85" t="inlineStr">
        <is>
          <t>2025-12-10 05:30:00</t>
        </is>
      </c>
      <c r="AZ85" t="inlineStr">
        <is>
          <t>CITIN25668288188</t>
        </is>
      </c>
      <c r="BA85" t="n">
        <v>0</v>
      </c>
      <c r="BB85" t="inlineStr">
        <is>
          <t>947b856af6beae7e3fdc88858167b21df6b706bb522d95ee53e09aca07d6600e</t>
        </is>
      </c>
    </row>
    <row r="86">
      <c r="A86" t="inlineStr">
        <is>
          <t>81</t>
        </is>
      </c>
      <c r="B86" t="inlineStr">
        <is>
          <t>7540004721</t>
        </is>
      </c>
      <c r="C86" t="inlineStr">
        <is>
          <t>2025-12-02 21:30:29</t>
        </is>
      </c>
      <c r="D86" t="inlineStr">
        <is>
          <t>49</t>
        </is>
      </c>
      <c r="E86" t="inlineStr">
        <is>
          <t>Sha Sha - Shandaar Shawarma</t>
        </is>
      </c>
      <c r="F86" t="inlineStr">
        <is>
          <t>18557902</t>
        </is>
      </c>
      <c r="G86" t="inlineStr">
        <is>
          <t>30% off upto ₹75 (2025-06-25 - 2031-01-01)</t>
        </is>
      </c>
      <c r="H86" t="inlineStr">
        <is>
          <t>ONLINE</t>
        </is>
      </c>
      <c r="I86" t="inlineStr">
        <is>
          <t>DELIVERED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O2</t>
        </is>
      </c>
      <c r="N86" t="inlineStr">
        <is>
          <t>36</t>
        </is>
      </c>
      <c r="O86" t="n">
        <v>438</v>
      </c>
      <c r="P86" t="n">
        <v>3.5</v>
      </c>
      <c r="Q86" t="n">
        <v>0</v>
      </c>
      <c r="R86" t="n">
        <v>75</v>
      </c>
      <c r="S86" t="n">
        <v>0</v>
      </c>
      <c r="T86" t="n">
        <v>0</v>
      </c>
      <c r="U86" t="n">
        <v>0</v>
      </c>
      <c r="V86" t="n">
        <v>18.33</v>
      </c>
      <c r="W86" t="n">
        <v>384.83</v>
      </c>
      <c r="X86" t="n">
        <v>366.5</v>
      </c>
      <c r="Y86" t="n">
        <v>19</v>
      </c>
      <c r="Z86" t="n">
        <v>69.64</v>
      </c>
      <c r="AA86" t="n">
        <v>7.08</v>
      </c>
      <c r="AB86" t="n">
        <v>76.72</v>
      </c>
      <c r="AC86" t="n">
        <v>13.81</v>
      </c>
      <c r="AD86" t="n">
        <v>0</v>
      </c>
      <c r="AE86" t="n">
        <v>366.5</v>
      </c>
      <c r="AF86" t="n">
        <v>0</v>
      </c>
      <c r="AG86" t="n">
        <v>0</v>
      </c>
      <c r="AH86" t="n">
        <v>0.37</v>
      </c>
      <c r="AI86" t="n">
        <v>18.33</v>
      </c>
      <c r="AJ86" t="n">
        <v>0</v>
      </c>
      <c r="AK86" t="n">
        <v>32.51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109.23</v>
      </c>
      <c r="AV86" t="n">
        <v>0</v>
      </c>
      <c r="AW86" t="n">
        <v>275.6</v>
      </c>
      <c r="AX86" t="inlineStr">
        <is>
          <t>settled</t>
        </is>
      </c>
      <c r="AY86" t="inlineStr">
        <is>
          <t>2025-12-10 05:30:00</t>
        </is>
      </c>
      <c r="AZ86" t="inlineStr">
        <is>
          <t>CITIN25668288188</t>
        </is>
      </c>
      <c r="BA86" t="n">
        <v>0</v>
      </c>
      <c r="BB86" t="inlineStr">
        <is>
          <t>a1e0ae4e70642906f1c68fa9ab41016cbcee7c0f94841a623020213e60f42ba6</t>
        </is>
      </c>
    </row>
    <row r="87">
      <c r="A87" t="inlineStr">
        <is>
          <t>82</t>
        </is>
      </c>
      <c r="B87" t="inlineStr">
        <is>
          <t>7543217081</t>
        </is>
      </c>
      <c r="C87" t="inlineStr">
        <is>
          <t>2025-12-02 21:34:48</t>
        </is>
      </c>
      <c r="D87" t="inlineStr">
        <is>
          <t>49</t>
        </is>
      </c>
      <c r="E87" t="inlineStr">
        <is>
          <t>Sha Sha - Shandaar Shawarma</t>
        </is>
      </c>
      <c r="F87" t="inlineStr">
        <is>
          <t>18557902</t>
        </is>
      </c>
      <c r="G87" t="inlineStr">
        <is>
          <t>30% off upto ₹75 (2025-06-25 - 2031-01-01)</t>
        </is>
      </c>
      <c r="H87" t="inlineStr">
        <is>
          <t>ONLINE</t>
        </is>
      </c>
      <c r="I87" t="inlineStr">
        <is>
          <t>DELIVERED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O2</t>
        </is>
      </c>
      <c r="N87" t="inlineStr">
        <is>
          <t>36</t>
        </is>
      </c>
      <c r="O87" t="n">
        <v>229</v>
      </c>
      <c r="P87" t="n">
        <v>3.5</v>
      </c>
      <c r="Q87" t="n">
        <v>0</v>
      </c>
      <c r="R87" t="n">
        <v>68.7</v>
      </c>
      <c r="S87" t="n">
        <v>0</v>
      </c>
      <c r="T87" t="n">
        <v>0</v>
      </c>
      <c r="U87" t="n">
        <v>0</v>
      </c>
      <c r="V87" t="n">
        <v>8.19</v>
      </c>
      <c r="W87" t="n">
        <v>171.99</v>
      </c>
      <c r="X87" t="n">
        <v>163.8</v>
      </c>
      <c r="Y87" t="n">
        <v>19</v>
      </c>
      <c r="Z87" t="n">
        <v>31.12</v>
      </c>
      <c r="AA87" t="n">
        <v>3.16</v>
      </c>
      <c r="AB87" t="n">
        <v>34.28</v>
      </c>
      <c r="AC87" t="n">
        <v>6.17</v>
      </c>
      <c r="AD87" t="n">
        <v>0</v>
      </c>
      <c r="AE87" t="n">
        <v>163.8</v>
      </c>
      <c r="AF87" t="n">
        <v>0</v>
      </c>
      <c r="AG87" t="n">
        <v>0</v>
      </c>
      <c r="AH87" t="n">
        <v>0.16</v>
      </c>
      <c r="AI87" t="n">
        <v>8.199999999999999</v>
      </c>
      <c r="AJ87" t="n">
        <v>-0.01</v>
      </c>
      <c r="AK87" t="n">
        <v>14.53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48.81</v>
      </c>
      <c r="AV87" t="n">
        <v>0</v>
      </c>
      <c r="AW87" t="n">
        <v>123.18</v>
      </c>
      <c r="AX87" t="inlineStr">
        <is>
          <t>settled</t>
        </is>
      </c>
      <c r="AY87" t="inlineStr">
        <is>
          <t>2025-12-10 05:30:00</t>
        </is>
      </c>
      <c r="AZ87" t="inlineStr">
        <is>
          <t>CITIN25668288188</t>
        </is>
      </c>
      <c r="BA87" t="n">
        <v>0</v>
      </c>
      <c r="BB87" t="inlineStr">
        <is>
          <t>9002940526ccacdcd0d3a4fb7fbde33782e3244322c0c1ed120360f1ee79eed4</t>
        </is>
      </c>
    </row>
    <row r="88">
      <c r="A88" t="inlineStr">
        <is>
          <t>83</t>
        </is>
      </c>
      <c r="B88" t="inlineStr">
        <is>
          <t>7541822313</t>
        </is>
      </c>
      <c r="C88" t="inlineStr">
        <is>
          <t>2025-12-02 21:46:00</t>
        </is>
      </c>
      <c r="D88" t="inlineStr">
        <is>
          <t>49</t>
        </is>
      </c>
      <c r="E88" t="inlineStr">
        <is>
          <t>Sha Sha - Shandaar Shawarma</t>
        </is>
      </c>
      <c r="F88" t="inlineStr">
        <is>
          <t>18557902</t>
        </is>
      </c>
      <c r="G88" t="inlineStr">
        <is>
          <t>NA</t>
        </is>
      </c>
      <c r="H88" t="inlineStr">
        <is>
          <t>ONLINE</t>
        </is>
      </c>
      <c r="I88" t="inlineStr">
        <is>
          <t>DELIVERED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O2</t>
        </is>
      </c>
      <c r="N88" t="inlineStr">
        <is>
          <t>36</t>
        </is>
      </c>
      <c r="O88" t="n">
        <v>307</v>
      </c>
      <c r="P88" t="n">
        <v>3.5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15.53</v>
      </c>
      <c r="W88" t="n">
        <v>326.03</v>
      </c>
      <c r="X88" t="n">
        <v>310.5</v>
      </c>
      <c r="Y88" t="n">
        <v>19</v>
      </c>
      <c r="Z88" t="n">
        <v>59</v>
      </c>
      <c r="AA88" t="n">
        <v>6</v>
      </c>
      <c r="AB88" t="n">
        <v>65</v>
      </c>
      <c r="AC88" t="n">
        <v>11.7</v>
      </c>
      <c r="AD88" t="n">
        <v>0</v>
      </c>
      <c r="AE88" t="n">
        <v>310.5</v>
      </c>
      <c r="AF88" t="n">
        <v>0</v>
      </c>
      <c r="AG88" t="n">
        <v>0</v>
      </c>
      <c r="AH88" t="n">
        <v>0.31</v>
      </c>
      <c r="AI88" t="n">
        <v>15.53</v>
      </c>
      <c r="AJ88" t="n">
        <v>0</v>
      </c>
      <c r="AK88" t="n">
        <v>27.54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92.54000000000001</v>
      </c>
      <c r="AV88" t="n">
        <v>0</v>
      </c>
      <c r="AW88" t="n">
        <v>233.49</v>
      </c>
      <c r="AX88" t="inlineStr">
        <is>
          <t>settled</t>
        </is>
      </c>
      <c r="AY88" t="inlineStr">
        <is>
          <t>2025-12-10 05:30:00</t>
        </is>
      </c>
      <c r="AZ88" t="inlineStr">
        <is>
          <t>CITIN25668288188</t>
        </is>
      </c>
      <c r="BA88" t="n">
        <v>0</v>
      </c>
      <c r="BB88" t="inlineStr">
        <is>
          <t>b686b23e6f94a3aeb50b92b2d84c04cf8375846d2cedbe820906926ba704399e</t>
        </is>
      </c>
    </row>
    <row r="89">
      <c r="A89" t="inlineStr">
        <is>
          <t>84</t>
        </is>
      </c>
      <c r="B89" t="inlineStr">
        <is>
          <t>7532672853</t>
        </is>
      </c>
      <c r="C89" t="inlineStr">
        <is>
          <t>2025-12-02 21:57:39</t>
        </is>
      </c>
      <c r="D89" t="inlineStr">
        <is>
          <t>49</t>
        </is>
      </c>
      <c r="E89" t="inlineStr">
        <is>
          <t>Sha Sha - Shandaar Shawarma</t>
        </is>
      </c>
      <c r="F89" t="inlineStr">
        <is>
          <t>18557902</t>
        </is>
      </c>
      <c r="G89" t="inlineStr">
        <is>
          <t>30% off upto ₹75 (2025-06-25 - 2031-01-01)</t>
        </is>
      </c>
      <c r="H89" t="inlineStr">
        <is>
          <t>ONLINE</t>
        </is>
      </c>
      <c r="I89" t="inlineStr">
        <is>
          <t>DELIVERED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O2</t>
        </is>
      </c>
      <c r="N89" t="inlineStr">
        <is>
          <t>36</t>
        </is>
      </c>
      <c r="O89" t="n">
        <v>345</v>
      </c>
      <c r="P89" t="n">
        <v>3.5</v>
      </c>
      <c r="Q89" t="n">
        <v>0</v>
      </c>
      <c r="R89" t="n">
        <v>75</v>
      </c>
      <c r="S89" t="n">
        <v>0</v>
      </c>
      <c r="T89" t="n">
        <v>0</v>
      </c>
      <c r="U89" t="n">
        <v>0</v>
      </c>
      <c r="V89" t="n">
        <v>13.68</v>
      </c>
      <c r="W89" t="n">
        <v>287.18</v>
      </c>
      <c r="X89" t="n">
        <v>273.5</v>
      </c>
      <c r="Y89" t="n">
        <v>19</v>
      </c>
      <c r="Z89" t="n">
        <v>51.96</v>
      </c>
      <c r="AA89" t="n">
        <v>5.28</v>
      </c>
      <c r="AB89" t="n">
        <v>57.24</v>
      </c>
      <c r="AC89" t="n">
        <v>10.3</v>
      </c>
      <c r="AD89" t="n">
        <v>0</v>
      </c>
      <c r="AE89" t="n">
        <v>273.5</v>
      </c>
      <c r="AF89" t="n">
        <v>0</v>
      </c>
      <c r="AG89" t="n">
        <v>0</v>
      </c>
      <c r="AH89" t="n">
        <v>0.27</v>
      </c>
      <c r="AI89" t="n">
        <v>13.68</v>
      </c>
      <c r="AJ89" t="n">
        <v>0</v>
      </c>
      <c r="AK89" t="n">
        <v>24.25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81.48999999999999</v>
      </c>
      <c r="AV89" t="n">
        <v>0</v>
      </c>
      <c r="AW89" t="n">
        <v>205.69</v>
      </c>
      <c r="AX89" t="inlineStr">
        <is>
          <t>settled</t>
        </is>
      </c>
      <c r="AY89" t="inlineStr">
        <is>
          <t>2025-12-10 05:30:00</t>
        </is>
      </c>
      <c r="AZ89" t="inlineStr">
        <is>
          <t>CITIN25668288188</t>
        </is>
      </c>
      <c r="BA89" t="n">
        <v>0</v>
      </c>
      <c r="BB89" t="inlineStr">
        <is>
          <t>97b4133bde4eb0767e9ce68171387ff49f31d258169b1f78ae8f5981ef069b25</t>
        </is>
      </c>
    </row>
    <row r="90">
      <c r="A90" t="inlineStr">
        <is>
          <t>85</t>
        </is>
      </c>
      <c r="B90" t="inlineStr">
        <is>
          <t>7536726323</t>
        </is>
      </c>
      <c r="C90" t="inlineStr">
        <is>
          <t>2025-12-02 21:59:00</t>
        </is>
      </c>
      <c r="D90" t="inlineStr">
        <is>
          <t>49</t>
        </is>
      </c>
      <c r="E90" t="inlineStr">
        <is>
          <t>Sha Sha - Shandaar Shawarma</t>
        </is>
      </c>
      <c r="F90" t="inlineStr">
        <is>
          <t>18557902</t>
        </is>
      </c>
      <c r="G90" t="inlineStr">
        <is>
          <t>30% off upto ₹75 (2025-06-25 - 2031-01-01)</t>
        </is>
      </c>
      <c r="H90" t="inlineStr">
        <is>
          <t>ONLINE</t>
        </is>
      </c>
      <c r="I90" t="inlineStr">
        <is>
          <t>DELIVERED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O2</t>
        </is>
      </c>
      <c r="N90" t="inlineStr">
        <is>
          <t>36</t>
        </is>
      </c>
      <c r="O90" t="n">
        <v>219</v>
      </c>
      <c r="P90" t="n">
        <v>3.5</v>
      </c>
      <c r="Q90" t="n">
        <v>0</v>
      </c>
      <c r="R90" t="n">
        <v>65.7</v>
      </c>
      <c r="S90" t="n">
        <v>0</v>
      </c>
      <c r="T90" t="n">
        <v>0</v>
      </c>
      <c r="U90" t="n">
        <v>0</v>
      </c>
      <c r="V90" t="n">
        <v>7.84</v>
      </c>
      <c r="W90" t="n">
        <v>164.64</v>
      </c>
      <c r="X90" t="n">
        <v>156.8</v>
      </c>
      <c r="Y90" t="n">
        <v>19</v>
      </c>
      <c r="Z90" t="n">
        <v>29.79</v>
      </c>
      <c r="AA90" t="n">
        <v>3.03</v>
      </c>
      <c r="AB90" t="n">
        <v>32.82</v>
      </c>
      <c r="AC90" t="n">
        <v>5.91</v>
      </c>
      <c r="AD90" t="n">
        <v>0</v>
      </c>
      <c r="AE90" t="n">
        <v>156.8</v>
      </c>
      <c r="AF90" t="n">
        <v>0</v>
      </c>
      <c r="AG90" t="n">
        <v>0</v>
      </c>
      <c r="AH90" t="n">
        <v>0.16</v>
      </c>
      <c r="AI90" t="n">
        <v>7.85</v>
      </c>
      <c r="AJ90" t="n">
        <v>-0.01</v>
      </c>
      <c r="AK90" t="n">
        <v>13.92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46.74</v>
      </c>
      <c r="AV90" t="n">
        <v>0</v>
      </c>
      <c r="AW90" t="n">
        <v>117.9</v>
      </c>
      <c r="AX90" t="inlineStr">
        <is>
          <t>settled</t>
        </is>
      </c>
      <c r="AY90" t="inlineStr">
        <is>
          <t>2025-12-10 05:30:00</t>
        </is>
      </c>
      <c r="AZ90" t="inlineStr">
        <is>
          <t>CITIN25668288188</t>
        </is>
      </c>
      <c r="BA90" t="n">
        <v>0</v>
      </c>
      <c r="BB90" t="inlineStr">
        <is>
          <t>2784652cde958b39ce7252aaa8405feda12f718266eb145194582b5c1f66f79c</t>
        </is>
      </c>
    </row>
    <row r="91">
      <c r="A91" t="inlineStr">
        <is>
          <t>86</t>
        </is>
      </c>
      <c r="B91" t="inlineStr">
        <is>
          <t>7541475768</t>
        </is>
      </c>
      <c r="C91" t="inlineStr">
        <is>
          <t>2025-12-02 22:05:31</t>
        </is>
      </c>
      <c r="D91" t="inlineStr">
        <is>
          <t>49</t>
        </is>
      </c>
      <c r="E91" t="inlineStr">
        <is>
          <t>Sha Sha - Shandaar Shawarma</t>
        </is>
      </c>
      <c r="F91" t="inlineStr">
        <is>
          <t>18557902</t>
        </is>
      </c>
      <c r="G91" t="inlineStr">
        <is>
          <t>30% off upto ₹75 (2025-06-25 - 2031-01-01)</t>
        </is>
      </c>
      <c r="H91" t="inlineStr">
        <is>
          <t>ONLINE</t>
        </is>
      </c>
      <c r="I91" t="inlineStr">
        <is>
          <t>DELIVERED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O2</t>
        </is>
      </c>
      <c r="N91" t="inlineStr">
        <is>
          <t>36</t>
        </is>
      </c>
      <c r="O91" t="n">
        <v>229</v>
      </c>
      <c r="P91" t="n">
        <v>3.5</v>
      </c>
      <c r="Q91" t="n">
        <v>0</v>
      </c>
      <c r="R91" t="n">
        <v>68.7</v>
      </c>
      <c r="S91" t="n">
        <v>0</v>
      </c>
      <c r="T91" t="n">
        <v>0</v>
      </c>
      <c r="U91" t="n">
        <v>0</v>
      </c>
      <c r="V91" t="n">
        <v>8.19</v>
      </c>
      <c r="W91" t="n">
        <v>171.99</v>
      </c>
      <c r="X91" t="n">
        <v>163.8</v>
      </c>
      <c r="Y91" t="n">
        <v>19</v>
      </c>
      <c r="Z91" t="n">
        <v>31.12</v>
      </c>
      <c r="AA91" t="n">
        <v>3.16</v>
      </c>
      <c r="AB91" t="n">
        <v>34.28</v>
      </c>
      <c r="AC91" t="n">
        <v>6.17</v>
      </c>
      <c r="AD91" t="n">
        <v>0</v>
      </c>
      <c r="AE91" t="n">
        <v>163.8</v>
      </c>
      <c r="AF91" t="n">
        <v>0</v>
      </c>
      <c r="AG91" t="n">
        <v>0</v>
      </c>
      <c r="AH91" t="n">
        <v>0.16</v>
      </c>
      <c r="AI91" t="n">
        <v>8.199999999999999</v>
      </c>
      <c r="AJ91" t="n">
        <v>-0.01</v>
      </c>
      <c r="AK91" t="n">
        <v>14.53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48.81</v>
      </c>
      <c r="AV91" t="n">
        <v>0</v>
      </c>
      <c r="AW91" t="n">
        <v>123.18</v>
      </c>
      <c r="AX91" t="inlineStr">
        <is>
          <t>settled</t>
        </is>
      </c>
      <c r="AY91" t="inlineStr">
        <is>
          <t>2025-12-10 05:30:00</t>
        </is>
      </c>
      <c r="AZ91" t="inlineStr">
        <is>
          <t>CITIN25668288188</t>
        </is>
      </c>
      <c r="BA91" t="n">
        <v>0</v>
      </c>
      <c r="BB91" t="inlineStr">
        <is>
          <t>65ac8181770f9d3e8eb2b9bf750d3eb6eb1ba7be50ee3c3261ec6a2a0f2ba19b</t>
        </is>
      </c>
    </row>
    <row r="92">
      <c r="A92" t="inlineStr">
        <is>
          <t>87</t>
        </is>
      </c>
      <c r="B92" t="inlineStr">
        <is>
          <t>7542944792</t>
        </is>
      </c>
      <c r="C92" t="inlineStr">
        <is>
          <t>2025-12-02 22:37:25</t>
        </is>
      </c>
      <c r="D92" t="inlineStr">
        <is>
          <t>49</t>
        </is>
      </c>
      <c r="E92" t="inlineStr">
        <is>
          <t>Sha Sha - Shandaar Shawarma</t>
        </is>
      </c>
      <c r="F92" t="inlineStr">
        <is>
          <t>18557902</t>
        </is>
      </c>
      <c r="G92" t="inlineStr">
        <is>
          <t>30% off upto ₹75 (2025-06-25 - 2031-01-01)</t>
        </is>
      </c>
      <c r="H92" t="inlineStr">
        <is>
          <t>ONLINE</t>
        </is>
      </c>
      <c r="I92" t="inlineStr">
        <is>
          <t>DELIVERED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O2</t>
        </is>
      </c>
      <c r="N92" t="inlineStr">
        <is>
          <t>36</t>
        </is>
      </c>
      <c r="O92" t="n">
        <v>229</v>
      </c>
      <c r="P92" t="n">
        <v>3.5</v>
      </c>
      <c r="Q92" t="n">
        <v>0</v>
      </c>
      <c r="R92" t="n">
        <v>68.7</v>
      </c>
      <c r="S92" t="n">
        <v>0</v>
      </c>
      <c r="T92" t="n">
        <v>0</v>
      </c>
      <c r="U92" t="n">
        <v>0</v>
      </c>
      <c r="V92" t="n">
        <v>8.19</v>
      </c>
      <c r="W92" t="n">
        <v>171.99</v>
      </c>
      <c r="X92" t="n">
        <v>163.8</v>
      </c>
      <c r="Y92" t="n">
        <v>19</v>
      </c>
      <c r="Z92" t="n">
        <v>31.12</v>
      </c>
      <c r="AA92" t="n">
        <v>3.16</v>
      </c>
      <c r="AB92" t="n">
        <v>34.28</v>
      </c>
      <c r="AC92" t="n">
        <v>6.17</v>
      </c>
      <c r="AD92" t="n">
        <v>0</v>
      </c>
      <c r="AE92" t="n">
        <v>163.8</v>
      </c>
      <c r="AF92" t="n">
        <v>0</v>
      </c>
      <c r="AG92" t="n">
        <v>0</v>
      </c>
      <c r="AH92" t="n">
        <v>0.16</v>
      </c>
      <c r="AI92" t="n">
        <v>8.199999999999999</v>
      </c>
      <c r="AJ92" t="n">
        <v>-0.01</v>
      </c>
      <c r="AK92" t="n">
        <v>14.53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48.81</v>
      </c>
      <c r="AV92" t="n">
        <v>0</v>
      </c>
      <c r="AW92" t="n">
        <v>123.18</v>
      </c>
      <c r="AX92" t="inlineStr">
        <is>
          <t>settled</t>
        </is>
      </c>
      <c r="AY92" t="inlineStr">
        <is>
          <t>2025-12-10 05:30:00</t>
        </is>
      </c>
      <c r="AZ92" t="inlineStr">
        <is>
          <t>CITIN25668288188</t>
        </is>
      </c>
      <c r="BA92" t="n">
        <v>0</v>
      </c>
      <c r="BB92" t="inlineStr">
        <is>
          <t>7a8ae5ed90bf6fb1b4e374bb2d53acd33ad18a55457a730239efea1da462101e</t>
        </is>
      </c>
    </row>
    <row r="93">
      <c r="A93" t="inlineStr">
        <is>
          <t>88</t>
        </is>
      </c>
      <c r="B93" t="inlineStr">
        <is>
          <t>7542780518</t>
        </is>
      </c>
      <c r="C93" t="inlineStr">
        <is>
          <t>2025-12-02 23:16:45</t>
        </is>
      </c>
      <c r="D93" t="inlineStr">
        <is>
          <t>49</t>
        </is>
      </c>
      <c r="E93" t="inlineStr">
        <is>
          <t>Sha Sha - Shandaar Shawarma</t>
        </is>
      </c>
      <c r="F93" t="inlineStr">
        <is>
          <t>18557902</t>
        </is>
      </c>
      <c r="G93" t="inlineStr">
        <is>
          <t>NA</t>
        </is>
      </c>
      <c r="H93" t="inlineStr">
        <is>
          <t>ONLINE</t>
        </is>
      </c>
      <c r="I93" t="inlineStr">
        <is>
          <t>DELIVERED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O2</t>
        </is>
      </c>
      <c r="N93" t="inlineStr">
        <is>
          <t>36</t>
        </is>
      </c>
      <c r="O93" t="n">
        <v>229</v>
      </c>
      <c r="P93" t="n">
        <v>3.5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11.63</v>
      </c>
      <c r="W93" t="n">
        <v>244.13</v>
      </c>
      <c r="X93" t="n">
        <v>232.5</v>
      </c>
      <c r="Y93" t="n">
        <v>19</v>
      </c>
      <c r="Z93" t="n">
        <v>44.18</v>
      </c>
      <c r="AA93" t="n">
        <v>4.49</v>
      </c>
      <c r="AB93" t="n">
        <v>48.67</v>
      </c>
      <c r="AC93" t="n">
        <v>8.76</v>
      </c>
      <c r="AD93" t="n">
        <v>0</v>
      </c>
      <c r="AE93" t="n">
        <v>232.5</v>
      </c>
      <c r="AF93" t="n">
        <v>0</v>
      </c>
      <c r="AG93" t="n">
        <v>0</v>
      </c>
      <c r="AH93" t="n">
        <v>0.23</v>
      </c>
      <c r="AI93" t="n">
        <v>11.63</v>
      </c>
      <c r="AJ93" t="n">
        <v>0</v>
      </c>
      <c r="AK93" t="n">
        <v>20.62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69.29000000000001</v>
      </c>
      <c r="AV93" t="n">
        <v>0</v>
      </c>
      <c r="AW93" t="n">
        <v>174.84</v>
      </c>
      <c r="AX93" t="inlineStr">
        <is>
          <t>settled</t>
        </is>
      </c>
      <c r="AY93" t="inlineStr">
        <is>
          <t>2025-12-10 05:30:00</t>
        </is>
      </c>
      <c r="AZ93" t="inlineStr">
        <is>
          <t>CITIN25668288188</t>
        </is>
      </c>
      <c r="BA93" t="n">
        <v>0</v>
      </c>
      <c r="BB93" t="inlineStr">
        <is>
          <t>7302b35900c76696417434d227f3e332eb9505b58da433feb8f904737c2a36b4</t>
        </is>
      </c>
    </row>
    <row r="94">
      <c r="A94" t="inlineStr">
        <is>
          <t>89</t>
        </is>
      </c>
      <c r="B94" t="inlineStr">
        <is>
          <t>7538971624</t>
        </is>
      </c>
      <c r="C94" t="inlineStr">
        <is>
          <t>2025-12-02 23:56:59</t>
        </is>
      </c>
      <c r="D94" t="inlineStr">
        <is>
          <t>49</t>
        </is>
      </c>
      <c r="E94" t="inlineStr">
        <is>
          <t>Sha Sha - Shandaar Shawarma</t>
        </is>
      </c>
      <c r="F94" t="inlineStr">
        <is>
          <t>18557902</t>
        </is>
      </c>
      <c r="G94" t="inlineStr">
        <is>
          <t>NA</t>
        </is>
      </c>
      <c r="H94" t="inlineStr">
        <is>
          <t>ONLINE</t>
        </is>
      </c>
      <c r="I94" t="inlineStr">
        <is>
          <t>DELIVERED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O2</t>
        </is>
      </c>
      <c r="N94" t="inlineStr">
        <is>
          <t>36</t>
        </is>
      </c>
      <c r="O94" t="n">
        <v>219</v>
      </c>
      <c r="P94" t="n">
        <v>3.5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11.13</v>
      </c>
      <c r="W94" t="n">
        <v>233.63</v>
      </c>
      <c r="X94" t="n">
        <v>222.5</v>
      </c>
      <c r="Y94" t="n">
        <v>19</v>
      </c>
      <c r="Z94" t="n">
        <v>42.28</v>
      </c>
      <c r="AA94" t="n">
        <v>4.3</v>
      </c>
      <c r="AB94" t="n">
        <v>46.58</v>
      </c>
      <c r="AC94" t="n">
        <v>8.380000000000001</v>
      </c>
      <c r="AD94" t="n">
        <v>0</v>
      </c>
      <c r="AE94" t="n">
        <v>222.5</v>
      </c>
      <c r="AF94" t="n">
        <v>0</v>
      </c>
      <c r="AG94" t="n">
        <v>0</v>
      </c>
      <c r="AH94" t="n">
        <v>0.22</v>
      </c>
      <c r="AI94" t="n">
        <v>11.13</v>
      </c>
      <c r="AJ94" t="n">
        <v>0</v>
      </c>
      <c r="AK94" t="n">
        <v>19.73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66.31</v>
      </c>
      <c r="AV94" t="n">
        <v>0</v>
      </c>
      <c r="AW94" t="n">
        <v>167.32</v>
      </c>
      <c r="AX94" t="inlineStr">
        <is>
          <t>settled</t>
        </is>
      </c>
      <c r="AY94" t="inlineStr">
        <is>
          <t>2025-12-10 05:30:00</t>
        </is>
      </c>
      <c r="AZ94" t="inlineStr">
        <is>
          <t>CITIN25668288188</t>
        </is>
      </c>
      <c r="BA94" t="n">
        <v>0</v>
      </c>
      <c r="BB94" t="inlineStr">
        <is>
          <t>24c9c2574623b3a2a7dceda49e7f5a5deb25c1de312c53a43585dc32c88bccc0</t>
        </is>
      </c>
    </row>
    <row r="95">
      <c r="A95" t="inlineStr">
        <is>
          <t>90</t>
        </is>
      </c>
      <c r="B95" t="inlineStr">
        <is>
          <t>7541992797</t>
        </is>
      </c>
      <c r="C95" t="inlineStr">
        <is>
          <t>2025-12-03 00:09:05</t>
        </is>
      </c>
      <c r="D95" t="inlineStr">
        <is>
          <t>49</t>
        </is>
      </c>
      <c r="E95" t="inlineStr">
        <is>
          <t>Sha Sha - Shandaar Shawarma</t>
        </is>
      </c>
      <c r="F95" t="inlineStr">
        <is>
          <t>18557902</t>
        </is>
      </c>
      <c r="G95" t="inlineStr">
        <is>
          <t>30% off upto ₹75 (2025-06-25 - 2031-01-01)</t>
        </is>
      </c>
      <c r="H95" t="inlineStr">
        <is>
          <t>ONLINE</t>
        </is>
      </c>
      <c r="I95" t="inlineStr">
        <is>
          <t>DELIVERED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O2</t>
        </is>
      </c>
      <c r="N95" t="inlineStr">
        <is>
          <t>36</t>
        </is>
      </c>
      <c r="O95" t="n">
        <v>229</v>
      </c>
      <c r="P95" t="n">
        <v>3.5</v>
      </c>
      <c r="Q95" t="n">
        <v>0</v>
      </c>
      <c r="R95" t="n">
        <v>68.7</v>
      </c>
      <c r="S95" t="n">
        <v>0</v>
      </c>
      <c r="T95" t="n">
        <v>0</v>
      </c>
      <c r="U95" t="n">
        <v>0</v>
      </c>
      <c r="V95" t="n">
        <v>8.19</v>
      </c>
      <c r="W95" t="n">
        <v>171.99</v>
      </c>
      <c r="X95" t="n">
        <v>163.8</v>
      </c>
      <c r="Y95" t="n">
        <v>19</v>
      </c>
      <c r="Z95" t="n">
        <v>31.12</v>
      </c>
      <c r="AA95" t="n">
        <v>3.16</v>
      </c>
      <c r="AB95" t="n">
        <v>34.28</v>
      </c>
      <c r="AC95" t="n">
        <v>6.17</v>
      </c>
      <c r="AD95" t="n">
        <v>0</v>
      </c>
      <c r="AE95" t="n">
        <v>163.8</v>
      </c>
      <c r="AF95" t="n">
        <v>0</v>
      </c>
      <c r="AG95" t="n">
        <v>0</v>
      </c>
      <c r="AH95" t="n">
        <v>0.16</v>
      </c>
      <c r="AI95" t="n">
        <v>8.199999999999999</v>
      </c>
      <c r="AJ95" t="n">
        <v>-0.01</v>
      </c>
      <c r="AK95" t="n">
        <v>14.53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48.81</v>
      </c>
      <c r="AV95" t="n">
        <v>0</v>
      </c>
      <c r="AW95" t="n">
        <v>123.18</v>
      </c>
      <c r="AX95" t="inlineStr">
        <is>
          <t>settled</t>
        </is>
      </c>
      <c r="AY95" t="inlineStr">
        <is>
          <t>2025-12-10 05:30:00</t>
        </is>
      </c>
      <c r="AZ95" t="inlineStr">
        <is>
          <t>CITIN25668288188</t>
        </is>
      </c>
      <c r="BA95" t="n">
        <v>0</v>
      </c>
      <c r="BB95" t="inlineStr">
        <is>
          <t>6af54efa5e1dc0b9fde00b6f07f0217d2c75a510646fa001309c94be7d0aa367</t>
        </is>
      </c>
    </row>
    <row r="96">
      <c r="A96" t="inlineStr">
        <is>
          <t>91</t>
        </is>
      </c>
      <c r="B96" t="inlineStr">
        <is>
          <t>7542019141</t>
        </is>
      </c>
      <c r="C96" t="inlineStr">
        <is>
          <t>2025-12-03 00:13:25</t>
        </is>
      </c>
      <c r="D96" t="inlineStr">
        <is>
          <t>49</t>
        </is>
      </c>
      <c r="E96" t="inlineStr">
        <is>
          <t>Sha Sha - Shandaar Shawarma</t>
        </is>
      </c>
      <c r="F96" t="inlineStr">
        <is>
          <t>18557902</t>
        </is>
      </c>
      <c r="G96" t="inlineStr">
        <is>
          <t>NA</t>
        </is>
      </c>
      <c r="H96" t="inlineStr">
        <is>
          <t>ONLINE</t>
        </is>
      </c>
      <c r="I96" t="inlineStr">
        <is>
          <t>DELIVERED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O2</t>
        </is>
      </c>
      <c r="N96" t="inlineStr">
        <is>
          <t>36</t>
        </is>
      </c>
      <c r="O96" t="n">
        <v>229</v>
      </c>
      <c r="P96" t="n">
        <v>3.5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11.63</v>
      </c>
      <c r="W96" t="n">
        <v>244.13</v>
      </c>
      <c r="X96" t="n">
        <v>232.5</v>
      </c>
      <c r="Y96" t="n">
        <v>19</v>
      </c>
      <c r="Z96" t="n">
        <v>44.18</v>
      </c>
      <c r="AA96" t="n">
        <v>4.49</v>
      </c>
      <c r="AB96" t="n">
        <v>48.67</v>
      </c>
      <c r="AC96" t="n">
        <v>8.76</v>
      </c>
      <c r="AD96" t="n">
        <v>0</v>
      </c>
      <c r="AE96" t="n">
        <v>232.5</v>
      </c>
      <c r="AF96" t="n">
        <v>0</v>
      </c>
      <c r="AG96" t="n">
        <v>0</v>
      </c>
      <c r="AH96" t="n">
        <v>0.23</v>
      </c>
      <c r="AI96" t="n">
        <v>11.63</v>
      </c>
      <c r="AJ96" t="n">
        <v>0</v>
      </c>
      <c r="AK96" t="n">
        <v>20.62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69.29000000000001</v>
      </c>
      <c r="AV96" t="n">
        <v>0</v>
      </c>
      <c r="AW96" t="n">
        <v>174.84</v>
      </c>
      <c r="AX96" t="inlineStr">
        <is>
          <t>settled</t>
        </is>
      </c>
      <c r="AY96" t="inlineStr">
        <is>
          <t>2025-12-10 05:30:00</t>
        </is>
      </c>
      <c r="AZ96" t="inlineStr">
        <is>
          <t>CITIN25668288188</t>
        </is>
      </c>
      <c r="BA96" t="n">
        <v>0</v>
      </c>
      <c r="BB96" t="inlineStr">
        <is>
          <t>8baa432804580b9d78d85cb652528f9da07d3422b920af0f1e59d4b0c15193e0</t>
        </is>
      </c>
    </row>
    <row r="97">
      <c r="A97" t="inlineStr">
        <is>
          <t>92</t>
        </is>
      </c>
      <c r="B97" t="inlineStr">
        <is>
          <t>7525645898</t>
        </is>
      </c>
      <c r="C97" t="inlineStr">
        <is>
          <t>2025-12-03 00:38:00</t>
        </is>
      </c>
      <c r="D97" t="inlineStr">
        <is>
          <t>49</t>
        </is>
      </c>
      <c r="E97" t="inlineStr">
        <is>
          <t>Sha Sha - Shandaar Shawarma</t>
        </is>
      </c>
      <c r="F97" t="inlineStr">
        <is>
          <t>18557902</t>
        </is>
      </c>
      <c r="G97" t="inlineStr">
        <is>
          <t>NA</t>
        </is>
      </c>
      <c r="H97" t="inlineStr">
        <is>
          <t>ONLINE</t>
        </is>
      </c>
      <c r="I97" t="inlineStr">
        <is>
          <t>DELIVERED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O2</t>
        </is>
      </c>
      <c r="N97" t="inlineStr">
        <is>
          <t>36</t>
        </is>
      </c>
      <c r="O97" t="n">
        <v>458</v>
      </c>
      <c r="P97" t="n">
        <v>3.5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23.08</v>
      </c>
      <c r="W97" t="n">
        <v>484.58</v>
      </c>
      <c r="X97" t="n">
        <v>461.5</v>
      </c>
      <c r="Y97" t="n">
        <v>19</v>
      </c>
      <c r="Z97" t="n">
        <v>87.68000000000001</v>
      </c>
      <c r="AA97" t="n">
        <v>8.92</v>
      </c>
      <c r="AB97" t="n">
        <v>96.59999999999999</v>
      </c>
      <c r="AC97" t="n">
        <v>17.39</v>
      </c>
      <c r="AD97" t="n">
        <v>0</v>
      </c>
      <c r="AE97" t="n">
        <v>461.5</v>
      </c>
      <c r="AF97" t="n">
        <v>0</v>
      </c>
      <c r="AG97" t="n">
        <v>0</v>
      </c>
      <c r="AH97" t="n">
        <v>0.46</v>
      </c>
      <c r="AI97" t="n">
        <v>23.08</v>
      </c>
      <c r="AJ97" t="n">
        <v>0</v>
      </c>
      <c r="AK97" t="n">
        <v>40.93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137.53</v>
      </c>
      <c r="AV97" t="n">
        <v>0</v>
      </c>
      <c r="AW97" t="n">
        <v>347.05</v>
      </c>
      <c r="AX97" t="inlineStr">
        <is>
          <t>settled</t>
        </is>
      </c>
      <c r="AY97" t="inlineStr">
        <is>
          <t>2025-12-10 05:30:00</t>
        </is>
      </c>
      <c r="AZ97" t="inlineStr">
        <is>
          <t>CITIN25668288188</t>
        </is>
      </c>
      <c r="BA97" t="n">
        <v>0</v>
      </c>
      <c r="BB97" t="inlineStr">
        <is>
          <t>da0e39e3b989a1b0fd9dc6f015641803799f6776be2a4c4544d22b9fdc7cecf1</t>
        </is>
      </c>
    </row>
    <row r="98">
      <c r="A98" t="inlineStr">
        <is>
          <t>93</t>
        </is>
      </c>
      <c r="B98" t="inlineStr">
        <is>
          <t>7541459247</t>
        </is>
      </c>
      <c r="C98" t="inlineStr">
        <is>
          <t>2025-12-03 00:40:27</t>
        </is>
      </c>
      <c r="D98" t="inlineStr">
        <is>
          <t>49</t>
        </is>
      </c>
      <c r="E98" t="inlineStr">
        <is>
          <t>Sha Sha - Shandaar Shawarma</t>
        </is>
      </c>
      <c r="F98" t="inlineStr">
        <is>
          <t>18557902</t>
        </is>
      </c>
      <c r="G98" t="inlineStr">
        <is>
          <t>30% off upto ₹75 (2025-06-25 - 2031-01-01)</t>
        </is>
      </c>
      <c r="H98" t="inlineStr">
        <is>
          <t>ONLINE</t>
        </is>
      </c>
      <c r="I98" t="inlineStr">
        <is>
          <t>DELIVERED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O2</t>
        </is>
      </c>
      <c r="N98" t="inlineStr">
        <is>
          <t>36</t>
        </is>
      </c>
      <c r="O98" t="n">
        <v>219</v>
      </c>
      <c r="P98" t="n">
        <v>3.5</v>
      </c>
      <c r="Q98" t="n">
        <v>0</v>
      </c>
      <c r="R98" t="n">
        <v>65.7</v>
      </c>
      <c r="S98" t="n">
        <v>0</v>
      </c>
      <c r="T98" t="n">
        <v>0</v>
      </c>
      <c r="U98" t="n">
        <v>0</v>
      </c>
      <c r="V98" t="n">
        <v>7.84</v>
      </c>
      <c r="W98" t="n">
        <v>164.64</v>
      </c>
      <c r="X98" t="n">
        <v>156.8</v>
      </c>
      <c r="Y98" t="n">
        <v>19</v>
      </c>
      <c r="Z98" t="n">
        <v>29.79</v>
      </c>
      <c r="AA98" t="n">
        <v>3.03</v>
      </c>
      <c r="AB98" t="n">
        <v>32.82</v>
      </c>
      <c r="AC98" t="n">
        <v>5.91</v>
      </c>
      <c r="AD98" t="n">
        <v>0</v>
      </c>
      <c r="AE98" t="n">
        <v>156.8</v>
      </c>
      <c r="AF98" t="n">
        <v>0</v>
      </c>
      <c r="AG98" t="n">
        <v>0</v>
      </c>
      <c r="AH98" t="n">
        <v>0.16</v>
      </c>
      <c r="AI98" t="n">
        <v>7.85</v>
      </c>
      <c r="AJ98" t="n">
        <v>-0.01</v>
      </c>
      <c r="AK98" t="n">
        <v>13.92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46.74</v>
      </c>
      <c r="AV98" t="n">
        <v>0</v>
      </c>
      <c r="AW98" t="n">
        <v>117.9</v>
      </c>
      <c r="AX98" t="inlineStr">
        <is>
          <t>settled</t>
        </is>
      </c>
      <c r="AY98" t="inlineStr">
        <is>
          <t>2025-12-10 05:30:00</t>
        </is>
      </c>
      <c r="AZ98" t="inlineStr">
        <is>
          <t>CITIN25668288188</t>
        </is>
      </c>
      <c r="BA98" t="n">
        <v>0</v>
      </c>
      <c r="BB98" t="inlineStr">
        <is>
          <t>32f8d18fed18aa541f4d8917de73fe54d981a0e4de136f7e867bb1840239f8a4</t>
        </is>
      </c>
    </row>
    <row r="99">
      <c r="A99" t="inlineStr">
        <is>
          <t>94</t>
        </is>
      </c>
      <c r="B99" t="inlineStr">
        <is>
          <t>7526688747</t>
        </is>
      </c>
      <c r="C99" t="inlineStr">
        <is>
          <t>2025-12-03 00:41:18</t>
        </is>
      </c>
      <c r="D99" t="inlineStr">
        <is>
          <t>49</t>
        </is>
      </c>
      <c r="E99" t="inlineStr">
        <is>
          <t>Sha Sha - Shandaar Shawarma</t>
        </is>
      </c>
      <c r="F99" t="inlineStr">
        <is>
          <t>18557902</t>
        </is>
      </c>
      <c r="G99" t="inlineStr">
        <is>
          <t>30% off upto ₹75 (2025-06-25 - 2031-01-01)</t>
        </is>
      </c>
      <c r="H99" t="inlineStr">
        <is>
          <t>ONLINE</t>
        </is>
      </c>
      <c r="I99" t="inlineStr">
        <is>
          <t>DELIVERED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O2</t>
        </is>
      </c>
      <c r="N99" t="inlineStr">
        <is>
          <t>36</t>
        </is>
      </c>
      <c r="O99" t="n">
        <v>268</v>
      </c>
      <c r="P99" t="n">
        <v>3.5</v>
      </c>
      <c r="Q99" t="n">
        <v>0</v>
      </c>
      <c r="R99" t="n">
        <v>75</v>
      </c>
      <c r="S99" t="n">
        <v>0</v>
      </c>
      <c r="T99" t="n">
        <v>0</v>
      </c>
      <c r="U99" t="n">
        <v>0</v>
      </c>
      <c r="V99" t="n">
        <v>9.83</v>
      </c>
      <c r="W99" t="n">
        <v>206.33</v>
      </c>
      <c r="X99" t="n">
        <v>196.5</v>
      </c>
      <c r="Y99" t="n">
        <v>19</v>
      </c>
      <c r="Z99" t="n">
        <v>37.34</v>
      </c>
      <c r="AA99" t="n">
        <v>3.8</v>
      </c>
      <c r="AB99" t="n">
        <v>41.14</v>
      </c>
      <c r="AC99" t="n">
        <v>7.4</v>
      </c>
      <c r="AD99" t="n">
        <v>0</v>
      </c>
      <c r="AE99" t="n">
        <v>196.5</v>
      </c>
      <c r="AF99" t="n">
        <v>0</v>
      </c>
      <c r="AG99" t="n">
        <v>0</v>
      </c>
      <c r="AH99" t="n">
        <v>0.2</v>
      </c>
      <c r="AI99" t="n">
        <v>9.83</v>
      </c>
      <c r="AJ99" t="n">
        <v>0</v>
      </c>
      <c r="AK99" t="n">
        <v>17.43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58.57</v>
      </c>
      <c r="AV99" t="n">
        <v>0</v>
      </c>
      <c r="AW99" t="n">
        <v>147.76</v>
      </c>
      <c r="AX99" t="inlineStr">
        <is>
          <t>settled</t>
        </is>
      </c>
      <c r="AY99" t="inlineStr">
        <is>
          <t>2025-12-10 05:30:00</t>
        </is>
      </c>
      <c r="AZ99" t="inlineStr">
        <is>
          <t>CITIN25668288188</t>
        </is>
      </c>
      <c r="BA99" t="n">
        <v>0</v>
      </c>
      <c r="BB99" t="inlineStr">
        <is>
          <t>7a811fe4e193ced585cad8ffc97ca2186d52e3afaaf18ff2d32ebdbda360a941</t>
        </is>
      </c>
    </row>
    <row r="100">
      <c r="A100" t="inlineStr">
        <is>
          <t>95</t>
        </is>
      </c>
      <c r="B100" t="inlineStr">
        <is>
          <t>7543423929</t>
        </is>
      </c>
      <c r="C100" t="inlineStr">
        <is>
          <t>2025-12-03 01:32:28</t>
        </is>
      </c>
      <c r="D100" t="inlineStr">
        <is>
          <t>49</t>
        </is>
      </c>
      <c r="E100" t="inlineStr">
        <is>
          <t>Sha Sha - Shandaar Shawarma</t>
        </is>
      </c>
      <c r="F100" t="inlineStr">
        <is>
          <t>18557902</t>
        </is>
      </c>
      <c r="G100" t="inlineStr">
        <is>
          <t>NA</t>
        </is>
      </c>
      <c r="H100" t="inlineStr">
        <is>
          <t>ONLINE</t>
        </is>
      </c>
      <c r="I100" t="inlineStr">
        <is>
          <t>DELIVERED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O2</t>
        </is>
      </c>
      <c r="N100" t="inlineStr">
        <is>
          <t>36</t>
        </is>
      </c>
      <c r="O100" t="n">
        <v>229</v>
      </c>
      <c r="P100" t="n">
        <v>3.5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11.63</v>
      </c>
      <c r="W100" t="n">
        <v>244.13</v>
      </c>
      <c r="X100" t="n">
        <v>232.5</v>
      </c>
      <c r="Y100" t="n">
        <v>19</v>
      </c>
      <c r="Z100" t="n">
        <v>44.18</v>
      </c>
      <c r="AA100" t="n">
        <v>4.49</v>
      </c>
      <c r="AB100" t="n">
        <v>48.67</v>
      </c>
      <c r="AC100" t="n">
        <v>8.76</v>
      </c>
      <c r="AD100" t="n">
        <v>0</v>
      </c>
      <c r="AE100" t="n">
        <v>232.5</v>
      </c>
      <c r="AF100" t="n">
        <v>0</v>
      </c>
      <c r="AG100" t="n">
        <v>0</v>
      </c>
      <c r="AH100" t="n">
        <v>0.23</v>
      </c>
      <c r="AI100" t="n">
        <v>11.63</v>
      </c>
      <c r="AJ100" t="n">
        <v>0</v>
      </c>
      <c r="AK100" t="n">
        <v>20.62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69.29000000000001</v>
      </c>
      <c r="AV100" t="n">
        <v>0</v>
      </c>
      <c r="AW100" t="n">
        <v>174.84</v>
      </c>
      <c r="AX100" t="inlineStr">
        <is>
          <t>settled</t>
        </is>
      </c>
      <c r="AY100" t="inlineStr">
        <is>
          <t>2025-12-10 05:30:00</t>
        </is>
      </c>
      <c r="AZ100" t="inlineStr">
        <is>
          <t>CITIN25668288188</t>
        </is>
      </c>
      <c r="BA100" t="n">
        <v>0</v>
      </c>
      <c r="BB100" t="inlineStr">
        <is>
          <t>ecf94b8d689a9bc80c6ca5ef145d01e122ca80b512cb63a92f30e3f268204de0</t>
        </is>
      </c>
    </row>
    <row r="101">
      <c r="A101" t="inlineStr">
        <is>
          <t>96</t>
        </is>
      </c>
      <c r="B101" t="inlineStr">
        <is>
          <t>7540176796</t>
        </is>
      </c>
      <c r="C101" t="inlineStr">
        <is>
          <t>2025-12-03 01:43:43</t>
        </is>
      </c>
      <c r="D101" t="inlineStr">
        <is>
          <t>49</t>
        </is>
      </c>
      <c r="E101" t="inlineStr">
        <is>
          <t>Sha Sha - Shandaar Shawarma</t>
        </is>
      </c>
      <c r="F101" t="inlineStr">
        <is>
          <t>18557902</t>
        </is>
      </c>
      <c r="G101" t="inlineStr">
        <is>
          <t>30% off upto ₹75 (2025-06-25 - 2031-01-01)</t>
        </is>
      </c>
      <c r="H101" t="inlineStr">
        <is>
          <t>ONLINE</t>
        </is>
      </c>
      <c r="I101" t="inlineStr">
        <is>
          <t>DELIVERED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O2</t>
        </is>
      </c>
      <c r="N101" t="inlineStr">
        <is>
          <t>36</t>
        </is>
      </c>
      <c r="O101" t="n">
        <v>687</v>
      </c>
      <c r="P101" t="n">
        <v>3.5</v>
      </c>
      <c r="Q101" t="n">
        <v>0</v>
      </c>
      <c r="R101" t="n">
        <v>75</v>
      </c>
      <c r="S101" t="n">
        <v>0</v>
      </c>
      <c r="T101" t="n">
        <v>0</v>
      </c>
      <c r="U101" t="n">
        <v>0</v>
      </c>
      <c r="V101" t="n">
        <v>30.78</v>
      </c>
      <c r="W101" t="n">
        <v>646.28</v>
      </c>
      <c r="X101" t="n">
        <v>615.5</v>
      </c>
      <c r="Y101" t="n">
        <v>19</v>
      </c>
      <c r="Z101" t="n">
        <v>116.94</v>
      </c>
      <c r="AA101" t="n">
        <v>11.89</v>
      </c>
      <c r="AB101" t="n">
        <v>128.83</v>
      </c>
      <c r="AC101" t="n">
        <v>23.19</v>
      </c>
      <c r="AD101" t="n">
        <v>0</v>
      </c>
      <c r="AE101" t="n">
        <v>615.5</v>
      </c>
      <c r="AF101" t="n">
        <v>0</v>
      </c>
      <c r="AG101" t="n">
        <v>0</v>
      </c>
      <c r="AH101" t="n">
        <v>0.62</v>
      </c>
      <c r="AI101" t="n">
        <v>30.78</v>
      </c>
      <c r="AJ101" t="n">
        <v>0</v>
      </c>
      <c r="AK101" t="n">
        <v>54.59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183.42</v>
      </c>
      <c r="AV101" t="n">
        <v>0</v>
      </c>
      <c r="AW101" t="n">
        <v>462.86</v>
      </c>
      <c r="AX101" t="inlineStr">
        <is>
          <t>settled</t>
        </is>
      </c>
      <c r="AY101" t="inlineStr">
        <is>
          <t>2025-12-10 05:30:00</t>
        </is>
      </c>
      <c r="AZ101" t="inlineStr">
        <is>
          <t>CITIN25668288188</t>
        </is>
      </c>
      <c r="BA101" t="n">
        <v>0</v>
      </c>
      <c r="BB101" t="inlineStr">
        <is>
          <t>ef740951006809a23107841074354a7534ad1f9b6c65d40a7af97f5018b1f735</t>
        </is>
      </c>
    </row>
    <row r="102">
      <c r="A102" t="inlineStr">
        <is>
          <t>97</t>
        </is>
      </c>
      <c r="B102" t="inlineStr">
        <is>
          <t>7540605665</t>
        </is>
      </c>
      <c r="C102" t="inlineStr">
        <is>
          <t>2025-12-03 01:46:35</t>
        </is>
      </c>
      <c r="D102" t="inlineStr">
        <is>
          <t>49</t>
        </is>
      </c>
      <c r="E102" t="inlineStr">
        <is>
          <t>Sha Sha - Shandaar Shawarma</t>
        </is>
      </c>
      <c r="F102" t="inlineStr">
        <is>
          <t>18557902</t>
        </is>
      </c>
      <c r="G102" t="inlineStr">
        <is>
          <t>30% off upto ₹75 (2025-06-25 - 2031-01-01)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O2</t>
        </is>
      </c>
      <c r="N102" t="inlineStr">
        <is>
          <t>36</t>
        </is>
      </c>
      <c r="O102" t="n">
        <v>219</v>
      </c>
      <c r="P102" t="n">
        <v>3.5</v>
      </c>
      <c r="Q102" t="n">
        <v>0</v>
      </c>
      <c r="R102" t="n">
        <v>65.7</v>
      </c>
      <c r="S102" t="n">
        <v>0</v>
      </c>
      <c r="T102" t="n">
        <v>0</v>
      </c>
      <c r="U102" t="n">
        <v>0</v>
      </c>
      <c r="V102" t="n">
        <v>7.84</v>
      </c>
      <c r="W102" t="n">
        <v>164.64</v>
      </c>
      <c r="X102" t="n">
        <v>156.8</v>
      </c>
      <c r="Y102" t="n">
        <v>19</v>
      </c>
      <c r="Z102" t="n">
        <v>29.79</v>
      </c>
      <c r="AA102" t="n">
        <v>3.03</v>
      </c>
      <c r="AB102" t="n">
        <v>32.82</v>
      </c>
      <c r="AC102" t="n">
        <v>5.91</v>
      </c>
      <c r="AD102" t="n">
        <v>0</v>
      </c>
      <c r="AE102" t="n">
        <v>156.8</v>
      </c>
      <c r="AF102" t="n">
        <v>0</v>
      </c>
      <c r="AG102" t="n">
        <v>0</v>
      </c>
      <c r="AH102" t="n">
        <v>0.16</v>
      </c>
      <c r="AI102" t="n">
        <v>7.85</v>
      </c>
      <c r="AJ102" t="n">
        <v>-0.01</v>
      </c>
      <c r="AK102" t="n">
        <v>13.92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46.74</v>
      </c>
      <c r="AV102" t="n">
        <v>0</v>
      </c>
      <c r="AW102" t="n">
        <v>117.9</v>
      </c>
      <c r="AX102" t="inlineStr">
        <is>
          <t>settled</t>
        </is>
      </c>
      <c r="AY102" t="inlineStr">
        <is>
          <t>2025-12-10 05:30:00</t>
        </is>
      </c>
      <c r="AZ102" t="inlineStr">
        <is>
          <t>CITIN25668288188</t>
        </is>
      </c>
      <c r="BA102" t="n">
        <v>0</v>
      </c>
      <c r="BB102" t="inlineStr">
        <is>
          <t>4acb8f833b4ca301289f177490e80360da00226ea48e610e3cafc8e9ce5e50b2</t>
        </is>
      </c>
    </row>
    <row r="103">
      <c r="A103" t="inlineStr">
        <is>
          <t>98</t>
        </is>
      </c>
      <c r="B103" t="inlineStr">
        <is>
          <t>7541902391</t>
        </is>
      </c>
      <c r="C103" t="inlineStr">
        <is>
          <t>2025-12-03 01:47:38</t>
        </is>
      </c>
      <c r="D103" t="inlineStr">
        <is>
          <t>49</t>
        </is>
      </c>
      <c r="E103" t="inlineStr">
        <is>
          <t>Sha Sha - Shandaar Shawarma</t>
        </is>
      </c>
      <c r="F103" t="inlineStr">
        <is>
          <t>18557902</t>
        </is>
      </c>
      <c r="G103" t="inlineStr">
        <is>
          <t>NA</t>
        </is>
      </c>
      <c r="H103" t="inlineStr">
        <is>
          <t>ONLINE</t>
        </is>
      </c>
      <c r="I103" t="inlineStr">
        <is>
          <t>DELIVERED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O2</t>
        </is>
      </c>
      <c r="N103" t="inlineStr">
        <is>
          <t>36</t>
        </is>
      </c>
      <c r="O103" t="n">
        <v>229</v>
      </c>
      <c r="P103" t="n">
        <v>3.5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11.63</v>
      </c>
      <c r="W103" t="n">
        <v>244.13</v>
      </c>
      <c r="X103" t="n">
        <v>232.5</v>
      </c>
      <c r="Y103" t="n">
        <v>19</v>
      </c>
      <c r="Z103" t="n">
        <v>44.18</v>
      </c>
      <c r="AA103" t="n">
        <v>4.49</v>
      </c>
      <c r="AB103" t="n">
        <v>48.67</v>
      </c>
      <c r="AC103" t="n">
        <v>8.76</v>
      </c>
      <c r="AD103" t="n">
        <v>0</v>
      </c>
      <c r="AE103" t="n">
        <v>232.5</v>
      </c>
      <c r="AF103" t="n">
        <v>0</v>
      </c>
      <c r="AG103" t="n">
        <v>0</v>
      </c>
      <c r="AH103" t="n">
        <v>0.23</v>
      </c>
      <c r="AI103" t="n">
        <v>11.63</v>
      </c>
      <c r="AJ103" t="n">
        <v>0</v>
      </c>
      <c r="AK103" t="n">
        <v>20.62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69.29000000000001</v>
      </c>
      <c r="AV103" t="n">
        <v>0</v>
      </c>
      <c r="AW103" t="n">
        <v>174.84</v>
      </c>
      <c r="AX103" t="inlineStr">
        <is>
          <t>settled</t>
        </is>
      </c>
      <c r="AY103" t="inlineStr">
        <is>
          <t>2025-12-10 05:30:00</t>
        </is>
      </c>
      <c r="AZ103" t="inlineStr">
        <is>
          <t>CITIN25668288188</t>
        </is>
      </c>
      <c r="BA103" t="n">
        <v>0</v>
      </c>
      <c r="BB103" t="inlineStr">
        <is>
          <t>10f8fb0885e3b5ab98feee3e076d4ca116674f9d0de9bb608fa144a29fe0475e</t>
        </is>
      </c>
    </row>
    <row r="104">
      <c r="A104" t="inlineStr">
        <is>
          <t>99</t>
        </is>
      </c>
      <c r="B104" t="inlineStr">
        <is>
          <t>7542829202</t>
        </is>
      </c>
      <c r="C104" t="inlineStr">
        <is>
          <t>2025-12-03 01:48:24</t>
        </is>
      </c>
      <c r="D104" t="inlineStr">
        <is>
          <t>49</t>
        </is>
      </c>
      <c r="E104" t="inlineStr">
        <is>
          <t>Sha Sha - Shandaar Shawarma</t>
        </is>
      </c>
      <c r="F104" t="inlineStr">
        <is>
          <t>18557902</t>
        </is>
      </c>
      <c r="G104" t="inlineStr">
        <is>
          <t>30% off upto ₹75 (2025-06-25 - 2031-01-01)</t>
        </is>
      </c>
      <c r="H104" t="inlineStr">
        <is>
          <t>ONLINE</t>
        </is>
      </c>
      <c r="I104" t="inlineStr">
        <is>
          <t>DELIVERED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O2</t>
        </is>
      </c>
      <c r="N104" t="inlineStr">
        <is>
          <t>36</t>
        </is>
      </c>
      <c r="O104" t="n">
        <v>229</v>
      </c>
      <c r="P104" t="n">
        <v>3.5</v>
      </c>
      <c r="Q104" t="n">
        <v>0</v>
      </c>
      <c r="R104" t="n">
        <v>68.7</v>
      </c>
      <c r="S104" t="n">
        <v>0</v>
      </c>
      <c r="T104" t="n">
        <v>0</v>
      </c>
      <c r="U104" t="n">
        <v>0</v>
      </c>
      <c r="V104" t="n">
        <v>8.19</v>
      </c>
      <c r="W104" t="n">
        <v>171.99</v>
      </c>
      <c r="X104" t="n">
        <v>163.8</v>
      </c>
      <c r="Y104" t="n">
        <v>19</v>
      </c>
      <c r="Z104" t="n">
        <v>31.12</v>
      </c>
      <c r="AA104" t="n">
        <v>3.16</v>
      </c>
      <c r="AB104" t="n">
        <v>34.28</v>
      </c>
      <c r="AC104" t="n">
        <v>6.17</v>
      </c>
      <c r="AD104" t="n">
        <v>0</v>
      </c>
      <c r="AE104" t="n">
        <v>163.8</v>
      </c>
      <c r="AF104" t="n">
        <v>0</v>
      </c>
      <c r="AG104" t="n">
        <v>0</v>
      </c>
      <c r="AH104" t="n">
        <v>0.16</v>
      </c>
      <c r="AI104" t="n">
        <v>8.199999999999999</v>
      </c>
      <c r="AJ104" t="n">
        <v>-0.01</v>
      </c>
      <c r="AK104" t="n">
        <v>14.53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48.81</v>
      </c>
      <c r="AV104" t="n">
        <v>0</v>
      </c>
      <c r="AW104" t="n">
        <v>123.18</v>
      </c>
      <c r="AX104" t="inlineStr">
        <is>
          <t>settled</t>
        </is>
      </c>
      <c r="AY104" t="inlineStr">
        <is>
          <t>2025-12-10 05:30:00</t>
        </is>
      </c>
      <c r="AZ104" t="inlineStr">
        <is>
          <t>CITIN25668288188</t>
        </is>
      </c>
      <c r="BA104" t="n">
        <v>0</v>
      </c>
      <c r="BB104" t="inlineStr">
        <is>
          <t>03ea9b4838d10fa1f3e3d7e131bf29a1ee586339664320c66754f96adebbeb33</t>
        </is>
      </c>
    </row>
    <row r="105">
      <c r="A105" t="inlineStr">
        <is>
          <t>100</t>
        </is>
      </c>
      <c r="B105" t="inlineStr">
        <is>
          <t>7542805098</t>
        </is>
      </c>
      <c r="C105" t="inlineStr">
        <is>
          <t>2025-12-03 01:54:57</t>
        </is>
      </c>
      <c r="D105" t="inlineStr">
        <is>
          <t>49</t>
        </is>
      </c>
      <c r="E105" t="inlineStr">
        <is>
          <t>Sha Sha - Shandaar Shawarma</t>
        </is>
      </c>
      <c r="F105" t="inlineStr">
        <is>
          <t>18557902</t>
        </is>
      </c>
      <c r="G105" t="inlineStr">
        <is>
          <t>30% off upto ₹75 (2025-06-25 - 2031-01-01)</t>
        </is>
      </c>
      <c r="H105" t="inlineStr">
        <is>
          <t>ONLINE</t>
        </is>
      </c>
      <c r="I105" t="inlineStr">
        <is>
          <t>DELIVERED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O2</t>
        </is>
      </c>
      <c r="N105" t="inlineStr">
        <is>
          <t>36</t>
        </is>
      </c>
      <c r="O105" t="n">
        <v>219</v>
      </c>
      <c r="P105" t="n">
        <v>3.5</v>
      </c>
      <c r="Q105" t="n">
        <v>0</v>
      </c>
      <c r="R105" t="n">
        <v>65.7</v>
      </c>
      <c r="S105" t="n">
        <v>0</v>
      </c>
      <c r="T105" t="n">
        <v>0</v>
      </c>
      <c r="U105" t="n">
        <v>0</v>
      </c>
      <c r="V105" t="n">
        <v>7.84</v>
      </c>
      <c r="W105" t="n">
        <v>164.64</v>
      </c>
      <c r="X105" t="n">
        <v>156.8</v>
      </c>
      <c r="Y105" t="n">
        <v>19</v>
      </c>
      <c r="Z105" t="n">
        <v>29.79</v>
      </c>
      <c r="AA105" t="n">
        <v>3.03</v>
      </c>
      <c r="AB105" t="n">
        <v>32.82</v>
      </c>
      <c r="AC105" t="n">
        <v>5.91</v>
      </c>
      <c r="AD105" t="n">
        <v>0</v>
      </c>
      <c r="AE105" t="n">
        <v>156.8</v>
      </c>
      <c r="AF105" t="n">
        <v>0</v>
      </c>
      <c r="AG105" t="n">
        <v>0</v>
      </c>
      <c r="AH105" t="n">
        <v>0.16</v>
      </c>
      <c r="AI105" t="n">
        <v>7.85</v>
      </c>
      <c r="AJ105" t="n">
        <v>-0.01</v>
      </c>
      <c r="AK105" t="n">
        <v>13.92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46.74</v>
      </c>
      <c r="AV105" t="n">
        <v>0</v>
      </c>
      <c r="AW105" t="n">
        <v>117.9</v>
      </c>
      <c r="AX105" t="inlineStr">
        <is>
          <t>settled</t>
        </is>
      </c>
      <c r="AY105" t="inlineStr">
        <is>
          <t>2025-12-10 05:30:00</t>
        </is>
      </c>
      <c r="AZ105" t="inlineStr">
        <is>
          <t>CITIN25668288188</t>
        </is>
      </c>
      <c r="BA105" t="n">
        <v>0</v>
      </c>
      <c r="BB105" t="inlineStr">
        <is>
          <t>afd2f5fdb4bad33e18f5abf8799be5fcb082279d5f44b33911443b4e1bb56808</t>
        </is>
      </c>
    </row>
    <row r="106">
      <c r="A106" t="inlineStr">
        <is>
          <t>101</t>
        </is>
      </c>
      <c r="B106" t="inlineStr">
        <is>
          <t>7525656540</t>
        </is>
      </c>
      <c r="C106" t="inlineStr">
        <is>
          <t>2025-12-03 01:55:44</t>
        </is>
      </c>
      <c r="D106" t="inlineStr">
        <is>
          <t>49</t>
        </is>
      </c>
      <c r="E106" t="inlineStr">
        <is>
          <t>Sha Sha - Shandaar Shawarma</t>
        </is>
      </c>
      <c r="F106" t="inlineStr">
        <is>
          <t>18557902</t>
        </is>
      </c>
      <c r="G106" t="inlineStr">
        <is>
          <t>NA</t>
        </is>
      </c>
      <c r="H106" t="inlineStr">
        <is>
          <t>ONLINE</t>
        </is>
      </c>
      <c r="I106" t="inlineStr">
        <is>
          <t>DELIVERED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O2</t>
        </is>
      </c>
      <c r="N106" t="inlineStr">
        <is>
          <t>36</t>
        </is>
      </c>
      <c r="O106" t="n">
        <v>229</v>
      </c>
      <c r="P106" t="n">
        <v>3.5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11.63</v>
      </c>
      <c r="W106" t="n">
        <v>244.13</v>
      </c>
      <c r="X106" t="n">
        <v>232.5</v>
      </c>
      <c r="Y106" t="n">
        <v>19</v>
      </c>
      <c r="Z106" t="n">
        <v>44.18</v>
      </c>
      <c r="AA106" t="n">
        <v>4.49</v>
      </c>
      <c r="AB106" t="n">
        <v>48.67</v>
      </c>
      <c r="AC106" t="n">
        <v>8.76</v>
      </c>
      <c r="AD106" t="n">
        <v>0</v>
      </c>
      <c r="AE106" t="n">
        <v>232.5</v>
      </c>
      <c r="AF106" t="n">
        <v>0</v>
      </c>
      <c r="AG106" t="n">
        <v>0</v>
      </c>
      <c r="AH106" t="n">
        <v>0.23</v>
      </c>
      <c r="AI106" t="n">
        <v>11.63</v>
      </c>
      <c r="AJ106" t="n">
        <v>0</v>
      </c>
      <c r="AK106" t="n">
        <v>20.62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69.29000000000001</v>
      </c>
      <c r="AV106" t="n">
        <v>0</v>
      </c>
      <c r="AW106" t="n">
        <v>174.84</v>
      </c>
      <c r="AX106" t="inlineStr">
        <is>
          <t>settled</t>
        </is>
      </c>
      <c r="AY106" t="inlineStr">
        <is>
          <t>2025-12-10 05:30:00</t>
        </is>
      </c>
      <c r="AZ106" t="inlineStr">
        <is>
          <t>CITIN25668288188</t>
        </is>
      </c>
      <c r="BA106" t="n">
        <v>0</v>
      </c>
      <c r="BB106" t="inlineStr">
        <is>
          <t>744476b2db4c759f9c018e65eb0ac85c9e1763f87ef196c68cc938c8273e17f5</t>
        </is>
      </c>
    </row>
    <row r="107">
      <c r="A107" t="inlineStr">
        <is>
          <t>102</t>
        </is>
      </c>
      <c r="B107" t="inlineStr">
        <is>
          <t>7541836348</t>
        </is>
      </c>
      <c r="C107" t="inlineStr">
        <is>
          <t>2025-12-03 01:59:27</t>
        </is>
      </c>
      <c r="D107" t="inlineStr">
        <is>
          <t>49</t>
        </is>
      </c>
      <c r="E107" t="inlineStr">
        <is>
          <t>Sha Sha - Shandaar Shawarma</t>
        </is>
      </c>
      <c r="F107" t="inlineStr">
        <is>
          <t>18557902</t>
        </is>
      </c>
      <c r="G107" t="inlineStr">
        <is>
          <t>30% off upto ₹75 (2025-06-25 - 2031-01-01)</t>
        </is>
      </c>
      <c r="H107" t="inlineStr">
        <is>
          <t>ONLINE</t>
        </is>
      </c>
      <c r="I107" t="inlineStr">
        <is>
          <t>DELIVERED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O2</t>
        </is>
      </c>
      <c r="N107" t="inlineStr">
        <is>
          <t>36</t>
        </is>
      </c>
      <c r="O107" t="n">
        <v>229</v>
      </c>
      <c r="P107" t="n">
        <v>3.5</v>
      </c>
      <c r="Q107" t="n">
        <v>0</v>
      </c>
      <c r="R107" t="n">
        <v>68.7</v>
      </c>
      <c r="S107" t="n">
        <v>0</v>
      </c>
      <c r="T107" t="n">
        <v>0</v>
      </c>
      <c r="U107" t="n">
        <v>0</v>
      </c>
      <c r="V107" t="n">
        <v>8.19</v>
      </c>
      <c r="W107" t="n">
        <v>171.99</v>
      </c>
      <c r="X107" t="n">
        <v>163.8</v>
      </c>
      <c r="Y107" t="n">
        <v>19</v>
      </c>
      <c r="Z107" t="n">
        <v>31.12</v>
      </c>
      <c r="AA107" t="n">
        <v>3.16</v>
      </c>
      <c r="AB107" t="n">
        <v>34.28</v>
      </c>
      <c r="AC107" t="n">
        <v>6.17</v>
      </c>
      <c r="AD107" t="n">
        <v>0</v>
      </c>
      <c r="AE107" t="n">
        <v>163.8</v>
      </c>
      <c r="AF107" t="n">
        <v>0</v>
      </c>
      <c r="AG107" t="n">
        <v>0</v>
      </c>
      <c r="AH107" t="n">
        <v>0.16</v>
      </c>
      <c r="AI107" t="n">
        <v>8.199999999999999</v>
      </c>
      <c r="AJ107" t="n">
        <v>-0.01</v>
      </c>
      <c r="AK107" t="n">
        <v>14.53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48.81</v>
      </c>
      <c r="AV107" t="n">
        <v>0</v>
      </c>
      <c r="AW107" t="n">
        <v>123.18</v>
      </c>
      <c r="AX107" t="inlineStr">
        <is>
          <t>settled</t>
        </is>
      </c>
      <c r="AY107" t="inlineStr">
        <is>
          <t>2025-12-10 05:30:00</t>
        </is>
      </c>
      <c r="AZ107" t="inlineStr">
        <is>
          <t>CITIN25668288188</t>
        </is>
      </c>
      <c r="BA107" t="n">
        <v>0</v>
      </c>
      <c r="BB107" t="inlineStr">
        <is>
          <t>a43e94245c48cd81fb9b9951f90d161c0fcd65f3e10a72ca606adc85d82b2704</t>
        </is>
      </c>
    </row>
    <row r="108">
      <c r="A108" t="inlineStr">
        <is>
          <t>103</t>
        </is>
      </c>
      <c r="B108" t="inlineStr">
        <is>
          <t>7538132057</t>
        </is>
      </c>
      <c r="C108" t="inlineStr">
        <is>
          <t>2025-12-03 02:09:07</t>
        </is>
      </c>
      <c r="D108" t="inlineStr">
        <is>
          <t>49</t>
        </is>
      </c>
      <c r="E108" t="inlineStr">
        <is>
          <t>Sha Sha - Shandaar Shawarma</t>
        </is>
      </c>
      <c r="F108" t="inlineStr">
        <is>
          <t>18557902</t>
        </is>
      </c>
      <c r="G108" t="inlineStr">
        <is>
          <t>NA</t>
        </is>
      </c>
      <c r="H108" t="inlineStr">
        <is>
          <t>ONLINE</t>
        </is>
      </c>
      <c r="I108" t="inlineStr">
        <is>
          <t>DELIVERED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O2</t>
        </is>
      </c>
      <c r="N108" t="inlineStr">
        <is>
          <t>36</t>
        </is>
      </c>
      <c r="O108" t="n">
        <v>219</v>
      </c>
      <c r="P108" t="n">
        <v>3.5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11.13</v>
      </c>
      <c r="W108" t="n">
        <v>233.63</v>
      </c>
      <c r="X108" t="n">
        <v>222.5</v>
      </c>
      <c r="Y108" t="n">
        <v>19</v>
      </c>
      <c r="Z108" t="n">
        <v>42.28</v>
      </c>
      <c r="AA108" t="n">
        <v>4.3</v>
      </c>
      <c r="AB108" t="n">
        <v>46.58</v>
      </c>
      <c r="AC108" t="n">
        <v>8.380000000000001</v>
      </c>
      <c r="AD108" t="n">
        <v>0</v>
      </c>
      <c r="AE108" t="n">
        <v>222.5</v>
      </c>
      <c r="AF108" t="n">
        <v>0</v>
      </c>
      <c r="AG108" t="n">
        <v>0</v>
      </c>
      <c r="AH108" t="n">
        <v>0.22</v>
      </c>
      <c r="AI108" t="n">
        <v>11.13</v>
      </c>
      <c r="AJ108" t="n">
        <v>0</v>
      </c>
      <c r="AK108" t="n">
        <v>19.73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66.31</v>
      </c>
      <c r="AV108" t="n">
        <v>0</v>
      </c>
      <c r="AW108" t="n">
        <v>167.32</v>
      </c>
      <c r="AX108" t="inlineStr">
        <is>
          <t>settled</t>
        </is>
      </c>
      <c r="AY108" t="inlineStr">
        <is>
          <t>2025-12-10 05:30:00</t>
        </is>
      </c>
      <c r="AZ108" t="inlineStr">
        <is>
          <t>CITIN25668288188</t>
        </is>
      </c>
      <c r="BA108" t="n">
        <v>0</v>
      </c>
      <c r="BB108" t="inlineStr">
        <is>
          <t>8ea79117cf451b949c82341c253cecb740ee37d2659778c7a9d93e5ce637a803</t>
        </is>
      </c>
    </row>
    <row r="109">
      <c r="A109" t="inlineStr">
        <is>
          <t>104</t>
        </is>
      </c>
      <c r="B109" t="inlineStr">
        <is>
          <t>7515283544</t>
        </is>
      </c>
      <c r="C109" t="inlineStr">
        <is>
          <t>2025-12-03 02:09:08</t>
        </is>
      </c>
      <c r="D109" t="inlineStr">
        <is>
          <t>49</t>
        </is>
      </c>
      <c r="E109" t="inlineStr">
        <is>
          <t>Sha Sha - Shandaar Shawarma</t>
        </is>
      </c>
      <c r="F109" t="inlineStr">
        <is>
          <t>18557902</t>
        </is>
      </c>
      <c r="G109" t="inlineStr">
        <is>
          <t>30% off upto ₹75 (2025-06-25 - 2031-01-01)</t>
        </is>
      </c>
      <c r="H109" t="inlineStr">
        <is>
          <t>ONLINE</t>
        </is>
      </c>
      <c r="I109" t="inlineStr">
        <is>
          <t>DELIVERED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O2</t>
        </is>
      </c>
      <c r="N109" t="inlineStr">
        <is>
          <t>36</t>
        </is>
      </c>
      <c r="O109" t="n">
        <v>229</v>
      </c>
      <c r="P109" t="n">
        <v>3.5</v>
      </c>
      <c r="Q109" t="n">
        <v>0</v>
      </c>
      <c r="R109" t="n">
        <v>68.7</v>
      </c>
      <c r="S109" t="n">
        <v>0</v>
      </c>
      <c r="T109" t="n">
        <v>0</v>
      </c>
      <c r="U109" t="n">
        <v>0</v>
      </c>
      <c r="V109" t="n">
        <v>8.19</v>
      </c>
      <c r="W109" t="n">
        <v>171.99</v>
      </c>
      <c r="X109" t="n">
        <v>163.8</v>
      </c>
      <c r="Y109" t="n">
        <v>19</v>
      </c>
      <c r="Z109" t="n">
        <v>31.12</v>
      </c>
      <c r="AA109" t="n">
        <v>3.16</v>
      </c>
      <c r="AB109" t="n">
        <v>34.28</v>
      </c>
      <c r="AC109" t="n">
        <v>6.17</v>
      </c>
      <c r="AD109" t="n">
        <v>0</v>
      </c>
      <c r="AE109" t="n">
        <v>163.8</v>
      </c>
      <c r="AF109" t="n">
        <v>0</v>
      </c>
      <c r="AG109" t="n">
        <v>0</v>
      </c>
      <c r="AH109" t="n">
        <v>0.16</v>
      </c>
      <c r="AI109" t="n">
        <v>8.199999999999999</v>
      </c>
      <c r="AJ109" t="n">
        <v>-0.01</v>
      </c>
      <c r="AK109" t="n">
        <v>14.53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48.81</v>
      </c>
      <c r="AV109" t="n">
        <v>0</v>
      </c>
      <c r="AW109" t="n">
        <v>123.18</v>
      </c>
      <c r="AX109" t="inlineStr">
        <is>
          <t>settled</t>
        </is>
      </c>
      <c r="AY109" t="inlineStr">
        <is>
          <t>2025-12-10 05:30:00</t>
        </is>
      </c>
      <c r="AZ109" t="inlineStr">
        <is>
          <t>CITIN25668288188</t>
        </is>
      </c>
      <c r="BA109" t="n">
        <v>0</v>
      </c>
      <c r="BB109" t="inlineStr">
        <is>
          <t>54d0ebc00190edf9e94c32fa9ff938e0f854f876c7dafca8b0f75ff5a931b9f9</t>
        </is>
      </c>
    </row>
    <row r="110">
      <c r="A110" t="inlineStr">
        <is>
          <t>105</t>
        </is>
      </c>
      <c r="B110" t="inlineStr">
        <is>
          <t>7511285718</t>
        </is>
      </c>
      <c r="C110" t="inlineStr">
        <is>
          <t>2025-12-03 02:13:38</t>
        </is>
      </c>
      <c r="D110" t="inlineStr">
        <is>
          <t>49</t>
        </is>
      </c>
      <c r="E110" t="inlineStr">
        <is>
          <t>Sha Sha - Shandaar Shawarma</t>
        </is>
      </c>
      <c r="F110" t="inlineStr">
        <is>
          <t>18557902</t>
        </is>
      </c>
      <c r="G110" t="inlineStr">
        <is>
          <t>30% off upto ₹75 (2025-06-25 - 2031-01-01)</t>
        </is>
      </c>
      <c r="H110" t="inlineStr">
        <is>
          <t>ONLINE</t>
        </is>
      </c>
      <c r="I110" t="inlineStr">
        <is>
          <t>DELIVERED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O2</t>
        </is>
      </c>
      <c r="N110" t="inlineStr">
        <is>
          <t>36</t>
        </is>
      </c>
      <c r="O110" t="n">
        <v>229</v>
      </c>
      <c r="P110" t="n">
        <v>3.5</v>
      </c>
      <c r="Q110" t="n">
        <v>0</v>
      </c>
      <c r="R110" t="n">
        <v>68.7</v>
      </c>
      <c r="S110" t="n">
        <v>0</v>
      </c>
      <c r="T110" t="n">
        <v>0</v>
      </c>
      <c r="U110" t="n">
        <v>0</v>
      </c>
      <c r="V110" t="n">
        <v>8.19</v>
      </c>
      <c r="W110" t="n">
        <v>171.99</v>
      </c>
      <c r="X110" t="n">
        <v>163.8</v>
      </c>
      <c r="Y110" t="n">
        <v>19</v>
      </c>
      <c r="Z110" t="n">
        <v>31.12</v>
      </c>
      <c r="AA110" t="n">
        <v>3.16</v>
      </c>
      <c r="AB110" t="n">
        <v>34.28</v>
      </c>
      <c r="AC110" t="n">
        <v>6.17</v>
      </c>
      <c r="AD110" t="n">
        <v>0</v>
      </c>
      <c r="AE110" t="n">
        <v>163.8</v>
      </c>
      <c r="AF110" t="n">
        <v>0</v>
      </c>
      <c r="AG110" t="n">
        <v>0</v>
      </c>
      <c r="AH110" t="n">
        <v>0.16</v>
      </c>
      <c r="AI110" t="n">
        <v>8.199999999999999</v>
      </c>
      <c r="AJ110" t="n">
        <v>-0.01</v>
      </c>
      <c r="AK110" t="n">
        <v>14.53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48.81</v>
      </c>
      <c r="AV110" t="n">
        <v>0</v>
      </c>
      <c r="AW110" t="n">
        <v>123.18</v>
      </c>
      <c r="AX110" t="inlineStr">
        <is>
          <t>settled</t>
        </is>
      </c>
      <c r="AY110" t="inlineStr">
        <is>
          <t>2025-12-10 05:30:00</t>
        </is>
      </c>
      <c r="AZ110" t="inlineStr">
        <is>
          <t>CITIN25668288188</t>
        </is>
      </c>
      <c r="BA110" t="n">
        <v>0</v>
      </c>
      <c r="BB110" t="inlineStr">
        <is>
          <t>f59205a6412cd5d8fe633658ae0da95767dd06ef0e84e3115f815110c4b1996e</t>
        </is>
      </c>
    </row>
    <row r="111">
      <c r="A111" t="inlineStr">
        <is>
          <t>106</t>
        </is>
      </c>
      <c r="B111" t="inlineStr">
        <is>
          <t>7542993338</t>
        </is>
      </c>
      <c r="C111" t="inlineStr">
        <is>
          <t>2025-12-03 02:28:15</t>
        </is>
      </c>
      <c r="D111" t="inlineStr">
        <is>
          <t>49</t>
        </is>
      </c>
      <c r="E111" t="inlineStr">
        <is>
          <t>Sha Sha - Shandaar Shawarma</t>
        </is>
      </c>
      <c r="F111" t="inlineStr">
        <is>
          <t>18557902</t>
        </is>
      </c>
      <c r="G111" t="inlineStr">
        <is>
          <t>30% off upto ₹75 (2025-06-25 - 2031-01-01)</t>
        </is>
      </c>
      <c r="H111" t="inlineStr">
        <is>
          <t>ONLINE</t>
        </is>
      </c>
      <c r="I111" t="inlineStr">
        <is>
          <t>DELIVERED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O2</t>
        </is>
      </c>
      <c r="N111" t="inlineStr">
        <is>
          <t>36</t>
        </is>
      </c>
      <c r="O111" t="n">
        <v>229</v>
      </c>
      <c r="P111" t="n">
        <v>3.5</v>
      </c>
      <c r="Q111" t="n">
        <v>0</v>
      </c>
      <c r="R111" t="n">
        <v>68.7</v>
      </c>
      <c r="S111" t="n">
        <v>0</v>
      </c>
      <c r="T111" t="n">
        <v>0</v>
      </c>
      <c r="U111" t="n">
        <v>0</v>
      </c>
      <c r="V111" t="n">
        <v>8.19</v>
      </c>
      <c r="W111" t="n">
        <v>171.99</v>
      </c>
      <c r="X111" t="n">
        <v>163.8</v>
      </c>
      <c r="Y111" t="n">
        <v>19</v>
      </c>
      <c r="Z111" t="n">
        <v>31.12</v>
      </c>
      <c r="AA111" t="n">
        <v>3.16</v>
      </c>
      <c r="AB111" t="n">
        <v>34.28</v>
      </c>
      <c r="AC111" t="n">
        <v>6.17</v>
      </c>
      <c r="AD111" t="n">
        <v>0</v>
      </c>
      <c r="AE111" t="n">
        <v>163.8</v>
      </c>
      <c r="AF111" t="n">
        <v>0</v>
      </c>
      <c r="AG111" t="n">
        <v>0</v>
      </c>
      <c r="AH111" t="n">
        <v>0.16</v>
      </c>
      <c r="AI111" t="n">
        <v>8.199999999999999</v>
      </c>
      <c r="AJ111" t="n">
        <v>-0.01</v>
      </c>
      <c r="AK111" t="n">
        <v>14.53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48.81</v>
      </c>
      <c r="AV111" t="n">
        <v>0</v>
      </c>
      <c r="AW111" t="n">
        <v>123.18</v>
      </c>
      <c r="AX111" t="inlineStr">
        <is>
          <t>settled</t>
        </is>
      </c>
      <c r="AY111" t="inlineStr">
        <is>
          <t>2025-12-10 05:30:00</t>
        </is>
      </c>
      <c r="AZ111" t="inlineStr">
        <is>
          <t>CITIN25668288188</t>
        </is>
      </c>
      <c r="BA111" t="n">
        <v>0</v>
      </c>
      <c r="BB111" t="inlineStr">
        <is>
          <t>f965c705b5c4cac429aaa12fa644d2d6b611f69f55ef841ad3fea42d208be5e0</t>
        </is>
      </c>
    </row>
    <row r="112">
      <c r="A112" t="inlineStr">
        <is>
          <t>107</t>
        </is>
      </c>
      <c r="B112" t="inlineStr">
        <is>
          <t>7542374488</t>
        </is>
      </c>
      <c r="C112" t="inlineStr">
        <is>
          <t>2025-12-03 02:35:17</t>
        </is>
      </c>
      <c r="D112" t="inlineStr">
        <is>
          <t>49</t>
        </is>
      </c>
      <c r="E112" t="inlineStr">
        <is>
          <t>Sha Sha - Shandaar Shawarma</t>
        </is>
      </c>
      <c r="F112" t="inlineStr">
        <is>
          <t>18557902</t>
        </is>
      </c>
      <c r="G112" t="inlineStr">
        <is>
          <t>30% off upto ₹75 (2025-06-25 - 2031-01-01)</t>
        </is>
      </c>
      <c r="H112" t="inlineStr">
        <is>
          <t>ONLINE</t>
        </is>
      </c>
      <c r="I112" t="inlineStr">
        <is>
          <t>DELIVERED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O2</t>
        </is>
      </c>
      <c r="N112" t="inlineStr">
        <is>
          <t>36</t>
        </is>
      </c>
      <c r="O112" t="n">
        <v>229</v>
      </c>
      <c r="P112" t="n">
        <v>3.5</v>
      </c>
      <c r="Q112" t="n">
        <v>0</v>
      </c>
      <c r="R112" t="n">
        <v>68.7</v>
      </c>
      <c r="S112" t="n">
        <v>0</v>
      </c>
      <c r="T112" t="n">
        <v>0</v>
      </c>
      <c r="U112" t="n">
        <v>0</v>
      </c>
      <c r="V112" t="n">
        <v>8.19</v>
      </c>
      <c r="W112" t="n">
        <v>171.99</v>
      </c>
      <c r="X112" t="n">
        <v>163.8</v>
      </c>
      <c r="Y112" t="n">
        <v>19</v>
      </c>
      <c r="Z112" t="n">
        <v>31.12</v>
      </c>
      <c r="AA112" t="n">
        <v>3.16</v>
      </c>
      <c r="AB112" t="n">
        <v>34.28</v>
      </c>
      <c r="AC112" t="n">
        <v>6.17</v>
      </c>
      <c r="AD112" t="n">
        <v>0</v>
      </c>
      <c r="AE112" t="n">
        <v>163.8</v>
      </c>
      <c r="AF112" t="n">
        <v>0</v>
      </c>
      <c r="AG112" t="n">
        <v>0</v>
      </c>
      <c r="AH112" t="n">
        <v>0.16</v>
      </c>
      <c r="AI112" t="n">
        <v>8.199999999999999</v>
      </c>
      <c r="AJ112" t="n">
        <v>-0.01</v>
      </c>
      <c r="AK112" t="n">
        <v>14.53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48.81</v>
      </c>
      <c r="AV112" t="n">
        <v>0</v>
      </c>
      <c r="AW112" t="n">
        <v>123.18</v>
      </c>
      <c r="AX112" t="inlineStr">
        <is>
          <t>settled</t>
        </is>
      </c>
      <c r="AY112" t="inlineStr">
        <is>
          <t>2025-12-10 05:30:00</t>
        </is>
      </c>
      <c r="AZ112" t="inlineStr">
        <is>
          <t>CITIN25668288188</t>
        </is>
      </c>
      <c r="BA112" t="n">
        <v>0</v>
      </c>
      <c r="BB112" t="inlineStr">
        <is>
          <t>c01d514ab0fda4488ee47307ba71e9e2839db9bb04a2ce2053f941b5ca12d6d2</t>
        </is>
      </c>
    </row>
    <row r="113">
      <c r="A113" t="inlineStr">
        <is>
          <t>108</t>
        </is>
      </c>
      <c r="B113" t="inlineStr">
        <is>
          <t>7542909657</t>
        </is>
      </c>
      <c r="C113" t="inlineStr">
        <is>
          <t>2025-12-03 02:42:07</t>
        </is>
      </c>
      <c r="D113" t="inlineStr">
        <is>
          <t>49</t>
        </is>
      </c>
      <c r="E113" t="inlineStr">
        <is>
          <t>Sha Sha - Shandaar Shawarma</t>
        </is>
      </c>
      <c r="F113" t="inlineStr">
        <is>
          <t>18557902</t>
        </is>
      </c>
      <c r="G113" t="inlineStr">
        <is>
          <t>30% off upto ₹75 (2025-06-25 - 2031-01-01)</t>
        </is>
      </c>
      <c r="H113" t="inlineStr">
        <is>
          <t>ONLINE</t>
        </is>
      </c>
      <c r="I113" t="inlineStr">
        <is>
          <t>DELIVERED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O2</t>
        </is>
      </c>
      <c r="N113" t="inlineStr">
        <is>
          <t>36</t>
        </is>
      </c>
      <c r="O113" t="n">
        <v>229</v>
      </c>
      <c r="P113" t="n">
        <v>3.5</v>
      </c>
      <c r="Q113" t="n">
        <v>0</v>
      </c>
      <c r="R113" t="n">
        <v>68.7</v>
      </c>
      <c r="S113" t="n">
        <v>0</v>
      </c>
      <c r="T113" t="n">
        <v>0</v>
      </c>
      <c r="U113" t="n">
        <v>0</v>
      </c>
      <c r="V113" t="n">
        <v>8.19</v>
      </c>
      <c r="W113" t="n">
        <v>171.99</v>
      </c>
      <c r="X113" t="n">
        <v>163.8</v>
      </c>
      <c r="Y113" t="n">
        <v>19</v>
      </c>
      <c r="Z113" t="n">
        <v>31.12</v>
      </c>
      <c r="AA113" t="n">
        <v>3.16</v>
      </c>
      <c r="AB113" t="n">
        <v>34.28</v>
      </c>
      <c r="AC113" t="n">
        <v>6.17</v>
      </c>
      <c r="AD113" t="n">
        <v>0</v>
      </c>
      <c r="AE113" t="n">
        <v>163.8</v>
      </c>
      <c r="AF113" t="n">
        <v>0</v>
      </c>
      <c r="AG113" t="n">
        <v>0</v>
      </c>
      <c r="AH113" t="n">
        <v>0.16</v>
      </c>
      <c r="AI113" t="n">
        <v>8.199999999999999</v>
      </c>
      <c r="AJ113" t="n">
        <v>-0.01</v>
      </c>
      <c r="AK113" t="n">
        <v>14.53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48.81</v>
      </c>
      <c r="AV113" t="n">
        <v>0</v>
      </c>
      <c r="AW113" t="n">
        <v>123.18</v>
      </c>
      <c r="AX113" t="inlineStr">
        <is>
          <t>settled</t>
        </is>
      </c>
      <c r="AY113" t="inlineStr">
        <is>
          <t>2025-12-10 05:30:00</t>
        </is>
      </c>
      <c r="AZ113" t="inlineStr">
        <is>
          <t>CITIN25668288188</t>
        </is>
      </c>
      <c r="BA113" t="n">
        <v>0</v>
      </c>
      <c r="BB113" t="inlineStr">
        <is>
          <t>9209e4beca9782bd8c0521822ae48ebd50d3a7e54f929733a47e0a03dd583a2f</t>
        </is>
      </c>
    </row>
    <row r="114">
      <c r="A114" t="inlineStr">
        <is>
          <t>109</t>
        </is>
      </c>
      <c r="B114" t="inlineStr">
        <is>
          <t>7541922068</t>
        </is>
      </c>
      <c r="C114" t="inlineStr">
        <is>
          <t>2025-12-03 02:42:57</t>
        </is>
      </c>
      <c r="D114" t="inlineStr">
        <is>
          <t>49</t>
        </is>
      </c>
      <c r="E114" t="inlineStr">
        <is>
          <t>Sha Sha - Shandaar Shawarma</t>
        </is>
      </c>
      <c r="F114" t="inlineStr">
        <is>
          <t>18557902</t>
        </is>
      </c>
      <c r="G114" t="inlineStr">
        <is>
          <t>30% off upto ₹75 (2025-06-25 - 2031-01-01)</t>
        </is>
      </c>
      <c r="H114" t="inlineStr">
        <is>
          <t>ONLINE</t>
        </is>
      </c>
      <c r="I114" t="inlineStr">
        <is>
          <t>DELIVERED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O2</t>
        </is>
      </c>
      <c r="N114" t="inlineStr">
        <is>
          <t>36</t>
        </is>
      </c>
      <c r="O114" t="n">
        <v>268</v>
      </c>
      <c r="P114" t="n">
        <v>3.5</v>
      </c>
      <c r="Q114" t="n">
        <v>0</v>
      </c>
      <c r="R114" t="n">
        <v>75</v>
      </c>
      <c r="S114" t="n">
        <v>0</v>
      </c>
      <c r="T114" t="n">
        <v>0</v>
      </c>
      <c r="U114" t="n">
        <v>0</v>
      </c>
      <c r="V114" t="n">
        <v>9.83</v>
      </c>
      <c r="W114" t="n">
        <v>206.33</v>
      </c>
      <c r="X114" t="n">
        <v>196.5</v>
      </c>
      <c r="Y114" t="n">
        <v>19</v>
      </c>
      <c r="Z114" t="n">
        <v>37.34</v>
      </c>
      <c r="AA114" t="n">
        <v>3.8</v>
      </c>
      <c r="AB114" t="n">
        <v>41.14</v>
      </c>
      <c r="AC114" t="n">
        <v>7.4</v>
      </c>
      <c r="AD114" t="n">
        <v>0</v>
      </c>
      <c r="AE114" t="n">
        <v>196.5</v>
      </c>
      <c r="AF114" t="n">
        <v>0</v>
      </c>
      <c r="AG114" t="n">
        <v>0</v>
      </c>
      <c r="AH114" t="n">
        <v>0.2</v>
      </c>
      <c r="AI114" t="n">
        <v>9.83</v>
      </c>
      <c r="AJ114" t="n">
        <v>0</v>
      </c>
      <c r="AK114" t="n">
        <v>17.43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58.57</v>
      </c>
      <c r="AV114" t="n">
        <v>0</v>
      </c>
      <c r="AW114" t="n">
        <v>147.76</v>
      </c>
      <c r="AX114" t="inlineStr">
        <is>
          <t>settled</t>
        </is>
      </c>
      <c r="AY114" t="inlineStr">
        <is>
          <t>2025-12-10 05:30:00</t>
        </is>
      </c>
      <c r="AZ114" t="inlineStr">
        <is>
          <t>CITIN25668288188</t>
        </is>
      </c>
      <c r="BA114" t="n">
        <v>0</v>
      </c>
      <c r="BB114" t="inlineStr">
        <is>
          <t>747acf1d820c416e99a59383fe998595fde361ec012e210859e35705f34dc82b</t>
        </is>
      </c>
    </row>
    <row r="115">
      <c r="A115" t="inlineStr">
        <is>
          <t>110</t>
        </is>
      </c>
      <c r="B115" t="inlineStr">
        <is>
          <t>7528134208</t>
        </is>
      </c>
      <c r="C115" t="inlineStr">
        <is>
          <t>2025-12-03 03:12:49</t>
        </is>
      </c>
      <c r="D115" t="inlineStr">
        <is>
          <t>49</t>
        </is>
      </c>
      <c r="E115" t="inlineStr">
        <is>
          <t>Sha Sha - Shandaar Shawarma</t>
        </is>
      </c>
      <c r="F115" t="inlineStr">
        <is>
          <t>18557902</t>
        </is>
      </c>
      <c r="G115" t="inlineStr">
        <is>
          <t>NA</t>
        </is>
      </c>
      <c r="H115" t="inlineStr">
        <is>
          <t>ONLINE</t>
        </is>
      </c>
      <c r="I115" t="inlineStr">
        <is>
          <t>DELIVERED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O2</t>
        </is>
      </c>
      <c r="N115" t="inlineStr">
        <is>
          <t>36</t>
        </is>
      </c>
      <c r="O115" t="n">
        <v>338</v>
      </c>
      <c r="P115" t="n">
        <v>3.5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17.08</v>
      </c>
      <c r="W115" t="n">
        <v>358.58</v>
      </c>
      <c r="X115" t="n">
        <v>341.5</v>
      </c>
      <c r="Y115" t="n">
        <v>19</v>
      </c>
      <c r="Z115" t="n">
        <v>64.88</v>
      </c>
      <c r="AA115" t="n">
        <v>6.6</v>
      </c>
      <c r="AB115" t="n">
        <v>71.48</v>
      </c>
      <c r="AC115" t="n">
        <v>12.87</v>
      </c>
      <c r="AD115" t="n">
        <v>0</v>
      </c>
      <c r="AE115" t="n">
        <v>341.5</v>
      </c>
      <c r="AF115" t="n">
        <v>0</v>
      </c>
      <c r="AG115" t="n">
        <v>0</v>
      </c>
      <c r="AH115" t="n">
        <v>0.34</v>
      </c>
      <c r="AI115" t="n">
        <v>17.08</v>
      </c>
      <c r="AJ115" t="n">
        <v>0</v>
      </c>
      <c r="AK115" t="n">
        <v>30.29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101.77</v>
      </c>
      <c r="AV115" t="n">
        <v>0</v>
      </c>
      <c r="AW115" t="n">
        <v>256.81</v>
      </c>
      <c r="AX115" t="inlineStr">
        <is>
          <t>settled</t>
        </is>
      </c>
      <c r="AY115" t="inlineStr">
        <is>
          <t>2025-12-10 05:30:00</t>
        </is>
      </c>
      <c r="AZ115" t="inlineStr">
        <is>
          <t>CITIN25668288188</t>
        </is>
      </c>
      <c r="BA115" t="n">
        <v>0</v>
      </c>
      <c r="BB115" t="inlineStr">
        <is>
          <t>450aa35387fb2b4d2415cf31bf2f1c994071299e82125575dfa1b54b1bfff287</t>
        </is>
      </c>
    </row>
    <row r="116">
      <c r="A116" t="inlineStr">
        <is>
          <t>111</t>
        </is>
      </c>
      <c r="B116" t="inlineStr">
        <is>
          <t>7539850265</t>
        </is>
      </c>
      <c r="C116" t="inlineStr">
        <is>
          <t>2025-12-03 03:12:50</t>
        </is>
      </c>
      <c r="D116" t="inlineStr">
        <is>
          <t>49</t>
        </is>
      </c>
      <c r="E116" t="inlineStr">
        <is>
          <t>Sha Sha - Shandaar Shawarma</t>
        </is>
      </c>
      <c r="F116" t="inlineStr">
        <is>
          <t>18557902</t>
        </is>
      </c>
      <c r="G116" t="inlineStr">
        <is>
          <t>NA</t>
        </is>
      </c>
      <c r="H116" t="inlineStr">
        <is>
          <t>ONLINE</t>
        </is>
      </c>
      <c r="I116" t="inlineStr">
        <is>
          <t>DELIVERED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O2</t>
        </is>
      </c>
      <c r="N116" t="inlineStr">
        <is>
          <t>36</t>
        </is>
      </c>
      <c r="O116" t="n">
        <v>458</v>
      </c>
      <c r="P116" t="n">
        <v>3.5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23.08</v>
      </c>
      <c r="W116" t="n">
        <v>484.58</v>
      </c>
      <c r="X116" t="n">
        <v>461.5</v>
      </c>
      <c r="Y116" t="n">
        <v>19</v>
      </c>
      <c r="Z116" t="n">
        <v>87.68000000000001</v>
      </c>
      <c r="AA116" t="n">
        <v>8.92</v>
      </c>
      <c r="AB116" t="n">
        <v>96.59999999999999</v>
      </c>
      <c r="AC116" t="n">
        <v>17.39</v>
      </c>
      <c r="AD116" t="n">
        <v>0</v>
      </c>
      <c r="AE116" t="n">
        <v>461.5</v>
      </c>
      <c r="AF116" t="n">
        <v>0</v>
      </c>
      <c r="AG116" t="n">
        <v>0</v>
      </c>
      <c r="AH116" t="n">
        <v>0.46</v>
      </c>
      <c r="AI116" t="n">
        <v>23.08</v>
      </c>
      <c r="AJ116" t="n">
        <v>0</v>
      </c>
      <c r="AK116" t="n">
        <v>40.93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137.53</v>
      </c>
      <c r="AV116" t="n">
        <v>0</v>
      </c>
      <c r="AW116" t="n">
        <v>347.05</v>
      </c>
      <c r="AX116" t="inlineStr">
        <is>
          <t>settled</t>
        </is>
      </c>
      <c r="AY116" t="inlineStr">
        <is>
          <t>2025-12-10 05:30:00</t>
        </is>
      </c>
      <c r="AZ116" t="inlineStr">
        <is>
          <t>CITIN25668288188</t>
        </is>
      </c>
      <c r="BA116" t="n">
        <v>0</v>
      </c>
      <c r="BB116" t="inlineStr">
        <is>
          <t>43613b6529c91303c331b58c912090a32df140e2093e1203b0ae1b5df7924522</t>
        </is>
      </c>
    </row>
    <row r="117">
      <c r="A117" t="inlineStr">
        <is>
          <t>112</t>
        </is>
      </c>
      <c r="B117" t="inlineStr">
        <is>
          <t>7543609394</t>
        </is>
      </c>
      <c r="C117" t="inlineStr">
        <is>
          <t>2025-12-03 03:14:14</t>
        </is>
      </c>
      <c r="D117" t="inlineStr">
        <is>
          <t>49</t>
        </is>
      </c>
      <c r="E117" t="inlineStr">
        <is>
          <t>Sha Sha - Shandaar Shawarma</t>
        </is>
      </c>
      <c r="F117" t="inlineStr">
        <is>
          <t>18557902</t>
        </is>
      </c>
      <c r="G117" t="inlineStr">
        <is>
          <t>NA</t>
        </is>
      </c>
      <c r="H117" t="inlineStr">
        <is>
          <t>ONLINE</t>
        </is>
      </c>
      <c r="I117" t="inlineStr">
        <is>
          <t>DELIVERED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O2</t>
        </is>
      </c>
      <c r="N117" t="inlineStr">
        <is>
          <t>36</t>
        </is>
      </c>
      <c r="O117" t="n">
        <v>229</v>
      </c>
      <c r="P117" t="n">
        <v>3.5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11.63</v>
      </c>
      <c r="W117" t="n">
        <v>244.13</v>
      </c>
      <c r="X117" t="n">
        <v>232.5</v>
      </c>
      <c r="Y117" t="n">
        <v>19</v>
      </c>
      <c r="Z117" t="n">
        <v>44.18</v>
      </c>
      <c r="AA117" t="n">
        <v>4.49</v>
      </c>
      <c r="AB117" t="n">
        <v>48.67</v>
      </c>
      <c r="AC117" t="n">
        <v>8.76</v>
      </c>
      <c r="AD117" t="n">
        <v>0</v>
      </c>
      <c r="AE117" t="n">
        <v>232.5</v>
      </c>
      <c r="AF117" t="n">
        <v>0</v>
      </c>
      <c r="AG117" t="n">
        <v>0</v>
      </c>
      <c r="AH117" t="n">
        <v>0.23</v>
      </c>
      <c r="AI117" t="n">
        <v>11.63</v>
      </c>
      <c r="AJ117" t="n">
        <v>0</v>
      </c>
      <c r="AK117" t="n">
        <v>20.62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69.29000000000001</v>
      </c>
      <c r="AV117" t="n">
        <v>0</v>
      </c>
      <c r="AW117" t="n">
        <v>174.84</v>
      </c>
      <c r="AX117" t="inlineStr">
        <is>
          <t>settled</t>
        </is>
      </c>
      <c r="AY117" t="inlineStr">
        <is>
          <t>2025-12-10 05:30:00</t>
        </is>
      </c>
      <c r="AZ117" t="inlineStr">
        <is>
          <t>CITIN25668288188</t>
        </is>
      </c>
      <c r="BA117" t="n">
        <v>0</v>
      </c>
      <c r="BB117" t="inlineStr">
        <is>
          <t>b12d75c4af0aa3a265edad03a5fe286093048225d10cca6ec37ce122d3213b22</t>
        </is>
      </c>
    </row>
    <row r="118">
      <c r="A118" t="inlineStr">
        <is>
          <t>113</t>
        </is>
      </c>
      <c r="B118" t="inlineStr">
        <is>
          <t>7541924327</t>
        </is>
      </c>
      <c r="C118" t="inlineStr">
        <is>
          <t>2025-12-03 04:23:28</t>
        </is>
      </c>
      <c r="D118" t="inlineStr">
        <is>
          <t>49</t>
        </is>
      </c>
      <c r="E118" t="inlineStr">
        <is>
          <t>Sha Sha - Shandaar Shawarma</t>
        </is>
      </c>
      <c r="F118" t="inlineStr">
        <is>
          <t>18557902</t>
        </is>
      </c>
      <c r="G118" t="inlineStr">
        <is>
          <t>30% off upto ₹75 (2025-06-25 - 2031-01-01)</t>
        </is>
      </c>
      <c r="H118" t="inlineStr">
        <is>
          <t>ONLINE</t>
        </is>
      </c>
      <c r="I118" t="inlineStr">
        <is>
          <t>DELIVERED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O2</t>
        </is>
      </c>
      <c r="N118" t="inlineStr">
        <is>
          <t>36</t>
        </is>
      </c>
      <c r="O118" t="n">
        <v>219</v>
      </c>
      <c r="P118" t="n">
        <v>3.5</v>
      </c>
      <c r="Q118" t="n">
        <v>0</v>
      </c>
      <c r="R118" t="n">
        <v>65.7</v>
      </c>
      <c r="S118" t="n">
        <v>0</v>
      </c>
      <c r="T118" t="n">
        <v>0</v>
      </c>
      <c r="U118" t="n">
        <v>0</v>
      </c>
      <c r="V118" t="n">
        <v>7.84</v>
      </c>
      <c r="W118" t="n">
        <v>164.64</v>
      </c>
      <c r="X118" t="n">
        <v>156.8</v>
      </c>
      <c r="Y118" t="n">
        <v>19</v>
      </c>
      <c r="Z118" t="n">
        <v>29.79</v>
      </c>
      <c r="AA118" t="n">
        <v>3.03</v>
      </c>
      <c r="AB118" t="n">
        <v>32.82</v>
      </c>
      <c r="AC118" t="n">
        <v>5.91</v>
      </c>
      <c r="AD118" t="n">
        <v>0</v>
      </c>
      <c r="AE118" t="n">
        <v>156.8</v>
      </c>
      <c r="AF118" t="n">
        <v>0</v>
      </c>
      <c r="AG118" t="n">
        <v>0</v>
      </c>
      <c r="AH118" t="n">
        <v>0.16</v>
      </c>
      <c r="AI118" t="n">
        <v>7.85</v>
      </c>
      <c r="AJ118" t="n">
        <v>-0.01</v>
      </c>
      <c r="AK118" t="n">
        <v>13.92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46.74</v>
      </c>
      <c r="AV118" t="n">
        <v>0</v>
      </c>
      <c r="AW118" t="n">
        <v>117.9</v>
      </c>
      <c r="AX118" t="inlineStr">
        <is>
          <t>settled</t>
        </is>
      </c>
      <c r="AY118" t="inlineStr">
        <is>
          <t>2025-12-10 05:30:00</t>
        </is>
      </c>
      <c r="AZ118" t="inlineStr">
        <is>
          <t>CITIN25668288188</t>
        </is>
      </c>
      <c r="BA118" t="n">
        <v>0</v>
      </c>
      <c r="BB118" t="inlineStr">
        <is>
          <t>7236f1fea1ea4729ea9759d3d8d81fccfcfeb818516f52bc8dd33e014564c27a</t>
        </is>
      </c>
    </row>
    <row r="119">
      <c r="A119" t="inlineStr">
        <is>
          <t>114</t>
        </is>
      </c>
      <c r="B119" t="inlineStr">
        <is>
          <t>7541480826</t>
        </is>
      </c>
      <c r="C119" t="inlineStr">
        <is>
          <t>2025-12-03 04:26:19</t>
        </is>
      </c>
      <c r="D119" t="inlineStr">
        <is>
          <t>49</t>
        </is>
      </c>
      <c r="E119" t="inlineStr">
        <is>
          <t>Sha Sha - Shandaar Shawarma</t>
        </is>
      </c>
      <c r="F119" t="inlineStr">
        <is>
          <t>18557902</t>
        </is>
      </c>
      <c r="G119" t="inlineStr">
        <is>
          <t>NA</t>
        </is>
      </c>
      <c r="H119" t="inlineStr">
        <is>
          <t>ONLINE</t>
        </is>
      </c>
      <c r="I119" t="inlineStr">
        <is>
          <t>DELIVERED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O2</t>
        </is>
      </c>
      <c r="N119" t="inlineStr">
        <is>
          <t>36</t>
        </is>
      </c>
      <c r="O119" t="n">
        <v>458</v>
      </c>
      <c r="P119" t="n">
        <v>3.5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23.08</v>
      </c>
      <c r="W119" t="n">
        <v>484.58</v>
      </c>
      <c r="X119" t="n">
        <v>461.5</v>
      </c>
      <c r="Y119" t="n">
        <v>19</v>
      </c>
      <c r="Z119" t="n">
        <v>87.68000000000001</v>
      </c>
      <c r="AA119" t="n">
        <v>8.92</v>
      </c>
      <c r="AB119" t="n">
        <v>96.59999999999999</v>
      </c>
      <c r="AC119" t="n">
        <v>17.39</v>
      </c>
      <c r="AD119" t="n">
        <v>0</v>
      </c>
      <c r="AE119" t="n">
        <v>461.5</v>
      </c>
      <c r="AF119" t="n">
        <v>0</v>
      </c>
      <c r="AG119" t="n">
        <v>0</v>
      </c>
      <c r="AH119" t="n">
        <v>0.46</v>
      </c>
      <c r="AI119" t="n">
        <v>23.08</v>
      </c>
      <c r="AJ119" t="n">
        <v>0</v>
      </c>
      <c r="AK119" t="n">
        <v>40.93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137.53</v>
      </c>
      <c r="AV119" t="n">
        <v>0</v>
      </c>
      <c r="AW119" t="n">
        <v>347.05</v>
      </c>
      <c r="AX119" t="inlineStr">
        <is>
          <t>settled</t>
        </is>
      </c>
      <c r="AY119" t="inlineStr">
        <is>
          <t>2025-12-10 05:30:00</t>
        </is>
      </c>
      <c r="AZ119" t="inlineStr">
        <is>
          <t>CITIN25668288188</t>
        </is>
      </c>
      <c r="BA119" t="n">
        <v>0</v>
      </c>
      <c r="BB119" t="inlineStr">
        <is>
          <t>ee14589c19b3a238d9022db77c1dbe71b20c477b949cef94708cfd2e28db64fc</t>
        </is>
      </c>
    </row>
    <row r="120">
      <c r="A120" t="inlineStr">
        <is>
          <t>115</t>
        </is>
      </c>
      <c r="B120" t="inlineStr">
        <is>
          <t>7543034627</t>
        </is>
      </c>
      <c r="C120" t="inlineStr">
        <is>
          <t>2025-12-03 04:28:31</t>
        </is>
      </c>
      <c r="D120" t="inlineStr">
        <is>
          <t>49</t>
        </is>
      </c>
      <c r="E120" t="inlineStr">
        <is>
          <t>Sha Sha - Shandaar Shawarma</t>
        </is>
      </c>
      <c r="F120" t="inlineStr">
        <is>
          <t>18557902</t>
        </is>
      </c>
      <c r="G120" t="inlineStr">
        <is>
          <t>30% off upto ₹75 (2025-06-25 - 2031-01-01)</t>
        </is>
      </c>
      <c r="H120" t="inlineStr">
        <is>
          <t>ONLINE</t>
        </is>
      </c>
      <c r="I120" t="inlineStr">
        <is>
          <t>DELIVERED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O2</t>
        </is>
      </c>
      <c r="N120" t="inlineStr">
        <is>
          <t>36</t>
        </is>
      </c>
      <c r="O120" t="n">
        <v>219</v>
      </c>
      <c r="P120" t="n">
        <v>3.5</v>
      </c>
      <c r="Q120" t="n">
        <v>0</v>
      </c>
      <c r="R120" t="n">
        <v>65.7</v>
      </c>
      <c r="S120" t="n">
        <v>0</v>
      </c>
      <c r="T120" t="n">
        <v>0</v>
      </c>
      <c r="U120" t="n">
        <v>0</v>
      </c>
      <c r="V120" t="n">
        <v>7.84</v>
      </c>
      <c r="W120" t="n">
        <v>164.64</v>
      </c>
      <c r="X120" t="n">
        <v>156.8</v>
      </c>
      <c r="Y120" t="n">
        <v>19</v>
      </c>
      <c r="Z120" t="n">
        <v>29.79</v>
      </c>
      <c r="AA120" t="n">
        <v>3.03</v>
      </c>
      <c r="AB120" t="n">
        <v>32.82</v>
      </c>
      <c r="AC120" t="n">
        <v>5.91</v>
      </c>
      <c r="AD120" t="n">
        <v>0</v>
      </c>
      <c r="AE120" t="n">
        <v>156.8</v>
      </c>
      <c r="AF120" t="n">
        <v>0</v>
      </c>
      <c r="AG120" t="n">
        <v>0</v>
      </c>
      <c r="AH120" t="n">
        <v>0.16</v>
      </c>
      <c r="AI120" t="n">
        <v>7.85</v>
      </c>
      <c r="AJ120" t="n">
        <v>-0.01</v>
      </c>
      <c r="AK120" t="n">
        <v>13.92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46.74</v>
      </c>
      <c r="AV120" t="n">
        <v>0</v>
      </c>
      <c r="AW120" t="n">
        <v>117.9</v>
      </c>
      <c r="AX120" t="inlineStr">
        <is>
          <t>settled</t>
        </is>
      </c>
      <c r="AY120" t="inlineStr">
        <is>
          <t>2025-12-10 05:30:00</t>
        </is>
      </c>
      <c r="AZ120" t="inlineStr">
        <is>
          <t>CITIN25668288188</t>
        </is>
      </c>
      <c r="BA120" t="n">
        <v>0</v>
      </c>
      <c r="BB120" t="inlineStr">
        <is>
          <t>84baee0b1f5e9da54f2d7c61d6558600d5d1798eed6f5de4f86895e94d78e9a2</t>
        </is>
      </c>
    </row>
    <row r="121">
      <c r="A121" t="inlineStr">
        <is>
          <t>116</t>
        </is>
      </c>
      <c r="B121" t="inlineStr">
        <is>
          <t>7540233347</t>
        </is>
      </c>
      <c r="C121" t="inlineStr">
        <is>
          <t>2025-12-03 04:37:28</t>
        </is>
      </c>
      <c r="D121" t="inlineStr">
        <is>
          <t>49</t>
        </is>
      </c>
      <c r="E121" t="inlineStr">
        <is>
          <t>Sha Sha - Shandaar Shawarma</t>
        </is>
      </c>
      <c r="F121" t="inlineStr">
        <is>
          <t>18557902</t>
        </is>
      </c>
      <c r="G121" t="inlineStr">
        <is>
          <t>NA</t>
        </is>
      </c>
      <c r="H121" t="inlineStr">
        <is>
          <t>ONLINE</t>
        </is>
      </c>
      <c r="I121" t="inlineStr">
        <is>
          <t>DELIVERED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O2</t>
        </is>
      </c>
      <c r="N121" t="inlineStr">
        <is>
          <t>36</t>
        </is>
      </c>
      <c r="O121" t="n">
        <v>229</v>
      </c>
      <c r="P121" t="n">
        <v>3.5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11.63</v>
      </c>
      <c r="W121" t="n">
        <v>244.13</v>
      </c>
      <c r="X121" t="n">
        <v>232.5</v>
      </c>
      <c r="Y121" t="n">
        <v>19</v>
      </c>
      <c r="Z121" t="n">
        <v>44.18</v>
      </c>
      <c r="AA121" t="n">
        <v>4.49</v>
      </c>
      <c r="AB121" t="n">
        <v>48.67</v>
      </c>
      <c r="AC121" t="n">
        <v>8.76</v>
      </c>
      <c r="AD121" t="n">
        <v>0</v>
      </c>
      <c r="AE121" t="n">
        <v>232.5</v>
      </c>
      <c r="AF121" t="n">
        <v>0</v>
      </c>
      <c r="AG121" t="n">
        <v>0</v>
      </c>
      <c r="AH121" t="n">
        <v>0.23</v>
      </c>
      <c r="AI121" t="n">
        <v>11.63</v>
      </c>
      <c r="AJ121" t="n">
        <v>0</v>
      </c>
      <c r="AK121" t="n">
        <v>20.62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69.29000000000001</v>
      </c>
      <c r="AV121" t="n">
        <v>0</v>
      </c>
      <c r="AW121" t="n">
        <v>174.84</v>
      </c>
      <c r="AX121" t="inlineStr">
        <is>
          <t>settled</t>
        </is>
      </c>
      <c r="AY121" t="inlineStr">
        <is>
          <t>2025-12-10 05:30:00</t>
        </is>
      </c>
      <c r="AZ121" t="inlineStr">
        <is>
          <t>CITIN25668288188</t>
        </is>
      </c>
      <c r="BA121" t="n">
        <v>0</v>
      </c>
      <c r="BB121" t="inlineStr">
        <is>
          <t>6471a78877c5274d736cd35d68e31d89d8871ad1c852cb6c72dfe6bf835762f5</t>
        </is>
      </c>
    </row>
    <row r="122">
      <c r="A122" t="inlineStr">
        <is>
          <t>117</t>
        </is>
      </c>
      <c r="B122" t="inlineStr">
        <is>
          <t>7539667801</t>
        </is>
      </c>
      <c r="C122" t="inlineStr">
        <is>
          <t>2025-12-03 14:55:58</t>
        </is>
      </c>
      <c r="D122" t="inlineStr">
        <is>
          <t>49</t>
        </is>
      </c>
      <c r="E122" t="inlineStr">
        <is>
          <t>Sha Sha - Shandaar Shawarma</t>
        </is>
      </c>
      <c r="F122" t="inlineStr">
        <is>
          <t>18557902</t>
        </is>
      </c>
      <c r="G122" t="inlineStr">
        <is>
          <t>NA</t>
        </is>
      </c>
      <c r="H122" t="inlineStr">
        <is>
          <t>ONLINE</t>
        </is>
      </c>
      <c r="I122" t="inlineStr">
        <is>
          <t>DELIVERED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O2</t>
        </is>
      </c>
      <c r="N122" t="inlineStr">
        <is>
          <t>36</t>
        </is>
      </c>
      <c r="O122" t="n">
        <v>229</v>
      </c>
      <c r="P122" t="n">
        <v>3.5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11.63</v>
      </c>
      <c r="W122" t="n">
        <v>244.13</v>
      </c>
      <c r="X122" t="n">
        <v>232.5</v>
      </c>
      <c r="Y122" t="n">
        <v>19</v>
      </c>
      <c r="Z122" t="n">
        <v>44.18</v>
      </c>
      <c r="AA122" t="n">
        <v>4.49</v>
      </c>
      <c r="AB122" t="n">
        <v>48.67</v>
      </c>
      <c r="AC122" t="n">
        <v>8.76</v>
      </c>
      <c r="AD122" t="n">
        <v>0</v>
      </c>
      <c r="AE122" t="n">
        <v>232.5</v>
      </c>
      <c r="AF122" t="n">
        <v>0</v>
      </c>
      <c r="AG122" t="n">
        <v>0</v>
      </c>
      <c r="AH122" t="n">
        <v>0.23</v>
      </c>
      <c r="AI122" t="n">
        <v>11.63</v>
      </c>
      <c r="AJ122" t="n">
        <v>0</v>
      </c>
      <c r="AK122" t="n">
        <v>20.62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69.29000000000001</v>
      </c>
      <c r="AV122" t="n">
        <v>0</v>
      </c>
      <c r="AW122" t="n">
        <v>174.84</v>
      </c>
      <c r="AX122" t="inlineStr">
        <is>
          <t>settled</t>
        </is>
      </c>
      <c r="AY122" t="inlineStr">
        <is>
          <t>2025-12-10 05:30:00</t>
        </is>
      </c>
      <c r="AZ122" t="inlineStr">
        <is>
          <t>CITIN25668288188</t>
        </is>
      </c>
      <c r="BA122" t="n">
        <v>0</v>
      </c>
      <c r="BB122" t="inlineStr">
        <is>
          <t>84be1681014bc20e8c792627a9fec9461f211346b210336b77f9e0258c276e0f</t>
        </is>
      </c>
    </row>
    <row r="123">
      <c r="A123" t="inlineStr">
        <is>
          <t>118</t>
        </is>
      </c>
      <c r="B123" t="inlineStr">
        <is>
          <t>7542145878</t>
        </is>
      </c>
      <c r="C123" t="inlineStr">
        <is>
          <t>2025-12-03 15:09:55</t>
        </is>
      </c>
      <c r="D123" t="inlineStr">
        <is>
          <t>49</t>
        </is>
      </c>
      <c r="E123" t="inlineStr">
        <is>
          <t>Sha Sha - Shandaar Shawarma</t>
        </is>
      </c>
      <c r="F123" t="inlineStr">
        <is>
          <t>18557902</t>
        </is>
      </c>
      <c r="G123" t="inlineStr">
        <is>
          <t>NA</t>
        </is>
      </c>
      <c r="H123" t="inlineStr">
        <is>
          <t>ONLINE</t>
        </is>
      </c>
      <c r="I123" t="inlineStr">
        <is>
          <t>DELIVERED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O2</t>
        </is>
      </c>
      <c r="N123" t="inlineStr">
        <is>
          <t>36</t>
        </is>
      </c>
      <c r="O123" t="n">
        <v>229</v>
      </c>
      <c r="P123" t="n">
        <v>3.5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11.63</v>
      </c>
      <c r="W123" t="n">
        <v>244.13</v>
      </c>
      <c r="X123" t="n">
        <v>232.5</v>
      </c>
      <c r="Y123" t="n">
        <v>19</v>
      </c>
      <c r="Z123" t="n">
        <v>44.18</v>
      </c>
      <c r="AA123" t="n">
        <v>4.49</v>
      </c>
      <c r="AB123" t="n">
        <v>48.67</v>
      </c>
      <c r="AC123" t="n">
        <v>8.76</v>
      </c>
      <c r="AD123" t="n">
        <v>0</v>
      </c>
      <c r="AE123" t="n">
        <v>232.5</v>
      </c>
      <c r="AF123" t="n">
        <v>0</v>
      </c>
      <c r="AG123" t="n">
        <v>0</v>
      </c>
      <c r="AH123" t="n">
        <v>0.23</v>
      </c>
      <c r="AI123" t="n">
        <v>11.63</v>
      </c>
      <c r="AJ123" t="n">
        <v>0</v>
      </c>
      <c r="AK123" t="n">
        <v>20.62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69.29000000000001</v>
      </c>
      <c r="AV123" t="n">
        <v>0</v>
      </c>
      <c r="AW123" t="n">
        <v>174.84</v>
      </c>
      <c r="AX123" t="inlineStr">
        <is>
          <t>settled</t>
        </is>
      </c>
      <c r="AY123" t="inlineStr">
        <is>
          <t>2025-12-10 05:30:00</t>
        </is>
      </c>
      <c r="AZ123" t="inlineStr">
        <is>
          <t>CITIN25668288188</t>
        </is>
      </c>
      <c r="BA123" t="n">
        <v>0</v>
      </c>
      <c r="BB123" t="inlineStr">
        <is>
          <t>9f9488beec18096a582a1dac3f1ea5e20a12e420ec46fabcdd468923642d7206</t>
        </is>
      </c>
    </row>
    <row r="124">
      <c r="A124" t="inlineStr">
        <is>
          <t>119</t>
        </is>
      </c>
      <c r="B124" t="inlineStr">
        <is>
          <t>7542427660</t>
        </is>
      </c>
      <c r="C124" t="inlineStr">
        <is>
          <t>2025-12-03 15:43:38</t>
        </is>
      </c>
      <c r="D124" t="inlineStr">
        <is>
          <t>49</t>
        </is>
      </c>
      <c r="E124" t="inlineStr">
        <is>
          <t>Sha Sha - Shandaar Shawarma</t>
        </is>
      </c>
      <c r="F124" t="inlineStr">
        <is>
          <t>18557902</t>
        </is>
      </c>
      <c r="G124" t="inlineStr">
        <is>
          <t>NA</t>
        </is>
      </c>
      <c r="H124" t="inlineStr">
        <is>
          <t>ONLINE</t>
        </is>
      </c>
      <c r="I124" t="inlineStr">
        <is>
          <t>DELIVERED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O2</t>
        </is>
      </c>
      <c r="N124" t="inlineStr">
        <is>
          <t>36</t>
        </is>
      </c>
      <c r="O124" t="n">
        <v>536</v>
      </c>
      <c r="P124" t="n">
        <v>3.5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26.98</v>
      </c>
      <c r="W124" t="n">
        <v>566.48</v>
      </c>
      <c r="X124" t="n">
        <v>539.5</v>
      </c>
      <c r="Y124" t="n">
        <v>19</v>
      </c>
      <c r="Z124" t="n">
        <v>102.5</v>
      </c>
      <c r="AA124" t="n">
        <v>10.42</v>
      </c>
      <c r="AB124" t="n">
        <v>112.92</v>
      </c>
      <c r="AC124" t="n">
        <v>20.33</v>
      </c>
      <c r="AD124" t="n">
        <v>0</v>
      </c>
      <c r="AE124" t="n">
        <v>539.5</v>
      </c>
      <c r="AF124" t="n">
        <v>0</v>
      </c>
      <c r="AG124" t="n">
        <v>0</v>
      </c>
      <c r="AH124" t="n">
        <v>0.54</v>
      </c>
      <c r="AI124" t="n">
        <v>26.98</v>
      </c>
      <c r="AJ124" t="n">
        <v>0</v>
      </c>
      <c r="AK124" t="n">
        <v>47.85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160.77</v>
      </c>
      <c r="AV124" t="n">
        <v>0</v>
      </c>
      <c r="AW124" t="n">
        <v>405.71</v>
      </c>
      <c r="AX124" t="inlineStr">
        <is>
          <t>settled</t>
        </is>
      </c>
      <c r="AY124" t="inlineStr">
        <is>
          <t>2025-12-10 05:30:00</t>
        </is>
      </c>
      <c r="AZ124" t="inlineStr">
        <is>
          <t>CITIN25668288188</t>
        </is>
      </c>
      <c r="BA124" t="n">
        <v>0</v>
      </c>
      <c r="BB124" t="inlineStr">
        <is>
          <t>56c2d311831ca95736aef96a0a55fb5a7825260d824577f435a33396f441ce31</t>
        </is>
      </c>
    </row>
    <row r="125">
      <c r="A125" t="inlineStr">
        <is>
          <t>120</t>
        </is>
      </c>
      <c r="B125" t="inlineStr">
        <is>
          <t>7533662092</t>
        </is>
      </c>
      <c r="C125" t="inlineStr">
        <is>
          <t>2025-12-03 16:07:03</t>
        </is>
      </c>
      <c r="D125" t="inlineStr">
        <is>
          <t>49</t>
        </is>
      </c>
      <c r="E125" t="inlineStr">
        <is>
          <t>Sha Sha - Shandaar Shawarma</t>
        </is>
      </c>
      <c r="F125" t="inlineStr">
        <is>
          <t>18557902</t>
        </is>
      </c>
      <c r="G125" t="inlineStr">
        <is>
          <t>30% off upto ₹75 (2025-06-25 - 2031-01-01)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O2</t>
        </is>
      </c>
      <c r="N125" t="inlineStr">
        <is>
          <t>36</t>
        </is>
      </c>
      <c r="O125" t="n">
        <v>229</v>
      </c>
      <c r="P125" t="n">
        <v>3.5</v>
      </c>
      <c r="Q125" t="n">
        <v>0</v>
      </c>
      <c r="R125" t="n">
        <v>68.7</v>
      </c>
      <c r="S125" t="n">
        <v>0</v>
      </c>
      <c r="T125" t="n">
        <v>0</v>
      </c>
      <c r="U125" t="n">
        <v>0</v>
      </c>
      <c r="V125" t="n">
        <v>8.19</v>
      </c>
      <c r="W125" t="n">
        <v>171.99</v>
      </c>
      <c r="X125" t="n">
        <v>163.8</v>
      </c>
      <c r="Y125" t="n">
        <v>19</v>
      </c>
      <c r="Z125" t="n">
        <v>31.12</v>
      </c>
      <c r="AA125" t="n">
        <v>3.16</v>
      </c>
      <c r="AB125" t="n">
        <v>34.28</v>
      </c>
      <c r="AC125" t="n">
        <v>6.17</v>
      </c>
      <c r="AD125" t="n">
        <v>0</v>
      </c>
      <c r="AE125" t="n">
        <v>163.8</v>
      </c>
      <c r="AF125" t="n">
        <v>0</v>
      </c>
      <c r="AG125" t="n">
        <v>0</v>
      </c>
      <c r="AH125" t="n">
        <v>0.16</v>
      </c>
      <c r="AI125" t="n">
        <v>8.199999999999999</v>
      </c>
      <c r="AJ125" t="n">
        <v>-0.01</v>
      </c>
      <c r="AK125" t="n">
        <v>14.53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48.81</v>
      </c>
      <c r="AV125" t="n">
        <v>0</v>
      </c>
      <c r="AW125" t="n">
        <v>123.18</v>
      </c>
      <c r="AX125" t="inlineStr">
        <is>
          <t>settled</t>
        </is>
      </c>
      <c r="AY125" t="inlineStr">
        <is>
          <t>2025-12-10 05:30:00</t>
        </is>
      </c>
      <c r="AZ125" t="inlineStr">
        <is>
          <t>CITIN25668288188</t>
        </is>
      </c>
      <c r="BA125" t="n">
        <v>0</v>
      </c>
      <c r="BB125" t="inlineStr">
        <is>
          <t>c88fb7e023507575af3cb13519a6e9d2b90346df658dacf581a0e16ac69137eb</t>
        </is>
      </c>
    </row>
    <row r="126">
      <c r="A126" t="inlineStr">
        <is>
          <t>121</t>
        </is>
      </c>
      <c r="B126" t="inlineStr">
        <is>
          <t>7539462606</t>
        </is>
      </c>
      <c r="C126" t="inlineStr">
        <is>
          <t>2025-12-03 16:09:36</t>
        </is>
      </c>
      <c r="D126" t="inlineStr">
        <is>
          <t>49</t>
        </is>
      </c>
      <c r="E126" t="inlineStr">
        <is>
          <t>Sha Sha - Shandaar Shawarma</t>
        </is>
      </c>
      <c r="F126" t="inlineStr">
        <is>
          <t>18557902</t>
        </is>
      </c>
      <c r="G126" t="inlineStr">
        <is>
          <t>30% off upto ₹75 (2025-06-25 - 2031-01-01)</t>
        </is>
      </c>
      <c r="H126" t="inlineStr">
        <is>
          <t>ONLINE</t>
        </is>
      </c>
      <c r="I126" t="inlineStr">
        <is>
          <t>DELIVERED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O2</t>
        </is>
      </c>
      <c r="N126" t="inlineStr">
        <is>
          <t>36</t>
        </is>
      </c>
      <c r="O126" t="n">
        <v>229</v>
      </c>
      <c r="P126" t="n">
        <v>3.5</v>
      </c>
      <c r="Q126" t="n">
        <v>0</v>
      </c>
      <c r="R126" t="n">
        <v>68.7</v>
      </c>
      <c r="S126" t="n">
        <v>0</v>
      </c>
      <c r="T126" t="n">
        <v>0</v>
      </c>
      <c r="U126" t="n">
        <v>0</v>
      </c>
      <c r="V126" t="n">
        <v>8.19</v>
      </c>
      <c r="W126" t="n">
        <v>171.99</v>
      </c>
      <c r="X126" t="n">
        <v>163.8</v>
      </c>
      <c r="Y126" t="n">
        <v>19</v>
      </c>
      <c r="Z126" t="n">
        <v>31.12</v>
      </c>
      <c r="AA126" t="n">
        <v>3.16</v>
      </c>
      <c r="AB126" t="n">
        <v>34.28</v>
      </c>
      <c r="AC126" t="n">
        <v>6.17</v>
      </c>
      <c r="AD126" t="n">
        <v>0</v>
      </c>
      <c r="AE126" t="n">
        <v>163.8</v>
      </c>
      <c r="AF126" t="n">
        <v>0</v>
      </c>
      <c r="AG126" t="n">
        <v>0</v>
      </c>
      <c r="AH126" t="n">
        <v>0.16</v>
      </c>
      <c r="AI126" t="n">
        <v>8.199999999999999</v>
      </c>
      <c r="AJ126" t="n">
        <v>-0.01</v>
      </c>
      <c r="AK126" t="n">
        <v>14.53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48.81</v>
      </c>
      <c r="AV126" t="n">
        <v>0</v>
      </c>
      <c r="AW126" t="n">
        <v>123.18</v>
      </c>
      <c r="AX126" t="inlineStr">
        <is>
          <t>settled</t>
        </is>
      </c>
      <c r="AY126" t="inlineStr">
        <is>
          <t>2025-12-10 05:30:00</t>
        </is>
      </c>
      <c r="AZ126" t="inlineStr">
        <is>
          <t>CITIN25668288188</t>
        </is>
      </c>
      <c r="BA126" t="n">
        <v>0</v>
      </c>
      <c r="BB126" t="inlineStr">
        <is>
          <t>5c20ab94e4d816dfda88d6798105099ed5514f2c177afd1e9be8218015951032</t>
        </is>
      </c>
    </row>
    <row r="127">
      <c r="A127" t="inlineStr">
        <is>
          <t>122</t>
        </is>
      </c>
      <c r="B127" t="inlineStr">
        <is>
          <t>7535852051</t>
        </is>
      </c>
      <c r="C127" t="inlineStr">
        <is>
          <t>2025-12-03 16:13:27</t>
        </is>
      </c>
      <c r="D127" t="inlineStr">
        <is>
          <t>49</t>
        </is>
      </c>
      <c r="E127" t="inlineStr">
        <is>
          <t>Sha Sha - Shandaar Shawarma</t>
        </is>
      </c>
      <c r="F127" t="inlineStr">
        <is>
          <t>18557902</t>
        </is>
      </c>
      <c r="G127" t="inlineStr">
        <is>
          <t>NA</t>
        </is>
      </c>
      <c r="H127" t="inlineStr">
        <is>
          <t>ONLINE</t>
        </is>
      </c>
      <c r="I127" t="inlineStr">
        <is>
          <t>DELIVERED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O2</t>
        </is>
      </c>
      <c r="N127" t="inlineStr">
        <is>
          <t>36</t>
        </is>
      </c>
      <c r="O127" t="n">
        <v>229</v>
      </c>
      <c r="P127" t="n">
        <v>3.5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11.63</v>
      </c>
      <c r="W127" t="n">
        <v>244.13</v>
      </c>
      <c r="X127" t="n">
        <v>232.5</v>
      </c>
      <c r="Y127" t="n">
        <v>19</v>
      </c>
      <c r="Z127" t="n">
        <v>44.18</v>
      </c>
      <c r="AA127" t="n">
        <v>4.49</v>
      </c>
      <c r="AB127" t="n">
        <v>48.67</v>
      </c>
      <c r="AC127" t="n">
        <v>8.76</v>
      </c>
      <c r="AD127" t="n">
        <v>0</v>
      </c>
      <c r="AE127" t="n">
        <v>232.5</v>
      </c>
      <c r="AF127" t="n">
        <v>0</v>
      </c>
      <c r="AG127" t="n">
        <v>0</v>
      </c>
      <c r="AH127" t="n">
        <v>0.23</v>
      </c>
      <c r="AI127" t="n">
        <v>11.63</v>
      </c>
      <c r="AJ127" t="n">
        <v>0</v>
      </c>
      <c r="AK127" t="n">
        <v>20.62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69.29000000000001</v>
      </c>
      <c r="AV127" t="n">
        <v>0</v>
      </c>
      <c r="AW127" t="n">
        <v>174.84</v>
      </c>
      <c r="AX127" t="inlineStr">
        <is>
          <t>settled</t>
        </is>
      </c>
      <c r="AY127" t="inlineStr">
        <is>
          <t>2025-12-10 05:30:00</t>
        </is>
      </c>
      <c r="AZ127" t="inlineStr">
        <is>
          <t>CITIN25668288188</t>
        </is>
      </c>
      <c r="BA127" t="n">
        <v>0</v>
      </c>
      <c r="BB127" t="inlineStr">
        <is>
          <t>348212b94b89e135c8a3fdc4d5b67984561063f1da3e58d57214c93636c0d372</t>
        </is>
      </c>
    </row>
    <row r="128">
      <c r="A128" t="inlineStr">
        <is>
          <t>123</t>
        </is>
      </c>
      <c r="B128" t="inlineStr">
        <is>
          <t>7534649315</t>
        </is>
      </c>
      <c r="C128" t="inlineStr">
        <is>
          <t>2025-12-03 16:47:12</t>
        </is>
      </c>
      <c r="D128" t="inlineStr">
        <is>
          <t>49</t>
        </is>
      </c>
      <c r="E128" t="inlineStr">
        <is>
          <t>Sha Sha - Shandaar Shawarma</t>
        </is>
      </c>
      <c r="F128" t="inlineStr">
        <is>
          <t>18557902</t>
        </is>
      </c>
      <c r="G128" t="inlineStr">
        <is>
          <t>30% off upto ₹75 (2025-06-25 - 2031-01-01)</t>
        </is>
      </c>
      <c r="H128" t="inlineStr">
        <is>
          <t>ONLINE</t>
        </is>
      </c>
      <c r="I128" t="inlineStr">
        <is>
          <t>DELIVERED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O2</t>
        </is>
      </c>
      <c r="N128" t="inlineStr">
        <is>
          <t>36</t>
        </is>
      </c>
      <c r="O128" t="n">
        <v>229</v>
      </c>
      <c r="P128" t="n">
        <v>3.5</v>
      </c>
      <c r="Q128" t="n">
        <v>0</v>
      </c>
      <c r="R128" t="n">
        <v>68.7</v>
      </c>
      <c r="S128" t="n">
        <v>0</v>
      </c>
      <c r="T128" t="n">
        <v>0</v>
      </c>
      <c r="U128" t="n">
        <v>0</v>
      </c>
      <c r="V128" t="n">
        <v>8.19</v>
      </c>
      <c r="W128" t="n">
        <v>171.99</v>
      </c>
      <c r="X128" t="n">
        <v>163.8</v>
      </c>
      <c r="Y128" t="n">
        <v>19</v>
      </c>
      <c r="Z128" t="n">
        <v>31.12</v>
      </c>
      <c r="AA128" t="n">
        <v>3.16</v>
      </c>
      <c r="AB128" t="n">
        <v>34.28</v>
      </c>
      <c r="AC128" t="n">
        <v>6.17</v>
      </c>
      <c r="AD128" t="n">
        <v>0</v>
      </c>
      <c r="AE128" t="n">
        <v>163.8</v>
      </c>
      <c r="AF128" t="n">
        <v>0</v>
      </c>
      <c r="AG128" t="n">
        <v>0</v>
      </c>
      <c r="AH128" t="n">
        <v>0.16</v>
      </c>
      <c r="AI128" t="n">
        <v>8.199999999999999</v>
      </c>
      <c r="AJ128" t="n">
        <v>-0.01</v>
      </c>
      <c r="AK128" t="n">
        <v>14.53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48.81</v>
      </c>
      <c r="AV128" t="n">
        <v>0</v>
      </c>
      <c r="AW128" t="n">
        <v>123.18</v>
      </c>
      <c r="AX128" t="inlineStr">
        <is>
          <t>settled</t>
        </is>
      </c>
      <c r="AY128" t="inlineStr">
        <is>
          <t>2025-12-10 05:30:00</t>
        </is>
      </c>
      <c r="AZ128" t="inlineStr">
        <is>
          <t>CITIN25668288188</t>
        </is>
      </c>
      <c r="BA128" t="n">
        <v>0</v>
      </c>
      <c r="BB128" t="inlineStr">
        <is>
          <t>c0a2bc8dc070c036901923570dbd6bafc97c0f85dbdc227f0ad3faf3aec9e73b</t>
        </is>
      </c>
    </row>
    <row r="129">
      <c r="A129" t="inlineStr">
        <is>
          <t>124</t>
        </is>
      </c>
      <c r="B129" t="inlineStr">
        <is>
          <t>7520636786</t>
        </is>
      </c>
      <c r="C129" t="inlineStr">
        <is>
          <t>2025-12-03 16:48:58</t>
        </is>
      </c>
      <c r="D129" t="inlineStr">
        <is>
          <t>49</t>
        </is>
      </c>
      <c r="E129" t="inlineStr">
        <is>
          <t>Sha Sha - Shandaar Shawarma</t>
        </is>
      </c>
      <c r="F129" t="inlineStr">
        <is>
          <t>18557902</t>
        </is>
      </c>
      <c r="G129" t="inlineStr">
        <is>
          <t>30% off upto ₹75 (2025-06-25 - 2031-01-01)</t>
        </is>
      </c>
      <c r="H129" t="inlineStr">
        <is>
          <t>ONLINE</t>
        </is>
      </c>
      <c r="I129" t="inlineStr">
        <is>
          <t>DELIVERED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O2</t>
        </is>
      </c>
      <c r="N129" t="inlineStr">
        <is>
          <t>36</t>
        </is>
      </c>
      <c r="O129" t="n">
        <v>229</v>
      </c>
      <c r="P129" t="n">
        <v>3.5</v>
      </c>
      <c r="Q129" t="n">
        <v>0</v>
      </c>
      <c r="R129" t="n">
        <v>68.7</v>
      </c>
      <c r="S129" t="n">
        <v>0</v>
      </c>
      <c r="T129" t="n">
        <v>0</v>
      </c>
      <c r="U129" t="n">
        <v>0</v>
      </c>
      <c r="V129" t="n">
        <v>8.19</v>
      </c>
      <c r="W129" t="n">
        <v>171.99</v>
      </c>
      <c r="X129" t="n">
        <v>163.8</v>
      </c>
      <c r="Y129" t="n">
        <v>19</v>
      </c>
      <c r="Z129" t="n">
        <v>31.12</v>
      </c>
      <c r="AA129" t="n">
        <v>3.16</v>
      </c>
      <c r="AB129" t="n">
        <v>34.28</v>
      </c>
      <c r="AC129" t="n">
        <v>6.17</v>
      </c>
      <c r="AD129" t="n">
        <v>0</v>
      </c>
      <c r="AE129" t="n">
        <v>163.8</v>
      </c>
      <c r="AF129" t="n">
        <v>0</v>
      </c>
      <c r="AG129" t="n">
        <v>0</v>
      </c>
      <c r="AH129" t="n">
        <v>0.16</v>
      </c>
      <c r="AI129" t="n">
        <v>8.199999999999999</v>
      </c>
      <c r="AJ129" t="n">
        <v>-0.01</v>
      </c>
      <c r="AK129" t="n">
        <v>14.53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48.81</v>
      </c>
      <c r="AV129" t="n">
        <v>0</v>
      </c>
      <c r="AW129" t="n">
        <v>123.18</v>
      </c>
      <c r="AX129" t="inlineStr">
        <is>
          <t>settled</t>
        </is>
      </c>
      <c r="AY129" t="inlineStr">
        <is>
          <t>2025-12-10 05:30:00</t>
        </is>
      </c>
      <c r="AZ129" t="inlineStr">
        <is>
          <t>CITIN25668288188</t>
        </is>
      </c>
      <c r="BA129" t="n">
        <v>0</v>
      </c>
      <c r="BB129" t="inlineStr">
        <is>
          <t>6ba376557be8d4662f984833aff2b251dfdeb9e9dcf775390b4e45d9d4d8b74d</t>
        </is>
      </c>
    </row>
    <row r="130">
      <c r="A130" t="inlineStr">
        <is>
          <t>125</t>
        </is>
      </c>
      <c r="B130" t="inlineStr">
        <is>
          <t>7543939451</t>
        </is>
      </c>
      <c r="C130" t="inlineStr">
        <is>
          <t>2025-12-03 17:09:37</t>
        </is>
      </c>
      <c r="D130" t="inlineStr">
        <is>
          <t>49</t>
        </is>
      </c>
      <c r="E130" t="inlineStr">
        <is>
          <t>Sha Sha - Shandaar Shawarma</t>
        </is>
      </c>
      <c r="F130" t="inlineStr">
        <is>
          <t>18557902</t>
        </is>
      </c>
      <c r="G130" t="inlineStr">
        <is>
          <t>NA</t>
        </is>
      </c>
      <c r="H130" t="inlineStr">
        <is>
          <t>ONLINE</t>
        </is>
      </c>
      <c r="I130" t="inlineStr">
        <is>
          <t>DELIVERED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O2</t>
        </is>
      </c>
      <c r="N130" t="inlineStr">
        <is>
          <t>36</t>
        </is>
      </c>
      <c r="O130" t="n">
        <v>345</v>
      </c>
      <c r="P130" t="n">
        <v>3.5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17.43</v>
      </c>
      <c r="W130" t="n">
        <v>365.93</v>
      </c>
      <c r="X130" t="n">
        <v>348.5</v>
      </c>
      <c r="Y130" t="n">
        <v>19</v>
      </c>
      <c r="Z130" t="n">
        <v>66.22</v>
      </c>
      <c r="AA130" t="n">
        <v>6.73</v>
      </c>
      <c r="AB130" t="n">
        <v>72.95</v>
      </c>
      <c r="AC130" t="n">
        <v>13.13</v>
      </c>
      <c r="AD130" t="n">
        <v>0</v>
      </c>
      <c r="AE130" t="n">
        <v>348.5</v>
      </c>
      <c r="AF130" t="n">
        <v>0</v>
      </c>
      <c r="AG130" t="n">
        <v>0</v>
      </c>
      <c r="AH130" t="n">
        <v>0.35</v>
      </c>
      <c r="AI130" t="n">
        <v>17.43</v>
      </c>
      <c r="AJ130" t="n">
        <v>0</v>
      </c>
      <c r="AK130" t="n">
        <v>30.91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103.86</v>
      </c>
      <c r="AV130" t="n">
        <v>0</v>
      </c>
      <c r="AW130" t="n">
        <v>262.07</v>
      </c>
      <c r="AX130" t="inlineStr">
        <is>
          <t>settled</t>
        </is>
      </c>
      <c r="AY130" t="inlineStr">
        <is>
          <t>2025-12-10 05:30:00</t>
        </is>
      </c>
      <c r="AZ130" t="inlineStr">
        <is>
          <t>CITIN25668288188</t>
        </is>
      </c>
      <c r="BA130" t="n">
        <v>0</v>
      </c>
      <c r="BB130" t="inlineStr">
        <is>
          <t>2c9c7e217953f8577dbfd9a2106441a65e1b3ee33dfd42cbd9a5eea3e217559c</t>
        </is>
      </c>
    </row>
    <row r="131">
      <c r="A131" t="inlineStr">
        <is>
          <t>126</t>
        </is>
      </c>
      <c r="B131" t="inlineStr">
        <is>
          <t>7544410471</t>
        </is>
      </c>
      <c r="C131" t="inlineStr">
        <is>
          <t>2025-12-03 17:19:03</t>
        </is>
      </c>
      <c r="D131" t="inlineStr">
        <is>
          <t>49</t>
        </is>
      </c>
      <c r="E131" t="inlineStr">
        <is>
          <t>Sha Sha - Shandaar Shawarma</t>
        </is>
      </c>
      <c r="F131" t="inlineStr">
        <is>
          <t>18557902</t>
        </is>
      </c>
      <c r="G131" t="inlineStr">
        <is>
          <t>30% off upto ₹75 (2025-06-25 - 2031-01-01)</t>
        </is>
      </c>
      <c r="H131" t="inlineStr">
        <is>
          <t>ONLINE</t>
        </is>
      </c>
      <c r="I131" t="inlineStr">
        <is>
          <t>DELIVERED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O2</t>
        </is>
      </c>
      <c r="N131" t="inlineStr">
        <is>
          <t>36</t>
        </is>
      </c>
      <c r="O131" t="n">
        <v>229</v>
      </c>
      <c r="P131" t="n">
        <v>3.5</v>
      </c>
      <c r="Q131" t="n">
        <v>0</v>
      </c>
      <c r="R131" t="n">
        <v>68.7</v>
      </c>
      <c r="S131" t="n">
        <v>0</v>
      </c>
      <c r="T131" t="n">
        <v>0</v>
      </c>
      <c r="U131" t="n">
        <v>0</v>
      </c>
      <c r="V131" t="n">
        <v>8.19</v>
      </c>
      <c r="W131" t="n">
        <v>171.99</v>
      </c>
      <c r="X131" t="n">
        <v>163.8</v>
      </c>
      <c r="Y131" t="n">
        <v>19</v>
      </c>
      <c r="Z131" t="n">
        <v>31.12</v>
      </c>
      <c r="AA131" t="n">
        <v>3.16</v>
      </c>
      <c r="AB131" t="n">
        <v>34.28</v>
      </c>
      <c r="AC131" t="n">
        <v>6.17</v>
      </c>
      <c r="AD131" t="n">
        <v>0</v>
      </c>
      <c r="AE131" t="n">
        <v>163.8</v>
      </c>
      <c r="AF131" t="n">
        <v>0</v>
      </c>
      <c r="AG131" t="n">
        <v>0</v>
      </c>
      <c r="AH131" t="n">
        <v>0.16</v>
      </c>
      <c r="AI131" t="n">
        <v>8.199999999999999</v>
      </c>
      <c r="AJ131" t="n">
        <v>-0.01</v>
      </c>
      <c r="AK131" t="n">
        <v>14.53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48.81</v>
      </c>
      <c r="AV131" t="n">
        <v>0</v>
      </c>
      <c r="AW131" t="n">
        <v>123.18</v>
      </c>
      <c r="AX131" t="inlineStr">
        <is>
          <t>settled</t>
        </is>
      </c>
      <c r="AY131" t="inlineStr">
        <is>
          <t>2025-12-10 05:30:00</t>
        </is>
      </c>
      <c r="AZ131" t="inlineStr">
        <is>
          <t>CITIN25668288188</t>
        </is>
      </c>
      <c r="BA131" t="n">
        <v>0</v>
      </c>
      <c r="BB131" t="inlineStr">
        <is>
          <t>2e36baae71ca9f59e69dbc02192172adf6162d5826ab502e3a4c726772e1036d</t>
        </is>
      </c>
    </row>
    <row r="132">
      <c r="A132" t="inlineStr">
        <is>
          <t>127</t>
        </is>
      </c>
      <c r="B132" t="inlineStr">
        <is>
          <t>7545146219</t>
        </is>
      </c>
      <c r="C132" t="inlineStr">
        <is>
          <t>2025-12-03 17:30:12</t>
        </is>
      </c>
      <c r="D132" t="inlineStr">
        <is>
          <t>49</t>
        </is>
      </c>
      <c r="E132" t="inlineStr">
        <is>
          <t>Sha Sha - Shandaar Shawarma</t>
        </is>
      </c>
      <c r="F132" t="inlineStr">
        <is>
          <t>18557902</t>
        </is>
      </c>
      <c r="G132" t="inlineStr">
        <is>
          <t>30% off upto ₹75 (2025-06-25 - 2031-01-01)</t>
        </is>
      </c>
      <c r="H132" t="inlineStr">
        <is>
          <t>ONLINE</t>
        </is>
      </c>
      <c r="I132" t="inlineStr">
        <is>
          <t>DELIVERED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O2</t>
        </is>
      </c>
      <c r="N132" t="inlineStr">
        <is>
          <t>36</t>
        </is>
      </c>
      <c r="O132" t="n">
        <v>229</v>
      </c>
      <c r="P132" t="n">
        <v>3.5</v>
      </c>
      <c r="Q132" t="n">
        <v>0</v>
      </c>
      <c r="R132" t="n">
        <v>68.7</v>
      </c>
      <c r="S132" t="n">
        <v>0</v>
      </c>
      <c r="T132" t="n">
        <v>0</v>
      </c>
      <c r="U132" t="n">
        <v>0</v>
      </c>
      <c r="V132" t="n">
        <v>8.19</v>
      </c>
      <c r="W132" t="n">
        <v>171.99</v>
      </c>
      <c r="X132" t="n">
        <v>163.8</v>
      </c>
      <c r="Y132" t="n">
        <v>19</v>
      </c>
      <c r="Z132" t="n">
        <v>31.12</v>
      </c>
      <c r="AA132" t="n">
        <v>3.16</v>
      </c>
      <c r="AB132" t="n">
        <v>34.28</v>
      </c>
      <c r="AC132" t="n">
        <v>6.17</v>
      </c>
      <c r="AD132" t="n">
        <v>0</v>
      </c>
      <c r="AE132" t="n">
        <v>163.8</v>
      </c>
      <c r="AF132" t="n">
        <v>0</v>
      </c>
      <c r="AG132" t="n">
        <v>0</v>
      </c>
      <c r="AH132" t="n">
        <v>0.16</v>
      </c>
      <c r="AI132" t="n">
        <v>8.199999999999999</v>
      </c>
      <c r="AJ132" t="n">
        <v>-0.01</v>
      </c>
      <c r="AK132" t="n">
        <v>14.53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48.81</v>
      </c>
      <c r="AV132" t="n">
        <v>0</v>
      </c>
      <c r="AW132" t="n">
        <v>123.18</v>
      </c>
      <c r="AX132" t="inlineStr">
        <is>
          <t>settled</t>
        </is>
      </c>
      <c r="AY132" t="inlineStr">
        <is>
          <t>2025-12-10 05:30:00</t>
        </is>
      </c>
      <c r="AZ132" t="inlineStr">
        <is>
          <t>CITIN25668288188</t>
        </is>
      </c>
      <c r="BA132" t="n">
        <v>0</v>
      </c>
      <c r="BB132" t="inlineStr">
        <is>
          <t>ad8f7d3eed3ca4dc9cf5fbc1b662b6d2fd3e6145e6fffabb383ec98ae2222e60</t>
        </is>
      </c>
    </row>
    <row r="133">
      <c r="A133" t="inlineStr">
        <is>
          <t>128</t>
        </is>
      </c>
      <c r="B133" t="inlineStr">
        <is>
          <t>7537735970</t>
        </is>
      </c>
      <c r="C133" t="inlineStr">
        <is>
          <t>2025-12-03 18:52:17</t>
        </is>
      </c>
      <c r="D133" t="inlineStr">
        <is>
          <t>49</t>
        </is>
      </c>
      <c r="E133" t="inlineStr">
        <is>
          <t>Sha Sha - Shandaar Shawarma</t>
        </is>
      </c>
      <c r="F133" t="inlineStr">
        <is>
          <t>18557902</t>
        </is>
      </c>
      <c r="G133" t="inlineStr">
        <is>
          <t>30% off upto ₹75 (2025-06-25 - 2031-01-01)</t>
        </is>
      </c>
      <c r="H133" t="inlineStr">
        <is>
          <t>ONLINE</t>
        </is>
      </c>
      <c r="I133" t="inlineStr">
        <is>
          <t>DELIVERED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O2</t>
        </is>
      </c>
      <c r="N133" t="inlineStr">
        <is>
          <t>36</t>
        </is>
      </c>
      <c r="O133" t="n">
        <v>229</v>
      </c>
      <c r="P133" t="n">
        <v>3.5</v>
      </c>
      <c r="Q133" t="n">
        <v>0</v>
      </c>
      <c r="R133" t="n">
        <v>68.7</v>
      </c>
      <c r="S133" t="n">
        <v>0</v>
      </c>
      <c r="T133" t="n">
        <v>0</v>
      </c>
      <c r="U133" t="n">
        <v>0</v>
      </c>
      <c r="V133" t="n">
        <v>8.19</v>
      </c>
      <c r="W133" t="n">
        <v>171.99</v>
      </c>
      <c r="X133" t="n">
        <v>163.8</v>
      </c>
      <c r="Y133" t="n">
        <v>19</v>
      </c>
      <c r="Z133" t="n">
        <v>31.12</v>
      </c>
      <c r="AA133" t="n">
        <v>3.16</v>
      </c>
      <c r="AB133" t="n">
        <v>34.28</v>
      </c>
      <c r="AC133" t="n">
        <v>6.17</v>
      </c>
      <c r="AD133" t="n">
        <v>0</v>
      </c>
      <c r="AE133" t="n">
        <v>163.8</v>
      </c>
      <c r="AF133" t="n">
        <v>0</v>
      </c>
      <c r="AG133" t="n">
        <v>0</v>
      </c>
      <c r="AH133" t="n">
        <v>0.16</v>
      </c>
      <c r="AI133" t="n">
        <v>8.199999999999999</v>
      </c>
      <c r="AJ133" t="n">
        <v>-0.01</v>
      </c>
      <c r="AK133" t="n">
        <v>14.53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48.81</v>
      </c>
      <c r="AV133" t="n">
        <v>0</v>
      </c>
      <c r="AW133" t="n">
        <v>123.18</v>
      </c>
      <c r="AX133" t="inlineStr">
        <is>
          <t>settled</t>
        </is>
      </c>
      <c r="AY133" t="inlineStr">
        <is>
          <t>2025-12-10 05:30:00</t>
        </is>
      </c>
      <c r="AZ133" t="inlineStr">
        <is>
          <t>CITIN25668288188</t>
        </is>
      </c>
      <c r="BA133" t="n">
        <v>0</v>
      </c>
      <c r="BB133" t="inlineStr">
        <is>
          <t>91cbe29850514d755d800db643e3553bbd17bd6eadb6d5d68f4fd6c3a17dcbb8</t>
        </is>
      </c>
    </row>
    <row r="134">
      <c r="A134" t="inlineStr">
        <is>
          <t>129</t>
        </is>
      </c>
      <c r="B134" t="inlineStr">
        <is>
          <t>7543794062</t>
        </is>
      </c>
      <c r="C134" t="inlineStr">
        <is>
          <t>2025-12-03 19:10:19</t>
        </is>
      </c>
      <c r="D134" t="inlineStr">
        <is>
          <t>49</t>
        </is>
      </c>
      <c r="E134" t="inlineStr">
        <is>
          <t>Sha Sha - Shandaar Shawarma</t>
        </is>
      </c>
      <c r="F134" t="inlineStr">
        <is>
          <t>18557902</t>
        </is>
      </c>
      <c r="G134" t="inlineStr">
        <is>
          <t>30% off upto ₹75 (2025-06-25 - 2031-01-01)</t>
        </is>
      </c>
      <c r="H134" t="inlineStr">
        <is>
          <t>ONLINE</t>
        </is>
      </c>
      <c r="I134" t="inlineStr">
        <is>
          <t>DELIVERED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O2</t>
        </is>
      </c>
      <c r="N134" t="inlineStr">
        <is>
          <t>36</t>
        </is>
      </c>
      <c r="O134" t="n">
        <v>458</v>
      </c>
      <c r="P134" t="n">
        <v>3.5</v>
      </c>
      <c r="Q134" t="n">
        <v>0</v>
      </c>
      <c r="R134" t="n">
        <v>75</v>
      </c>
      <c r="S134" t="n">
        <v>0</v>
      </c>
      <c r="T134" t="n">
        <v>0</v>
      </c>
      <c r="U134" t="n">
        <v>0</v>
      </c>
      <c r="V134" t="n">
        <v>19.33</v>
      </c>
      <c r="W134" t="n">
        <v>405.83</v>
      </c>
      <c r="X134" t="n">
        <v>386.5</v>
      </c>
      <c r="Y134" t="n">
        <v>19</v>
      </c>
      <c r="Z134" t="n">
        <v>73.44</v>
      </c>
      <c r="AA134" t="n">
        <v>7.47</v>
      </c>
      <c r="AB134" t="n">
        <v>80.91</v>
      </c>
      <c r="AC134" t="n">
        <v>14.56</v>
      </c>
      <c r="AD134" t="n">
        <v>0</v>
      </c>
      <c r="AE134" t="n">
        <v>386.5</v>
      </c>
      <c r="AF134" t="n">
        <v>0</v>
      </c>
      <c r="AG134" t="n">
        <v>0</v>
      </c>
      <c r="AH134" t="n">
        <v>0.39</v>
      </c>
      <c r="AI134" t="n">
        <v>19.33</v>
      </c>
      <c r="AJ134" t="n">
        <v>0</v>
      </c>
      <c r="AK134" t="n">
        <v>34.28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115.19</v>
      </c>
      <c r="AV134" t="n">
        <v>0</v>
      </c>
      <c r="AW134" t="n">
        <v>290.64</v>
      </c>
      <c r="AX134" t="inlineStr">
        <is>
          <t>settled</t>
        </is>
      </c>
      <c r="AY134" t="inlineStr">
        <is>
          <t>2025-12-10 05:30:00</t>
        </is>
      </c>
      <c r="AZ134" t="inlineStr">
        <is>
          <t>CITIN25668288188</t>
        </is>
      </c>
      <c r="BA134" t="n">
        <v>0</v>
      </c>
      <c r="BB134" t="inlineStr">
        <is>
          <t>3a22b3dd06f62fcbd0a5e12e73e40a7d8bfac23e759d4cf493b6dfb47a1cd8fe</t>
        </is>
      </c>
    </row>
    <row r="135">
      <c r="A135" t="inlineStr">
        <is>
          <t>130</t>
        </is>
      </c>
      <c r="B135" t="inlineStr">
        <is>
          <t>7545400681</t>
        </is>
      </c>
      <c r="C135" t="inlineStr">
        <is>
          <t>2025-12-03 20:04:04</t>
        </is>
      </c>
      <c r="D135" t="inlineStr">
        <is>
          <t>49</t>
        </is>
      </c>
      <c r="E135" t="inlineStr">
        <is>
          <t>Sha Sha - Shandaar Shawarma</t>
        </is>
      </c>
      <c r="F135" t="inlineStr">
        <is>
          <t>18557902</t>
        </is>
      </c>
      <c r="G135" t="inlineStr">
        <is>
          <t>30% off upto ₹75 (2025-06-25 - 2031-01-01)</t>
        </is>
      </c>
      <c r="H135" t="inlineStr">
        <is>
          <t>ONLINE</t>
        </is>
      </c>
      <c r="I135" t="inlineStr">
        <is>
          <t>DELIVERED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O2</t>
        </is>
      </c>
      <c r="N135" t="inlineStr">
        <is>
          <t>36</t>
        </is>
      </c>
      <c r="O135" t="n">
        <v>219</v>
      </c>
      <c r="P135" t="n">
        <v>3.5</v>
      </c>
      <c r="Q135" t="n">
        <v>0</v>
      </c>
      <c r="R135" t="n">
        <v>65.7</v>
      </c>
      <c r="S135" t="n">
        <v>0</v>
      </c>
      <c r="T135" t="n">
        <v>0</v>
      </c>
      <c r="U135" t="n">
        <v>0</v>
      </c>
      <c r="V135" t="n">
        <v>7.84</v>
      </c>
      <c r="W135" t="n">
        <v>164.64</v>
      </c>
      <c r="X135" t="n">
        <v>156.8</v>
      </c>
      <c r="Y135" t="n">
        <v>19</v>
      </c>
      <c r="Z135" t="n">
        <v>29.79</v>
      </c>
      <c r="AA135" t="n">
        <v>3.03</v>
      </c>
      <c r="AB135" t="n">
        <v>32.82</v>
      </c>
      <c r="AC135" t="n">
        <v>5.91</v>
      </c>
      <c r="AD135" t="n">
        <v>0</v>
      </c>
      <c r="AE135" t="n">
        <v>156.8</v>
      </c>
      <c r="AF135" t="n">
        <v>0</v>
      </c>
      <c r="AG135" t="n">
        <v>0</v>
      </c>
      <c r="AH135" t="n">
        <v>0.16</v>
      </c>
      <c r="AI135" t="n">
        <v>7.85</v>
      </c>
      <c r="AJ135" t="n">
        <v>-0.01</v>
      </c>
      <c r="AK135" t="n">
        <v>13.92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46.74</v>
      </c>
      <c r="AV135" t="n">
        <v>0</v>
      </c>
      <c r="AW135" t="n">
        <v>117.9</v>
      </c>
      <c r="AX135" t="inlineStr">
        <is>
          <t>settled</t>
        </is>
      </c>
      <c r="AY135" t="inlineStr">
        <is>
          <t>2025-12-10 05:30:00</t>
        </is>
      </c>
      <c r="AZ135" t="inlineStr">
        <is>
          <t>CITIN25668288188</t>
        </is>
      </c>
      <c r="BA135" t="n">
        <v>0</v>
      </c>
      <c r="BB135" t="inlineStr">
        <is>
          <t>774c3d7e59b47fe34091e7caaa355f0ee6885d61180b7a56122a577729510f0a</t>
        </is>
      </c>
    </row>
    <row r="136">
      <c r="A136" t="inlineStr">
        <is>
          <t>131</t>
        </is>
      </c>
      <c r="B136" t="inlineStr">
        <is>
          <t>7542546892</t>
        </is>
      </c>
      <c r="C136" t="inlineStr">
        <is>
          <t>2025-12-03 20:10:36</t>
        </is>
      </c>
      <c r="D136" t="inlineStr">
        <is>
          <t>49</t>
        </is>
      </c>
      <c r="E136" t="inlineStr">
        <is>
          <t>Sha Sha - Shandaar Shawarma</t>
        </is>
      </c>
      <c r="F136" t="inlineStr">
        <is>
          <t>18557902</t>
        </is>
      </c>
      <c r="G136" t="inlineStr">
        <is>
          <t>30% off upto ₹75 (2025-06-25 - 2031-01-01)</t>
        </is>
      </c>
      <c r="H136" t="inlineStr">
        <is>
          <t>ONLINE</t>
        </is>
      </c>
      <c r="I136" t="inlineStr">
        <is>
          <t>DELIVERED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O2</t>
        </is>
      </c>
      <c r="N136" t="inlineStr">
        <is>
          <t>36</t>
        </is>
      </c>
      <c r="O136" t="n">
        <v>229</v>
      </c>
      <c r="P136" t="n">
        <v>3.5</v>
      </c>
      <c r="Q136" t="n">
        <v>0</v>
      </c>
      <c r="R136" t="n">
        <v>68.7</v>
      </c>
      <c r="S136" t="n">
        <v>0</v>
      </c>
      <c r="T136" t="n">
        <v>0</v>
      </c>
      <c r="U136" t="n">
        <v>0</v>
      </c>
      <c r="V136" t="n">
        <v>8.19</v>
      </c>
      <c r="W136" t="n">
        <v>171.99</v>
      </c>
      <c r="X136" t="n">
        <v>163.8</v>
      </c>
      <c r="Y136" t="n">
        <v>19</v>
      </c>
      <c r="Z136" t="n">
        <v>31.12</v>
      </c>
      <c r="AA136" t="n">
        <v>3.16</v>
      </c>
      <c r="AB136" t="n">
        <v>34.28</v>
      </c>
      <c r="AC136" t="n">
        <v>6.17</v>
      </c>
      <c r="AD136" t="n">
        <v>0</v>
      </c>
      <c r="AE136" t="n">
        <v>163.8</v>
      </c>
      <c r="AF136" t="n">
        <v>0</v>
      </c>
      <c r="AG136" t="n">
        <v>0</v>
      </c>
      <c r="AH136" t="n">
        <v>0.16</v>
      </c>
      <c r="AI136" t="n">
        <v>8.199999999999999</v>
      </c>
      <c r="AJ136" t="n">
        <v>-0.01</v>
      </c>
      <c r="AK136" t="n">
        <v>14.53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48.81</v>
      </c>
      <c r="AV136" t="n">
        <v>0</v>
      </c>
      <c r="AW136" t="n">
        <v>123.18</v>
      </c>
      <c r="AX136" t="inlineStr">
        <is>
          <t>settled</t>
        </is>
      </c>
      <c r="AY136" t="inlineStr">
        <is>
          <t>2025-12-10 05:30:00</t>
        </is>
      </c>
      <c r="AZ136" t="inlineStr">
        <is>
          <t>CITIN25668288188</t>
        </is>
      </c>
      <c r="BA136" t="n">
        <v>0</v>
      </c>
      <c r="BB136" t="inlineStr">
        <is>
          <t>cd4392fb43e8e508f8bb7f5696bb753074c907c0bb95431e4ab47f7079e82d17</t>
        </is>
      </c>
    </row>
    <row r="137">
      <c r="A137" t="inlineStr">
        <is>
          <t>132</t>
        </is>
      </c>
      <c r="B137" t="inlineStr">
        <is>
          <t>7539458384</t>
        </is>
      </c>
      <c r="C137" t="inlineStr">
        <is>
          <t>2025-12-03 20:30:42</t>
        </is>
      </c>
      <c r="D137" t="inlineStr">
        <is>
          <t>49</t>
        </is>
      </c>
      <c r="E137" t="inlineStr">
        <is>
          <t>Sha Sha - Shandaar Shawarma</t>
        </is>
      </c>
      <c r="F137" t="inlineStr">
        <is>
          <t>18557902</t>
        </is>
      </c>
      <c r="G137" t="inlineStr">
        <is>
          <t>30% off upto ₹75 (2025-06-25 - 2031-01-01)</t>
        </is>
      </c>
      <c r="H137" t="inlineStr">
        <is>
          <t>ONLINE</t>
        </is>
      </c>
      <c r="I137" t="inlineStr">
        <is>
          <t>DELIVERED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O2</t>
        </is>
      </c>
      <c r="N137" t="inlineStr">
        <is>
          <t>36</t>
        </is>
      </c>
      <c r="O137" t="n">
        <v>229</v>
      </c>
      <c r="P137" t="n">
        <v>3.5</v>
      </c>
      <c r="Q137" t="n">
        <v>0</v>
      </c>
      <c r="R137" t="n">
        <v>68.7</v>
      </c>
      <c r="S137" t="n">
        <v>0</v>
      </c>
      <c r="T137" t="n">
        <v>0</v>
      </c>
      <c r="U137" t="n">
        <v>0</v>
      </c>
      <c r="V137" t="n">
        <v>8.19</v>
      </c>
      <c r="W137" t="n">
        <v>171.99</v>
      </c>
      <c r="X137" t="n">
        <v>163.8</v>
      </c>
      <c r="Y137" t="n">
        <v>19</v>
      </c>
      <c r="Z137" t="n">
        <v>31.12</v>
      </c>
      <c r="AA137" t="n">
        <v>3.16</v>
      </c>
      <c r="AB137" t="n">
        <v>34.28</v>
      </c>
      <c r="AC137" t="n">
        <v>6.17</v>
      </c>
      <c r="AD137" t="n">
        <v>0</v>
      </c>
      <c r="AE137" t="n">
        <v>163.8</v>
      </c>
      <c r="AF137" t="n">
        <v>0</v>
      </c>
      <c r="AG137" t="n">
        <v>0</v>
      </c>
      <c r="AH137" t="n">
        <v>0.16</v>
      </c>
      <c r="AI137" t="n">
        <v>8.199999999999999</v>
      </c>
      <c r="AJ137" t="n">
        <v>-0.01</v>
      </c>
      <c r="AK137" t="n">
        <v>14.53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48.81</v>
      </c>
      <c r="AV137" t="n">
        <v>0</v>
      </c>
      <c r="AW137" t="n">
        <v>123.18</v>
      </c>
      <c r="AX137" t="inlineStr">
        <is>
          <t>settled</t>
        </is>
      </c>
      <c r="AY137" t="inlineStr">
        <is>
          <t>2025-12-10 05:30:00</t>
        </is>
      </c>
      <c r="AZ137" t="inlineStr">
        <is>
          <t>CITIN25668288188</t>
        </is>
      </c>
      <c r="BA137" t="n">
        <v>0</v>
      </c>
      <c r="BB137" t="inlineStr">
        <is>
          <t>5bbf14df8938f95d3b7c17a99beb70d7782f65008db9840edde8a35ba5e8e65f</t>
        </is>
      </c>
    </row>
    <row r="138">
      <c r="A138" t="inlineStr">
        <is>
          <t>133</t>
        </is>
      </c>
      <c r="B138" t="inlineStr">
        <is>
          <t>7541290880</t>
        </is>
      </c>
      <c r="C138" t="inlineStr">
        <is>
          <t>2025-12-03 20:55:33</t>
        </is>
      </c>
      <c r="D138" t="inlineStr">
        <is>
          <t>49</t>
        </is>
      </c>
      <c r="E138" t="inlineStr">
        <is>
          <t>Sha Sha - Shandaar Shawarma</t>
        </is>
      </c>
      <c r="F138" t="inlineStr">
        <is>
          <t>18557902</t>
        </is>
      </c>
      <c r="G138" t="inlineStr">
        <is>
          <t>30% off upto ₹75 (2025-06-25 - 2031-01-01)</t>
        </is>
      </c>
      <c r="H138" t="inlineStr">
        <is>
          <t>ONLINE</t>
        </is>
      </c>
      <c r="I138" t="inlineStr">
        <is>
          <t>DELIVERED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O2</t>
        </is>
      </c>
      <c r="N138" t="inlineStr">
        <is>
          <t>36</t>
        </is>
      </c>
      <c r="O138" t="n">
        <v>229</v>
      </c>
      <c r="P138" t="n">
        <v>3.5</v>
      </c>
      <c r="Q138" t="n">
        <v>0</v>
      </c>
      <c r="R138" t="n">
        <v>68.7</v>
      </c>
      <c r="S138" t="n">
        <v>0</v>
      </c>
      <c r="T138" t="n">
        <v>0</v>
      </c>
      <c r="U138" t="n">
        <v>0</v>
      </c>
      <c r="V138" t="n">
        <v>8.19</v>
      </c>
      <c r="W138" t="n">
        <v>171.99</v>
      </c>
      <c r="X138" t="n">
        <v>163.8</v>
      </c>
      <c r="Y138" t="n">
        <v>19</v>
      </c>
      <c r="Z138" t="n">
        <v>31.12</v>
      </c>
      <c r="AA138" t="n">
        <v>3.16</v>
      </c>
      <c r="AB138" t="n">
        <v>34.28</v>
      </c>
      <c r="AC138" t="n">
        <v>6.17</v>
      </c>
      <c r="AD138" t="n">
        <v>0</v>
      </c>
      <c r="AE138" t="n">
        <v>163.8</v>
      </c>
      <c r="AF138" t="n">
        <v>0</v>
      </c>
      <c r="AG138" t="n">
        <v>0</v>
      </c>
      <c r="AH138" t="n">
        <v>0.16</v>
      </c>
      <c r="AI138" t="n">
        <v>8.199999999999999</v>
      </c>
      <c r="AJ138" t="n">
        <v>-0.01</v>
      </c>
      <c r="AK138" t="n">
        <v>14.53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48.81</v>
      </c>
      <c r="AV138" t="n">
        <v>0</v>
      </c>
      <c r="AW138" t="n">
        <v>123.18</v>
      </c>
      <c r="AX138" t="inlineStr">
        <is>
          <t>settled</t>
        </is>
      </c>
      <c r="AY138" t="inlineStr">
        <is>
          <t>2025-12-10 05:30:00</t>
        </is>
      </c>
      <c r="AZ138" t="inlineStr">
        <is>
          <t>CITIN25668288188</t>
        </is>
      </c>
      <c r="BA138" t="n">
        <v>0</v>
      </c>
      <c r="BB138" t="inlineStr">
        <is>
          <t>dec61750ec6d9475588641911b607746e2bed3447d04f2b0eec81bf255f0a98f</t>
        </is>
      </c>
    </row>
    <row r="139">
      <c r="A139" t="inlineStr">
        <is>
          <t>134</t>
        </is>
      </c>
      <c r="B139" t="inlineStr">
        <is>
          <t>7543085291</t>
        </is>
      </c>
      <c r="C139" t="inlineStr">
        <is>
          <t>2025-12-03 21:13:30</t>
        </is>
      </c>
      <c r="D139" t="inlineStr">
        <is>
          <t>49</t>
        </is>
      </c>
      <c r="E139" t="inlineStr">
        <is>
          <t>Sha Sha - Shandaar Shawarma</t>
        </is>
      </c>
      <c r="F139" t="inlineStr">
        <is>
          <t>18557902</t>
        </is>
      </c>
      <c r="G139" t="inlineStr">
        <is>
          <t>30% off upto ₹75 (2025-06-25 - 2031-01-01)</t>
        </is>
      </c>
      <c r="H139" t="inlineStr">
        <is>
          <t>ONLINE</t>
        </is>
      </c>
      <c r="I139" t="inlineStr">
        <is>
          <t>DELIVERED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O2</t>
        </is>
      </c>
      <c r="N139" t="inlineStr">
        <is>
          <t>36</t>
        </is>
      </c>
      <c r="O139" t="n">
        <v>458</v>
      </c>
      <c r="P139" t="n">
        <v>3.5</v>
      </c>
      <c r="Q139" t="n">
        <v>0</v>
      </c>
      <c r="R139" t="n">
        <v>75</v>
      </c>
      <c r="S139" t="n">
        <v>0</v>
      </c>
      <c r="T139" t="n">
        <v>0</v>
      </c>
      <c r="U139" t="n">
        <v>0</v>
      </c>
      <c r="V139" t="n">
        <v>19.33</v>
      </c>
      <c r="W139" t="n">
        <v>405.83</v>
      </c>
      <c r="X139" t="n">
        <v>386.5</v>
      </c>
      <c r="Y139" t="n">
        <v>19</v>
      </c>
      <c r="Z139" t="n">
        <v>73.44</v>
      </c>
      <c r="AA139" t="n">
        <v>7.47</v>
      </c>
      <c r="AB139" t="n">
        <v>80.91</v>
      </c>
      <c r="AC139" t="n">
        <v>14.56</v>
      </c>
      <c r="AD139" t="n">
        <v>0</v>
      </c>
      <c r="AE139" t="n">
        <v>386.5</v>
      </c>
      <c r="AF139" t="n">
        <v>0</v>
      </c>
      <c r="AG139" t="n">
        <v>0</v>
      </c>
      <c r="AH139" t="n">
        <v>0.39</v>
      </c>
      <c r="AI139" t="n">
        <v>19.33</v>
      </c>
      <c r="AJ139" t="n">
        <v>0</v>
      </c>
      <c r="AK139" t="n">
        <v>34.28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115.19</v>
      </c>
      <c r="AV139" t="n">
        <v>0</v>
      </c>
      <c r="AW139" t="n">
        <v>290.64</v>
      </c>
      <c r="AX139" t="inlineStr">
        <is>
          <t>settled</t>
        </is>
      </c>
      <c r="AY139" t="inlineStr">
        <is>
          <t>2025-12-10 05:30:00</t>
        </is>
      </c>
      <c r="AZ139" t="inlineStr">
        <is>
          <t>CITIN25668288188</t>
        </is>
      </c>
      <c r="BA139" t="n">
        <v>0</v>
      </c>
      <c r="BB139" t="inlineStr">
        <is>
          <t>312b78da24fdaa7002eb38c453d2fa695a04948005fe364381b1256bf32853cd</t>
        </is>
      </c>
    </row>
    <row r="140">
      <c r="A140" t="inlineStr">
        <is>
          <t>135</t>
        </is>
      </c>
      <c r="B140" t="inlineStr">
        <is>
          <t>7536625949</t>
        </is>
      </c>
      <c r="C140" t="inlineStr">
        <is>
          <t>2025-12-03 21:18:21</t>
        </is>
      </c>
      <c r="D140" t="inlineStr">
        <is>
          <t>49</t>
        </is>
      </c>
      <c r="E140" t="inlineStr">
        <is>
          <t>Sha Sha - Shandaar Shawarma</t>
        </is>
      </c>
      <c r="F140" t="inlineStr">
        <is>
          <t>18557902</t>
        </is>
      </c>
      <c r="G140" t="inlineStr">
        <is>
          <t>30% off upto ₹75 (2025-06-25 - 2031-01-01)</t>
        </is>
      </c>
      <c r="H140" t="inlineStr">
        <is>
          <t>ONLINE</t>
        </is>
      </c>
      <c r="I140" t="inlineStr">
        <is>
          <t>DELIVERED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O2</t>
        </is>
      </c>
      <c r="N140" t="inlineStr">
        <is>
          <t>36</t>
        </is>
      </c>
      <c r="O140" t="n">
        <v>458</v>
      </c>
      <c r="P140" t="n">
        <v>3.5</v>
      </c>
      <c r="Q140" t="n">
        <v>0</v>
      </c>
      <c r="R140" t="n">
        <v>75</v>
      </c>
      <c r="S140" t="n">
        <v>0</v>
      </c>
      <c r="T140" t="n">
        <v>0</v>
      </c>
      <c r="U140" t="n">
        <v>0</v>
      </c>
      <c r="V140" t="n">
        <v>19.33</v>
      </c>
      <c r="W140" t="n">
        <v>405.83</v>
      </c>
      <c r="X140" t="n">
        <v>386.5</v>
      </c>
      <c r="Y140" t="n">
        <v>19</v>
      </c>
      <c r="Z140" t="n">
        <v>73.44</v>
      </c>
      <c r="AA140" t="n">
        <v>7.47</v>
      </c>
      <c r="AB140" t="n">
        <v>80.91</v>
      </c>
      <c r="AC140" t="n">
        <v>14.56</v>
      </c>
      <c r="AD140" t="n">
        <v>0</v>
      </c>
      <c r="AE140" t="n">
        <v>386.5</v>
      </c>
      <c r="AF140" t="n">
        <v>0</v>
      </c>
      <c r="AG140" t="n">
        <v>0</v>
      </c>
      <c r="AH140" t="n">
        <v>0.39</v>
      </c>
      <c r="AI140" t="n">
        <v>19.33</v>
      </c>
      <c r="AJ140" t="n">
        <v>0</v>
      </c>
      <c r="AK140" t="n">
        <v>34.28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115.19</v>
      </c>
      <c r="AV140" t="n">
        <v>0</v>
      </c>
      <c r="AW140" t="n">
        <v>290.64</v>
      </c>
      <c r="AX140" t="inlineStr">
        <is>
          <t>settled</t>
        </is>
      </c>
      <c r="AY140" t="inlineStr">
        <is>
          <t>2025-12-10 05:30:00</t>
        </is>
      </c>
      <c r="AZ140" t="inlineStr">
        <is>
          <t>CITIN25668288188</t>
        </is>
      </c>
      <c r="BA140" t="n">
        <v>0</v>
      </c>
      <c r="BB140" t="inlineStr">
        <is>
          <t>f2331c06fce7437b2ae7836284653b4167b86b7c5a15f679b9ac72ee4b572167</t>
        </is>
      </c>
    </row>
    <row r="141">
      <c r="A141" t="inlineStr">
        <is>
          <t>136</t>
        </is>
      </c>
      <c r="B141" t="inlineStr">
        <is>
          <t>7544733175</t>
        </is>
      </c>
      <c r="C141" t="inlineStr">
        <is>
          <t>2025-12-03 21:41:54</t>
        </is>
      </c>
      <c r="D141" t="inlineStr">
        <is>
          <t>49</t>
        </is>
      </c>
      <c r="E141" t="inlineStr">
        <is>
          <t>Sha Sha - Shandaar Shawarma</t>
        </is>
      </c>
      <c r="F141" t="inlineStr">
        <is>
          <t>18557902</t>
        </is>
      </c>
      <c r="G141" t="inlineStr">
        <is>
          <t>NA</t>
        </is>
      </c>
      <c r="H141" t="inlineStr">
        <is>
          <t>ONLINE</t>
        </is>
      </c>
      <c r="I141" t="inlineStr">
        <is>
          <t>DELIVERED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O2</t>
        </is>
      </c>
      <c r="N141" t="inlineStr">
        <is>
          <t>36</t>
        </is>
      </c>
      <c r="O141" t="n">
        <v>438</v>
      </c>
      <c r="P141" t="n">
        <v>3.5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22.08</v>
      </c>
      <c r="W141" t="n">
        <v>463.58</v>
      </c>
      <c r="X141" t="n">
        <v>441.5</v>
      </c>
      <c r="Y141" t="n">
        <v>19</v>
      </c>
      <c r="Z141" t="n">
        <v>83.88</v>
      </c>
      <c r="AA141" t="n">
        <v>8.529999999999999</v>
      </c>
      <c r="AB141" t="n">
        <v>92.41</v>
      </c>
      <c r="AC141" t="n">
        <v>16.64</v>
      </c>
      <c r="AD141" t="n">
        <v>0</v>
      </c>
      <c r="AE141" t="n">
        <v>441.5</v>
      </c>
      <c r="AF141" t="n">
        <v>0</v>
      </c>
      <c r="AG141" t="n">
        <v>0</v>
      </c>
      <c r="AH141" t="n">
        <v>0.44</v>
      </c>
      <c r="AI141" t="n">
        <v>22.08</v>
      </c>
      <c r="AJ141" t="n">
        <v>0</v>
      </c>
      <c r="AK141" t="n">
        <v>39.16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131.57</v>
      </c>
      <c r="AV141" t="n">
        <v>0</v>
      </c>
      <c r="AW141" t="n">
        <v>332.01</v>
      </c>
      <c r="AX141" t="inlineStr">
        <is>
          <t>settled</t>
        </is>
      </c>
      <c r="AY141" t="inlineStr">
        <is>
          <t>2025-12-10 05:30:00</t>
        </is>
      </c>
      <c r="AZ141" t="inlineStr">
        <is>
          <t>CITIN25668288188</t>
        </is>
      </c>
      <c r="BA141" t="n">
        <v>0</v>
      </c>
      <c r="BB141" t="inlineStr">
        <is>
          <t>62d8d94bda014fa6cb55edc55007d2498a63807732ae4ee7eb3e13e6509cf409</t>
        </is>
      </c>
    </row>
    <row r="142">
      <c r="A142" t="inlineStr">
        <is>
          <t>137</t>
        </is>
      </c>
      <c r="B142" t="inlineStr">
        <is>
          <t>7546355156</t>
        </is>
      </c>
      <c r="C142" t="inlineStr">
        <is>
          <t>2025-12-03 21:55:39</t>
        </is>
      </c>
      <c r="D142" t="inlineStr">
        <is>
          <t>49</t>
        </is>
      </c>
      <c r="E142" t="inlineStr">
        <is>
          <t>Sha Sha - Shandaar Shawarma</t>
        </is>
      </c>
      <c r="F142" t="inlineStr">
        <is>
          <t>18557902</t>
        </is>
      </c>
      <c r="G142" t="inlineStr">
        <is>
          <t>30% off upto ₹75 (2025-06-25 - 2031-01-01)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O2</t>
        </is>
      </c>
      <c r="N142" t="inlineStr">
        <is>
          <t>36</t>
        </is>
      </c>
      <c r="O142" t="n">
        <v>219</v>
      </c>
      <c r="P142" t="n">
        <v>3.5</v>
      </c>
      <c r="Q142" t="n">
        <v>0</v>
      </c>
      <c r="R142" t="n">
        <v>65.7</v>
      </c>
      <c r="S142" t="n">
        <v>0</v>
      </c>
      <c r="T142" t="n">
        <v>0</v>
      </c>
      <c r="U142" t="n">
        <v>0</v>
      </c>
      <c r="V142" t="n">
        <v>7.84</v>
      </c>
      <c r="W142" t="n">
        <v>164.64</v>
      </c>
      <c r="X142" t="n">
        <v>156.8</v>
      </c>
      <c r="Y142" t="n">
        <v>19</v>
      </c>
      <c r="Z142" t="n">
        <v>29.79</v>
      </c>
      <c r="AA142" t="n">
        <v>3.03</v>
      </c>
      <c r="AB142" t="n">
        <v>32.82</v>
      </c>
      <c r="AC142" t="n">
        <v>5.91</v>
      </c>
      <c r="AD142" t="n">
        <v>0</v>
      </c>
      <c r="AE142" t="n">
        <v>156.8</v>
      </c>
      <c r="AF142" t="n">
        <v>0</v>
      </c>
      <c r="AG142" t="n">
        <v>0</v>
      </c>
      <c r="AH142" t="n">
        <v>0.16</v>
      </c>
      <c r="AI142" t="n">
        <v>7.85</v>
      </c>
      <c r="AJ142" t="n">
        <v>-0.01</v>
      </c>
      <c r="AK142" t="n">
        <v>13.92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46.74</v>
      </c>
      <c r="AV142" t="n">
        <v>0</v>
      </c>
      <c r="AW142" t="n">
        <v>117.9</v>
      </c>
      <c r="AX142" t="inlineStr">
        <is>
          <t>settled</t>
        </is>
      </c>
      <c r="AY142" t="inlineStr">
        <is>
          <t>2025-12-10 05:30:00</t>
        </is>
      </c>
      <c r="AZ142" t="inlineStr">
        <is>
          <t>CITIN25668288188</t>
        </is>
      </c>
      <c r="BA142" t="n">
        <v>0</v>
      </c>
      <c r="BB142" t="inlineStr">
        <is>
          <t>48249ca1af2e5f1eee6d7a263b5a62cee4df1c21a1928d64f831a9bf12b5b0e8</t>
        </is>
      </c>
    </row>
    <row r="143">
      <c r="A143" t="inlineStr">
        <is>
          <t>138</t>
        </is>
      </c>
      <c r="B143" t="inlineStr">
        <is>
          <t>7544628630</t>
        </is>
      </c>
      <c r="C143" t="inlineStr">
        <is>
          <t>2025-12-03 22:11:55</t>
        </is>
      </c>
      <c r="D143" t="inlineStr">
        <is>
          <t>49</t>
        </is>
      </c>
      <c r="E143" t="inlineStr">
        <is>
          <t>Sha Sha - Shandaar Shawarma</t>
        </is>
      </c>
      <c r="F143" t="inlineStr">
        <is>
          <t>18557902</t>
        </is>
      </c>
      <c r="G143" t="inlineStr">
        <is>
          <t>30% off upto ₹75 (2025-06-25 - 2031-01-01)</t>
        </is>
      </c>
      <c r="H143" t="inlineStr">
        <is>
          <t>ONLINE</t>
        </is>
      </c>
      <c r="I143" t="inlineStr">
        <is>
          <t>DELIVERED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O2</t>
        </is>
      </c>
      <c r="N143" t="inlineStr">
        <is>
          <t>36</t>
        </is>
      </c>
      <c r="O143" t="n">
        <v>268</v>
      </c>
      <c r="P143" t="n">
        <v>3.5</v>
      </c>
      <c r="Q143" t="n">
        <v>0</v>
      </c>
      <c r="R143" t="n">
        <v>75</v>
      </c>
      <c r="S143" t="n">
        <v>0</v>
      </c>
      <c r="T143" t="n">
        <v>0</v>
      </c>
      <c r="U143" t="n">
        <v>0</v>
      </c>
      <c r="V143" t="n">
        <v>9.83</v>
      </c>
      <c r="W143" t="n">
        <v>206.33</v>
      </c>
      <c r="X143" t="n">
        <v>196.5</v>
      </c>
      <c r="Y143" t="n">
        <v>19</v>
      </c>
      <c r="Z143" t="n">
        <v>37.34</v>
      </c>
      <c r="AA143" t="n">
        <v>3.8</v>
      </c>
      <c r="AB143" t="n">
        <v>41.14</v>
      </c>
      <c r="AC143" t="n">
        <v>7.4</v>
      </c>
      <c r="AD143" t="n">
        <v>0</v>
      </c>
      <c r="AE143" t="n">
        <v>196.5</v>
      </c>
      <c r="AF143" t="n">
        <v>0</v>
      </c>
      <c r="AG143" t="n">
        <v>0</v>
      </c>
      <c r="AH143" t="n">
        <v>0.2</v>
      </c>
      <c r="AI143" t="n">
        <v>9.83</v>
      </c>
      <c r="AJ143" t="n">
        <v>0</v>
      </c>
      <c r="AK143" t="n">
        <v>17.43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58.57</v>
      </c>
      <c r="AV143" t="n">
        <v>0</v>
      </c>
      <c r="AW143" t="n">
        <v>147.76</v>
      </c>
      <c r="AX143" t="inlineStr">
        <is>
          <t>settled</t>
        </is>
      </c>
      <c r="AY143" t="inlineStr">
        <is>
          <t>2025-12-10 05:30:00</t>
        </is>
      </c>
      <c r="AZ143" t="inlineStr">
        <is>
          <t>CITIN25668288188</t>
        </is>
      </c>
      <c r="BA143" t="n">
        <v>0</v>
      </c>
      <c r="BB143" t="inlineStr">
        <is>
          <t>621f213c7277d11a31a62436b3f1bda75edc43b96afd6a77a62187c11788ce3a</t>
        </is>
      </c>
    </row>
    <row r="144">
      <c r="A144" t="inlineStr">
        <is>
          <t>139</t>
        </is>
      </c>
      <c r="B144" t="inlineStr">
        <is>
          <t>7538226371</t>
        </is>
      </c>
      <c r="C144" t="inlineStr">
        <is>
          <t>2025-12-03 22:31:35</t>
        </is>
      </c>
      <c r="D144" t="inlineStr">
        <is>
          <t>49</t>
        </is>
      </c>
      <c r="E144" t="inlineStr">
        <is>
          <t>Sha Sha - Shandaar Shawarma</t>
        </is>
      </c>
      <c r="F144" t="inlineStr">
        <is>
          <t>18557902</t>
        </is>
      </c>
      <c r="G144" t="inlineStr">
        <is>
          <t>NA</t>
        </is>
      </c>
      <c r="H144" t="inlineStr">
        <is>
          <t>ONLINE</t>
        </is>
      </c>
      <c r="I144" t="inlineStr">
        <is>
          <t>DELIVERED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O2</t>
        </is>
      </c>
      <c r="N144" t="inlineStr">
        <is>
          <t>36</t>
        </is>
      </c>
      <c r="O144" t="n">
        <v>458</v>
      </c>
      <c r="P144" t="n">
        <v>3.5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23.08</v>
      </c>
      <c r="W144" t="n">
        <v>484.58</v>
      </c>
      <c r="X144" t="n">
        <v>461.5</v>
      </c>
      <c r="Y144" t="n">
        <v>19</v>
      </c>
      <c r="Z144" t="n">
        <v>87.68000000000001</v>
      </c>
      <c r="AA144" t="n">
        <v>8.92</v>
      </c>
      <c r="AB144" t="n">
        <v>96.59999999999999</v>
      </c>
      <c r="AC144" t="n">
        <v>17.39</v>
      </c>
      <c r="AD144" t="n">
        <v>0</v>
      </c>
      <c r="AE144" t="n">
        <v>461.5</v>
      </c>
      <c r="AF144" t="n">
        <v>0</v>
      </c>
      <c r="AG144" t="n">
        <v>0</v>
      </c>
      <c r="AH144" t="n">
        <v>0.46</v>
      </c>
      <c r="AI144" t="n">
        <v>23.08</v>
      </c>
      <c r="AJ144" t="n">
        <v>0</v>
      </c>
      <c r="AK144" t="n">
        <v>40.93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137.53</v>
      </c>
      <c r="AV144" t="n">
        <v>0</v>
      </c>
      <c r="AW144" t="n">
        <v>347.05</v>
      </c>
      <c r="AX144" t="inlineStr">
        <is>
          <t>settled</t>
        </is>
      </c>
      <c r="AY144" t="inlineStr">
        <is>
          <t>2025-12-10 05:30:00</t>
        </is>
      </c>
      <c r="AZ144" t="inlineStr">
        <is>
          <t>CITIN25668288188</t>
        </is>
      </c>
      <c r="BA144" t="n">
        <v>0</v>
      </c>
      <c r="BB144" t="inlineStr">
        <is>
          <t>25033885b98f20b002c05151e9689e78a96e1bb197877c5f3e7dfcafc34ab234</t>
        </is>
      </c>
    </row>
    <row r="145">
      <c r="A145" t="inlineStr">
        <is>
          <t>140</t>
        </is>
      </c>
      <c r="B145" t="inlineStr">
        <is>
          <t>7542105139</t>
        </is>
      </c>
      <c r="C145" t="inlineStr">
        <is>
          <t>2025-12-03 22:45:35</t>
        </is>
      </c>
      <c r="D145" t="inlineStr">
        <is>
          <t>49</t>
        </is>
      </c>
      <c r="E145" t="inlineStr">
        <is>
          <t>Sha Sha - Shandaar Shawarma</t>
        </is>
      </c>
      <c r="F145" t="inlineStr">
        <is>
          <t>18557902</t>
        </is>
      </c>
      <c r="G145" t="inlineStr">
        <is>
          <t>30% off upto ₹75 (2025-06-25 - 2031-01-01)</t>
        </is>
      </c>
      <c r="H145" t="inlineStr">
        <is>
          <t>ONLINE</t>
        </is>
      </c>
      <c r="I145" t="inlineStr">
        <is>
          <t>DELIVERED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O2</t>
        </is>
      </c>
      <c r="N145" t="inlineStr">
        <is>
          <t>36</t>
        </is>
      </c>
      <c r="O145" t="n">
        <v>345</v>
      </c>
      <c r="P145" t="n">
        <v>3.5</v>
      </c>
      <c r="Q145" t="n">
        <v>0</v>
      </c>
      <c r="R145" t="n">
        <v>75</v>
      </c>
      <c r="S145" t="n">
        <v>0</v>
      </c>
      <c r="T145" t="n">
        <v>0</v>
      </c>
      <c r="U145" t="n">
        <v>0</v>
      </c>
      <c r="V145" t="n">
        <v>13.68</v>
      </c>
      <c r="W145" t="n">
        <v>287.18</v>
      </c>
      <c r="X145" t="n">
        <v>273.5</v>
      </c>
      <c r="Y145" t="n">
        <v>19</v>
      </c>
      <c r="Z145" t="n">
        <v>51.96</v>
      </c>
      <c r="AA145" t="n">
        <v>5.28</v>
      </c>
      <c r="AB145" t="n">
        <v>57.24</v>
      </c>
      <c r="AC145" t="n">
        <v>10.3</v>
      </c>
      <c r="AD145" t="n">
        <v>0</v>
      </c>
      <c r="AE145" t="n">
        <v>273.5</v>
      </c>
      <c r="AF145" t="n">
        <v>0</v>
      </c>
      <c r="AG145" t="n">
        <v>0</v>
      </c>
      <c r="AH145" t="n">
        <v>0.27</v>
      </c>
      <c r="AI145" t="n">
        <v>13.68</v>
      </c>
      <c r="AJ145" t="n">
        <v>0</v>
      </c>
      <c r="AK145" t="n">
        <v>24.25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81.48999999999999</v>
      </c>
      <c r="AV145" t="n">
        <v>0</v>
      </c>
      <c r="AW145" t="n">
        <v>205.69</v>
      </c>
      <c r="AX145" t="inlineStr">
        <is>
          <t>settled</t>
        </is>
      </c>
      <c r="AY145" t="inlineStr">
        <is>
          <t>2025-12-10 05:30:00</t>
        </is>
      </c>
      <c r="AZ145" t="inlineStr">
        <is>
          <t>CITIN25668288188</t>
        </is>
      </c>
      <c r="BA145" t="n">
        <v>0</v>
      </c>
      <c r="BB145" t="inlineStr">
        <is>
          <t>97b4133bde4eb0767e9ce68171387ff49f31d258169b1f78ae8f5981ef069b25</t>
        </is>
      </c>
    </row>
    <row r="146">
      <c r="A146" t="inlineStr">
        <is>
          <t>141</t>
        </is>
      </c>
      <c r="B146" t="inlineStr">
        <is>
          <t>7538376107</t>
        </is>
      </c>
      <c r="C146" t="inlineStr">
        <is>
          <t>2025-12-03 22:54:48</t>
        </is>
      </c>
      <c r="D146" t="inlineStr">
        <is>
          <t>49</t>
        </is>
      </c>
      <c r="E146" t="inlineStr">
        <is>
          <t>Sha Sha - Shandaar Shawarma</t>
        </is>
      </c>
      <c r="F146" t="inlineStr">
        <is>
          <t>18557902</t>
        </is>
      </c>
      <c r="G146" t="inlineStr">
        <is>
          <t>30% off upto ₹75 (2025-06-25 - 2031-01-01)</t>
        </is>
      </c>
      <c r="H146" t="inlineStr">
        <is>
          <t>ONLINE</t>
        </is>
      </c>
      <c r="I146" t="inlineStr">
        <is>
          <t>DELIVERED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O2</t>
        </is>
      </c>
      <c r="N146" t="inlineStr">
        <is>
          <t>36</t>
        </is>
      </c>
      <c r="O146" t="n">
        <v>229</v>
      </c>
      <c r="P146" t="n">
        <v>3.5</v>
      </c>
      <c r="Q146" t="n">
        <v>0</v>
      </c>
      <c r="R146" t="n">
        <v>68.7</v>
      </c>
      <c r="S146" t="n">
        <v>0</v>
      </c>
      <c r="T146" t="n">
        <v>0</v>
      </c>
      <c r="U146" t="n">
        <v>0</v>
      </c>
      <c r="V146" t="n">
        <v>8.19</v>
      </c>
      <c r="W146" t="n">
        <v>171.99</v>
      </c>
      <c r="X146" t="n">
        <v>163.8</v>
      </c>
      <c r="Y146" t="n">
        <v>19</v>
      </c>
      <c r="Z146" t="n">
        <v>31.12</v>
      </c>
      <c r="AA146" t="n">
        <v>3.16</v>
      </c>
      <c r="AB146" t="n">
        <v>34.28</v>
      </c>
      <c r="AC146" t="n">
        <v>6.17</v>
      </c>
      <c r="AD146" t="n">
        <v>0</v>
      </c>
      <c r="AE146" t="n">
        <v>163.8</v>
      </c>
      <c r="AF146" t="n">
        <v>0</v>
      </c>
      <c r="AG146" t="n">
        <v>0</v>
      </c>
      <c r="AH146" t="n">
        <v>0.16</v>
      </c>
      <c r="AI146" t="n">
        <v>8.199999999999999</v>
      </c>
      <c r="AJ146" t="n">
        <v>-0.01</v>
      </c>
      <c r="AK146" t="n">
        <v>14.53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48.81</v>
      </c>
      <c r="AV146" t="n">
        <v>0</v>
      </c>
      <c r="AW146" t="n">
        <v>123.18</v>
      </c>
      <c r="AX146" t="inlineStr">
        <is>
          <t>settled</t>
        </is>
      </c>
      <c r="AY146" t="inlineStr">
        <is>
          <t>2025-12-10 05:30:00</t>
        </is>
      </c>
      <c r="AZ146" t="inlineStr">
        <is>
          <t>CITIN25668288188</t>
        </is>
      </c>
      <c r="BA146" t="n">
        <v>0</v>
      </c>
      <c r="BB146" t="inlineStr">
        <is>
          <t>c97bcf5ef88f2adc1671bd435d8b47b7b827599100aa21b6670f966ba247c5dc</t>
        </is>
      </c>
    </row>
    <row r="147">
      <c r="A147" t="inlineStr">
        <is>
          <t>142</t>
        </is>
      </c>
      <c r="B147" t="inlineStr">
        <is>
          <t>7545788165</t>
        </is>
      </c>
      <c r="C147" t="inlineStr">
        <is>
          <t>2025-12-03 22:56:05</t>
        </is>
      </c>
      <c r="D147" t="inlineStr">
        <is>
          <t>49</t>
        </is>
      </c>
      <c r="E147" t="inlineStr">
        <is>
          <t>Sha Sha - Shandaar Shawarma</t>
        </is>
      </c>
      <c r="F147" t="inlineStr">
        <is>
          <t>18557902</t>
        </is>
      </c>
      <c r="G147" t="inlineStr">
        <is>
          <t>30% off upto ₹75 (2025-06-25 - 2031-01-01)</t>
        </is>
      </c>
      <c r="H147" t="inlineStr">
        <is>
          <t>ONLINE</t>
        </is>
      </c>
      <c r="I147" t="inlineStr">
        <is>
          <t>DELIVERED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O2</t>
        </is>
      </c>
      <c r="N147" t="inlineStr">
        <is>
          <t>36</t>
        </is>
      </c>
      <c r="O147" t="n">
        <v>229</v>
      </c>
      <c r="P147" t="n">
        <v>3.5</v>
      </c>
      <c r="Q147" t="n">
        <v>0</v>
      </c>
      <c r="R147" t="n">
        <v>68.7</v>
      </c>
      <c r="S147" t="n">
        <v>0</v>
      </c>
      <c r="T147" t="n">
        <v>0</v>
      </c>
      <c r="U147" t="n">
        <v>0</v>
      </c>
      <c r="V147" t="n">
        <v>8.19</v>
      </c>
      <c r="W147" t="n">
        <v>171.99</v>
      </c>
      <c r="X147" t="n">
        <v>163.8</v>
      </c>
      <c r="Y147" t="n">
        <v>19</v>
      </c>
      <c r="Z147" t="n">
        <v>31.12</v>
      </c>
      <c r="AA147" t="n">
        <v>3.16</v>
      </c>
      <c r="AB147" t="n">
        <v>34.28</v>
      </c>
      <c r="AC147" t="n">
        <v>6.17</v>
      </c>
      <c r="AD147" t="n">
        <v>0</v>
      </c>
      <c r="AE147" t="n">
        <v>163.8</v>
      </c>
      <c r="AF147" t="n">
        <v>0</v>
      </c>
      <c r="AG147" t="n">
        <v>0</v>
      </c>
      <c r="AH147" t="n">
        <v>0.16</v>
      </c>
      <c r="AI147" t="n">
        <v>8.199999999999999</v>
      </c>
      <c r="AJ147" t="n">
        <v>-0.01</v>
      </c>
      <c r="AK147" t="n">
        <v>14.53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48.81</v>
      </c>
      <c r="AV147" t="n">
        <v>0</v>
      </c>
      <c r="AW147" t="n">
        <v>123.18</v>
      </c>
      <c r="AX147" t="inlineStr">
        <is>
          <t>settled</t>
        </is>
      </c>
      <c r="AY147" t="inlineStr">
        <is>
          <t>2025-12-10 05:30:00</t>
        </is>
      </c>
      <c r="AZ147" t="inlineStr">
        <is>
          <t>CITIN25668288188</t>
        </is>
      </c>
      <c r="BA147" t="n">
        <v>0</v>
      </c>
      <c r="BB147" t="inlineStr">
        <is>
          <t>ad24621f410534897e523d0504c6d6a1da0966fb7741782b3a09f76d95988d22</t>
        </is>
      </c>
    </row>
    <row r="148">
      <c r="A148" t="inlineStr">
        <is>
          <t>143</t>
        </is>
      </c>
      <c r="B148" t="inlineStr">
        <is>
          <t>7545991314</t>
        </is>
      </c>
      <c r="C148" t="inlineStr">
        <is>
          <t>2025-12-03 23:14:11</t>
        </is>
      </c>
      <c r="D148" t="inlineStr">
        <is>
          <t>49</t>
        </is>
      </c>
      <c r="E148" t="inlineStr">
        <is>
          <t>Sha Sha - Shandaar Shawarma</t>
        </is>
      </c>
      <c r="F148" t="inlineStr">
        <is>
          <t>18557902</t>
        </is>
      </c>
      <c r="G148" t="inlineStr">
        <is>
          <t>NA</t>
        </is>
      </c>
      <c r="H148" t="inlineStr">
        <is>
          <t>ONLINE</t>
        </is>
      </c>
      <c r="I148" t="inlineStr">
        <is>
          <t>DELIVERED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O2</t>
        </is>
      </c>
      <c r="N148" t="inlineStr">
        <is>
          <t>36</t>
        </is>
      </c>
      <c r="O148" t="n">
        <v>229</v>
      </c>
      <c r="P148" t="n">
        <v>3.5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11.63</v>
      </c>
      <c r="W148" t="n">
        <v>244.13</v>
      </c>
      <c r="X148" t="n">
        <v>232.5</v>
      </c>
      <c r="Y148" t="n">
        <v>19</v>
      </c>
      <c r="Z148" t="n">
        <v>44.18</v>
      </c>
      <c r="AA148" t="n">
        <v>4.49</v>
      </c>
      <c r="AB148" t="n">
        <v>48.67</v>
      </c>
      <c r="AC148" t="n">
        <v>8.76</v>
      </c>
      <c r="AD148" t="n">
        <v>0</v>
      </c>
      <c r="AE148" t="n">
        <v>232.5</v>
      </c>
      <c r="AF148" t="n">
        <v>0</v>
      </c>
      <c r="AG148" t="n">
        <v>0</v>
      </c>
      <c r="AH148" t="n">
        <v>0.23</v>
      </c>
      <c r="AI148" t="n">
        <v>11.63</v>
      </c>
      <c r="AJ148" t="n">
        <v>0</v>
      </c>
      <c r="AK148" t="n">
        <v>20.62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69.29000000000001</v>
      </c>
      <c r="AV148" t="n">
        <v>0</v>
      </c>
      <c r="AW148" t="n">
        <v>174.84</v>
      </c>
      <c r="AX148" t="inlineStr">
        <is>
          <t>settled</t>
        </is>
      </c>
      <c r="AY148" t="inlineStr">
        <is>
          <t>2025-12-10 05:30:00</t>
        </is>
      </c>
      <c r="AZ148" t="inlineStr">
        <is>
          <t>CITIN25668288188</t>
        </is>
      </c>
      <c r="BA148" t="n">
        <v>0</v>
      </c>
      <c r="BB148" t="inlineStr">
        <is>
          <t>a17fc3599dc8ccbdb7365d45883ff729f64db614eccab6a0e6b8af3a15c9f789</t>
        </is>
      </c>
    </row>
    <row r="149">
      <c r="A149" t="inlineStr">
        <is>
          <t>144</t>
        </is>
      </c>
      <c r="B149" t="inlineStr">
        <is>
          <t>7543001727</t>
        </is>
      </c>
      <c r="C149" t="inlineStr">
        <is>
          <t>2025-12-03 23:18:56</t>
        </is>
      </c>
      <c r="D149" t="inlineStr">
        <is>
          <t>49</t>
        </is>
      </c>
      <c r="E149" t="inlineStr">
        <is>
          <t>Sha Sha - Shandaar Shawarma</t>
        </is>
      </c>
      <c r="F149" t="inlineStr">
        <is>
          <t>18557902</t>
        </is>
      </c>
      <c r="G149" t="inlineStr">
        <is>
          <t>30% off upto ₹75 (2025-06-25 - 2031-01-01)</t>
        </is>
      </c>
      <c r="H149" t="inlineStr">
        <is>
          <t>ONLINE</t>
        </is>
      </c>
      <c r="I149" t="inlineStr">
        <is>
          <t>DELIVERED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O2</t>
        </is>
      </c>
      <c r="N149" t="inlineStr">
        <is>
          <t>36</t>
        </is>
      </c>
      <c r="O149" t="n">
        <v>458</v>
      </c>
      <c r="P149" t="n">
        <v>3.5</v>
      </c>
      <c r="Q149" t="n">
        <v>0</v>
      </c>
      <c r="R149" t="n">
        <v>75</v>
      </c>
      <c r="S149" t="n">
        <v>0</v>
      </c>
      <c r="T149" t="n">
        <v>0</v>
      </c>
      <c r="U149" t="n">
        <v>0</v>
      </c>
      <c r="V149" t="n">
        <v>19.33</v>
      </c>
      <c r="W149" t="n">
        <v>405.83</v>
      </c>
      <c r="X149" t="n">
        <v>386.5</v>
      </c>
      <c r="Y149" t="n">
        <v>19</v>
      </c>
      <c r="Z149" t="n">
        <v>73.44</v>
      </c>
      <c r="AA149" t="n">
        <v>7.47</v>
      </c>
      <c r="AB149" t="n">
        <v>80.91</v>
      </c>
      <c r="AC149" t="n">
        <v>14.56</v>
      </c>
      <c r="AD149" t="n">
        <v>0</v>
      </c>
      <c r="AE149" t="n">
        <v>386.5</v>
      </c>
      <c r="AF149" t="n">
        <v>0</v>
      </c>
      <c r="AG149" t="n">
        <v>0</v>
      </c>
      <c r="AH149" t="n">
        <v>0.39</v>
      </c>
      <c r="AI149" t="n">
        <v>19.33</v>
      </c>
      <c r="AJ149" t="n">
        <v>0</v>
      </c>
      <c r="AK149" t="n">
        <v>34.28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115.19</v>
      </c>
      <c r="AV149" t="n">
        <v>0</v>
      </c>
      <c r="AW149" t="n">
        <v>290.64</v>
      </c>
      <c r="AX149" t="inlineStr">
        <is>
          <t>settled</t>
        </is>
      </c>
      <c r="AY149" t="inlineStr">
        <is>
          <t>2025-12-10 05:30:00</t>
        </is>
      </c>
      <c r="AZ149" t="inlineStr">
        <is>
          <t>CITIN25668288188</t>
        </is>
      </c>
      <c r="BA149" t="n">
        <v>0</v>
      </c>
      <c r="BB149" t="inlineStr">
        <is>
          <t>f1efba0536fc9a4db105bb5c8c1a05c6b558a8c50766d59042368335af2d4b44</t>
        </is>
      </c>
    </row>
    <row r="150">
      <c r="A150" t="inlineStr">
        <is>
          <t>145</t>
        </is>
      </c>
      <c r="B150" t="inlineStr">
        <is>
          <t>7546026200</t>
        </is>
      </c>
      <c r="C150" t="inlineStr">
        <is>
          <t>2025-12-03 23:19:49</t>
        </is>
      </c>
      <c r="D150" t="inlineStr">
        <is>
          <t>49</t>
        </is>
      </c>
      <c r="E150" t="inlineStr">
        <is>
          <t>Sha Sha - Shandaar Shawarma</t>
        </is>
      </c>
      <c r="F150" t="inlineStr">
        <is>
          <t>18557902</t>
        </is>
      </c>
      <c r="G150" t="inlineStr">
        <is>
          <t>30% off upto ₹75 (2025-06-25 - 2031-01-01)</t>
        </is>
      </c>
      <c r="H150" t="inlineStr">
        <is>
          <t>ONLINE</t>
        </is>
      </c>
      <c r="I150" t="inlineStr">
        <is>
          <t>DELIVERED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O2</t>
        </is>
      </c>
      <c r="N150" t="inlineStr">
        <is>
          <t>36</t>
        </is>
      </c>
      <c r="O150" t="n">
        <v>229</v>
      </c>
      <c r="P150" t="n">
        <v>3.5</v>
      </c>
      <c r="Q150" t="n">
        <v>0</v>
      </c>
      <c r="R150" t="n">
        <v>68.7</v>
      </c>
      <c r="S150" t="n">
        <v>0</v>
      </c>
      <c r="T150" t="n">
        <v>0</v>
      </c>
      <c r="U150" t="n">
        <v>0</v>
      </c>
      <c r="V150" t="n">
        <v>8.19</v>
      </c>
      <c r="W150" t="n">
        <v>171.99</v>
      </c>
      <c r="X150" t="n">
        <v>163.8</v>
      </c>
      <c r="Y150" t="n">
        <v>19</v>
      </c>
      <c r="Z150" t="n">
        <v>31.12</v>
      </c>
      <c r="AA150" t="n">
        <v>3.16</v>
      </c>
      <c r="AB150" t="n">
        <v>34.28</v>
      </c>
      <c r="AC150" t="n">
        <v>6.17</v>
      </c>
      <c r="AD150" t="n">
        <v>0</v>
      </c>
      <c r="AE150" t="n">
        <v>163.8</v>
      </c>
      <c r="AF150" t="n">
        <v>0</v>
      </c>
      <c r="AG150" t="n">
        <v>0</v>
      </c>
      <c r="AH150" t="n">
        <v>0.16</v>
      </c>
      <c r="AI150" t="n">
        <v>8.199999999999999</v>
      </c>
      <c r="AJ150" t="n">
        <v>-0.01</v>
      </c>
      <c r="AK150" t="n">
        <v>14.53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48.81</v>
      </c>
      <c r="AV150" t="n">
        <v>0</v>
      </c>
      <c r="AW150" t="n">
        <v>123.18</v>
      </c>
      <c r="AX150" t="inlineStr">
        <is>
          <t>settled</t>
        </is>
      </c>
      <c r="AY150" t="inlineStr">
        <is>
          <t>2025-12-10 05:30:00</t>
        </is>
      </c>
      <c r="AZ150" t="inlineStr">
        <is>
          <t>CITIN25668288188</t>
        </is>
      </c>
      <c r="BA150" t="n">
        <v>0</v>
      </c>
      <c r="BB150" t="inlineStr">
        <is>
          <t>f9336070b5418d62edc615e0b45952477989947bc9404569bcec1d3e42f8a124</t>
        </is>
      </c>
    </row>
    <row r="151">
      <c r="A151" t="inlineStr">
        <is>
          <t>146</t>
        </is>
      </c>
      <c r="B151" t="inlineStr">
        <is>
          <t>7543756673</t>
        </is>
      </c>
      <c r="C151" t="inlineStr">
        <is>
          <t>2025-12-04 00:17:49</t>
        </is>
      </c>
      <c r="D151" t="inlineStr">
        <is>
          <t>49</t>
        </is>
      </c>
      <c r="E151" t="inlineStr">
        <is>
          <t>Sha Sha - Shandaar Shawarma</t>
        </is>
      </c>
      <c r="F151" t="inlineStr">
        <is>
          <t>18557902</t>
        </is>
      </c>
      <c r="G151" t="inlineStr">
        <is>
          <t>30% off upto ₹75 (2025-06-25 - 2031-01-01)</t>
        </is>
      </c>
      <c r="H151" t="inlineStr">
        <is>
          <t>ONLINE</t>
        </is>
      </c>
      <c r="I151" t="inlineStr">
        <is>
          <t>DELIVERED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O2</t>
        </is>
      </c>
      <c r="N151" t="inlineStr">
        <is>
          <t>36</t>
        </is>
      </c>
      <c r="O151" t="n">
        <v>229</v>
      </c>
      <c r="P151" t="n">
        <v>3.5</v>
      </c>
      <c r="Q151" t="n">
        <v>0</v>
      </c>
      <c r="R151" t="n">
        <v>68.7</v>
      </c>
      <c r="S151" t="n">
        <v>0</v>
      </c>
      <c r="T151" t="n">
        <v>0</v>
      </c>
      <c r="U151" t="n">
        <v>0</v>
      </c>
      <c r="V151" t="n">
        <v>8.19</v>
      </c>
      <c r="W151" t="n">
        <v>171.99</v>
      </c>
      <c r="X151" t="n">
        <v>163.8</v>
      </c>
      <c r="Y151" t="n">
        <v>19</v>
      </c>
      <c r="Z151" t="n">
        <v>31.12</v>
      </c>
      <c r="AA151" t="n">
        <v>3.16</v>
      </c>
      <c r="AB151" t="n">
        <v>34.28</v>
      </c>
      <c r="AC151" t="n">
        <v>6.17</v>
      </c>
      <c r="AD151" t="n">
        <v>0</v>
      </c>
      <c r="AE151" t="n">
        <v>163.8</v>
      </c>
      <c r="AF151" t="n">
        <v>0</v>
      </c>
      <c r="AG151" t="n">
        <v>0</v>
      </c>
      <c r="AH151" t="n">
        <v>0.16</v>
      </c>
      <c r="AI151" t="n">
        <v>8.199999999999999</v>
      </c>
      <c r="AJ151" t="n">
        <v>-0.01</v>
      </c>
      <c r="AK151" t="n">
        <v>14.53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48.81</v>
      </c>
      <c r="AV151" t="n">
        <v>0</v>
      </c>
      <c r="AW151" t="n">
        <v>123.18</v>
      </c>
      <c r="AX151" t="inlineStr">
        <is>
          <t>settled</t>
        </is>
      </c>
      <c r="AY151" t="inlineStr">
        <is>
          <t>2025-12-10 05:30:00</t>
        </is>
      </c>
      <c r="AZ151" t="inlineStr">
        <is>
          <t>CITIN25668288188</t>
        </is>
      </c>
      <c r="BA151" t="n">
        <v>0</v>
      </c>
      <c r="BB151" t="inlineStr">
        <is>
          <t>0f1826b6d3cb4885c573bde9e0528ffcd0dade25c163021204ea56cc6c0cc44a</t>
        </is>
      </c>
    </row>
    <row r="152">
      <c r="A152" t="inlineStr">
        <is>
          <t>147</t>
        </is>
      </c>
      <c r="B152" t="inlineStr">
        <is>
          <t>7546824939</t>
        </is>
      </c>
      <c r="C152" t="inlineStr">
        <is>
          <t>2025-12-04 00:37:48</t>
        </is>
      </c>
      <c r="D152" t="inlineStr">
        <is>
          <t>49</t>
        </is>
      </c>
      <c r="E152" t="inlineStr">
        <is>
          <t>Sha Sha - Shandaar Shawarma</t>
        </is>
      </c>
      <c r="F152" t="inlineStr">
        <is>
          <t>18557902</t>
        </is>
      </c>
      <c r="G152" t="inlineStr">
        <is>
          <t>NA</t>
        </is>
      </c>
      <c r="H152" t="inlineStr">
        <is>
          <t>ONLINE</t>
        </is>
      </c>
      <c r="I152" t="inlineStr">
        <is>
          <t>DELIVERED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O2</t>
        </is>
      </c>
      <c r="N152" t="inlineStr">
        <is>
          <t>36</t>
        </is>
      </c>
      <c r="O152" t="n">
        <v>229</v>
      </c>
      <c r="P152" t="n">
        <v>3.5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11.63</v>
      </c>
      <c r="W152" t="n">
        <v>244.13</v>
      </c>
      <c r="X152" t="n">
        <v>232.5</v>
      </c>
      <c r="Y152" t="n">
        <v>19</v>
      </c>
      <c r="Z152" t="n">
        <v>44.18</v>
      </c>
      <c r="AA152" t="n">
        <v>4.49</v>
      </c>
      <c r="AB152" t="n">
        <v>48.67</v>
      </c>
      <c r="AC152" t="n">
        <v>8.76</v>
      </c>
      <c r="AD152" t="n">
        <v>0</v>
      </c>
      <c r="AE152" t="n">
        <v>232.5</v>
      </c>
      <c r="AF152" t="n">
        <v>0</v>
      </c>
      <c r="AG152" t="n">
        <v>0</v>
      </c>
      <c r="AH152" t="n">
        <v>0.23</v>
      </c>
      <c r="AI152" t="n">
        <v>11.63</v>
      </c>
      <c r="AJ152" t="n">
        <v>0</v>
      </c>
      <c r="AK152" t="n">
        <v>20.62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69.29000000000001</v>
      </c>
      <c r="AV152" t="n">
        <v>0</v>
      </c>
      <c r="AW152" t="n">
        <v>174.84</v>
      </c>
      <c r="AX152" t="inlineStr">
        <is>
          <t>settled</t>
        </is>
      </c>
      <c r="AY152" t="inlineStr">
        <is>
          <t>2025-12-10 05:30:00</t>
        </is>
      </c>
      <c r="AZ152" t="inlineStr">
        <is>
          <t>CITIN25668288188</t>
        </is>
      </c>
      <c r="BA152" t="n">
        <v>0</v>
      </c>
      <c r="BB152" t="inlineStr">
        <is>
          <t>4e9c0dbb3b7bb73a63faa88e86277a08bd26f26eec1764b193ce84d04ef0fa25</t>
        </is>
      </c>
    </row>
    <row r="153">
      <c r="A153" t="inlineStr">
        <is>
          <t>148</t>
        </is>
      </c>
      <c r="B153" t="inlineStr">
        <is>
          <t>7545634266</t>
        </is>
      </c>
      <c r="C153" t="inlineStr">
        <is>
          <t>2025-12-04 00:39:28</t>
        </is>
      </c>
      <c r="D153" t="inlineStr">
        <is>
          <t>49</t>
        </is>
      </c>
      <c r="E153" t="inlineStr">
        <is>
          <t>Sha Sha - Shandaar Shawarma</t>
        </is>
      </c>
      <c r="F153" t="inlineStr">
        <is>
          <t>18557902</t>
        </is>
      </c>
      <c r="G153" t="inlineStr">
        <is>
          <t>30% off upto ₹75 (2025-06-25 - 2031-01-01)</t>
        </is>
      </c>
      <c r="H153" t="inlineStr">
        <is>
          <t>ONLINE</t>
        </is>
      </c>
      <c r="I153" t="inlineStr">
        <is>
          <t>DELIVERED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O2</t>
        </is>
      </c>
      <c r="N153" t="inlineStr">
        <is>
          <t>36</t>
        </is>
      </c>
      <c r="O153" t="n">
        <v>448</v>
      </c>
      <c r="P153" t="n">
        <v>3.5</v>
      </c>
      <c r="Q153" t="n">
        <v>0</v>
      </c>
      <c r="R153" t="n">
        <v>75</v>
      </c>
      <c r="S153" t="n">
        <v>0</v>
      </c>
      <c r="T153" t="n">
        <v>0</v>
      </c>
      <c r="U153" t="n">
        <v>0</v>
      </c>
      <c r="V153" t="n">
        <v>18.83</v>
      </c>
      <c r="W153" t="n">
        <v>395.33</v>
      </c>
      <c r="X153" t="n">
        <v>376.5</v>
      </c>
      <c r="Y153" t="n">
        <v>19</v>
      </c>
      <c r="Z153" t="n">
        <v>71.54000000000001</v>
      </c>
      <c r="AA153" t="n">
        <v>7.27</v>
      </c>
      <c r="AB153" t="n">
        <v>78.81</v>
      </c>
      <c r="AC153" t="n">
        <v>14.19</v>
      </c>
      <c r="AD153" t="n">
        <v>0</v>
      </c>
      <c r="AE153" t="n">
        <v>376.5</v>
      </c>
      <c r="AF153" t="n">
        <v>0</v>
      </c>
      <c r="AG153" t="n">
        <v>0</v>
      </c>
      <c r="AH153" t="n">
        <v>0.38</v>
      </c>
      <c r="AI153" t="n">
        <v>18.83</v>
      </c>
      <c r="AJ153" t="n">
        <v>0</v>
      </c>
      <c r="AK153" t="n">
        <v>33.4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112.21</v>
      </c>
      <c r="AV153" t="n">
        <v>0</v>
      </c>
      <c r="AW153" t="n">
        <v>283.12</v>
      </c>
      <c r="AX153" t="inlineStr">
        <is>
          <t>settled</t>
        </is>
      </c>
      <c r="AY153" t="inlineStr">
        <is>
          <t>2025-12-10 05:30:00</t>
        </is>
      </c>
      <c r="AZ153" t="inlineStr">
        <is>
          <t>CITIN25668288188</t>
        </is>
      </c>
      <c r="BA153" t="n">
        <v>0</v>
      </c>
      <c r="BB153" t="inlineStr">
        <is>
          <t>2ac09192f181bfd55e28d292d0ba57c3b8a34254c0222af63f2227a9864a88a4</t>
        </is>
      </c>
    </row>
    <row r="154">
      <c r="A154" t="inlineStr">
        <is>
          <t>149</t>
        </is>
      </c>
      <c r="B154" t="inlineStr">
        <is>
          <t>7541161812</t>
        </is>
      </c>
      <c r="C154" t="inlineStr">
        <is>
          <t>2025-12-04 00:43:27</t>
        </is>
      </c>
      <c r="D154" t="inlineStr">
        <is>
          <t>49</t>
        </is>
      </c>
      <c r="E154" t="inlineStr">
        <is>
          <t>Sha Sha - Shandaar Shawarma</t>
        </is>
      </c>
      <c r="F154" t="inlineStr">
        <is>
          <t>18557902</t>
        </is>
      </c>
      <c r="G154" t="inlineStr">
        <is>
          <t>NA</t>
        </is>
      </c>
      <c r="H154" t="inlineStr">
        <is>
          <t>ONLINE</t>
        </is>
      </c>
      <c r="I154" t="inlineStr">
        <is>
          <t>DELIVERED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O2</t>
        </is>
      </c>
      <c r="N154" t="inlineStr">
        <is>
          <t>36</t>
        </is>
      </c>
      <c r="O154" t="n">
        <v>458</v>
      </c>
      <c r="P154" t="n">
        <v>3.5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23.08</v>
      </c>
      <c r="W154" t="n">
        <v>484.58</v>
      </c>
      <c r="X154" t="n">
        <v>461.5</v>
      </c>
      <c r="Y154" t="n">
        <v>19</v>
      </c>
      <c r="Z154" t="n">
        <v>87.68000000000001</v>
      </c>
      <c r="AA154" t="n">
        <v>8.92</v>
      </c>
      <c r="AB154" t="n">
        <v>96.59999999999999</v>
      </c>
      <c r="AC154" t="n">
        <v>17.39</v>
      </c>
      <c r="AD154" t="n">
        <v>0</v>
      </c>
      <c r="AE154" t="n">
        <v>461.5</v>
      </c>
      <c r="AF154" t="n">
        <v>0</v>
      </c>
      <c r="AG154" t="n">
        <v>0</v>
      </c>
      <c r="AH154" t="n">
        <v>0.46</v>
      </c>
      <c r="AI154" t="n">
        <v>23.08</v>
      </c>
      <c r="AJ154" t="n">
        <v>0</v>
      </c>
      <c r="AK154" t="n">
        <v>40.93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137.53</v>
      </c>
      <c r="AV154" t="n">
        <v>0</v>
      </c>
      <c r="AW154" t="n">
        <v>347.05</v>
      </c>
      <c r="AX154" t="inlineStr">
        <is>
          <t>settled</t>
        </is>
      </c>
      <c r="AY154" t="inlineStr">
        <is>
          <t>2025-12-10 05:30:00</t>
        </is>
      </c>
      <c r="AZ154" t="inlineStr">
        <is>
          <t>CITIN25668288188</t>
        </is>
      </c>
      <c r="BA154" t="n">
        <v>0</v>
      </c>
      <c r="BB154" t="inlineStr">
        <is>
          <t>641f3ca567a0d7042a71b187847c953770ed0a5082ab2658c3077f78bcd244b1</t>
        </is>
      </c>
    </row>
    <row r="155">
      <c r="A155" t="inlineStr">
        <is>
          <t>150</t>
        </is>
      </c>
      <c r="B155" t="inlineStr">
        <is>
          <t>7546519150</t>
        </is>
      </c>
      <c r="C155" t="inlineStr">
        <is>
          <t>2025-12-04 01:02:21</t>
        </is>
      </c>
      <c r="D155" t="inlineStr">
        <is>
          <t>49</t>
        </is>
      </c>
      <c r="E155" t="inlineStr">
        <is>
          <t>Sha Sha - Shandaar Shawarma</t>
        </is>
      </c>
      <c r="F155" t="inlineStr">
        <is>
          <t>18557902</t>
        </is>
      </c>
      <c r="G155" t="inlineStr">
        <is>
          <t>NA</t>
        </is>
      </c>
      <c r="H155" t="inlineStr">
        <is>
          <t>ONLINE</t>
        </is>
      </c>
      <c r="I155" t="inlineStr">
        <is>
          <t>DELIVERED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O2</t>
        </is>
      </c>
      <c r="N155" t="inlineStr">
        <is>
          <t>36</t>
        </is>
      </c>
      <c r="O155" t="n">
        <v>229</v>
      </c>
      <c r="P155" t="n">
        <v>3.5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11.63</v>
      </c>
      <c r="W155" t="n">
        <v>244.13</v>
      </c>
      <c r="X155" t="n">
        <v>232.5</v>
      </c>
      <c r="Y155" t="n">
        <v>19</v>
      </c>
      <c r="Z155" t="n">
        <v>44.18</v>
      </c>
      <c r="AA155" t="n">
        <v>4.49</v>
      </c>
      <c r="AB155" t="n">
        <v>48.67</v>
      </c>
      <c r="AC155" t="n">
        <v>8.76</v>
      </c>
      <c r="AD155" t="n">
        <v>0</v>
      </c>
      <c r="AE155" t="n">
        <v>232.5</v>
      </c>
      <c r="AF155" t="n">
        <v>0</v>
      </c>
      <c r="AG155" t="n">
        <v>0</v>
      </c>
      <c r="AH155" t="n">
        <v>0.23</v>
      </c>
      <c r="AI155" t="n">
        <v>11.63</v>
      </c>
      <c r="AJ155" t="n">
        <v>0</v>
      </c>
      <c r="AK155" t="n">
        <v>20.62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69.29000000000001</v>
      </c>
      <c r="AV155" t="n">
        <v>0</v>
      </c>
      <c r="AW155" t="n">
        <v>174.84</v>
      </c>
      <c r="AX155" t="inlineStr">
        <is>
          <t>settled</t>
        </is>
      </c>
      <c r="AY155" t="inlineStr">
        <is>
          <t>2025-12-10 05:30:00</t>
        </is>
      </c>
      <c r="AZ155" t="inlineStr">
        <is>
          <t>CITIN25668288188</t>
        </is>
      </c>
      <c r="BA155" t="n">
        <v>0</v>
      </c>
      <c r="BB155" t="inlineStr">
        <is>
          <t>e523f98232441c540fbcf569b6e32ba24acfd51eb9814e7747f067d2402aa77a</t>
        </is>
      </c>
    </row>
    <row r="156">
      <c r="A156" t="inlineStr">
        <is>
          <t>151</t>
        </is>
      </c>
      <c r="B156" t="inlineStr">
        <is>
          <t>7546551627</t>
        </is>
      </c>
      <c r="C156" t="inlineStr">
        <is>
          <t>2025-12-04 01:11:54</t>
        </is>
      </c>
      <c r="D156" t="inlineStr">
        <is>
          <t>49</t>
        </is>
      </c>
      <c r="E156" t="inlineStr">
        <is>
          <t>Sha Sha - Shandaar Shawarma</t>
        </is>
      </c>
      <c r="F156" t="inlineStr">
        <is>
          <t>18557902</t>
        </is>
      </c>
      <c r="G156" t="inlineStr">
        <is>
          <t>NA</t>
        </is>
      </c>
      <c r="H156" t="inlineStr">
        <is>
          <t>ONLINE</t>
        </is>
      </c>
      <c r="I156" t="inlineStr">
        <is>
          <t>DELIVERED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O2</t>
        </is>
      </c>
      <c r="N156" t="inlineStr">
        <is>
          <t>36</t>
        </is>
      </c>
      <c r="O156" t="n">
        <v>219</v>
      </c>
      <c r="P156" t="n">
        <v>3.5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11.13</v>
      </c>
      <c r="W156" t="n">
        <v>233.63</v>
      </c>
      <c r="X156" t="n">
        <v>222.5</v>
      </c>
      <c r="Y156" t="n">
        <v>19</v>
      </c>
      <c r="Z156" t="n">
        <v>42.28</v>
      </c>
      <c r="AA156" t="n">
        <v>4.3</v>
      </c>
      <c r="AB156" t="n">
        <v>46.58</v>
      </c>
      <c r="AC156" t="n">
        <v>8.380000000000001</v>
      </c>
      <c r="AD156" t="n">
        <v>0</v>
      </c>
      <c r="AE156" t="n">
        <v>222.5</v>
      </c>
      <c r="AF156" t="n">
        <v>0</v>
      </c>
      <c r="AG156" t="n">
        <v>0</v>
      </c>
      <c r="AH156" t="n">
        <v>0.22</v>
      </c>
      <c r="AI156" t="n">
        <v>11.13</v>
      </c>
      <c r="AJ156" t="n">
        <v>0</v>
      </c>
      <c r="AK156" t="n">
        <v>19.73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66.31</v>
      </c>
      <c r="AV156" t="n">
        <v>0</v>
      </c>
      <c r="AW156" t="n">
        <v>167.32</v>
      </c>
      <c r="AX156" t="inlineStr">
        <is>
          <t>settled</t>
        </is>
      </c>
      <c r="AY156" t="inlineStr">
        <is>
          <t>2025-12-10 05:30:00</t>
        </is>
      </c>
      <c r="AZ156" t="inlineStr">
        <is>
          <t>CITIN25668288188</t>
        </is>
      </c>
      <c r="BA156" t="n">
        <v>0</v>
      </c>
      <c r="BB156" t="inlineStr">
        <is>
          <t>080c03caf6e5bee4cdbb546f8864bfb36d14d07741a7acb516d784faee09d66d</t>
        </is>
      </c>
    </row>
    <row r="157">
      <c r="A157" t="inlineStr">
        <is>
          <t>152</t>
        </is>
      </c>
      <c r="B157" t="inlineStr">
        <is>
          <t>7545720011</t>
        </is>
      </c>
      <c r="C157" t="inlineStr">
        <is>
          <t>2025-12-04 01:37:53</t>
        </is>
      </c>
      <c r="D157" t="inlineStr">
        <is>
          <t>49</t>
        </is>
      </c>
      <c r="E157" t="inlineStr">
        <is>
          <t>Sha Sha - Shandaar Shawarma</t>
        </is>
      </c>
      <c r="F157" t="inlineStr">
        <is>
          <t>18557902</t>
        </is>
      </c>
      <c r="G157" t="inlineStr">
        <is>
          <t>30% off upto ₹75 (2025-06-25 - 2031-01-01)</t>
        </is>
      </c>
      <c r="H157" t="inlineStr">
        <is>
          <t>ONLINE</t>
        </is>
      </c>
      <c r="I157" t="inlineStr">
        <is>
          <t>DELIVERED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O2</t>
        </is>
      </c>
      <c r="N157" t="inlineStr">
        <is>
          <t>36</t>
        </is>
      </c>
      <c r="O157" t="n">
        <v>219</v>
      </c>
      <c r="P157" t="n">
        <v>3.5</v>
      </c>
      <c r="Q157" t="n">
        <v>0</v>
      </c>
      <c r="R157" t="n">
        <v>65.7</v>
      </c>
      <c r="S157" t="n">
        <v>0</v>
      </c>
      <c r="T157" t="n">
        <v>0</v>
      </c>
      <c r="U157" t="n">
        <v>0</v>
      </c>
      <c r="V157" t="n">
        <v>7.84</v>
      </c>
      <c r="W157" t="n">
        <v>164.64</v>
      </c>
      <c r="X157" t="n">
        <v>156.8</v>
      </c>
      <c r="Y157" t="n">
        <v>19</v>
      </c>
      <c r="Z157" t="n">
        <v>29.79</v>
      </c>
      <c r="AA157" t="n">
        <v>3.03</v>
      </c>
      <c r="AB157" t="n">
        <v>32.82</v>
      </c>
      <c r="AC157" t="n">
        <v>5.91</v>
      </c>
      <c r="AD157" t="n">
        <v>0</v>
      </c>
      <c r="AE157" t="n">
        <v>156.8</v>
      </c>
      <c r="AF157" t="n">
        <v>0</v>
      </c>
      <c r="AG157" t="n">
        <v>0</v>
      </c>
      <c r="AH157" t="n">
        <v>0.16</v>
      </c>
      <c r="AI157" t="n">
        <v>7.85</v>
      </c>
      <c r="AJ157" t="n">
        <v>-0.01</v>
      </c>
      <c r="AK157" t="n">
        <v>13.92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46.74</v>
      </c>
      <c r="AV157" t="n">
        <v>0</v>
      </c>
      <c r="AW157" t="n">
        <v>117.9</v>
      </c>
      <c r="AX157" t="inlineStr">
        <is>
          <t>settled</t>
        </is>
      </c>
      <c r="AY157" t="inlineStr">
        <is>
          <t>2025-12-10 05:30:00</t>
        </is>
      </c>
      <c r="AZ157" t="inlineStr">
        <is>
          <t>CITIN25668288188</t>
        </is>
      </c>
      <c r="BA157" t="n">
        <v>0</v>
      </c>
      <c r="BB157" t="inlineStr">
        <is>
          <t>9c099b0aa9959f426ed0b4d9a55f1f434d8e6349ffb9daa3cb3e213441c4a3f7</t>
        </is>
      </c>
    </row>
    <row r="158">
      <c r="A158" t="inlineStr">
        <is>
          <t>153</t>
        </is>
      </c>
      <c r="B158" t="inlineStr">
        <is>
          <t>7544115453</t>
        </is>
      </c>
      <c r="C158" t="inlineStr">
        <is>
          <t>2025-12-04 02:04:44</t>
        </is>
      </c>
      <c r="D158" t="inlineStr">
        <is>
          <t>49</t>
        </is>
      </c>
      <c r="E158" t="inlineStr">
        <is>
          <t>Sha Sha - Shandaar Shawarma</t>
        </is>
      </c>
      <c r="F158" t="inlineStr">
        <is>
          <t>18557902</t>
        </is>
      </c>
      <c r="G158" t="inlineStr">
        <is>
          <t>30% off upto ₹75 (2025-06-25 - 2031-01-01)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O2</t>
        </is>
      </c>
      <c r="N158" t="inlineStr">
        <is>
          <t>36</t>
        </is>
      </c>
      <c r="O158" t="n">
        <v>229</v>
      </c>
      <c r="P158" t="n">
        <v>3.5</v>
      </c>
      <c r="Q158" t="n">
        <v>0</v>
      </c>
      <c r="R158" t="n">
        <v>68.7</v>
      </c>
      <c r="S158" t="n">
        <v>0</v>
      </c>
      <c r="T158" t="n">
        <v>0</v>
      </c>
      <c r="U158" t="n">
        <v>0</v>
      </c>
      <c r="V158" t="n">
        <v>8.19</v>
      </c>
      <c r="W158" t="n">
        <v>171.99</v>
      </c>
      <c r="X158" t="n">
        <v>163.8</v>
      </c>
      <c r="Y158" t="n">
        <v>19</v>
      </c>
      <c r="Z158" t="n">
        <v>31.12</v>
      </c>
      <c r="AA158" t="n">
        <v>3.16</v>
      </c>
      <c r="AB158" t="n">
        <v>34.28</v>
      </c>
      <c r="AC158" t="n">
        <v>6.17</v>
      </c>
      <c r="AD158" t="n">
        <v>0</v>
      </c>
      <c r="AE158" t="n">
        <v>163.8</v>
      </c>
      <c r="AF158" t="n">
        <v>0</v>
      </c>
      <c r="AG158" t="n">
        <v>0</v>
      </c>
      <c r="AH158" t="n">
        <v>0.16</v>
      </c>
      <c r="AI158" t="n">
        <v>8.199999999999999</v>
      </c>
      <c r="AJ158" t="n">
        <v>-0.01</v>
      </c>
      <c r="AK158" t="n">
        <v>14.53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48.81</v>
      </c>
      <c r="AV158" t="n">
        <v>0</v>
      </c>
      <c r="AW158" t="n">
        <v>123.18</v>
      </c>
      <c r="AX158" t="inlineStr">
        <is>
          <t>settled</t>
        </is>
      </c>
      <c r="AY158" t="inlineStr">
        <is>
          <t>2025-12-10 05:30:00</t>
        </is>
      </c>
      <c r="AZ158" t="inlineStr">
        <is>
          <t>CITIN25668288188</t>
        </is>
      </c>
      <c r="BA158" t="n">
        <v>0</v>
      </c>
      <c r="BB158" t="inlineStr">
        <is>
          <t>7b1916d518aff678c994b685e290d382ef3f4734ed0ab3b8307e681c8c04d791</t>
        </is>
      </c>
    </row>
    <row r="159">
      <c r="A159" t="inlineStr">
        <is>
          <t>154</t>
        </is>
      </c>
      <c r="B159" t="inlineStr">
        <is>
          <t>7539555361</t>
        </is>
      </c>
      <c r="C159" t="inlineStr">
        <is>
          <t>2025-12-04 02:19:21</t>
        </is>
      </c>
      <c r="D159" t="inlineStr">
        <is>
          <t>49</t>
        </is>
      </c>
      <c r="E159" t="inlineStr">
        <is>
          <t>Sha Sha - Shandaar Shawarma</t>
        </is>
      </c>
      <c r="F159" t="inlineStr">
        <is>
          <t>18557902</t>
        </is>
      </c>
      <c r="G159" t="inlineStr">
        <is>
          <t>30% off upto ₹75 (2025-06-25 - 2031-01-01)</t>
        </is>
      </c>
      <c r="H159" t="inlineStr">
        <is>
          <t>ONLINE</t>
        </is>
      </c>
      <c r="I159" t="inlineStr">
        <is>
          <t>DELIVERED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O2</t>
        </is>
      </c>
      <c r="N159" t="inlineStr">
        <is>
          <t>36</t>
        </is>
      </c>
      <c r="O159" t="n">
        <v>229</v>
      </c>
      <c r="P159" t="n">
        <v>3.5</v>
      </c>
      <c r="Q159" t="n">
        <v>0</v>
      </c>
      <c r="R159" t="n">
        <v>68.7</v>
      </c>
      <c r="S159" t="n">
        <v>0</v>
      </c>
      <c r="T159" t="n">
        <v>0</v>
      </c>
      <c r="U159" t="n">
        <v>0</v>
      </c>
      <c r="V159" t="n">
        <v>8.19</v>
      </c>
      <c r="W159" t="n">
        <v>171.99</v>
      </c>
      <c r="X159" t="n">
        <v>163.8</v>
      </c>
      <c r="Y159" t="n">
        <v>19</v>
      </c>
      <c r="Z159" t="n">
        <v>31.12</v>
      </c>
      <c r="AA159" t="n">
        <v>3.16</v>
      </c>
      <c r="AB159" t="n">
        <v>34.28</v>
      </c>
      <c r="AC159" t="n">
        <v>6.17</v>
      </c>
      <c r="AD159" t="n">
        <v>0</v>
      </c>
      <c r="AE159" t="n">
        <v>163.8</v>
      </c>
      <c r="AF159" t="n">
        <v>0</v>
      </c>
      <c r="AG159" t="n">
        <v>0</v>
      </c>
      <c r="AH159" t="n">
        <v>0.16</v>
      </c>
      <c r="AI159" t="n">
        <v>8.199999999999999</v>
      </c>
      <c r="AJ159" t="n">
        <v>-0.01</v>
      </c>
      <c r="AK159" t="n">
        <v>14.53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48.81</v>
      </c>
      <c r="AV159" t="n">
        <v>0</v>
      </c>
      <c r="AW159" t="n">
        <v>123.18</v>
      </c>
      <c r="AX159" t="inlineStr">
        <is>
          <t>settled</t>
        </is>
      </c>
      <c r="AY159" t="inlineStr">
        <is>
          <t>2025-12-10 05:30:00</t>
        </is>
      </c>
      <c r="AZ159" t="inlineStr">
        <is>
          <t>CITIN25668288188</t>
        </is>
      </c>
      <c r="BA159" t="n">
        <v>0</v>
      </c>
      <c r="BB159" t="inlineStr">
        <is>
          <t>dde7a93993398d70d45fc0500c8ee426a5ae3ef1e55fbc385c24983dfb05b26a</t>
        </is>
      </c>
    </row>
    <row r="160">
      <c r="A160" t="inlineStr">
        <is>
          <t>155</t>
        </is>
      </c>
      <c r="B160" t="inlineStr">
        <is>
          <t>7544479713</t>
        </is>
      </c>
      <c r="C160" t="inlineStr">
        <is>
          <t>2025-12-04 02:29:41</t>
        </is>
      </c>
      <c r="D160" t="inlineStr">
        <is>
          <t>49</t>
        </is>
      </c>
      <c r="E160" t="inlineStr">
        <is>
          <t>Sha Sha - Shandaar Shawarma</t>
        </is>
      </c>
      <c r="F160" t="inlineStr">
        <is>
          <t>18557902</t>
        </is>
      </c>
      <c r="G160" t="inlineStr">
        <is>
          <t>30% off upto ₹75 (2025-06-25 - 2031-01-01)</t>
        </is>
      </c>
      <c r="H160" t="inlineStr">
        <is>
          <t>ONLINE</t>
        </is>
      </c>
      <c r="I160" t="inlineStr">
        <is>
          <t>DELIVERED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O2</t>
        </is>
      </c>
      <c r="N160" t="inlineStr">
        <is>
          <t>36</t>
        </is>
      </c>
      <c r="O160" t="n">
        <v>229</v>
      </c>
      <c r="P160" t="n">
        <v>3.5</v>
      </c>
      <c r="Q160" t="n">
        <v>0</v>
      </c>
      <c r="R160" t="n">
        <v>68.7</v>
      </c>
      <c r="S160" t="n">
        <v>0</v>
      </c>
      <c r="T160" t="n">
        <v>0</v>
      </c>
      <c r="U160" t="n">
        <v>0</v>
      </c>
      <c r="V160" t="n">
        <v>8.19</v>
      </c>
      <c r="W160" t="n">
        <v>171.99</v>
      </c>
      <c r="X160" t="n">
        <v>163.8</v>
      </c>
      <c r="Y160" t="n">
        <v>19</v>
      </c>
      <c r="Z160" t="n">
        <v>31.12</v>
      </c>
      <c r="AA160" t="n">
        <v>3.16</v>
      </c>
      <c r="AB160" t="n">
        <v>34.28</v>
      </c>
      <c r="AC160" t="n">
        <v>6.17</v>
      </c>
      <c r="AD160" t="n">
        <v>0</v>
      </c>
      <c r="AE160" t="n">
        <v>163.8</v>
      </c>
      <c r="AF160" t="n">
        <v>0</v>
      </c>
      <c r="AG160" t="n">
        <v>0</v>
      </c>
      <c r="AH160" t="n">
        <v>0.16</v>
      </c>
      <c r="AI160" t="n">
        <v>8.199999999999999</v>
      </c>
      <c r="AJ160" t="n">
        <v>-0.01</v>
      </c>
      <c r="AK160" t="n">
        <v>14.53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48.81</v>
      </c>
      <c r="AV160" t="n">
        <v>0</v>
      </c>
      <c r="AW160" t="n">
        <v>123.18</v>
      </c>
      <c r="AX160" t="inlineStr">
        <is>
          <t>settled</t>
        </is>
      </c>
      <c r="AY160" t="inlineStr">
        <is>
          <t>2025-12-10 05:30:00</t>
        </is>
      </c>
      <c r="AZ160" t="inlineStr">
        <is>
          <t>CITIN25668288188</t>
        </is>
      </c>
      <c r="BA160" t="n">
        <v>0</v>
      </c>
      <c r="BB160" t="inlineStr">
        <is>
          <t>dff191f929e062e17f77704440cf41af63b186f1a2546800f8539394a4593868</t>
        </is>
      </c>
    </row>
    <row r="161">
      <c r="A161" t="inlineStr">
        <is>
          <t>156</t>
        </is>
      </c>
      <c r="B161" t="inlineStr">
        <is>
          <t>7543743600</t>
        </is>
      </c>
      <c r="C161" t="inlineStr">
        <is>
          <t>2025-12-04 02:41:01</t>
        </is>
      </c>
      <c r="D161" t="inlineStr">
        <is>
          <t>49</t>
        </is>
      </c>
      <c r="E161" t="inlineStr">
        <is>
          <t>Sha Sha - Shandaar Shawarma</t>
        </is>
      </c>
      <c r="F161" t="inlineStr">
        <is>
          <t>18557902</t>
        </is>
      </c>
      <c r="G161" t="inlineStr">
        <is>
          <t>30% off upto ₹75 (2025-06-25 - 2031-01-01)</t>
        </is>
      </c>
      <c r="H161" t="inlineStr">
        <is>
          <t>ONLINE</t>
        </is>
      </c>
      <c r="I161" t="inlineStr">
        <is>
          <t>DELIVERED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O2</t>
        </is>
      </c>
      <c r="N161" t="inlineStr">
        <is>
          <t>36</t>
        </is>
      </c>
      <c r="O161" t="n">
        <v>229</v>
      </c>
      <c r="P161" t="n">
        <v>3.5</v>
      </c>
      <c r="Q161" t="n">
        <v>0</v>
      </c>
      <c r="R161" t="n">
        <v>68.7</v>
      </c>
      <c r="S161" t="n">
        <v>0</v>
      </c>
      <c r="T161" t="n">
        <v>0</v>
      </c>
      <c r="U161" t="n">
        <v>0</v>
      </c>
      <c r="V161" t="n">
        <v>8.19</v>
      </c>
      <c r="W161" t="n">
        <v>171.99</v>
      </c>
      <c r="X161" t="n">
        <v>163.8</v>
      </c>
      <c r="Y161" t="n">
        <v>19</v>
      </c>
      <c r="Z161" t="n">
        <v>31.12</v>
      </c>
      <c r="AA161" t="n">
        <v>3.16</v>
      </c>
      <c r="AB161" t="n">
        <v>34.28</v>
      </c>
      <c r="AC161" t="n">
        <v>6.17</v>
      </c>
      <c r="AD161" t="n">
        <v>0</v>
      </c>
      <c r="AE161" t="n">
        <v>163.8</v>
      </c>
      <c r="AF161" t="n">
        <v>0</v>
      </c>
      <c r="AG161" t="n">
        <v>0</v>
      </c>
      <c r="AH161" t="n">
        <v>0.16</v>
      </c>
      <c r="AI161" t="n">
        <v>8.199999999999999</v>
      </c>
      <c r="AJ161" t="n">
        <v>-0.01</v>
      </c>
      <c r="AK161" t="n">
        <v>14.53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48.81</v>
      </c>
      <c r="AV161" t="n">
        <v>0</v>
      </c>
      <c r="AW161" t="n">
        <v>123.18</v>
      </c>
      <c r="AX161" t="inlineStr">
        <is>
          <t>settled</t>
        </is>
      </c>
      <c r="AY161" t="inlineStr">
        <is>
          <t>2025-12-10 05:30:00</t>
        </is>
      </c>
      <c r="AZ161" t="inlineStr">
        <is>
          <t>CITIN25668288188</t>
        </is>
      </c>
      <c r="BA161" t="n">
        <v>0</v>
      </c>
      <c r="BB161" t="inlineStr">
        <is>
          <t>851e0af38570490a499e9d9f17de714b104afa3406ce9d39be92b02287a5d8f2</t>
        </is>
      </c>
    </row>
    <row r="162">
      <c r="A162" t="inlineStr">
        <is>
          <t>157</t>
        </is>
      </c>
      <c r="B162" t="inlineStr">
        <is>
          <t>7540903342</t>
        </is>
      </c>
      <c r="C162" t="inlineStr">
        <is>
          <t>2025-12-04 03:08:32</t>
        </is>
      </c>
      <c r="D162" t="inlineStr">
        <is>
          <t>49</t>
        </is>
      </c>
      <c r="E162" t="inlineStr">
        <is>
          <t>Sha Sha - Shandaar Shawarma</t>
        </is>
      </c>
      <c r="F162" t="inlineStr">
        <is>
          <t>18557902</t>
        </is>
      </c>
      <c r="G162" t="inlineStr">
        <is>
          <t>NA</t>
        </is>
      </c>
      <c r="H162" t="inlineStr">
        <is>
          <t>ONLINE</t>
        </is>
      </c>
      <c r="I162" t="inlineStr">
        <is>
          <t>DELIVERED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O2</t>
        </is>
      </c>
      <c r="N162" t="inlineStr">
        <is>
          <t>36</t>
        </is>
      </c>
      <c r="O162" t="n">
        <v>458</v>
      </c>
      <c r="P162" t="n">
        <v>3.5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23.08</v>
      </c>
      <c r="W162" t="n">
        <v>484.58</v>
      </c>
      <c r="X162" t="n">
        <v>461.5</v>
      </c>
      <c r="Y162" t="n">
        <v>19</v>
      </c>
      <c r="Z162" t="n">
        <v>87.68000000000001</v>
      </c>
      <c r="AA162" t="n">
        <v>8.92</v>
      </c>
      <c r="AB162" t="n">
        <v>96.59999999999999</v>
      </c>
      <c r="AC162" t="n">
        <v>17.39</v>
      </c>
      <c r="AD162" t="n">
        <v>0</v>
      </c>
      <c r="AE162" t="n">
        <v>461.5</v>
      </c>
      <c r="AF162" t="n">
        <v>0</v>
      </c>
      <c r="AG162" t="n">
        <v>0</v>
      </c>
      <c r="AH162" t="n">
        <v>0.46</v>
      </c>
      <c r="AI162" t="n">
        <v>23.08</v>
      </c>
      <c r="AJ162" t="n">
        <v>0</v>
      </c>
      <c r="AK162" t="n">
        <v>40.93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137.53</v>
      </c>
      <c r="AV162" t="n">
        <v>0</v>
      </c>
      <c r="AW162" t="n">
        <v>347.05</v>
      </c>
      <c r="AX162" t="inlineStr">
        <is>
          <t>settled</t>
        </is>
      </c>
      <c r="AY162" t="inlineStr">
        <is>
          <t>2025-12-10 05:30:00</t>
        </is>
      </c>
      <c r="AZ162" t="inlineStr">
        <is>
          <t>CITIN25668288188</t>
        </is>
      </c>
      <c r="BA162" t="n">
        <v>0</v>
      </c>
      <c r="BB162" t="inlineStr">
        <is>
          <t>acc013061fcd949370fd8bdc69d62b00c6d90397f00b7baabf1e171035e4a310</t>
        </is>
      </c>
    </row>
    <row r="163">
      <c r="A163" t="inlineStr">
        <is>
          <t>158</t>
        </is>
      </c>
      <c r="B163" t="inlineStr">
        <is>
          <t>7545469997</t>
        </is>
      </c>
      <c r="C163" t="inlineStr">
        <is>
          <t>2025-12-04 03:10:34</t>
        </is>
      </c>
      <c r="D163" t="inlineStr">
        <is>
          <t>49</t>
        </is>
      </c>
      <c r="E163" t="inlineStr">
        <is>
          <t>Sha Sha - Shandaar Shawarma</t>
        </is>
      </c>
      <c r="F163" t="inlineStr">
        <is>
          <t>18557902</t>
        </is>
      </c>
      <c r="G163" t="inlineStr">
        <is>
          <t>30% off upto ₹75 (2025-06-25 - 2031-01-01)</t>
        </is>
      </c>
      <c r="H163" t="inlineStr">
        <is>
          <t>ONLINE</t>
        </is>
      </c>
      <c r="I163" t="inlineStr">
        <is>
          <t>CANCELLED</t>
        </is>
      </c>
      <c r="J163" t="inlineStr">
        <is>
          <t>100%</t>
        </is>
      </c>
      <c r="K163" t="inlineStr">
        <is>
          <t>Customer cancellation due to delay</t>
        </is>
      </c>
      <c r="L163" t="inlineStr">
        <is>
          <t>Order picked up by rider</t>
        </is>
      </c>
      <c r="M163" t="inlineStr">
        <is>
          <t>O2</t>
        </is>
      </c>
      <c r="N163" t="inlineStr">
        <is>
          <t>NA</t>
        </is>
      </c>
      <c r="O163" t="n">
        <v>458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458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290.64</v>
      </c>
      <c r="AW163" t="n">
        <v>290.64</v>
      </c>
      <c r="AX163" t="inlineStr">
        <is>
          <t>settled</t>
        </is>
      </c>
      <c r="AY163" t="inlineStr">
        <is>
          <t>2025-12-10 05:30:00</t>
        </is>
      </c>
      <c r="AZ163" t="inlineStr">
        <is>
          <t>CITIN25668288188</t>
        </is>
      </c>
      <c r="BA163" t="n">
        <v>0</v>
      </c>
      <c r="BB163" t="inlineStr">
        <is>
          <t>NA</t>
        </is>
      </c>
    </row>
    <row r="164">
      <c r="A164" t="inlineStr">
        <is>
          <t>159</t>
        </is>
      </c>
      <c r="B164" t="inlineStr">
        <is>
          <t>7544910978</t>
        </is>
      </c>
      <c r="C164" t="inlineStr">
        <is>
          <t>2025-12-04 03:35:07</t>
        </is>
      </c>
      <c r="D164" t="inlineStr">
        <is>
          <t>49</t>
        </is>
      </c>
      <c r="E164" t="inlineStr">
        <is>
          <t>Sha Sha - Shandaar Shawarma</t>
        </is>
      </c>
      <c r="F164" t="inlineStr">
        <is>
          <t>18557902</t>
        </is>
      </c>
      <c r="G164" t="inlineStr">
        <is>
          <t>NA</t>
        </is>
      </c>
      <c r="H164" t="inlineStr">
        <is>
          <t>ONLINE</t>
        </is>
      </c>
      <c r="I164" t="inlineStr">
        <is>
          <t>DELIVERED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RELISTING</t>
        </is>
      </c>
      <c r="N164" t="inlineStr">
        <is>
          <t>36</t>
        </is>
      </c>
      <c r="O164" t="n">
        <v>458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206.1</v>
      </c>
      <c r="V164" t="n">
        <v>12.6</v>
      </c>
      <c r="W164" t="n">
        <v>264.5</v>
      </c>
      <c r="X164" t="n">
        <v>251.9</v>
      </c>
      <c r="Y164" t="n">
        <v>74.34</v>
      </c>
      <c r="Z164" t="n">
        <v>187.26</v>
      </c>
      <c r="AA164" t="n">
        <v>4.87</v>
      </c>
      <c r="AB164" t="n">
        <v>192.13</v>
      </c>
      <c r="AC164" t="n">
        <v>34.59</v>
      </c>
      <c r="AD164" t="n">
        <v>0</v>
      </c>
      <c r="AE164" t="n">
        <v>251.9</v>
      </c>
      <c r="AF164" t="n">
        <v>0</v>
      </c>
      <c r="AG164" t="n">
        <v>0</v>
      </c>
      <c r="AH164" t="n">
        <v>0.25</v>
      </c>
      <c r="AI164" t="n">
        <v>12.6</v>
      </c>
      <c r="AJ164" t="n">
        <v>0</v>
      </c>
      <c r="AK164" t="n">
        <v>47.44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239.57</v>
      </c>
      <c r="AV164" t="n">
        <v>0</v>
      </c>
      <c r="AW164" t="n">
        <v>24.93</v>
      </c>
      <c r="AX164" t="inlineStr">
        <is>
          <t>settled</t>
        </is>
      </c>
      <c r="AY164" t="inlineStr">
        <is>
          <t>2025-12-10 05:30:00</t>
        </is>
      </c>
      <c r="AZ164" t="inlineStr">
        <is>
          <t>CITIN25668288188</t>
        </is>
      </c>
      <c r="BA164" t="n">
        <v>0</v>
      </c>
      <c r="BB164" t="inlineStr">
        <is>
          <t>482b63fec94fd5a61c436fabed5fefec07337713ef0bb3aed1cbab70386de6b7</t>
        </is>
      </c>
    </row>
    <row r="165">
      <c r="A165" t="inlineStr">
        <is>
          <t>160</t>
        </is>
      </c>
      <c r="B165" t="inlineStr">
        <is>
          <t>7545199196</t>
        </is>
      </c>
      <c r="C165" t="inlineStr">
        <is>
          <t>2025-12-04 03:36:21</t>
        </is>
      </c>
      <c r="D165" t="inlineStr">
        <is>
          <t>49</t>
        </is>
      </c>
      <c r="E165" t="inlineStr">
        <is>
          <t>Sha Sha - Shandaar Shawarma</t>
        </is>
      </c>
      <c r="F165" t="inlineStr">
        <is>
          <t>18557902</t>
        </is>
      </c>
      <c r="G165" t="inlineStr">
        <is>
          <t>30% off upto ₹75 (2025-06-25 - 2031-01-01)</t>
        </is>
      </c>
      <c r="H165" t="inlineStr">
        <is>
          <t>ONLINE</t>
        </is>
      </c>
      <c r="I165" t="inlineStr">
        <is>
          <t>DELIVERED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O2</t>
        </is>
      </c>
      <c r="N165" t="inlineStr">
        <is>
          <t>36</t>
        </is>
      </c>
      <c r="O165" t="n">
        <v>219</v>
      </c>
      <c r="P165" t="n">
        <v>3.5</v>
      </c>
      <c r="Q165" t="n">
        <v>0</v>
      </c>
      <c r="R165" t="n">
        <v>65.7</v>
      </c>
      <c r="S165" t="n">
        <v>0</v>
      </c>
      <c r="T165" t="n">
        <v>0</v>
      </c>
      <c r="U165" t="n">
        <v>0</v>
      </c>
      <c r="V165" t="n">
        <v>7.84</v>
      </c>
      <c r="W165" t="n">
        <v>164.64</v>
      </c>
      <c r="X165" t="n">
        <v>156.8</v>
      </c>
      <c r="Y165" t="n">
        <v>19</v>
      </c>
      <c r="Z165" t="n">
        <v>29.79</v>
      </c>
      <c r="AA165" t="n">
        <v>3.03</v>
      </c>
      <c r="AB165" t="n">
        <v>32.82</v>
      </c>
      <c r="AC165" t="n">
        <v>5.91</v>
      </c>
      <c r="AD165" t="n">
        <v>0</v>
      </c>
      <c r="AE165" t="n">
        <v>156.8</v>
      </c>
      <c r="AF165" t="n">
        <v>0</v>
      </c>
      <c r="AG165" t="n">
        <v>0</v>
      </c>
      <c r="AH165" t="n">
        <v>0.16</v>
      </c>
      <c r="AI165" t="n">
        <v>7.85</v>
      </c>
      <c r="AJ165" t="n">
        <v>-0.01</v>
      </c>
      <c r="AK165" t="n">
        <v>13.92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46.74</v>
      </c>
      <c r="AV165" t="n">
        <v>0</v>
      </c>
      <c r="AW165" t="n">
        <v>117.9</v>
      </c>
      <c r="AX165" t="inlineStr">
        <is>
          <t>settled</t>
        </is>
      </c>
      <c r="AY165" t="inlineStr">
        <is>
          <t>2025-12-10 05:30:00</t>
        </is>
      </c>
      <c r="AZ165" t="inlineStr">
        <is>
          <t>CITIN25668288188</t>
        </is>
      </c>
      <c r="BA165" t="n">
        <v>0</v>
      </c>
      <c r="BB165" t="inlineStr">
        <is>
          <t>448f1f496df03b34a860e747c4abb4c06a84cea98319283facdb9b918b065a1b</t>
        </is>
      </c>
    </row>
    <row r="166">
      <c r="A166" t="inlineStr">
        <is>
          <t>161</t>
        </is>
      </c>
      <c r="B166" t="inlineStr">
        <is>
          <t>7542024321</t>
        </is>
      </c>
      <c r="C166" t="inlineStr">
        <is>
          <t>2025-12-04 04:28:06</t>
        </is>
      </c>
      <c r="D166" t="inlineStr">
        <is>
          <t>49</t>
        </is>
      </c>
      <c r="E166" t="inlineStr">
        <is>
          <t>Sha Sha - Shandaar Shawarma</t>
        </is>
      </c>
      <c r="F166" t="inlineStr">
        <is>
          <t>18557902</t>
        </is>
      </c>
      <c r="G166" t="inlineStr">
        <is>
          <t>30% off upto ₹75 (2025-06-25 - 2031-01-01)</t>
        </is>
      </c>
      <c r="H166" t="inlineStr">
        <is>
          <t>ONLINE</t>
        </is>
      </c>
      <c r="I166" t="inlineStr">
        <is>
          <t>DELIVERED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O2</t>
        </is>
      </c>
      <c r="N166" t="inlineStr">
        <is>
          <t>36</t>
        </is>
      </c>
      <c r="O166" t="n">
        <v>345</v>
      </c>
      <c r="P166" t="n">
        <v>3.5</v>
      </c>
      <c r="Q166" t="n">
        <v>0</v>
      </c>
      <c r="R166" t="n">
        <v>75</v>
      </c>
      <c r="S166" t="n">
        <v>0</v>
      </c>
      <c r="T166" t="n">
        <v>0</v>
      </c>
      <c r="U166" t="n">
        <v>0</v>
      </c>
      <c r="V166" t="n">
        <v>13.68</v>
      </c>
      <c r="W166" t="n">
        <v>287.18</v>
      </c>
      <c r="X166" t="n">
        <v>273.5</v>
      </c>
      <c r="Y166" t="n">
        <v>19</v>
      </c>
      <c r="Z166" t="n">
        <v>51.96</v>
      </c>
      <c r="AA166" t="n">
        <v>5.28</v>
      </c>
      <c r="AB166" t="n">
        <v>57.24</v>
      </c>
      <c r="AC166" t="n">
        <v>10.3</v>
      </c>
      <c r="AD166" t="n">
        <v>0</v>
      </c>
      <c r="AE166" t="n">
        <v>273.5</v>
      </c>
      <c r="AF166" t="n">
        <v>0</v>
      </c>
      <c r="AG166" t="n">
        <v>0</v>
      </c>
      <c r="AH166" t="n">
        <v>0.27</v>
      </c>
      <c r="AI166" t="n">
        <v>13.68</v>
      </c>
      <c r="AJ166" t="n">
        <v>0</v>
      </c>
      <c r="AK166" t="n">
        <v>24.25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81.48999999999999</v>
      </c>
      <c r="AV166" t="n">
        <v>0</v>
      </c>
      <c r="AW166" t="n">
        <v>205.69</v>
      </c>
      <c r="AX166" t="inlineStr">
        <is>
          <t>settled</t>
        </is>
      </c>
      <c r="AY166" t="inlineStr">
        <is>
          <t>2025-12-10 05:30:00</t>
        </is>
      </c>
      <c r="AZ166" t="inlineStr">
        <is>
          <t>CITIN25668288188</t>
        </is>
      </c>
      <c r="BA166" t="n">
        <v>0</v>
      </c>
      <c r="BB166" t="inlineStr">
        <is>
          <t>9c3764cb0036b4bb49b8df7b6c983dbc76b71920796ef7083717ba20d833a1a6</t>
        </is>
      </c>
    </row>
    <row r="167">
      <c r="A167" t="inlineStr">
        <is>
          <t>162</t>
        </is>
      </c>
      <c r="B167" t="inlineStr">
        <is>
          <t>7541551206</t>
        </is>
      </c>
      <c r="C167" t="inlineStr">
        <is>
          <t>2025-12-04 04:33:44</t>
        </is>
      </c>
      <c r="D167" t="inlineStr">
        <is>
          <t>49</t>
        </is>
      </c>
      <c r="E167" t="inlineStr">
        <is>
          <t>Sha Sha - Shandaar Shawarma</t>
        </is>
      </c>
      <c r="F167" t="inlineStr">
        <is>
          <t>18557902</t>
        </is>
      </c>
      <c r="G167" t="inlineStr">
        <is>
          <t>NA</t>
        </is>
      </c>
      <c r="H167" t="inlineStr">
        <is>
          <t>ONLINE</t>
        </is>
      </c>
      <c r="I167" t="inlineStr">
        <is>
          <t>DELIVERED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O2</t>
        </is>
      </c>
      <c r="N167" t="inlineStr">
        <is>
          <t>36</t>
        </is>
      </c>
      <c r="O167" t="n">
        <v>229</v>
      </c>
      <c r="P167" t="n">
        <v>3.5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11.63</v>
      </c>
      <c r="W167" t="n">
        <v>244.13</v>
      </c>
      <c r="X167" t="n">
        <v>232.5</v>
      </c>
      <c r="Y167" t="n">
        <v>19</v>
      </c>
      <c r="Z167" t="n">
        <v>44.18</v>
      </c>
      <c r="AA167" t="n">
        <v>4.49</v>
      </c>
      <c r="AB167" t="n">
        <v>48.67</v>
      </c>
      <c r="AC167" t="n">
        <v>8.76</v>
      </c>
      <c r="AD167" t="n">
        <v>0</v>
      </c>
      <c r="AE167" t="n">
        <v>232.5</v>
      </c>
      <c r="AF167" t="n">
        <v>0</v>
      </c>
      <c r="AG167" t="n">
        <v>0</v>
      </c>
      <c r="AH167" t="n">
        <v>0.23</v>
      </c>
      <c r="AI167" t="n">
        <v>11.63</v>
      </c>
      <c r="AJ167" t="n">
        <v>0</v>
      </c>
      <c r="AK167" t="n">
        <v>20.62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69.29000000000001</v>
      </c>
      <c r="AV167" t="n">
        <v>0</v>
      </c>
      <c r="AW167" t="n">
        <v>174.84</v>
      </c>
      <c r="AX167" t="inlineStr">
        <is>
          <t>settled</t>
        </is>
      </c>
      <c r="AY167" t="inlineStr">
        <is>
          <t>2025-12-10 05:30:00</t>
        </is>
      </c>
      <c r="AZ167" t="inlineStr">
        <is>
          <t>CITIN25668288188</t>
        </is>
      </c>
      <c r="BA167" t="n">
        <v>0</v>
      </c>
      <c r="BB167" t="inlineStr">
        <is>
          <t>e1eef007d1ce6c41f4eda4fb477d4ce312651446e4ffb85d383de4e181272787</t>
        </is>
      </c>
    </row>
    <row r="168">
      <c r="A168" t="inlineStr">
        <is>
          <t>163</t>
        </is>
      </c>
      <c r="B168" t="inlineStr">
        <is>
          <t>7546498595</t>
        </is>
      </c>
      <c r="C168" t="inlineStr">
        <is>
          <t>2025-12-04 04:53:40</t>
        </is>
      </c>
      <c r="D168" t="inlineStr">
        <is>
          <t>49</t>
        </is>
      </c>
      <c r="E168" t="inlineStr">
        <is>
          <t>Sha Sha - Shandaar Shawarma</t>
        </is>
      </c>
      <c r="F168" t="inlineStr">
        <is>
          <t>18557902</t>
        </is>
      </c>
      <c r="G168" t="inlineStr">
        <is>
          <t>30% off upto ₹75 (2025-06-25 - 2031-01-01)</t>
        </is>
      </c>
      <c r="H168" t="inlineStr">
        <is>
          <t>ONLINE</t>
        </is>
      </c>
      <c r="I168" t="inlineStr">
        <is>
          <t>DELIVERED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O2</t>
        </is>
      </c>
      <c r="N168" t="inlineStr">
        <is>
          <t>36</t>
        </is>
      </c>
      <c r="O168" t="n">
        <v>229</v>
      </c>
      <c r="P168" t="n">
        <v>3.5</v>
      </c>
      <c r="Q168" t="n">
        <v>0</v>
      </c>
      <c r="R168" t="n">
        <v>68.7</v>
      </c>
      <c r="S168" t="n">
        <v>0</v>
      </c>
      <c r="T168" t="n">
        <v>0</v>
      </c>
      <c r="U168" t="n">
        <v>0</v>
      </c>
      <c r="V168" t="n">
        <v>8.19</v>
      </c>
      <c r="W168" t="n">
        <v>171.99</v>
      </c>
      <c r="X168" t="n">
        <v>163.8</v>
      </c>
      <c r="Y168" t="n">
        <v>19</v>
      </c>
      <c r="Z168" t="n">
        <v>31.12</v>
      </c>
      <c r="AA168" t="n">
        <v>3.16</v>
      </c>
      <c r="AB168" t="n">
        <v>34.28</v>
      </c>
      <c r="AC168" t="n">
        <v>6.17</v>
      </c>
      <c r="AD168" t="n">
        <v>0</v>
      </c>
      <c r="AE168" t="n">
        <v>163.8</v>
      </c>
      <c r="AF168" t="n">
        <v>0</v>
      </c>
      <c r="AG168" t="n">
        <v>0</v>
      </c>
      <c r="AH168" t="n">
        <v>0.16</v>
      </c>
      <c r="AI168" t="n">
        <v>8.199999999999999</v>
      </c>
      <c r="AJ168" t="n">
        <v>-0.01</v>
      </c>
      <c r="AK168" t="n">
        <v>14.53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48.81</v>
      </c>
      <c r="AV168" t="n">
        <v>0</v>
      </c>
      <c r="AW168" t="n">
        <v>123.18</v>
      </c>
      <c r="AX168" t="inlineStr">
        <is>
          <t>settled</t>
        </is>
      </c>
      <c r="AY168" t="inlineStr">
        <is>
          <t>2025-12-10 05:30:00</t>
        </is>
      </c>
      <c r="AZ168" t="inlineStr">
        <is>
          <t>CITIN25668288188</t>
        </is>
      </c>
      <c r="BA168" t="n">
        <v>0</v>
      </c>
      <c r="BB168" t="inlineStr">
        <is>
          <t>d892cb64eff28484f4db84452472b2b8771dd3acd4804bea793774367aafe3a3</t>
        </is>
      </c>
    </row>
    <row r="169">
      <c r="A169" t="inlineStr">
        <is>
          <t>164</t>
        </is>
      </c>
      <c r="B169" t="inlineStr">
        <is>
          <t>7545969489</t>
        </is>
      </c>
      <c r="C169" t="inlineStr">
        <is>
          <t>2025-12-04 10:43:43</t>
        </is>
      </c>
      <c r="D169" t="inlineStr">
        <is>
          <t>49</t>
        </is>
      </c>
      <c r="E169" t="inlineStr">
        <is>
          <t>Sha Sha - Shandaar Shawarma</t>
        </is>
      </c>
      <c r="F169" t="inlineStr">
        <is>
          <t>18557902</t>
        </is>
      </c>
      <c r="G169" t="inlineStr">
        <is>
          <t>NA</t>
        </is>
      </c>
      <c r="H169" t="inlineStr">
        <is>
          <t>ONLINE</t>
        </is>
      </c>
      <c r="I169" t="inlineStr">
        <is>
          <t>DELIVERED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O2</t>
        </is>
      </c>
      <c r="N169" t="inlineStr">
        <is>
          <t>36</t>
        </is>
      </c>
      <c r="O169" t="n">
        <v>219</v>
      </c>
      <c r="P169" t="n">
        <v>3.5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11.13</v>
      </c>
      <c r="W169" t="n">
        <v>233.63</v>
      </c>
      <c r="X169" t="n">
        <v>222.5</v>
      </c>
      <c r="Y169" t="n">
        <v>19</v>
      </c>
      <c r="Z169" t="n">
        <v>42.28</v>
      </c>
      <c r="AA169" t="n">
        <v>4.3</v>
      </c>
      <c r="AB169" t="n">
        <v>46.58</v>
      </c>
      <c r="AC169" t="n">
        <v>8.380000000000001</v>
      </c>
      <c r="AD169" t="n">
        <v>0</v>
      </c>
      <c r="AE169" t="n">
        <v>222.5</v>
      </c>
      <c r="AF169" t="n">
        <v>0</v>
      </c>
      <c r="AG169" t="n">
        <v>0</v>
      </c>
      <c r="AH169" t="n">
        <v>0.22</v>
      </c>
      <c r="AI169" t="n">
        <v>11.13</v>
      </c>
      <c r="AJ169" t="n">
        <v>0</v>
      </c>
      <c r="AK169" t="n">
        <v>19.73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66.31</v>
      </c>
      <c r="AV169" t="n">
        <v>0</v>
      </c>
      <c r="AW169" t="n">
        <v>167.32</v>
      </c>
      <c r="AX169" t="inlineStr">
        <is>
          <t>settled</t>
        </is>
      </c>
      <c r="AY169" t="inlineStr">
        <is>
          <t>2025-12-10 05:30:00</t>
        </is>
      </c>
      <c r="AZ169" t="inlineStr">
        <is>
          <t>CITIN25668288188</t>
        </is>
      </c>
      <c r="BA169" t="n">
        <v>0</v>
      </c>
      <c r="BB169" t="inlineStr">
        <is>
          <t>eb446abdfe0a8d32ccfa1794a75686996c0c55a44edeee294941c98649651896</t>
        </is>
      </c>
    </row>
    <row r="170">
      <c r="A170" t="inlineStr">
        <is>
          <t>165</t>
        </is>
      </c>
      <c r="B170" t="inlineStr">
        <is>
          <t>7540552102</t>
        </is>
      </c>
      <c r="C170" t="inlineStr">
        <is>
          <t>2025-12-04 11:47:35</t>
        </is>
      </c>
      <c r="D170" t="inlineStr">
        <is>
          <t>49</t>
        </is>
      </c>
      <c r="E170" t="inlineStr">
        <is>
          <t>Sha Sha - Shandaar Shawarma</t>
        </is>
      </c>
      <c r="F170" t="inlineStr">
        <is>
          <t>18557902</t>
        </is>
      </c>
      <c r="G170" t="inlineStr">
        <is>
          <t>30% off upto ₹75 (2025-06-25 - 2031-01-01)</t>
        </is>
      </c>
      <c r="H170" t="inlineStr">
        <is>
          <t>ONLINE</t>
        </is>
      </c>
      <c r="I170" t="inlineStr">
        <is>
          <t>DELIVERED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O2</t>
        </is>
      </c>
      <c r="N170" t="inlineStr">
        <is>
          <t>36</t>
        </is>
      </c>
      <c r="O170" t="n">
        <v>229</v>
      </c>
      <c r="P170" t="n">
        <v>3.5</v>
      </c>
      <c r="Q170" t="n">
        <v>0</v>
      </c>
      <c r="R170" t="n">
        <v>68.7</v>
      </c>
      <c r="S170" t="n">
        <v>0</v>
      </c>
      <c r="T170" t="n">
        <v>0</v>
      </c>
      <c r="U170" t="n">
        <v>0</v>
      </c>
      <c r="V170" t="n">
        <v>8.19</v>
      </c>
      <c r="W170" t="n">
        <v>171.99</v>
      </c>
      <c r="X170" t="n">
        <v>163.8</v>
      </c>
      <c r="Y170" t="n">
        <v>19</v>
      </c>
      <c r="Z170" t="n">
        <v>31.12</v>
      </c>
      <c r="AA170" t="n">
        <v>3.16</v>
      </c>
      <c r="AB170" t="n">
        <v>34.28</v>
      </c>
      <c r="AC170" t="n">
        <v>6.17</v>
      </c>
      <c r="AD170" t="n">
        <v>0</v>
      </c>
      <c r="AE170" t="n">
        <v>163.8</v>
      </c>
      <c r="AF170" t="n">
        <v>0</v>
      </c>
      <c r="AG170" t="n">
        <v>0</v>
      </c>
      <c r="AH170" t="n">
        <v>0.16</v>
      </c>
      <c r="AI170" t="n">
        <v>8.199999999999999</v>
      </c>
      <c r="AJ170" t="n">
        <v>-0.01</v>
      </c>
      <c r="AK170" t="n">
        <v>14.53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48.81</v>
      </c>
      <c r="AV170" t="n">
        <v>0</v>
      </c>
      <c r="AW170" t="n">
        <v>123.18</v>
      </c>
      <c r="AX170" t="inlineStr">
        <is>
          <t>settled</t>
        </is>
      </c>
      <c r="AY170" t="inlineStr">
        <is>
          <t>2025-12-10 05:30:00</t>
        </is>
      </c>
      <c r="AZ170" t="inlineStr">
        <is>
          <t>CITIN25668288188</t>
        </is>
      </c>
      <c r="BA170" t="n">
        <v>0</v>
      </c>
      <c r="BB170" t="inlineStr">
        <is>
          <t>2bb0d410ce2e2dccee778f409402ec867df7887e581d9bbf720913a6e41c3867</t>
        </is>
      </c>
    </row>
    <row r="171">
      <c r="A171" t="inlineStr">
        <is>
          <t>166</t>
        </is>
      </c>
      <c r="B171" t="inlineStr">
        <is>
          <t>7547481511</t>
        </is>
      </c>
      <c r="C171" t="inlineStr">
        <is>
          <t>2025-12-04 12:25:03</t>
        </is>
      </c>
      <c r="D171" t="inlineStr">
        <is>
          <t>49</t>
        </is>
      </c>
      <c r="E171" t="inlineStr">
        <is>
          <t>Sha Sha - Shandaar Shawarma</t>
        </is>
      </c>
      <c r="F171" t="inlineStr">
        <is>
          <t>18557902</t>
        </is>
      </c>
      <c r="G171" t="inlineStr">
        <is>
          <t>NA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O2</t>
        </is>
      </c>
      <c r="N171" t="inlineStr">
        <is>
          <t>36</t>
        </is>
      </c>
      <c r="O171" t="n">
        <v>458</v>
      </c>
      <c r="P171" t="n">
        <v>3.5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23.08</v>
      </c>
      <c r="W171" t="n">
        <v>484.58</v>
      </c>
      <c r="X171" t="n">
        <v>461.5</v>
      </c>
      <c r="Y171" t="n">
        <v>19</v>
      </c>
      <c r="Z171" t="n">
        <v>87.68000000000001</v>
      </c>
      <c r="AA171" t="n">
        <v>8.92</v>
      </c>
      <c r="AB171" t="n">
        <v>96.59999999999999</v>
      </c>
      <c r="AC171" t="n">
        <v>17.39</v>
      </c>
      <c r="AD171" t="n">
        <v>0</v>
      </c>
      <c r="AE171" t="n">
        <v>461.5</v>
      </c>
      <c r="AF171" t="n">
        <v>0</v>
      </c>
      <c r="AG171" t="n">
        <v>0</v>
      </c>
      <c r="AH171" t="n">
        <v>0.46</v>
      </c>
      <c r="AI171" t="n">
        <v>23.08</v>
      </c>
      <c r="AJ171" t="n">
        <v>0</v>
      </c>
      <c r="AK171" t="n">
        <v>40.93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137.53</v>
      </c>
      <c r="AV171" t="n">
        <v>0</v>
      </c>
      <c r="AW171" t="n">
        <v>347.05</v>
      </c>
      <c r="AX171" t="inlineStr">
        <is>
          <t>settled</t>
        </is>
      </c>
      <c r="AY171" t="inlineStr">
        <is>
          <t>2025-12-10 05:30:00</t>
        </is>
      </c>
      <c r="AZ171" t="inlineStr">
        <is>
          <t>CITIN25668288188</t>
        </is>
      </c>
      <c r="BA171" t="n">
        <v>0</v>
      </c>
      <c r="BB171" t="inlineStr">
        <is>
          <t>ed2f10809c07a3ea92edefff518efcf564d7dccbb2ff51f2ea3d30c7fbe2eee2</t>
        </is>
      </c>
    </row>
    <row r="172">
      <c r="A172" t="inlineStr">
        <is>
          <t>167</t>
        </is>
      </c>
      <c r="B172" t="inlineStr">
        <is>
          <t>7543913638</t>
        </is>
      </c>
      <c r="C172" t="inlineStr">
        <is>
          <t>2025-12-04 13:20:22</t>
        </is>
      </c>
      <c r="D172" t="inlineStr">
        <is>
          <t>49</t>
        </is>
      </c>
      <c r="E172" t="inlineStr">
        <is>
          <t>Sha Sha - Shandaar Shawarma</t>
        </is>
      </c>
      <c r="F172" t="inlineStr">
        <is>
          <t>18557902</t>
        </is>
      </c>
      <c r="G172" t="inlineStr">
        <is>
          <t>30% off upto ₹75 (2025-06-25 - 2031-01-01)</t>
        </is>
      </c>
      <c r="H172" t="inlineStr">
        <is>
          <t>ONLINE</t>
        </is>
      </c>
      <c r="I172" t="inlineStr">
        <is>
          <t>DELIVERED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O2</t>
        </is>
      </c>
      <c r="N172" t="inlineStr">
        <is>
          <t>36</t>
        </is>
      </c>
      <c r="O172" t="n">
        <v>328</v>
      </c>
      <c r="P172" t="n">
        <v>3.5</v>
      </c>
      <c r="Q172" t="n">
        <v>0</v>
      </c>
      <c r="R172" t="n">
        <v>75</v>
      </c>
      <c r="S172" t="n">
        <v>0</v>
      </c>
      <c r="T172" t="n">
        <v>0</v>
      </c>
      <c r="U172" t="n">
        <v>0</v>
      </c>
      <c r="V172" t="n">
        <v>12.83</v>
      </c>
      <c r="W172" t="n">
        <v>269.33</v>
      </c>
      <c r="X172" t="n">
        <v>256.5</v>
      </c>
      <c r="Y172" t="n">
        <v>19</v>
      </c>
      <c r="Z172" t="n">
        <v>48.74</v>
      </c>
      <c r="AA172" t="n">
        <v>4.96</v>
      </c>
      <c r="AB172" t="n">
        <v>53.7</v>
      </c>
      <c r="AC172" t="n">
        <v>9.66</v>
      </c>
      <c r="AD172" t="n">
        <v>0</v>
      </c>
      <c r="AE172" t="n">
        <v>256.5</v>
      </c>
      <c r="AF172" t="n">
        <v>0</v>
      </c>
      <c r="AG172" t="n">
        <v>0</v>
      </c>
      <c r="AH172" t="n">
        <v>0.26</v>
      </c>
      <c r="AI172" t="n">
        <v>12.83</v>
      </c>
      <c r="AJ172" t="n">
        <v>0</v>
      </c>
      <c r="AK172" t="n">
        <v>22.75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76.45</v>
      </c>
      <c r="AV172" t="n">
        <v>0</v>
      </c>
      <c r="AW172" t="n">
        <v>192.88</v>
      </c>
      <c r="AX172" t="inlineStr">
        <is>
          <t>settled</t>
        </is>
      </c>
      <c r="AY172" t="inlineStr">
        <is>
          <t>2025-12-10 05:30:00</t>
        </is>
      </c>
      <c r="AZ172" t="inlineStr">
        <is>
          <t>CITIN25668288188</t>
        </is>
      </c>
      <c r="BA172" t="n">
        <v>0</v>
      </c>
      <c r="BB172" t="inlineStr">
        <is>
          <t>aaaabf6b77dc7e3842ecb7632fa490e89f90d0c125d6c136d73c3454945b85c1</t>
        </is>
      </c>
    </row>
    <row r="173">
      <c r="A173" t="inlineStr">
        <is>
          <t>168</t>
        </is>
      </c>
      <c r="B173" t="inlineStr">
        <is>
          <t>7546472017</t>
        </is>
      </c>
      <c r="C173" t="inlineStr">
        <is>
          <t>2025-12-04 15:18:53</t>
        </is>
      </c>
      <c r="D173" t="inlineStr">
        <is>
          <t>49</t>
        </is>
      </c>
      <c r="E173" t="inlineStr">
        <is>
          <t>Sha Sha - Shandaar Shawarma</t>
        </is>
      </c>
      <c r="F173" t="inlineStr">
        <is>
          <t>18557902</t>
        </is>
      </c>
      <c r="G173" t="inlineStr">
        <is>
          <t>30% off upto ₹75 (2025-06-25 - 2031-01-01)</t>
        </is>
      </c>
      <c r="H173" t="inlineStr">
        <is>
          <t>ONLINE</t>
        </is>
      </c>
      <c r="I173" t="inlineStr">
        <is>
          <t>DELIVERED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O2</t>
        </is>
      </c>
      <c r="N173" t="inlineStr">
        <is>
          <t>36</t>
        </is>
      </c>
      <c r="O173" t="n">
        <v>219</v>
      </c>
      <c r="P173" t="n">
        <v>3.5</v>
      </c>
      <c r="Q173" t="n">
        <v>0</v>
      </c>
      <c r="R173" t="n">
        <v>65.7</v>
      </c>
      <c r="S173" t="n">
        <v>0</v>
      </c>
      <c r="T173" t="n">
        <v>0</v>
      </c>
      <c r="U173" t="n">
        <v>0</v>
      </c>
      <c r="V173" t="n">
        <v>7.84</v>
      </c>
      <c r="W173" t="n">
        <v>164.64</v>
      </c>
      <c r="X173" t="n">
        <v>156.8</v>
      </c>
      <c r="Y173" t="n">
        <v>19</v>
      </c>
      <c r="Z173" t="n">
        <v>29.79</v>
      </c>
      <c r="AA173" t="n">
        <v>3.03</v>
      </c>
      <c r="AB173" t="n">
        <v>32.82</v>
      </c>
      <c r="AC173" t="n">
        <v>5.91</v>
      </c>
      <c r="AD173" t="n">
        <v>0</v>
      </c>
      <c r="AE173" t="n">
        <v>156.8</v>
      </c>
      <c r="AF173" t="n">
        <v>0</v>
      </c>
      <c r="AG173" t="n">
        <v>0</v>
      </c>
      <c r="AH173" t="n">
        <v>0.16</v>
      </c>
      <c r="AI173" t="n">
        <v>7.85</v>
      </c>
      <c r="AJ173" t="n">
        <v>-0.01</v>
      </c>
      <c r="AK173" t="n">
        <v>13.92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46.74</v>
      </c>
      <c r="AV173" t="n">
        <v>0</v>
      </c>
      <c r="AW173" t="n">
        <v>117.9</v>
      </c>
      <c r="AX173" t="inlineStr">
        <is>
          <t>settled</t>
        </is>
      </c>
      <c r="AY173" t="inlineStr">
        <is>
          <t>2025-12-10 05:30:00</t>
        </is>
      </c>
      <c r="AZ173" t="inlineStr">
        <is>
          <t>CITIN25668288188</t>
        </is>
      </c>
      <c r="BA173" t="n">
        <v>0</v>
      </c>
      <c r="BB173" t="inlineStr">
        <is>
          <t>1ffe49d94f2419be5e906f824f64f7f55b762ed763b569285473bbfa2b130332</t>
        </is>
      </c>
    </row>
    <row r="174">
      <c r="A174" t="inlineStr">
        <is>
          <t>169</t>
        </is>
      </c>
      <c r="B174" t="inlineStr">
        <is>
          <t>7545724035</t>
        </is>
      </c>
      <c r="C174" t="inlineStr">
        <is>
          <t>2025-12-04 15:44:20</t>
        </is>
      </c>
      <c r="D174" t="inlineStr">
        <is>
          <t>49</t>
        </is>
      </c>
      <c r="E174" t="inlineStr">
        <is>
          <t>Sha Sha - Shandaar Shawarma</t>
        </is>
      </c>
      <c r="F174" t="inlineStr">
        <is>
          <t>18557902</t>
        </is>
      </c>
      <c r="G174" t="inlineStr">
        <is>
          <t>30% off upto ₹75 (2025-06-25 - 2031-01-01)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O2</t>
        </is>
      </c>
      <c r="N174" t="inlineStr">
        <is>
          <t>36</t>
        </is>
      </c>
      <c r="O174" t="n">
        <v>229</v>
      </c>
      <c r="P174" t="n">
        <v>3.5</v>
      </c>
      <c r="Q174" t="n">
        <v>0</v>
      </c>
      <c r="R174" t="n">
        <v>68.7</v>
      </c>
      <c r="S174" t="n">
        <v>0</v>
      </c>
      <c r="T174" t="n">
        <v>0</v>
      </c>
      <c r="U174" t="n">
        <v>0</v>
      </c>
      <c r="V174" t="n">
        <v>8.19</v>
      </c>
      <c r="W174" t="n">
        <v>171.99</v>
      </c>
      <c r="X174" t="n">
        <v>163.8</v>
      </c>
      <c r="Y174" t="n">
        <v>19</v>
      </c>
      <c r="Z174" t="n">
        <v>31.12</v>
      </c>
      <c r="AA174" t="n">
        <v>3.16</v>
      </c>
      <c r="AB174" t="n">
        <v>34.28</v>
      </c>
      <c r="AC174" t="n">
        <v>6.17</v>
      </c>
      <c r="AD174" t="n">
        <v>0</v>
      </c>
      <c r="AE174" t="n">
        <v>163.8</v>
      </c>
      <c r="AF174" t="n">
        <v>0</v>
      </c>
      <c r="AG174" t="n">
        <v>0</v>
      </c>
      <c r="AH174" t="n">
        <v>0.16</v>
      </c>
      <c r="AI174" t="n">
        <v>8.199999999999999</v>
      </c>
      <c r="AJ174" t="n">
        <v>-0.01</v>
      </c>
      <c r="AK174" t="n">
        <v>14.53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48.81</v>
      </c>
      <c r="AV174" t="n">
        <v>0</v>
      </c>
      <c r="AW174" t="n">
        <v>123.18</v>
      </c>
      <c r="AX174" t="inlineStr">
        <is>
          <t>settled</t>
        </is>
      </c>
      <c r="AY174" t="inlineStr">
        <is>
          <t>2025-12-10 05:30:00</t>
        </is>
      </c>
      <c r="AZ174" t="inlineStr">
        <is>
          <t>CITIN25668288188</t>
        </is>
      </c>
      <c r="BA174" t="n">
        <v>0</v>
      </c>
      <c r="BB174" t="inlineStr">
        <is>
          <t>53240e45fddaa52a6fd53dbe61e3dcb58fd92f9967066d18fad52f15f96d3e65</t>
        </is>
      </c>
    </row>
    <row r="175">
      <c r="A175" t="inlineStr">
        <is>
          <t>170</t>
        </is>
      </c>
      <c r="B175" t="inlineStr">
        <is>
          <t>7547133818</t>
        </is>
      </c>
      <c r="C175" t="inlineStr">
        <is>
          <t>2025-12-04 16:38:38</t>
        </is>
      </c>
      <c r="D175" t="inlineStr">
        <is>
          <t>49</t>
        </is>
      </c>
      <c r="E175" t="inlineStr">
        <is>
          <t>Sha Sha - Shandaar Shawarma</t>
        </is>
      </c>
      <c r="F175" t="inlineStr">
        <is>
          <t>18557902</t>
        </is>
      </c>
      <c r="G175" t="inlineStr">
        <is>
          <t>NA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O2</t>
        </is>
      </c>
      <c r="N175" t="inlineStr">
        <is>
          <t>36</t>
        </is>
      </c>
      <c r="O175" t="n">
        <v>229</v>
      </c>
      <c r="P175" t="n">
        <v>3.5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11.63</v>
      </c>
      <c r="W175" t="n">
        <v>244.13</v>
      </c>
      <c r="X175" t="n">
        <v>232.5</v>
      </c>
      <c r="Y175" t="n">
        <v>19</v>
      </c>
      <c r="Z175" t="n">
        <v>44.18</v>
      </c>
      <c r="AA175" t="n">
        <v>4.49</v>
      </c>
      <c r="AB175" t="n">
        <v>48.67</v>
      </c>
      <c r="AC175" t="n">
        <v>8.76</v>
      </c>
      <c r="AD175" t="n">
        <v>0</v>
      </c>
      <c r="AE175" t="n">
        <v>232.5</v>
      </c>
      <c r="AF175" t="n">
        <v>0</v>
      </c>
      <c r="AG175" t="n">
        <v>0</v>
      </c>
      <c r="AH175" t="n">
        <v>0.23</v>
      </c>
      <c r="AI175" t="n">
        <v>11.63</v>
      </c>
      <c r="AJ175" t="n">
        <v>0</v>
      </c>
      <c r="AK175" t="n">
        <v>20.62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69.29000000000001</v>
      </c>
      <c r="AV175" t="n">
        <v>0</v>
      </c>
      <c r="AW175" t="n">
        <v>174.84</v>
      </c>
      <c r="AX175" t="inlineStr">
        <is>
          <t>settled</t>
        </is>
      </c>
      <c r="AY175" t="inlineStr">
        <is>
          <t>2025-12-10 05:30:00</t>
        </is>
      </c>
      <c r="AZ175" t="inlineStr">
        <is>
          <t>CITIN25668288188</t>
        </is>
      </c>
      <c r="BA175" t="n">
        <v>0</v>
      </c>
      <c r="BB175" t="inlineStr">
        <is>
          <t>79fc69d4b828552953aa9813374d89f698c14e9eba73c1ace0bd7eefa08a8628</t>
        </is>
      </c>
    </row>
    <row r="176">
      <c r="A176" t="inlineStr">
        <is>
          <t>171</t>
        </is>
      </c>
      <c r="B176" t="inlineStr">
        <is>
          <t>7539829472</t>
        </is>
      </c>
      <c r="C176" t="inlineStr">
        <is>
          <t>2025-12-04 16:49:00</t>
        </is>
      </c>
      <c r="D176" t="inlineStr">
        <is>
          <t>49</t>
        </is>
      </c>
      <c r="E176" t="inlineStr">
        <is>
          <t>Sha Sha - Shandaar Shawarma</t>
        </is>
      </c>
      <c r="F176" t="inlineStr">
        <is>
          <t>18557902</t>
        </is>
      </c>
      <c r="G176" t="inlineStr">
        <is>
          <t>NA</t>
        </is>
      </c>
      <c r="H176" t="inlineStr">
        <is>
          <t>ONLINE</t>
        </is>
      </c>
      <c r="I176" t="inlineStr">
        <is>
          <t>DELIVERED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O2</t>
        </is>
      </c>
      <c r="N176" t="inlineStr">
        <is>
          <t>36</t>
        </is>
      </c>
      <c r="O176" t="n">
        <v>438</v>
      </c>
      <c r="P176" t="n">
        <v>3.5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22.08</v>
      </c>
      <c r="W176" t="n">
        <v>463.58</v>
      </c>
      <c r="X176" t="n">
        <v>441.5</v>
      </c>
      <c r="Y176" t="n">
        <v>19</v>
      </c>
      <c r="Z176" t="n">
        <v>83.88</v>
      </c>
      <c r="AA176" t="n">
        <v>8.529999999999999</v>
      </c>
      <c r="AB176" t="n">
        <v>92.41</v>
      </c>
      <c r="AC176" t="n">
        <v>16.64</v>
      </c>
      <c r="AD176" t="n">
        <v>0</v>
      </c>
      <c r="AE176" t="n">
        <v>441.5</v>
      </c>
      <c r="AF176" t="n">
        <v>0</v>
      </c>
      <c r="AG176" t="n">
        <v>0</v>
      </c>
      <c r="AH176" t="n">
        <v>0.44</v>
      </c>
      <c r="AI176" t="n">
        <v>22.08</v>
      </c>
      <c r="AJ176" t="n">
        <v>0</v>
      </c>
      <c r="AK176" t="n">
        <v>39.16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131.57</v>
      </c>
      <c r="AV176" t="n">
        <v>0</v>
      </c>
      <c r="AW176" t="n">
        <v>332.01</v>
      </c>
      <c r="AX176" t="inlineStr">
        <is>
          <t>settled</t>
        </is>
      </c>
      <c r="AY176" t="inlineStr">
        <is>
          <t>2025-12-10 05:30:00</t>
        </is>
      </c>
      <c r="AZ176" t="inlineStr">
        <is>
          <t>CITIN25668288188</t>
        </is>
      </c>
      <c r="BA176" t="n">
        <v>0</v>
      </c>
      <c r="BB176" t="inlineStr">
        <is>
          <t>addfa40b1b88803ba5dc5b111cce752267e4435d48b23a4c90022998053b6113</t>
        </is>
      </c>
    </row>
    <row r="177">
      <c r="A177" t="inlineStr">
        <is>
          <t>172</t>
        </is>
      </c>
      <c r="B177" t="inlineStr">
        <is>
          <t>7529777722</t>
        </is>
      </c>
      <c r="C177" t="inlineStr">
        <is>
          <t>2025-12-04 17:10:30</t>
        </is>
      </c>
      <c r="D177" t="inlineStr">
        <is>
          <t>49</t>
        </is>
      </c>
      <c r="E177" t="inlineStr">
        <is>
          <t>Sha Sha - Shandaar Shawarma</t>
        </is>
      </c>
      <c r="F177" t="inlineStr">
        <is>
          <t>18557902</t>
        </is>
      </c>
      <c r="G177" t="inlineStr">
        <is>
          <t>30% off upto ₹75 (2025-06-25 - 2031-01-01)</t>
        </is>
      </c>
      <c r="H177" t="inlineStr">
        <is>
          <t>ONLINE</t>
        </is>
      </c>
      <c r="I177" t="inlineStr">
        <is>
          <t>DELIVERED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O2</t>
        </is>
      </c>
      <c r="N177" t="inlineStr">
        <is>
          <t>36</t>
        </is>
      </c>
      <c r="O177" t="n">
        <v>248</v>
      </c>
      <c r="P177" t="n">
        <v>3.5</v>
      </c>
      <c r="Q177" t="n">
        <v>0</v>
      </c>
      <c r="R177" t="n">
        <v>74.40000000000001</v>
      </c>
      <c r="S177" t="n">
        <v>0</v>
      </c>
      <c r="T177" t="n">
        <v>0</v>
      </c>
      <c r="U177" t="n">
        <v>0</v>
      </c>
      <c r="V177" t="n">
        <v>8.859999999999999</v>
      </c>
      <c r="W177" t="n">
        <v>185.96</v>
      </c>
      <c r="X177" t="n">
        <v>177.1</v>
      </c>
      <c r="Y177" t="n">
        <v>19</v>
      </c>
      <c r="Z177" t="n">
        <v>33.65</v>
      </c>
      <c r="AA177" t="n">
        <v>3.42</v>
      </c>
      <c r="AB177" t="n">
        <v>37.07</v>
      </c>
      <c r="AC177" t="n">
        <v>6.68</v>
      </c>
      <c r="AD177" t="n">
        <v>0</v>
      </c>
      <c r="AE177" t="n">
        <v>177.1</v>
      </c>
      <c r="AF177" t="n">
        <v>0</v>
      </c>
      <c r="AG177" t="n">
        <v>0</v>
      </c>
      <c r="AH177" t="n">
        <v>0.18</v>
      </c>
      <c r="AI177" t="n">
        <v>8.859999999999999</v>
      </c>
      <c r="AJ177" t="n">
        <v>0</v>
      </c>
      <c r="AK177" t="n">
        <v>15.72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52.79</v>
      </c>
      <c r="AV177" t="n">
        <v>0</v>
      </c>
      <c r="AW177" t="n">
        <v>133.17</v>
      </c>
      <c r="AX177" t="inlineStr">
        <is>
          <t>settled</t>
        </is>
      </c>
      <c r="AY177" t="inlineStr">
        <is>
          <t>2025-12-10 05:30:00</t>
        </is>
      </c>
      <c r="AZ177" t="inlineStr">
        <is>
          <t>CITIN25668288188</t>
        </is>
      </c>
      <c r="BA177" t="n">
        <v>0</v>
      </c>
      <c r="BB177" t="inlineStr">
        <is>
          <t>24e4dcffed5f8799ac5c69a73b07eab79863bc718b1f4be856d480e9c809e42b</t>
        </is>
      </c>
    </row>
    <row r="178">
      <c r="A178" t="inlineStr">
        <is>
          <t>173</t>
        </is>
      </c>
      <c r="B178" t="inlineStr">
        <is>
          <t>7542461096</t>
        </is>
      </c>
      <c r="C178" t="inlineStr">
        <is>
          <t>2025-12-04 17:22:40</t>
        </is>
      </c>
      <c r="D178" t="inlineStr">
        <is>
          <t>49</t>
        </is>
      </c>
      <c r="E178" t="inlineStr">
        <is>
          <t>Sha Sha - Shandaar Shawarma</t>
        </is>
      </c>
      <c r="F178" t="inlineStr">
        <is>
          <t>18557902</t>
        </is>
      </c>
      <c r="G178" t="inlineStr">
        <is>
          <t>30% off upto ₹75 (2025-06-25 - 2031-01-01)</t>
        </is>
      </c>
      <c r="H178" t="inlineStr">
        <is>
          <t>ONLINE</t>
        </is>
      </c>
      <c r="I178" t="inlineStr">
        <is>
          <t>DELIVERED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O2</t>
        </is>
      </c>
      <c r="N178" t="inlineStr">
        <is>
          <t>36</t>
        </is>
      </c>
      <c r="O178" t="n">
        <v>219</v>
      </c>
      <c r="P178" t="n">
        <v>3.5</v>
      </c>
      <c r="Q178" t="n">
        <v>0</v>
      </c>
      <c r="R178" t="n">
        <v>65.7</v>
      </c>
      <c r="S178" t="n">
        <v>0</v>
      </c>
      <c r="T178" t="n">
        <v>0</v>
      </c>
      <c r="U178" t="n">
        <v>0</v>
      </c>
      <c r="V178" t="n">
        <v>7.84</v>
      </c>
      <c r="W178" t="n">
        <v>164.64</v>
      </c>
      <c r="X178" t="n">
        <v>156.8</v>
      </c>
      <c r="Y178" t="n">
        <v>19</v>
      </c>
      <c r="Z178" t="n">
        <v>29.79</v>
      </c>
      <c r="AA178" t="n">
        <v>3.03</v>
      </c>
      <c r="AB178" t="n">
        <v>32.82</v>
      </c>
      <c r="AC178" t="n">
        <v>5.91</v>
      </c>
      <c r="AD178" t="n">
        <v>0</v>
      </c>
      <c r="AE178" t="n">
        <v>156.8</v>
      </c>
      <c r="AF178" t="n">
        <v>0</v>
      </c>
      <c r="AG178" t="n">
        <v>0</v>
      </c>
      <c r="AH178" t="n">
        <v>0.16</v>
      </c>
      <c r="AI178" t="n">
        <v>7.85</v>
      </c>
      <c r="AJ178" t="n">
        <v>-0.01</v>
      </c>
      <c r="AK178" t="n">
        <v>13.92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46.74</v>
      </c>
      <c r="AV178" t="n">
        <v>0</v>
      </c>
      <c r="AW178" t="n">
        <v>117.9</v>
      </c>
      <c r="AX178" t="inlineStr">
        <is>
          <t>settled</t>
        </is>
      </c>
      <c r="AY178" t="inlineStr">
        <is>
          <t>2025-12-10 05:30:00</t>
        </is>
      </c>
      <c r="AZ178" t="inlineStr">
        <is>
          <t>CITIN25668288188</t>
        </is>
      </c>
      <c r="BA178" t="n">
        <v>0</v>
      </c>
      <c r="BB178" t="inlineStr">
        <is>
          <t>c88fb7e023507575af3cb13519a6e9d2b90346df658dacf581a0e16ac69137eb</t>
        </is>
      </c>
    </row>
    <row r="179">
      <c r="A179" t="inlineStr">
        <is>
          <t>174</t>
        </is>
      </c>
      <c r="B179" t="inlineStr">
        <is>
          <t>7543089437</t>
        </is>
      </c>
      <c r="C179" t="inlineStr">
        <is>
          <t>2025-12-04 17:27:15</t>
        </is>
      </c>
      <c r="D179" t="inlineStr">
        <is>
          <t>49</t>
        </is>
      </c>
      <c r="E179" t="inlineStr">
        <is>
          <t>Sha Sha - Shandaar Shawarma</t>
        </is>
      </c>
      <c r="F179" t="inlineStr">
        <is>
          <t>18557902</t>
        </is>
      </c>
      <c r="G179" t="inlineStr">
        <is>
          <t>30% off upto ₹75 (2025-06-25 - 2031-01-01)</t>
        </is>
      </c>
      <c r="H179" t="inlineStr">
        <is>
          <t>ONLINE</t>
        </is>
      </c>
      <c r="I179" t="inlineStr">
        <is>
          <t>DELIVERED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O2</t>
        </is>
      </c>
      <c r="N179" t="inlineStr">
        <is>
          <t>36</t>
        </is>
      </c>
      <c r="O179" t="n">
        <v>448</v>
      </c>
      <c r="P179" t="n">
        <v>3.5</v>
      </c>
      <c r="Q179" t="n">
        <v>0</v>
      </c>
      <c r="R179" t="n">
        <v>75</v>
      </c>
      <c r="S179" t="n">
        <v>0</v>
      </c>
      <c r="T179" t="n">
        <v>0</v>
      </c>
      <c r="U179" t="n">
        <v>0</v>
      </c>
      <c r="V179" t="n">
        <v>18.83</v>
      </c>
      <c r="W179" t="n">
        <v>395.33</v>
      </c>
      <c r="X179" t="n">
        <v>376.5</v>
      </c>
      <c r="Y179" t="n">
        <v>19</v>
      </c>
      <c r="Z179" t="n">
        <v>71.54000000000001</v>
      </c>
      <c r="AA179" t="n">
        <v>7.27</v>
      </c>
      <c r="AB179" t="n">
        <v>78.81</v>
      </c>
      <c r="AC179" t="n">
        <v>14.19</v>
      </c>
      <c r="AD179" t="n">
        <v>0</v>
      </c>
      <c r="AE179" t="n">
        <v>376.5</v>
      </c>
      <c r="AF179" t="n">
        <v>0</v>
      </c>
      <c r="AG179" t="n">
        <v>0</v>
      </c>
      <c r="AH179" t="n">
        <v>0.38</v>
      </c>
      <c r="AI179" t="n">
        <v>18.83</v>
      </c>
      <c r="AJ179" t="n">
        <v>0</v>
      </c>
      <c r="AK179" t="n">
        <v>33.4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112.21</v>
      </c>
      <c r="AV179" t="n">
        <v>0</v>
      </c>
      <c r="AW179" t="n">
        <v>283.12</v>
      </c>
      <c r="AX179" t="inlineStr">
        <is>
          <t>settled</t>
        </is>
      </c>
      <c r="AY179" t="inlineStr">
        <is>
          <t>2025-12-10 05:30:00</t>
        </is>
      </c>
      <c r="AZ179" t="inlineStr">
        <is>
          <t>CITIN25668288188</t>
        </is>
      </c>
      <c r="BA179" t="n">
        <v>0</v>
      </c>
      <c r="BB179" t="inlineStr">
        <is>
          <t>5885a0d265e879439f2ba3beffcab760f26822dc541fe06f069e51c93c5b21d4</t>
        </is>
      </c>
    </row>
    <row r="180">
      <c r="A180" t="inlineStr">
        <is>
          <t>175</t>
        </is>
      </c>
      <c r="B180" t="inlineStr">
        <is>
          <t>7546644519</t>
        </is>
      </c>
      <c r="C180" t="inlineStr">
        <is>
          <t>2025-12-04 17:36:23</t>
        </is>
      </c>
      <c r="D180" t="inlineStr">
        <is>
          <t>49</t>
        </is>
      </c>
      <c r="E180" t="inlineStr">
        <is>
          <t>Sha Sha - Shandaar Shawarma</t>
        </is>
      </c>
      <c r="F180" t="inlineStr">
        <is>
          <t>18557902</t>
        </is>
      </c>
      <c r="G180" t="inlineStr">
        <is>
          <t>30% off upto ₹75 (2025-06-25 - 2031-01-01)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O2</t>
        </is>
      </c>
      <c r="N180" t="inlineStr">
        <is>
          <t>36</t>
        </is>
      </c>
      <c r="O180" t="n">
        <v>229</v>
      </c>
      <c r="P180" t="n">
        <v>3.5</v>
      </c>
      <c r="Q180" t="n">
        <v>0</v>
      </c>
      <c r="R180" t="n">
        <v>68.7</v>
      </c>
      <c r="S180" t="n">
        <v>0</v>
      </c>
      <c r="T180" t="n">
        <v>0</v>
      </c>
      <c r="U180" t="n">
        <v>0</v>
      </c>
      <c r="V180" t="n">
        <v>8.19</v>
      </c>
      <c r="W180" t="n">
        <v>171.99</v>
      </c>
      <c r="X180" t="n">
        <v>163.8</v>
      </c>
      <c r="Y180" t="n">
        <v>19</v>
      </c>
      <c r="Z180" t="n">
        <v>31.12</v>
      </c>
      <c r="AA180" t="n">
        <v>3.16</v>
      </c>
      <c r="AB180" t="n">
        <v>34.28</v>
      </c>
      <c r="AC180" t="n">
        <v>6.17</v>
      </c>
      <c r="AD180" t="n">
        <v>0</v>
      </c>
      <c r="AE180" t="n">
        <v>163.8</v>
      </c>
      <c r="AF180" t="n">
        <v>0</v>
      </c>
      <c r="AG180" t="n">
        <v>0</v>
      </c>
      <c r="AH180" t="n">
        <v>0.16</v>
      </c>
      <c r="AI180" t="n">
        <v>8.199999999999999</v>
      </c>
      <c r="AJ180" t="n">
        <v>-0.01</v>
      </c>
      <c r="AK180" t="n">
        <v>14.53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48.81</v>
      </c>
      <c r="AV180" t="n">
        <v>0</v>
      </c>
      <c r="AW180" t="n">
        <v>123.18</v>
      </c>
      <c r="AX180" t="inlineStr">
        <is>
          <t>settled</t>
        </is>
      </c>
      <c r="AY180" t="inlineStr">
        <is>
          <t>2025-12-10 05:30:00</t>
        </is>
      </c>
      <c r="AZ180" t="inlineStr">
        <is>
          <t>CITIN25668288188</t>
        </is>
      </c>
      <c r="BA180" t="n">
        <v>0</v>
      </c>
      <c r="BB180" t="inlineStr">
        <is>
          <t>cced21294a761e8e520d3f723af908adf3bedcfdce1f6051f03037bf5aa364a8</t>
        </is>
      </c>
    </row>
    <row r="181">
      <c r="A181" t="inlineStr">
        <is>
          <t>176</t>
        </is>
      </c>
      <c r="B181" t="inlineStr">
        <is>
          <t>7547920418</t>
        </is>
      </c>
      <c r="C181" t="inlineStr">
        <is>
          <t>2025-12-04 17:43:04</t>
        </is>
      </c>
      <c r="D181" t="inlineStr">
        <is>
          <t>49</t>
        </is>
      </c>
      <c r="E181" t="inlineStr">
        <is>
          <t>Sha Sha - Shandaar Shawarma</t>
        </is>
      </c>
      <c r="F181" t="inlineStr">
        <is>
          <t>18557902</t>
        </is>
      </c>
      <c r="G181" t="inlineStr">
        <is>
          <t>30% off upto ₹75 (2025-06-25 - 2031-01-01)</t>
        </is>
      </c>
      <c r="H181" t="inlineStr">
        <is>
          <t>ONLINE</t>
        </is>
      </c>
      <c r="I181" t="inlineStr">
        <is>
          <t>DELIVERED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O2</t>
        </is>
      </c>
      <c r="N181" t="inlineStr">
        <is>
          <t>36</t>
        </is>
      </c>
      <c r="O181" t="n">
        <v>219</v>
      </c>
      <c r="P181" t="n">
        <v>3.5</v>
      </c>
      <c r="Q181" t="n">
        <v>0</v>
      </c>
      <c r="R181" t="n">
        <v>65.7</v>
      </c>
      <c r="S181" t="n">
        <v>0</v>
      </c>
      <c r="T181" t="n">
        <v>0</v>
      </c>
      <c r="U181" t="n">
        <v>0</v>
      </c>
      <c r="V181" t="n">
        <v>7.84</v>
      </c>
      <c r="W181" t="n">
        <v>164.64</v>
      </c>
      <c r="X181" t="n">
        <v>156.8</v>
      </c>
      <c r="Y181" t="n">
        <v>19</v>
      </c>
      <c r="Z181" t="n">
        <v>29.79</v>
      </c>
      <c r="AA181" t="n">
        <v>3.03</v>
      </c>
      <c r="AB181" t="n">
        <v>32.82</v>
      </c>
      <c r="AC181" t="n">
        <v>5.91</v>
      </c>
      <c r="AD181" t="n">
        <v>0</v>
      </c>
      <c r="AE181" t="n">
        <v>156.8</v>
      </c>
      <c r="AF181" t="n">
        <v>0</v>
      </c>
      <c r="AG181" t="n">
        <v>0</v>
      </c>
      <c r="AH181" t="n">
        <v>0.16</v>
      </c>
      <c r="AI181" t="n">
        <v>7.85</v>
      </c>
      <c r="AJ181" t="n">
        <v>-0.01</v>
      </c>
      <c r="AK181" t="n">
        <v>13.92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46.74</v>
      </c>
      <c r="AV181" t="n">
        <v>0</v>
      </c>
      <c r="AW181" t="n">
        <v>117.9</v>
      </c>
      <c r="AX181" t="inlineStr">
        <is>
          <t>settled</t>
        </is>
      </c>
      <c r="AY181" t="inlineStr">
        <is>
          <t>2025-12-10 05:30:00</t>
        </is>
      </c>
      <c r="AZ181" t="inlineStr">
        <is>
          <t>CITIN25668288188</t>
        </is>
      </c>
      <c r="BA181" t="n">
        <v>0</v>
      </c>
      <c r="BB181" t="inlineStr">
        <is>
          <t>773b091755c663a4252164745d427622c1deeb368a5c2fb6d89909599de4a277</t>
        </is>
      </c>
    </row>
    <row r="182">
      <c r="A182" t="inlineStr">
        <is>
          <t>177</t>
        </is>
      </c>
      <c r="B182" t="inlineStr">
        <is>
          <t>7545920204</t>
        </is>
      </c>
      <c r="C182" t="inlineStr">
        <is>
          <t>2025-12-04 18:01:53</t>
        </is>
      </c>
      <c r="D182" t="inlineStr">
        <is>
          <t>49</t>
        </is>
      </c>
      <c r="E182" t="inlineStr">
        <is>
          <t>Sha Sha - Shandaar Shawarma</t>
        </is>
      </c>
      <c r="F182" t="inlineStr">
        <is>
          <t>18557902</t>
        </is>
      </c>
      <c r="G182" t="inlineStr">
        <is>
          <t>NA</t>
        </is>
      </c>
      <c r="H182" t="inlineStr">
        <is>
          <t>ONLINE</t>
        </is>
      </c>
      <c r="I182" t="inlineStr">
        <is>
          <t>DELIVERED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O2</t>
        </is>
      </c>
      <c r="N182" t="inlineStr">
        <is>
          <t>36</t>
        </is>
      </c>
      <c r="O182" t="n">
        <v>229</v>
      </c>
      <c r="P182" t="n">
        <v>3.5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11.63</v>
      </c>
      <c r="W182" t="n">
        <v>244.13</v>
      </c>
      <c r="X182" t="n">
        <v>232.5</v>
      </c>
      <c r="Y182" t="n">
        <v>19</v>
      </c>
      <c r="Z182" t="n">
        <v>44.18</v>
      </c>
      <c r="AA182" t="n">
        <v>4.49</v>
      </c>
      <c r="AB182" t="n">
        <v>48.67</v>
      </c>
      <c r="AC182" t="n">
        <v>8.76</v>
      </c>
      <c r="AD182" t="n">
        <v>0</v>
      </c>
      <c r="AE182" t="n">
        <v>232.5</v>
      </c>
      <c r="AF182" t="n">
        <v>0</v>
      </c>
      <c r="AG182" t="n">
        <v>0</v>
      </c>
      <c r="AH182" t="n">
        <v>0.23</v>
      </c>
      <c r="AI182" t="n">
        <v>11.63</v>
      </c>
      <c r="AJ182" t="n">
        <v>0</v>
      </c>
      <c r="AK182" t="n">
        <v>20.62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69.29000000000001</v>
      </c>
      <c r="AV182" t="n">
        <v>0</v>
      </c>
      <c r="AW182" t="n">
        <v>174.84</v>
      </c>
      <c r="AX182" t="inlineStr">
        <is>
          <t>settled</t>
        </is>
      </c>
      <c r="AY182" t="inlineStr">
        <is>
          <t>2025-12-10 05:30:00</t>
        </is>
      </c>
      <c r="AZ182" t="inlineStr">
        <is>
          <t>CITIN25668288188</t>
        </is>
      </c>
      <c r="BA182" t="n">
        <v>0</v>
      </c>
      <c r="BB182" t="inlineStr">
        <is>
          <t>07b5583ee0e42db5df5ffedce5de8a5718cb17c033c3333cee2524231c65801a</t>
        </is>
      </c>
    </row>
    <row r="183">
      <c r="A183" t="inlineStr">
        <is>
          <t>178</t>
        </is>
      </c>
      <c r="B183" t="inlineStr">
        <is>
          <t>7545946923</t>
        </is>
      </c>
      <c r="C183" t="inlineStr">
        <is>
          <t>2025-12-04 18:14:29</t>
        </is>
      </c>
      <c r="D183" t="inlineStr">
        <is>
          <t>49</t>
        </is>
      </c>
      <c r="E183" t="inlineStr">
        <is>
          <t>Sha Sha - Shandaar Shawarma</t>
        </is>
      </c>
      <c r="F183" t="inlineStr">
        <is>
          <t>18557902</t>
        </is>
      </c>
      <c r="G183" t="inlineStr">
        <is>
          <t>NA</t>
        </is>
      </c>
      <c r="H183" t="inlineStr">
        <is>
          <t>ONLINE</t>
        </is>
      </c>
      <c r="I183" t="inlineStr">
        <is>
          <t>DELIVERED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O2</t>
        </is>
      </c>
      <c r="N183" t="inlineStr">
        <is>
          <t>36</t>
        </is>
      </c>
      <c r="O183" t="n">
        <v>229</v>
      </c>
      <c r="P183" t="n">
        <v>3.5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11.63</v>
      </c>
      <c r="W183" t="n">
        <v>244.13</v>
      </c>
      <c r="X183" t="n">
        <v>232.5</v>
      </c>
      <c r="Y183" t="n">
        <v>19</v>
      </c>
      <c r="Z183" t="n">
        <v>44.18</v>
      </c>
      <c r="AA183" t="n">
        <v>4.49</v>
      </c>
      <c r="AB183" t="n">
        <v>48.67</v>
      </c>
      <c r="AC183" t="n">
        <v>8.76</v>
      </c>
      <c r="AD183" t="n">
        <v>0</v>
      </c>
      <c r="AE183" t="n">
        <v>232.5</v>
      </c>
      <c r="AF183" t="n">
        <v>0</v>
      </c>
      <c r="AG183" t="n">
        <v>0</v>
      </c>
      <c r="AH183" t="n">
        <v>0.23</v>
      </c>
      <c r="AI183" t="n">
        <v>11.63</v>
      </c>
      <c r="AJ183" t="n">
        <v>0</v>
      </c>
      <c r="AK183" t="n">
        <v>20.62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69.29000000000001</v>
      </c>
      <c r="AV183" t="n">
        <v>0</v>
      </c>
      <c r="AW183" t="n">
        <v>174.84</v>
      </c>
      <c r="AX183" t="inlineStr">
        <is>
          <t>settled</t>
        </is>
      </c>
      <c r="AY183" t="inlineStr">
        <is>
          <t>2025-12-10 05:30:00</t>
        </is>
      </c>
      <c r="AZ183" t="inlineStr">
        <is>
          <t>CITIN25668288188</t>
        </is>
      </c>
      <c r="BA183" t="n">
        <v>0</v>
      </c>
      <c r="BB183" t="inlineStr">
        <is>
          <t>3e762e3886fa50e05092d96d7cb8a580d5443246b855be29560718d5e2e9ab49</t>
        </is>
      </c>
    </row>
    <row r="184">
      <c r="A184" t="inlineStr">
        <is>
          <t>179</t>
        </is>
      </c>
      <c r="B184" t="inlineStr">
        <is>
          <t>7529590042</t>
        </is>
      </c>
      <c r="C184" t="inlineStr">
        <is>
          <t>2025-12-04 18:45:59</t>
        </is>
      </c>
      <c r="D184" t="inlineStr">
        <is>
          <t>49</t>
        </is>
      </c>
      <c r="E184" t="inlineStr">
        <is>
          <t>Sha Sha - Shandaar Shawarma</t>
        </is>
      </c>
      <c r="F184" t="inlineStr">
        <is>
          <t>18557902</t>
        </is>
      </c>
      <c r="G184" t="inlineStr">
        <is>
          <t>NA</t>
        </is>
      </c>
      <c r="H184" t="inlineStr">
        <is>
          <t>ONLINE</t>
        </is>
      </c>
      <c r="I184" t="inlineStr">
        <is>
          <t>DELIVERED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O2</t>
        </is>
      </c>
      <c r="N184" t="inlineStr">
        <is>
          <t>36</t>
        </is>
      </c>
      <c r="O184" t="n">
        <v>229</v>
      </c>
      <c r="P184" t="n">
        <v>3.5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11.63</v>
      </c>
      <c r="W184" t="n">
        <v>244.13</v>
      </c>
      <c r="X184" t="n">
        <v>232.5</v>
      </c>
      <c r="Y184" t="n">
        <v>19</v>
      </c>
      <c r="Z184" t="n">
        <v>44.18</v>
      </c>
      <c r="AA184" t="n">
        <v>4.49</v>
      </c>
      <c r="AB184" t="n">
        <v>48.67</v>
      </c>
      <c r="AC184" t="n">
        <v>8.76</v>
      </c>
      <c r="AD184" t="n">
        <v>0</v>
      </c>
      <c r="AE184" t="n">
        <v>232.5</v>
      </c>
      <c r="AF184" t="n">
        <v>0</v>
      </c>
      <c r="AG184" t="n">
        <v>0</v>
      </c>
      <c r="AH184" t="n">
        <v>0.23</v>
      </c>
      <c r="AI184" t="n">
        <v>11.63</v>
      </c>
      <c r="AJ184" t="n">
        <v>0</v>
      </c>
      <c r="AK184" t="n">
        <v>20.62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69.29000000000001</v>
      </c>
      <c r="AV184" t="n">
        <v>0</v>
      </c>
      <c r="AW184" t="n">
        <v>174.84</v>
      </c>
      <c r="AX184" t="inlineStr">
        <is>
          <t>settled</t>
        </is>
      </c>
      <c r="AY184" t="inlineStr">
        <is>
          <t>2025-12-10 05:30:00</t>
        </is>
      </c>
      <c r="AZ184" t="inlineStr">
        <is>
          <t>CITIN25668288188</t>
        </is>
      </c>
      <c r="BA184" t="n">
        <v>0</v>
      </c>
      <c r="BB184" t="inlineStr">
        <is>
          <t>cbd5e802808a19877c4f02dc2b56d7276f52c24b88ca4b5fd841949d9b7e6d7e</t>
        </is>
      </c>
    </row>
    <row r="185">
      <c r="A185" t="inlineStr">
        <is>
          <t>180</t>
        </is>
      </c>
      <c r="B185" t="inlineStr">
        <is>
          <t>7547436867</t>
        </is>
      </c>
      <c r="C185" t="inlineStr">
        <is>
          <t>2025-12-04 18:53:04</t>
        </is>
      </c>
      <c r="D185" t="inlineStr">
        <is>
          <t>49</t>
        </is>
      </c>
      <c r="E185" t="inlineStr">
        <is>
          <t>Sha Sha - Shandaar Shawarma</t>
        </is>
      </c>
      <c r="F185" t="inlineStr">
        <is>
          <t>18557902</t>
        </is>
      </c>
      <c r="G185" t="inlineStr">
        <is>
          <t>30% off upto ₹75 (2025-06-25 - 2031-01-01)</t>
        </is>
      </c>
      <c r="H185" t="inlineStr">
        <is>
          <t>ONLINE</t>
        </is>
      </c>
      <c r="I185" t="inlineStr">
        <is>
          <t>DELIVERED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O2</t>
        </is>
      </c>
      <c r="N185" t="inlineStr">
        <is>
          <t>36</t>
        </is>
      </c>
      <c r="O185" t="n">
        <v>229</v>
      </c>
      <c r="P185" t="n">
        <v>3.5</v>
      </c>
      <c r="Q185" t="n">
        <v>0</v>
      </c>
      <c r="R185" t="n">
        <v>68.7</v>
      </c>
      <c r="S185" t="n">
        <v>0</v>
      </c>
      <c r="T185" t="n">
        <v>0</v>
      </c>
      <c r="U185" t="n">
        <v>0</v>
      </c>
      <c r="V185" t="n">
        <v>8.19</v>
      </c>
      <c r="W185" t="n">
        <v>171.99</v>
      </c>
      <c r="X185" t="n">
        <v>163.8</v>
      </c>
      <c r="Y185" t="n">
        <v>19</v>
      </c>
      <c r="Z185" t="n">
        <v>31.12</v>
      </c>
      <c r="AA185" t="n">
        <v>3.16</v>
      </c>
      <c r="AB185" t="n">
        <v>34.28</v>
      </c>
      <c r="AC185" t="n">
        <v>6.17</v>
      </c>
      <c r="AD185" t="n">
        <v>0</v>
      </c>
      <c r="AE185" t="n">
        <v>163.8</v>
      </c>
      <c r="AF185" t="n">
        <v>0</v>
      </c>
      <c r="AG185" t="n">
        <v>0</v>
      </c>
      <c r="AH185" t="n">
        <v>0.16</v>
      </c>
      <c r="AI185" t="n">
        <v>8.199999999999999</v>
      </c>
      <c r="AJ185" t="n">
        <v>-0.01</v>
      </c>
      <c r="AK185" t="n">
        <v>14.53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48.81</v>
      </c>
      <c r="AV185" t="n">
        <v>0</v>
      </c>
      <c r="AW185" t="n">
        <v>123.18</v>
      </c>
      <c r="AX185" t="inlineStr">
        <is>
          <t>settled</t>
        </is>
      </c>
      <c r="AY185" t="inlineStr">
        <is>
          <t>2025-12-10 05:30:00</t>
        </is>
      </c>
      <c r="AZ185" t="inlineStr">
        <is>
          <t>CITIN25668288188</t>
        </is>
      </c>
      <c r="BA185" t="n">
        <v>0</v>
      </c>
      <c r="BB185" t="inlineStr">
        <is>
          <t>c9a70f2f964d3e70fba2698e08a97f0de96784f9f84c01db4f64070051fd07e5</t>
        </is>
      </c>
    </row>
    <row r="186">
      <c r="A186" t="inlineStr">
        <is>
          <t>181</t>
        </is>
      </c>
      <c r="B186" t="inlineStr">
        <is>
          <t>7548305414</t>
        </is>
      </c>
      <c r="C186" t="inlineStr">
        <is>
          <t>2025-12-04 19:23:14</t>
        </is>
      </c>
      <c r="D186" t="inlineStr">
        <is>
          <t>49</t>
        </is>
      </c>
      <c r="E186" t="inlineStr">
        <is>
          <t>Sha Sha - Shandaar Shawarma</t>
        </is>
      </c>
      <c r="F186" t="inlineStr">
        <is>
          <t>18557902</t>
        </is>
      </c>
      <c r="G186" t="inlineStr">
        <is>
          <t>NA</t>
        </is>
      </c>
      <c r="H186" t="inlineStr">
        <is>
          <t>ONLINE</t>
        </is>
      </c>
      <c r="I186" t="inlineStr">
        <is>
          <t>DELIVERED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O2</t>
        </is>
      </c>
      <c r="N186" t="inlineStr">
        <is>
          <t>36</t>
        </is>
      </c>
      <c r="O186" t="n">
        <v>229</v>
      </c>
      <c r="P186" t="n">
        <v>3.5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11.63</v>
      </c>
      <c r="W186" t="n">
        <v>244.13</v>
      </c>
      <c r="X186" t="n">
        <v>232.5</v>
      </c>
      <c r="Y186" t="n">
        <v>19</v>
      </c>
      <c r="Z186" t="n">
        <v>44.18</v>
      </c>
      <c r="AA186" t="n">
        <v>4.49</v>
      </c>
      <c r="AB186" t="n">
        <v>48.67</v>
      </c>
      <c r="AC186" t="n">
        <v>8.76</v>
      </c>
      <c r="AD186" t="n">
        <v>0</v>
      </c>
      <c r="AE186" t="n">
        <v>232.5</v>
      </c>
      <c r="AF186" t="n">
        <v>0</v>
      </c>
      <c r="AG186" t="n">
        <v>0</v>
      </c>
      <c r="AH186" t="n">
        <v>0.23</v>
      </c>
      <c r="AI186" t="n">
        <v>11.63</v>
      </c>
      <c r="AJ186" t="n">
        <v>0</v>
      </c>
      <c r="AK186" t="n">
        <v>20.62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69.29000000000001</v>
      </c>
      <c r="AV186" t="n">
        <v>0</v>
      </c>
      <c r="AW186" t="n">
        <v>174.84</v>
      </c>
      <c r="AX186" t="inlineStr">
        <is>
          <t>settled</t>
        </is>
      </c>
      <c r="AY186" t="inlineStr">
        <is>
          <t>2025-12-10 05:30:00</t>
        </is>
      </c>
      <c r="AZ186" t="inlineStr">
        <is>
          <t>CITIN25668288188</t>
        </is>
      </c>
      <c r="BA186" t="n">
        <v>0</v>
      </c>
      <c r="BB186" t="inlineStr">
        <is>
          <t>6e243043dfa2c6edbe404ad9dd50cbfac5c3fb4a83b8a38aaf040692983636d4</t>
        </is>
      </c>
    </row>
    <row r="187">
      <c r="A187" t="inlineStr">
        <is>
          <t>182</t>
        </is>
      </c>
      <c r="B187" t="inlineStr">
        <is>
          <t>7547409719</t>
        </is>
      </c>
      <c r="C187" t="inlineStr">
        <is>
          <t>2025-12-04 20:39:08</t>
        </is>
      </c>
      <c r="D187" t="inlineStr">
        <is>
          <t>49</t>
        </is>
      </c>
      <c r="E187" t="inlineStr">
        <is>
          <t>Sha Sha - Shandaar Shawarma</t>
        </is>
      </c>
      <c r="F187" t="inlineStr">
        <is>
          <t>18557902</t>
        </is>
      </c>
      <c r="G187" t="inlineStr">
        <is>
          <t>NA</t>
        </is>
      </c>
      <c r="H187" t="inlineStr">
        <is>
          <t>ONLINE</t>
        </is>
      </c>
      <c r="I187" t="inlineStr">
        <is>
          <t>DELIVERED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O2</t>
        </is>
      </c>
      <c r="N187" t="inlineStr">
        <is>
          <t>36</t>
        </is>
      </c>
      <c r="O187" t="n">
        <v>345</v>
      </c>
      <c r="P187" t="n">
        <v>3.5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17.43</v>
      </c>
      <c r="W187" t="n">
        <v>365.93</v>
      </c>
      <c r="X187" t="n">
        <v>348.5</v>
      </c>
      <c r="Y187" t="n">
        <v>19</v>
      </c>
      <c r="Z187" t="n">
        <v>66.22</v>
      </c>
      <c r="AA187" t="n">
        <v>6.73</v>
      </c>
      <c r="AB187" t="n">
        <v>72.95</v>
      </c>
      <c r="AC187" t="n">
        <v>13.13</v>
      </c>
      <c r="AD187" t="n">
        <v>0</v>
      </c>
      <c r="AE187" t="n">
        <v>348.5</v>
      </c>
      <c r="AF187" t="n">
        <v>0</v>
      </c>
      <c r="AG187" t="n">
        <v>0</v>
      </c>
      <c r="AH187" t="n">
        <v>0.35</v>
      </c>
      <c r="AI187" t="n">
        <v>17.43</v>
      </c>
      <c r="AJ187" t="n">
        <v>0</v>
      </c>
      <c r="AK187" t="n">
        <v>30.91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103.86</v>
      </c>
      <c r="AV187" t="n">
        <v>0</v>
      </c>
      <c r="AW187" t="n">
        <v>262.07</v>
      </c>
      <c r="AX187" t="inlineStr">
        <is>
          <t>settled</t>
        </is>
      </c>
      <c r="AY187" t="inlineStr">
        <is>
          <t>2025-12-10 05:30:00</t>
        </is>
      </c>
      <c r="AZ187" t="inlineStr">
        <is>
          <t>CITIN25668288188</t>
        </is>
      </c>
      <c r="BA187" t="n">
        <v>0</v>
      </c>
      <c r="BB187" t="inlineStr">
        <is>
          <t>a97da2d54dcb97c467fb71f3f99921a333d56ce7b641906b45ba15cfac6279bb</t>
        </is>
      </c>
    </row>
    <row r="188">
      <c r="A188" t="inlineStr">
        <is>
          <t>183</t>
        </is>
      </c>
      <c r="B188" t="inlineStr">
        <is>
          <t>7540874192</t>
        </is>
      </c>
      <c r="C188" t="inlineStr">
        <is>
          <t>2025-12-04 20:40:12</t>
        </is>
      </c>
      <c r="D188" t="inlineStr">
        <is>
          <t>49</t>
        </is>
      </c>
      <c r="E188" t="inlineStr">
        <is>
          <t>Sha Sha - Shandaar Shawarma</t>
        </is>
      </c>
      <c r="F188" t="inlineStr">
        <is>
          <t>18557902</t>
        </is>
      </c>
      <c r="G188" t="inlineStr">
        <is>
          <t>NA</t>
        </is>
      </c>
      <c r="H188" t="inlineStr">
        <is>
          <t>ONLINE</t>
        </is>
      </c>
      <c r="I188" t="inlineStr">
        <is>
          <t>DELIVERED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O2</t>
        </is>
      </c>
      <c r="N188" t="inlineStr">
        <is>
          <t>36</t>
        </is>
      </c>
      <c r="O188" t="n">
        <v>229</v>
      </c>
      <c r="P188" t="n">
        <v>3.5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11.63</v>
      </c>
      <c r="W188" t="n">
        <v>244.13</v>
      </c>
      <c r="X188" t="n">
        <v>232.5</v>
      </c>
      <c r="Y188" t="n">
        <v>19</v>
      </c>
      <c r="Z188" t="n">
        <v>44.18</v>
      </c>
      <c r="AA188" t="n">
        <v>4.49</v>
      </c>
      <c r="AB188" t="n">
        <v>48.67</v>
      </c>
      <c r="AC188" t="n">
        <v>8.76</v>
      </c>
      <c r="AD188" t="n">
        <v>0</v>
      </c>
      <c r="AE188" t="n">
        <v>232.5</v>
      </c>
      <c r="AF188" t="n">
        <v>0</v>
      </c>
      <c r="AG188" t="n">
        <v>0</v>
      </c>
      <c r="AH188" t="n">
        <v>0.23</v>
      </c>
      <c r="AI188" t="n">
        <v>11.63</v>
      </c>
      <c r="AJ188" t="n">
        <v>0</v>
      </c>
      <c r="AK188" t="n">
        <v>20.62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69.29000000000001</v>
      </c>
      <c r="AV188" t="n">
        <v>0</v>
      </c>
      <c r="AW188" t="n">
        <v>174.84</v>
      </c>
      <c r="AX188" t="inlineStr">
        <is>
          <t>settled</t>
        </is>
      </c>
      <c r="AY188" t="inlineStr">
        <is>
          <t>2025-12-10 05:30:00</t>
        </is>
      </c>
      <c r="AZ188" t="inlineStr">
        <is>
          <t>CITIN25668288188</t>
        </is>
      </c>
      <c r="BA188" t="n">
        <v>0</v>
      </c>
      <c r="BB188" t="inlineStr">
        <is>
          <t>e163aa19acdeb5d48ae84ff73a70181e36f84020b9a1216090b06bd4afef9283</t>
        </is>
      </c>
    </row>
    <row r="189">
      <c r="A189" t="inlineStr">
        <is>
          <t>184</t>
        </is>
      </c>
      <c r="B189" t="inlineStr">
        <is>
          <t>7542216919</t>
        </is>
      </c>
      <c r="C189" t="inlineStr">
        <is>
          <t>2025-12-04 21:05:11</t>
        </is>
      </c>
      <c r="D189" t="inlineStr">
        <is>
          <t>49</t>
        </is>
      </c>
      <c r="E189" t="inlineStr">
        <is>
          <t>Sha Sha - Shandaar Shawarma</t>
        </is>
      </c>
      <c r="F189" t="inlineStr">
        <is>
          <t>18557902</t>
        </is>
      </c>
      <c r="G189" t="inlineStr">
        <is>
          <t>NA</t>
        </is>
      </c>
      <c r="H189" t="inlineStr">
        <is>
          <t>ONLINE</t>
        </is>
      </c>
      <c r="I189" t="inlineStr">
        <is>
          <t>DELIVERED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O2</t>
        </is>
      </c>
      <c r="N189" t="inlineStr">
        <is>
          <t>36</t>
        </is>
      </c>
      <c r="O189" t="n">
        <v>458</v>
      </c>
      <c r="P189" t="n">
        <v>3.5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23.08</v>
      </c>
      <c r="W189" t="n">
        <v>484.58</v>
      </c>
      <c r="X189" t="n">
        <v>461.5</v>
      </c>
      <c r="Y189" t="n">
        <v>19</v>
      </c>
      <c r="Z189" t="n">
        <v>87.68000000000001</v>
      </c>
      <c r="AA189" t="n">
        <v>8.92</v>
      </c>
      <c r="AB189" t="n">
        <v>96.59999999999999</v>
      </c>
      <c r="AC189" t="n">
        <v>17.39</v>
      </c>
      <c r="AD189" t="n">
        <v>0</v>
      </c>
      <c r="AE189" t="n">
        <v>461.5</v>
      </c>
      <c r="AF189" t="n">
        <v>0</v>
      </c>
      <c r="AG189" t="n">
        <v>0</v>
      </c>
      <c r="AH189" t="n">
        <v>0.46</v>
      </c>
      <c r="AI189" t="n">
        <v>23.08</v>
      </c>
      <c r="AJ189" t="n">
        <v>0</v>
      </c>
      <c r="AK189" t="n">
        <v>40.93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137.53</v>
      </c>
      <c r="AV189" t="n">
        <v>0</v>
      </c>
      <c r="AW189" t="n">
        <v>347.05</v>
      </c>
      <c r="AX189" t="inlineStr">
        <is>
          <t>settled</t>
        </is>
      </c>
      <c r="AY189" t="inlineStr">
        <is>
          <t>2025-12-10 05:30:00</t>
        </is>
      </c>
      <c r="AZ189" t="inlineStr">
        <is>
          <t>CITIN25668288188</t>
        </is>
      </c>
      <c r="BA189" t="n">
        <v>0</v>
      </c>
      <c r="BB189" t="inlineStr">
        <is>
          <t>a6218af9aa859ffb432519b25bb9481d409dee100a0768b4a69c96558512abc0</t>
        </is>
      </c>
    </row>
    <row r="190">
      <c r="A190" t="inlineStr">
        <is>
          <t>185</t>
        </is>
      </c>
      <c r="B190" t="inlineStr">
        <is>
          <t>7542526998</t>
        </is>
      </c>
      <c r="C190" t="inlineStr">
        <is>
          <t>2025-12-04 21:23:19</t>
        </is>
      </c>
      <c r="D190" t="inlineStr">
        <is>
          <t>49</t>
        </is>
      </c>
      <c r="E190" t="inlineStr">
        <is>
          <t>Sha Sha - Shandaar Shawarma</t>
        </is>
      </c>
      <c r="F190" t="inlineStr">
        <is>
          <t>18557902</t>
        </is>
      </c>
      <c r="G190" t="inlineStr">
        <is>
          <t>30% off upto ₹75 (2025-06-25 - 2031-01-01)</t>
        </is>
      </c>
      <c r="H190" t="inlineStr">
        <is>
          <t>ONLINE</t>
        </is>
      </c>
      <c r="I190" t="inlineStr">
        <is>
          <t>DELIVERED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O2</t>
        </is>
      </c>
      <c r="N190" t="inlineStr">
        <is>
          <t>36</t>
        </is>
      </c>
      <c r="O190" t="n">
        <v>229</v>
      </c>
      <c r="P190" t="n">
        <v>3.5</v>
      </c>
      <c r="Q190" t="n">
        <v>0</v>
      </c>
      <c r="R190" t="n">
        <v>68.7</v>
      </c>
      <c r="S190" t="n">
        <v>0</v>
      </c>
      <c r="T190" t="n">
        <v>0</v>
      </c>
      <c r="U190" t="n">
        <v>0</v>
      </c>
      <c r="V190" t="n">
        <v>8.19</v>
      </c>
      <c r="W190" t="n">
        <v>171.99</v>
      </c>
      <c r="X190" t="n">
        <v>163.8</v>
      </c>
      <c r="Y190" t="n">
        <v>19</v>
      </c>
      <c r="Z190" t="n">
        <v>31.12</v>
      </c>
      <c r="AA190" t="n">
        <v>3.16</v>
      </c>
      <c r="AB190" t="n">
        <v>34.28</v>
      </c>
      <c r="AC190" t="n">
        <v>6.17</v>
      </c>
      <c r="AD190" t="n">
        <v>0</v>
      </c>
      <c r="AE190" t="n">
        <v>163.8</v>
      </c>
      <c r="AF190" t="n">
        <v>0</v>
      </c>
      <c r="AG190" t="n">
        <v>0</v>
      </c>
      <c r="AH190" t="n">
        <v>0.16</v>
      </c>
      <c r="AI190" t="n">
        <v>8.199999999999999</v>
      </c>
      <c r="AJ190" t="n">
        <v>-0.01</v>
      </c>
      <c r="AK190" t="n">
        <v>14.53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48.81</v>
      </c>
      <c r="AV190" t="n">
        <v>0</v>
      </c>
      <c r="AW190" t="n">
        <v>123.18</v>
      </c>
      <c r="AX190" t="inlineStr">
        <is>
          <t>settled</t>
        </is>
      </c>
      <c r="AY190" t="inlineStr">
        <is>
          <t>2025-12-10 05:30:00</t>
        </is>
      </c>
      <c r="AZ190" t="inlineStr">
        <is>
          <t>CITIN25668288188</t>
        </is>
      </c>
      <c r="BA190" t="n">
        <v>0</v>
      </c>
      <c r="BB190" t="inlineStr">
        <is>
          <t>9a444218cc444cc89a476d40525cc2c3529166dd17ef8ddb38f3d4d44d85b19f</t>
        </is>
      </c>
    </row>
    <row r="191">
      <c r="A191" t="inlineStr">
        <is>
          <t>186</t>
        </is>
      </c>
      <c r="B191" t="inlineStr">
        <is>
          <t>7537372684</t>
        </is>
      </c>
      <c r="C191" t="inlineStr">
        <is>
          <t>2025-12-04 21:33:57</t>
        </is>
      </c>
      <c r="D191" t="inlineStr">
        <is>
          <t>49</t>
        </is>
      </c>
      <c r="E191" t="inlineStr">
        <is>
          <t>Sha Sha - Shandaar Shawarma</t>
        </is>
      </c>
      <c r="F191" t="inlineStr">
        <is>
          <t>18557902</t>
        </is>
      </c>
      <c r="G191" t="inlineStr">
        <is>
          <t>30% off upto ₹75 (2025-06-25 - 2031-01-01)</t>
        </is>
      </c>
      <c r="H191" t="inlineStr">
        <is>
          <t>ONLINE</t>
        </is>
      </c>
      <c r="I191" t="inlineStr">
        <is>
          <t>DELIVERED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O2</t>
        </is>
      </c>
      <c r="N191" t="inlineStr">
        <is>
          <t>36</t>
        </is>
      </c>
      <c r="O191" t="n">
        <v>268</v>
      </c>
      <c r="P191" t="n">
        <v>3.5</v>
      </c>
      <c r="Q191" t="n">
        <v>0</v>
      </c>
      <c r="R191" t="n">
        <v>75</v>
      </c>
      <c r="S191" t="n">
        <v>0</v>
      </c>
      <c r="T191" t="n">
        <v>0</v>
      </c>
      <c r="U191" t="n">
        <v>0</v>
      </c>
      <c r="V191" t="n">
        <v>9.83</v>
      </c>
      <c r="W191" t="n">
        <v>206.33</v>
      </c>
      <c r="X191" t="n">
        <v>196.5</v>
      </c>
      <c r="Y191" t="n">
        <v>19</v>
      </c>
      <c r="Z191" t="n">
        <v>37.34</v>
      </c>
      <c r="AA191" t="n">
        <v>3.8</v>
      </c>
      <c r="AB191" t="n">
        <v>41.14</v>
      </c>
      <c r="AC191" t="n">
        <v>7.4</v>
      </c>
      <c r="AD191" t="n">
        <v>0</v>
      </c>
      <c r="AE191" t="n">
        <v>196.5</v>
      </c>
      <c r="AF191" t="n">
        <v>0</v>
      </c>
      <c r="AG191" t="n">
        <v>0</v>
      </c>
      <c r="AH191" t="n">
        <v>0.2</v>
      </c>
      <c r="AI191" t="n">
        <v>9.83</v>
      </c>
      <c r="AJ191" t="n">
        <v>0</v>
      </c>
      <c r="AK191" t="n">
        <v>17.43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58.57</v>
      </c>
      <c r="AV191" t="n">
        <v>0</v>
      </c>
      <c r="AW191" t="n">
        <v>147.76</v>
      </c>
      <c r="AX191" t="inlineStr">
        <is>
          <t>settled</t>
        </is>
      </c>
      <c r="AY191" t="inlineStr">
        <is>
          <t>2025-12-10 05:30:00</t>
        </is>
      </c>
      <c r="AZ191" t="inlineStr">
        <is>
          <t>CITIN25668288188</t>
        </is>
      </c>
      <c r="BA191" t="n">
        <v>0</v>
      </c>
      <c r="BB191" t="inlineStr">
        <is>
          <t>911de08225c84d5ef5c96d63fdf01a71d69fe964f6fb1a538e2d99c13cb6439c</t>
        </is>
      </c>
    </row>
    <row r="192">
      <c r="A192" t="inlineStr">
        <is>
          <t>187</t>
        </is>
      </c>
      <c r="B192" t="inlineStr">
        <is>
          <t>7534512309</t>
        </is>
      </c>
      <c r="C192" t="inlineStr">
        <is>
          <t>2025-12-04 21:57:21</t>
        </is>
      </c>
      <c r="D192" t="inlineStr">
        <is>
          <t>49</t>
        </is>
      </c>
      <c r="E192" t="inlineStr">
        <is>
          <t>Sha Sha - Shandaar Shawarma</t>
        </is>
      </c>
      <c r="F192" t="inlineStr">
        <is>
          <t>18557902</t>
        </is>
      </c>
      <c r="G192" t="inlineStr">
        <is>
          <t>30% off upto ₹75 (2025-06-25 - 2031-01-01)</t>
        </is>
      </c>
      <c r="H192" t="inlineStr">
        <is>
          <t>ONLINE</t>
        </is>
      </c>
      <c r="I192" t="inlineStr">
        <is>
          <t>DELIVERED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O2</t>
        </is>
      </c>
      <c r="N192" t="inlineStr">
        <is>
          <t>36</t>
        </is>
      </c>
      <c r="O192" t="n">
        <v>345</v>
      </c>
      <c r="P192" t="n">
        <v>3.5</v>
      </c>
      <c r="Q192" t="n">
        <v>0</v>
      </c>
      <c r="R192" t="n">
        <v>75</v>
      </c>
      <c r="S192" t="n">
        <v>0</v>
      </c>
      <c r="T192" t="n">
        <v>0</v>
      </c>
      <c r="U192" t="n">
        <v>0</v>
      </c>
      <c r="V192" t="n">
        <v>13.68</v>
      </c>
      <c r="W192" t="n">
        <v>287.18</v>
      </c>
      <c r="X192" t="n">
        <v>273.5</v>
      </c>
      <c r="Y192" t="n">
        <v>19</v>
      </c>
      <c r="Z192" t="n">
        <v>51.96</v>
      </c>
      <c r="AA192" t="n">
        <v>5.28</v>
      </c>
      <c r="AB192" t="n">
        <v>57.24</v>
      </c>
      <c r="AC192" t="n">
        <v>10.3</v>
      </c>
      <c r="AD192" t="n">
        <v>0</v>
      </c>
      <c r="AE192" t="n">
        <v>273.5</v>
      </c>
      <c r="AF192" t="n">
        <v>0</v>
      </c>
      <c r="AG192" t="n">
        <v>0</v>
      </c>
      <c r="AH192" t="n">
        <v>0.27</v>
      </c>
      <c r="AI192" t="n">
        <v>13.68</v>
      </c>
      <c r="AJ192" t="n">
        <v>0</v>
      </c>
      <c r="AK192" t="n">
        <v>24.25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81.48999999999999</v>
      </c>
      <c r="AV192" t="n">
        <v>0</v>
      </c>
      <c r="AW192" t="n">
        <v>205.69</v>
      </c>
      <c r="AX192" t="inlineStr">
        <is>
          <t>settled</t>
        </is>
      </c>
      <c r="AY192" t="inlineStr">
        <is>
          <t>2025-12-10 05:30:00</t>
        </is>
      </c>
      <c r="AZ192" t="inlineStr">
        <is>
          <t>CITIN25668288188</t>
        </is>
      </c>
      <c r="BA192" t="n">
        <v>0</v>
      </c>
      <c r="BB192" t="inlineStr">
        <is>
          <t>97b4133bde4eb0767e9ce68171387ff49f31d258169b1f78ae8f5981ef069b25</t>
        </is>
      </c>
    </row>
    <row r="193">
      <c r="A193" t="inlineStr">
        <is>
          <t>188</t>
        </is>
      </c>
      <c r="B193" t="inlineStr">
        <is>
          <t>7549128652</t>
        </is>
      </c>
      <c r="C193" t="inlineStr">
        <is>
          <t>2025-12-04 22:55:06</t>
        </is>
      </c>
      <c r="D193" t="inlineStr">
        <is>
          <t>49</t>
        </is>
      </c>
      <c r="E193" t="inlineStr">
        <is>
          <t>Sha Sha - Shandaar Shawarma</t>
        </is>
      </c>
      <c r="F193" t="inlineStr">
        <is>
          <t>18557902</t>
        </is>
      </c>
      <c r="G193" t="inlineStr">
        <is>
          <t>30% off upto ₹75 (2025-06-25 - 2031-01-01)</t>
        </is>
      </c>
      <c r="H193" t="inlineStr">
        <is>
          <t>ONLINE</t>
        </is>
      </c>
      <c r="I193" t="inlineStr">
        <is>
          <t>DELIVERED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O2</t>
        </is>
      </c>
      <c r="N193" t="inlineStr">
        <is>
          <t>36</t>
        </is>
      </c>
      <c r="O193" t="n">
        <v>229</v>
      </c>
      <c r="P193" t="n">
        <v>3.5</v>
      </c>
      <c r="Q193" t="n">
        <v>0</v>
      </c>
      <c r="R193" t="n">
        <v>68.7</v>
      </c>
      <c r="S193" t="n">
        <v>0</v>
      </c>
      <c r="T193" t="n">
        <v>0</v>
      </c>
      <c r="U193" t="n">
        <v>0</v>
      </c>
      <c r="V193" t="n">
        <v>8.19</v>
      </c>
      <c r="W193" t="n">
        <v>171.99</v>
      </c>
      <c r="X193" t="n">
        <v>163.8</v>
      </c>
      <c r="Y193" t="n">
        <v>19</v>
      </c>
      <c r="Z193" t="n">
        <v>31.12</v>
      </c>
      <c r="AA193" t="n">
        <v>3.16</v>
      </c>
      <c r="AB193" t="n">
        <v>34.28</v>
      </c>
      <c r="AC193" t="n">
        <v>6.17</v>
      </c>
      <c r="AD193" t="n">
        <v>0</v>
      </c>
      <c r="AE193" t="n">
        <v>163.8</v>
      </c>
      <c r="AF193" t="n">
        <v>0</v>
      </c>
      <c r="AG193" t="n">
        <v>0</v>
      </c>
      <c r="AH193" t="n">
        <v>0.16</v>
      </c>
      <c r="AI193" t="n">
        <v>8.199999999999999</v>
      </c>
      <c r="AJ193" t="n">
        <v>-0.01</v>
      </c>
      <c r="AK193" t="n">
        <v>14.53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48.81</v>
      </c>
      <c r="AV193" t="n">
        <v>0</v>
      </c>
      <c r="AW193" t="n">
        <v>123.18</v>
      </c>
      <c r="AX193" t="inlineStr">
        <is>
          <t>settled</t>
        </is>
      </c>
      <c r="AY193" t="inlineStr">
        <is>
          <t>2025-12-10 05:30:00</t>
        </is>
      </c>
      <c r="AZ193" t="inlineStr">
        <is>
          <t>CITIN25668288188</t>
        </is>
      </c>
      <c r="BA193" t="n">
        <v>0</v>
      </c>
      <c r="BB193" t="inlineStr">
        <is>
          <t>b359ba1d0deb7c6134bf34fd66b09e7ef0d0c62fed1d632ea7d6af12a33df66f</t>
        </is>
      </c>
    </row>
    <row r="194">
      <c r="A194" t="inlineStr">
        <is>
          <t>189</t>
        </is>
      </c>
      <c r="B194" t="inlineStr">
        <is>
          <t>7540368064</t>
        </is>
      </c>
      <c r="C194" t="inlineStr">
        <is>
          <t>2025-12-05 00:00:28</t>
        </is>
      </c>
      <c r="D194" t="inlineStr">
        <is>
          <t>49</t>
        </is>
      </c>
      <c r="E194" t="inlineStr">
        <is>
          <t>Sha Sha - Shandaar Shawarma</t>
        </is>
      </c>
      <c r="F194" t="inlineStr">
        <is>
          <t>18557902</t>
        </is>
      </c>
      <c r="G194" t="inlineStr">
        <is>
          <t>30% off upto ₹75 (2025-06-25 - 2031-01-01)</t>
        </is>
      </c>
      <c r="H194" t="inlineStr">
        <is>
          <t>ONLINE</t>
        </is>
      </c>
      <c r="I194" t="inlineStr">
        <is>
          <t>DELIVERED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O2</t>
        </is>
      </c>
      <c r="N194" t="inlineStr">
        <is>
          <t>36</t>
        </is>
      </c>
      <c r="O194" t="n">
        <v>219</v>
      </c>
      <c r="P194" t="n">
        <v>3.5</v>
      </c>
      <c r="Q194" t="n">
        <v>0</v>
      </c>
      <c r="R194" t="n">
        <v>65.7</v>
      </c>
      <c r="S194" t="n">
        <v>0</v>
      </c>
      <c r="T194" t="n">
        <v>0</v>
      </c>
      <c r="U194" t="n">
        <v>0</v>
      </c>
      <c r="V194" t="n">
        <v>7.84</v>
      </c>
      <c r="W194" t="n">
        <v>164.64</v>
      </c>
      <c r="X194" t="n">
        <v>156.8</v>
      </c>
      <c r="Y194" t="n">
        <v>19</v>
      </c>
      <c r="Z194" t="n">
        <v>29.79</v>
      </c>
      <c r="AA194" t="n">
        <v>3.03</v>
      </c>
      <c r="AB194" t="n">
        <v>32.82</v>
      </c>
      <c r="AC194" t="n">
        <v>5.91</v>
      </c>
      <c r="AD194" t="n">
        <v>0</v>
      </c>
      <c r="AE194" t="n">
        <v>156.8</v>
      </c>
      <c r="AF194" t="n">
        <v>0</v>
      </c>
      <c r="AG194" t="n">
        <v>0</v>
      </c>
      <c r="AH194" t="n">
        <v>0.16</v>
      </c>
      <c r="AI194" t="n">
        <v>7.85</v>
      </c>
      <c r="AJ194" t="n">
        <v>-0.01</v>
      </c>
      <c r="AK194" t="n">
        <v>13.92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46.74</v>
      </c>
      <c r="AV194" t="n">
        <v>0</v>
      </c>
      <c r="AW194" t="n">
        <v>117.9</v>
      </c>
      <c r="AX194" t="inlineStr">
        <is>
          <t>settled</t>
        </is>
      </c>
      <c r="AY194" t="inlineStr">
        <is>
          <t>2025-12-10 05:30:00</t>
        </is>
      </c>
      <c r="AZ194" t="inlineStr">
        <is>
          <t>CITIN25668288188</t>
        </is>
      </c>
      <c r="BA194" t="n">
        <v>0</v>
      </c>
      <c r="BB194" t="inlineStr">
        <is>
          <t>71aebb58fe62c648cd30027b6089f3f1abcd052ca9cda9a9405d994ec608a3ad</t>
        </is>
      </c>
    </row>
    <row r="195">
      <c r="A195" t="inlineStr">
        <is>
          <t>190</t>
        </is>
      </c>
      <c r="B195" t="inlineStr">
        <is>
          <t>7545827205</t>
        </is>
      </c>
      <c r="C195" t="inlineStr">
        <is>
          <t>2025-12-05 00:05:48</t>
        </is>
      </c>
      <c r="D195" t="inlineStr">
        <is>
          <t>49</t>
        </is>
      </c>
      <c r="E195" t="inlineStr">
        <is>
          <t>Sha Sha - Shandaar Shawarma</t>
        </is>
      </c>
      <c r="F195" t="inlineStr">
        <is>
          <t>18557902</t>
        </is>
      </c>
      <c r="G195" t="inlineStr">
        <is>
          <t>30% off upto ₹75 (2025-06-25 - 2031-01-01)</t>
        </is>
      </c>
      <c r="H195" t="inlineStr">
        <is>
          <t>ONLINE</t>
        </is>
      </c>
      <c r="I195" t="inlineStr">
        <is>
          <t>DELIVERED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O2</t>
        </is>
      </c>
      <c r="N195" t="inlineStr">
        <is>
          <t>36</t>
        </is>
      </c>
      <c r="O195" t="n">
        <v>219</v>
      </c>
      <c r="P195" t="n">
        <v>3.5</v>
      </c>
      <c r="Q195" t="n">
        <v>0</v>
      </c>
      <c r="R195" t="n">
        <v>65.7</v>
      </c>
      <c r="S195" t="n">
        <v>0</v>
      </c>
      <c r="T195" t="n">
        <v>0</v>
      </c>
      <c r="U195" t="n">
        <v>0</v>
      </c>
      <c r="V195" t="n">
        <v>7.84</v>
      </c>
      <c r="W195" t="n">
        <v>164.64</v>
      </c>
      <c r="X195" t="n">
        <v>156.8</v>
      </c>
      <c r="Y195" t="n">
        <v>19</v>
      </c>
      <c r="Z195" t="n">
        <v>29.79</v>
      </c>
      <c r="AA195" t="n">
        <v>3.03</v>
      </c>
      <c r="AB195" t="n">
        <v>32.82</v>
      </c>
      <c r="AC195" t="n">
        <v>5.91</v>
      </c>
      <c r="AD195" t="n">
        <v>0</v>
      </c>
      <c r="AE195" t="n">
        <v>156.8</v>
      </c>
      <c r="AF195" t="n">
        <v>0</v>
      </c>
      <c r="AG195" t="n">
        <v>0</v>
      </c>
      <c r="AH195" t="n">
        <v>0.16</v>
      </c>
      <c r="AI195" t="n">
        <v>7.85</v>
      </c>
      <c r="AJ195" t="n">
        <v>-0.01</v>
      </c>
      <c r="AK195" t="n">
        <v>13.92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46.74</v>
      </c>
      <c r="AV195" t="n">
        <v>0</v>
      </c>
      <c r="AW195" t="n">
        <v>117.9</v>
      </c>
      <c r="AX195" t="inlineStr">
        <is>
          <t>settled</t>
        </is>
      </c>
      <c r="AY195" t="inlineStr">
        <is>
          <t>2025-12-10 05:30:00</t>
        </is>
      </c>
      <c r="AZ195" t="inlineStr">
        <is>
          <t>CITIN25668288188</t>
        </is>
      </c>
      <c r="BA195" t="n">
        <v>0</v>
      </c>
      <c r="BB195" t="inlineStr">
        <is>
          <t>5e0888b5526ece0df9af2f9771983982486534790bc84b2aa5a8e7ebdf10295a</t>
        </is>
      </c>
    </row>
    <row r="196">
      <c r="A196" t="inlineStr">
        <is>
          <t>191</t>
        </is>
      </c>
      <c r="B196" t="inlineStr">
        <is>
          <t>7544783453</t>
        </is>
      </c>
      <c r="C196" t="inlineStr">
        <is>
          <t>2025-12-05 00:08:23</t>
        </is>
      </c>
      <c r="D196" t="inlineStr">
        <is>
          <t>49</t>
        </is>
      </c>
      <c r="E196" t="inlineStr">
        <is>
          <t>Sha Sha - Shandaar Shawarma</t>
        </is>
      </c>
      <c r="F196" t="inlineStr">
        <is>
          <t>18557902</t>
        </is>
      </c>
      <c r="G196" t="inlineStr">
        <is>
          <t>30% off upto ₹75 (2025-06-25 - 2031-01-01)</t>
        </is>
      </c>
      <c r="H196" t="inlineStr">
        <is>
          <t>ONLINE</t>
        </is>
      </c>
      <c r="I196" t="inlineStr">
        <is>
          <t>DELIVERED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O2</t>
        </is>
      </c>
      <c r="N196" t="inlineStr">
        <is>
          <t>36</t>
        </is>
      </c>
      <c r="O196" t="n">
        <v>229</v>
      </c>
      <c r="P196" t="n">
        <v>3.5</v>
      </c>
      <c r="Q196" t="n">
        <v>0</v>
      </c>
      <c r="R196" t="n">
        <v>68.7</v>
      </c>
      <c r="S196" t="n">
        <v>0</v>
      </c>
      <c r="T196" t="n">
        <v>0</v>
      </c>
      <c r="U196" t="n">
        <v>0</v>
      </c>
      <c r="V196" t="n">
        <v>8.19</v>
      </c>
      <c r="W196" t="n">
        <v>171.99</v>
      </c>
      <c r="X196" t="n">
        <v>163.8</v>
      </c>
      <c r="Y196" t="n">
        <v>19</v>
      </c>
      <c r="Z196" t="n">
        <v>31.12</v>
      </c>
      <c r="AA196" t="n">
        <v>3.16</v>
      </c>
      <c r="AB196" t="n">
        <v>34.28</v>
      </c>
      <c r="AC196" t="n">
        <v>6.17</v>
      </c>
      <c r="AD196" t="n">
        <v>0</v>
      </c>
      <c r="AE196" t="n">
        <v>163.8</v>
      </c>
      <c r="AF196" t="n">
        <v>0</v>
      </c>
      <c r="AG196" t="n">
        <v>0</v>
      </c>
      <c r="AH196" t="n">
        <v>0.16</v>
      </c>
      <c r="AI196" t="n">
        <v>8.199999999999999</v>
      </c>
      <c r="AJ196" t="n">
        <v>-0.01</v>
      </c>
      <c r="AK196" t="n">
        <v>14.53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48.81</v>
      </c>
      <c r="AV196" t="n">
        <v>0</v>
      </c>
      <c r="AW196" t="n">
        <v>123.18</v>
      </c>
      <c r="AX196" t="inlineStr">
        <is>
          <t>settled</t>
        </is>
      </c>
      <c r="AY196" t="inlineStr">
        <is>
          <t>2025-12-10 05:30:00</t>
        </is>
      </c>
      <c r="AZ196" t="inlineStr">
        <is>
          <t>CITIN25668288188</t>
        </is>
      </c>
      <c r="BA196" t="n">
        <v>0</v>
      </c>
      <c r="BB196" t="inlineStr">
        <is>
          <t>9e6d81c74896b250fddc74f79a08d4c3d88c75c197e0f396d8e3988c75b89f8b</t>
        </is>
      </c>
    </row>
    <row r="197">
      <c r="A197" t="inlineStr">
        <is>
          <t>192</t>
        </is>
      </c>
      <c r="B197" t="inlineStr">
        <is>
          <t>165782899</t>
        </is>
      </c>
      <c r="C197" t="inlineStr">
        <is>
          <t>2025-12-05 00:13:29</t>
        </is>
      </c>
      <c r="D197" t="inlineStr">
        <is>
          <t>49</t>
        </is>
      </c>
      <c r="E197" t="inlineStr">
        <is>
          <t>Sha Sha - Shandaar Shawarma</t>
        </is>
      </c>
      <c r="F197" t="inlineStr">
        <is>
          <t>18557902</t>
        </is>
      </c>
      <c r="G197" t="inlineStr">
        <is>
          <t>NA</t>
        </is>
      </c>
      <c r="H197" t="inlineStr">
        <is>
          <t>ONLINE</t>
        </is>
      </c>
      <c r="I197" t="inlineStr">
        <is>
          <t>DELIVERED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O2</t>
        </is>
      </c>
      <c r="N197" t="inlineStr">
        <is>
          <t>36</t>
        </is>
      </c>
      <c r="O197" t="n">
        <v>229</v>
      </c>
      <c r="P197" t="n">
        <v>3.5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11.63</v>
      </c>
      <c r="W197" t="n">
        <v>244.13</v>
      </c>
      <c r="X197" t="n">
        <v>232.5</v>
      </c>
      <c r="Y197" t="n">
        <v>19</v>
      </c>
      <c r="Z197" t="n">
        <v>44.18</v>
      </c>
      <c r="AA197" t="n">
        <v>4.49</v>
      </c>
      <c r="AB197" t="n">
        <v>48.67</v>
      </c>
      <c r="AC197" t="n">
        <v>8.76</v>
      </c>
      <c r="AD197" t="n">
        <v>0</v>
      </c>
      <c r="AE197" t="n">
        <v>232.5</v>
      </c>
      <c r="AF197" t="n">
        <v>0</v>
      </c>
      <c r="AG197" t="n">
        <v>0</v>
      </c>
      <c r="AH197" t="n">
        <v>0.23</v>
      </c>
      <c r="AI197" t="n">
        <v>11.63</v>
      </c>
      <c r="AJ197" t="n">
        <v>0</v>
      </c>
      <c r="AK197" t="n">
        <v>20.62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69.29000000000001</v>
      </c>
      <c r="AV197" t="n">
        <v>0</v>
      </c>
      <c r="AW197" t="n">
        <v>174.84</v>
      </c>
      <c r="AX197" t="inlineStr">
        <is>
          <t>settled</t>
        </is>
      </c>
      <c r="AY197" t="inlineStr">
        <is>
          <t>2025-12-10 05:30:00</t>
        </is>
      </c>
      <c r="AZ197" t="inlineStr">
        <is>
          <t>CITIN25668288188</t>
        </is>
      </c>
      <c r="BA197" t="n">
        <v>0</v>
      </c>
      <c r="BB197" t="inlineStr">
        <is>
          <t>dd1d4b3645d2707f63be0d30a4f255cc0f4357aff66d874bb8c50e2822d4fa0e</t>
        </is>
      </c>
    </row>
    <row r="198">
      <c r="A198" t="inlineStr">
        <is>
          <t>193</t>
        </is>
      </c>
      <c r="B198" t="inlineStr">
        <is>
          <t>842044079</t>
        </is>
      </c>
      <c r="C198" t="inlineStr">
        <is>
          <t>2025-12-05 00:15:11</t>
        </is>
      </c>
      <c r="D198" t="inlineStr">
        <is>
          <t>49</t>
        </is>
      </c>
      <c r="E198" t="inlineStr">
        <is>
          <t>Sha Sha - Shandaar Shawarma</t>
        </is>
      </c>
      <c r="F198" t="inlineStr">
        <is>
          <t>18557902</t>
        </is>
      </c>
      <c r="G198" t="inlineStr">
        <is>
          <t>NA</t>
        </is>
      </c>
      <c r="H198" t="inlineStr">
        <is>
          <t>ONLINE</t>
        </is>
      </c>
      <c r="I198" t="inlineStr">
        <is>
          <t>DELIVERED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O2</t>
        </is>
      </c>
      <c r="N198" t="inlineStr">
        <is>
          <t>36</t>
        </is>
      </c>
      <c r="O198" t="n">
        <v>229</v>
      </c>
      <c r="P198" t="n">
        <v>3.5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11.63</v>
      </c>
      <c r="W198" t="n">
        <v>244.13</v>
      </c>
      <c r="X198" t="n">
        <v>232.5</v>
      </c>
      <c r="Y198" t="n">
        <v>19</v>
      </c>
      <c r="Z198" t="n">
        <v>44.18</v>
      </c>
      <c r="AA198" t="n">
        <v>4.49</v>
      </c>
      <c r="AB198" t="n">
        <v>48.67</v>
      </c>
      <c r="AC198" t="n">
        <v>8.76</v>
      </c>
      <c r="AD198" t="n">
        <v>0</v>
      </c>
      <c r="AE198" t="n">
        <v>232.5</v>
      </c>
      <c r="AF198" t="n">
        <v>0</v>
      </c>
      <c r="AG198" t="n">
        <v>0</v>
      </c>
      <c r="AH198" t="n">
        <v>0.23</v>
      </c>
      <c r="AI198" t="n">
        <v>11.63</v>
      </c>
      <c r="AJ198" t="n">
        <v>0</v>
      </c>
      <c r="AK198" t="n">
        <v>20.62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69.29000000000001</v>
      </c>
      <c r="AV198" t="n">
        <v>0</v>
      </c>
      <c r="AW198" t="n">
        <v>174.84</v>
      </c>
      <c r="AX198" t="inlineStr">
        <is>
          <t>settled</t>
        </is>
      </c>
      <c r="AY198" t="inlineStr">
        <is>
          <t>2025-12-10 05:30:00</t>
        </is>
      </c>
      <c r="AZ198" t="inlineStr">
        <is>
          <t>CITIN25668288188</t>
        </is>
      </c>
      <c r="BA198" t="n">
        <v>0</v>
      </c>
      <c r="BB198" t="inlineStr">
        <is>
          <t>0450e65690830a638641a4af83232fe1cad8a2d4bf3ed741f715a7b871fc91e2</t>
        </is>
      </c>
    </row>
    <row r="199">
      <c r="A199" t="inlineStr">
        <is>
          <t>194</t>
        </is>
      </c>
      <c r="B199" t="inlineStr">
        <is>
          <t>7541268147</t>
        </is>
      </c>
      <c r="C199" t="inlineStr">
        <is>
          <t>2025-12-05 00:21:08</t>
        </is>
      </c>
      <c r="D199" t="inlineStr">
        <is>
          <t>49</t>
        </is>
      </c>
      <c r="E199" t="inlineStr">
        <is>
          <t>Sha Sha - Shandaar Shawarma</t>
        </is>
      </c>
      <c r="F199" t="inlineStr">
        <is>
          <t>18557902</t>
        </is>
      </c>
      <c r="G199" t="inlineStr">
        <is>
          <t>NA</t>
        </is>
      </c>
      <c r="H199" t="inlineStr">
        <is>
          <t>ONLINE</t>
        </is>
      </c>
      <c r="I199" t="inlineStr">
        <is>
          <t>DELIVERED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O2</t>
        </is>
      </c>
      <c r="N199" t="inlineStr">
        <is>
          <t>36</t>
        </is>
      </c>
      <c r="O199" t="n">
        <v>636</v>
      </c>
      <c r="P199" t="n">
        <v>3.5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31.98</v>
      </c>
      <c r="W199" t="n">
        <v>671.48</v>
      </c>
      <c r="X199" t="n">
        <v>639.5</v>
      </c>
      <c r="Y199" t="n">
        <v>19</v>
      </c>
      <c r="Z199" t="n">
        <v>121.5</v>
      </c>
      <c r="AA199" t="n">
        <v>12.36</v>
      </c>
      <c r="AB199" t="n">
        <v>133.86</v>
      </c>
      <c r="AC199" t="n">
        <v>24.09</v>
      </c>
      <c r="AD199" t="n">
        <v>0</v>
      </c>
      <c r="AE199" t="n">
        <v>639.5</v>
      </c>
      <c r="AF199" t="n">
        <v>0</v>
      </c>
      <c r="AG199" t="n">
        <v>0</v>
      </c>
      <c r="AH199" t="n">
        <v>0.64</v>
      </c>
      <c r="AI199" t="n">
        <v>31.98</v>
      </c>
      <c r="AJ199" t="n">
        <v>0</v>
      </c>
      <c r="AK199" t="n">
        <v>56.71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190.57</v>
      </c>
      <c r="AV199" t="n">
        <v>0</v>
      </c>
      <c r="AW199" t="n">
        <v>480.91</v>
      </c>
      <c r="AX199" t="inlineStr">
        <is>
          <t>settled</t>
        </is>
      </c>
      <c r="AY199" t="inlineStr">
        <is>
          <t>2025-12-10 05:30:00</t>
        </is>
      </c>
      <c r="AZ199" t="inlineStr">
        <is>
          <t>CITIN25668288188</t>
        </is>
      </c>
      <c r="BA199" t="n">
        <v>0</v>
      </c>
      <c r="BB199" t="inlineStr">
        <is>
          <t>f798e47790c1e3cb598afa75d7867884dbdf273518feda5a3b49da53165f1fe2</t>
        </is>
      </c>
    </row>
    <row r="200">
      <c r="A200" t="inlineStr">
        <is>
          <t>195</t>
        </is>
      </c>
      <c r="B200" t="inlineStr">
        <is>
          <t>7548517621</t>
        </is>
      </c>
      <c r="C200" t="inlineStr">
        <is>
          <t>2025-12-05 00:37:21</t>
        </is>
      </c>
      <c r="D200" t="inlineStr">
        <is>
          <t>49</t>
        </is>
      </c>
      <c r="E200" t="inlineStr">
        <is>
          <t>Sha Sha - Shandaar Shawarma</t>
        </is>
      </c>
      <c r="F200" t="inlineStr">
        <is>
          <t>18557902</t>
        </is>
      </c>
      <c r="G200" t="inlineStr">
        <is>
          <t>30% off upto ₹75 (2025-06-25 - 2031-01-01)</t>
        </is>
      </c>
      <c r="H200" t="inlineStr">
        <is>
          <t>ONLINE</t>
        </is>
      </c>
      <c r="I200" t="inlineStr">
        <is>
          <t>DELIVERED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O2</t>
        </is>
      </c>
      <c r="N200" t="inlineStr">
        <is>
          <t>36</t>
        </is>
      </c>
      <c r="O200" t="n">
        <v>229</v>
      </c>
      <c r="P200" t="n">
        <v>3.5</v>
      </c>
      <c r="Q200" t="n">
        <v>0</v>
      </c>
      <c r="R200" t="n">
        <v>68.7</v>
      </c>
      <c r="S200" t="n">
        <v>0</v>
      </c>
      <c r="T200" t="n">
        <v>0</v>
      </c>
      <c r="U200" t="n">
        <v>0</v>
      </c>
      <c r="V200" t="n">
        <v>8.19</v>
      </c>
      <c r="W200" t="n">
        <v>171.99</v>
      </c>
      <c r="X200" t="n">
        <v>163.8</v>
      </c>
      <c r="Y200" t="n">
        <v>19</v>
      </c>
      <c r="Z200" t="n">
        <v>31.12</v>
      </c>
      <c r="AA200" t="n">
        <v>3.16</v>
      </c>
      <c r="AB200" t="n">
        <v>34.28</v>
      </c>
      <c r="AC200" t="n">
        <v>6.17</v>
      </c>
      <c r="AD200" t="n">
        <v>0</v>
      </c>
      <c r="AE200" t="n">
        <v>163.8</v>
      </c>
      <c r="AF200" t="n">
        <v>0</v>
      </c>
      <c r="AG200" t="n">
        <v>0</v>
      </c>
      <c r="AH200" t="n">
        <v>0.16</v>
      </c>
      <c r="AI200" t="n">
        <v>8.199999999999999</v>
      </c>
      <c r="AJ200" t="n">
        <v>-0.01</v>
      </c>
      <c r="AK200" t="n">
        <v>14.53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48.81</v>
      </c>
      <c r="AV200" t="n">
        <v>0</v>
      </c>
      <c r="AW200" t="n">
        <v>123.18</v>
      </c>
      <c r="AX200" t="inlineStr">
        <is>
          <t>settled</t>
        </is>
      </c>
      <c r="AY200" t="inlineStr">
        <is>
          <t>2025-12-10 05:30:00</t>
        </is>
      </c>
      <c r="AZ200" t="inlineStr">
        <is>
          <t>CITIN25668288188</t>
        </is>
      </c>
      <c r="BA200" t="n">
        <v>0</v>
      </c>
      <c r="BB200" t="inlineStr">
        <is>
          <t>c97bcf5ef88f2adc1671bd435d8b47b7b827599100aa21b6670f966ba247c5dc</t>
        </is>
      </c>
    </row>
    <row r="201">
      <c r="A201" t="inlineStr">
        <is>
          <t>196</t>
        </is>
      </c>
      <c r="B201" t="inlineStr">
        <is>
          <t>7536488525</t>
        </is>
      </c>
      <c r="C201" t="inlineStr">
        <is>
          <t>2025-12-05 00:48:58</t>
        </is>
      </c>
      <c r="D201" t="inlineStr">
        <is>
          <t>49</t>
        </is>
      </c>
      <c r="E201" t="inlineStr">
        <is>
          <t>Sha Sha - Shandaar Shawarma</t>
        </is>
      </c>
      <c r="F201" t="inlineStr">
        <is>
          <t>18557902</t>
        </is>
      </c>
      <c r="G201" t="inlineStr">
        <is>
          <t>30% off upto ₹75 (2025-06-25 - 2031-01-01)</t>
        </is>
      </c>
      <c r="H201" t="inlineStr">
        <is>
          <t>ONLINE</t>
        </is>
      </c>
      <c r="I201" t="inlineStr">
        <is>
          <t>DELIVERED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O2</t>
        </is>
      </c>
      <c r="N201" t="inlineStr">
        <is>
          <t>36</t>
        </is>
      </c>
      <c r="O201" t="n">
        <v>229</v>
      </c>
      <c r="P201" t="n">
        <v>3.5</v>
      </c>
      <c r="Q201" t="n">
        <v>0</v>
      </c>
      <c r="R201" t="n">
        <v>68.7</v>
      </c>
      <c r="S201" t="n">
        <v>0</v>
      </c>
      <c r="T201" t="n">
        <v>0</v>
      </c>
      <c r="U201" t="n">
        <v>0</v>
      </c>
      <c r="V201" t="n">
        <v>8.19</v>
      </c>
      <c r="W201" t="n">
        <v>171.99</v>
      </c>
      <c r="X201" t="n">
        <v>163.8</v>
      </c>
      <c r="Y201" t="n">
        <v>19</v>
      </c>
      <c r="Z201" t="n">
        <v>31.12</v>
      </c>
      <c r="AA201" t="n">
        <v>3.16</v>
      </c>
      <c r="AB201" t="n">
        <v>34.28</v>
      </c>
      <c r="AC201" t="n">
        <v>6.17</v>
      </c>
      <c r="AD201" t="n">
        <v>0</v>
      </c>
      <c r="AE201" t="n">
        <v>163.8</v>
      </c>
      <c r="AF201" t="n">
        <v>0</v>
      </c>
      <c r="AG201" t="n">
        <v>0</v>
      </c>
      <c r="AH201" t="n">
        <v>0.16</v>
      </c>
      <c r="AI201" t="n">
        <v>8.199999999999999</v>
      </c>
      <c r="AJ201" t="n">
        <v>-0.01</v>
      </c>
      <c r="AK201" t="n">
        <v>14.53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48.81</v>
      </c>
      <c r="AV201" t="n">
        <v>0</v>
      </c>
      <c r="AW201" t="n">
        <v>123.18</v>
      </c>
      <c r="AX201" t="inlineStr">
        <is>
          <t>settled</t>
        </is>
      </c>
      <c r="AY201" t="inlineStr">
        <is>
          <t>2025-12-10 05:30:00</t>
        </is>
      </c>
      <c r="AZ201" t="inlineStr">
        <is>
          <t>CITIN25668288188</t>
        </is>
      </c>
      <c r="BA201" t="n">
        <v>0</v>
      </c>
      <c r="BB201" t="inlineStr">
        <is>
          <t>120ed309bd90c1e2350f3588f1a9a52e54bc78c1381adecfbd9fef43530eb403</t>
        </is>
      </c>
    </row>
    <row r="202">
      <c r="A202" t="inlineStr">
        <is>
          <t>197</t>
        </is>
      </c>
      <c r="B202" t="inlineStr">
        <is>
          <t>7542565262</t>
        </is>
      </c>
      <c r="C202" t="inlineStr">
        <is>
          <t>2025-12-05 00:56:37</t>
        </is>
      </c>
      <c r="D202" t="inlineStr">
        <is>
          <t>49</t>
        </is>
      </c>
      <c r="E202" t="inlineStr">
        <is>
          <t>Sha Sha - Shandaar Shawarma</t>
        </is>
      </c>
      <c r="F202" t="inlineStr">
        <is>
          <t>18557902</t>
        </is>
      </c>
      <c r="G202" t="inlineStr">
        <is>
          <t>30% off upto ₹75 (2025-06-25 - 2031-01-01)</t>
        </is>
      </c>
      <c r="H202" t="inlineStr">
        <is>
          <t>ONLINE</t>
        </is>
      </c>
      <c r="I202" t="inlineStr">
        <is>
          <t>DELIVERED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O2</t>
        </is>
      </c>
      <c r="N202" t="inlineStr">
        <is>
          <t>36</t>
        </is>
      </c>
      <c r="O202" t="n">
        <v>355</v>
      </c>
      <c r="P202" t="n">
        <v>3.5</v>
      </c>
      <c r="Q202" t="n">
        <v>0</v>
      </c>
      <c r="R202" t="n">
        <v>75</v>
      </c>
      <c r="S202" t="n">
        <v>0</v>
      </c>
      <c r="T202" t="n">
        <v>0</v>
      </c>
      <c r="U202" t="n">
        <v>0</v>
      </c>
      <c r="V202" t="n">
        <v>14.18</v>
      </c>
      <c r="W202" t="n">
        <v>297.68</v>
      </c>
      <c r="X202" t="n">
        <v>283.5</v>
      </c>
      <c r="Y202" t="n">
        <v>19</v>
      </c>
      <c r="Z202" t="n">
        <v>53.86</v>
      </c>
      <c r="AA202" t="n">
        <v>5.48</v>
      </c>
      <c r="AB202" t="n">
        <v>59.34</v>
      </c>
      <c r="AC202" t="n">
        <v>10.68</v>
      </c>
      <c r="AD202" t="n">
        <v>0</v>
      </c>
      <c r="AE202" t="n">
        <v>283.5</v>
      </c>
      <c r="AF202" t="n">
        <v>0</v>
      </c>
      <c r="AG202" t="n">
        <v>0</v>
      </c>
      <c r="AH202" t="n">
        <v>0.28</v>
      </c>
      <c r="AI202" t="n">
        <v>14.18</v>
      </c>
      <c r="AJ202" t="n">
        <v>0</v>
      </c>
      <c r="AK202" t="n">
        <v>25.14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84.48</v>
      </c>
      <c r="AV202" t="n">
        <v>0</v>
      </c>
      <c r="AW202" t="n">
        <v>213.2</v>
      </c>
      <c r="AX202" t="inlineStr">
        <is>
          <t>settled</t>
        </is>
      </c>
      <c r="AY202" t="inlineStr">
        <is>
          <t>2025-12-10 05:30:00</t>
        </is>
      </c>
      <c r="AZ202" t="inlineStr">
        <is>
          <t>CITIN25668288188</t>
        </is>
      </c>
      <c r="BA202" t="n">
        <v>0</v>
      </c>
      <c r="BB202" t="inlineStr">
        <is>
          <t>1a5b011a6add43f6a3049ffb8e8fdfff3e468183786f82c4fa72d6202cd2ac64</t>
        </is>
      </c>
    </row>
    <row r="203">
      <c r="A203" t="inlineStr">
        <is>
          <t>198</t>
        </is>
      </c>
      <c r="B203" t="inlineStr">
        <is>
          <t>7537989413</t>
        </is>
      </c>
      <c r="C203" t="inlineStr">
        <is>
          <t>2025-12-05 01:13:25</t>
        </is>
      </c>
      <c r="D203" t="inlineStr">
        <is>
          <t>49</t>
        </is>
      </c>
      <c r="E203" t="inlineStr">
        <is>
          <t>Sha Sha - Shandaar Shawarma</t>
        </is>
      </c>
      <c r="F203" t="inlineStr">
        <is>
          <t>18557902</t>
        </is>
      </c>
      <c r="G203" t="inlineStr">
        <is>
          <t>NA</t>
        </is>
      </c>
      <c r="H203" t="inlineStr">
        <is>
          <t>ONLINE</t>
        </is>
      </c>
      <c r="I203" t="inlineStr">
        <is>
          <t>DELIVERED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O2</t>
        </is>
      </c>
      <c r="N203" t="inlineStr">
        <is>
          <t>36</t>
        </is>
      </c>
      <c r="O203" t="n">
        <v>219</v>
      </c>
      <c r="P203" t="n">
        <v>3.5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11.13</v>
      </c>
      <c r="W203" t="n">
        <v>233.63</v>
      </c>
      <c r="X203" t="n">
        <v>222.5</v>
      </c>
      <c r="Y203" t="n">
        <v>19</v>
      </c>
      <c r="Z203" t="n">
        <v>42.28</v>
      </c>
      <c r="AA203" t="n">
        <v>4.3</v>
      </c>
      <c r="AB203" t="n">
        <v>46.58</v>
      </c>
      <c r="AC203" t="n">
        <v>8.380000000000001</v>
      </c>
      <c r="AD203" t="n">
        <v>0</v>
      </c>
      <c r="AE203" t="n">
        <v>222.5</v>
      </c>
      <c r="AF203" t="n">
        <v>0</v>
      </c>
      <c r="AG203" t="n">
        <v>0</v>
      </c>
      <c r="AH203" t="n">
        <v>0.22</v>
      </c>
      <c r="AI203" t="n">
        <v>11.13</v>
      </c>
      <c r="AJ203" t="n">
        <v>0</v>
      </c>
      <c r="AK203" t="n">
        <v>19.73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66.31</v>
      </c>
      <c r="AV203" t="n">
        <v>0</v>
      </c>
      <c r="AW203" t="n">
        <v>167.32</v>
      </c>
      <c r="AX203" t="inlineStr">
        <is>
          <t>settled</t>
        </is>
      </c>
      <c r="AY203" t="inlineStr">
        <is>
          <t>2025-12-10 05:30:00</t>
        </is>
      </c>
      <c r="AZ203" t="inlineStr">
        <is>
          <t>CITIN25668288188</t>
        </is>
      </c>
      <c r="BA203" t="n">
        <v>0</v>
      </c>
      <c r="BB203" t="inlineStr">
        <is>
          <t>d273e70455ac4d062f3a3de97e5ec8727b432109bb45044fa35e5996e42f27b6</t>
        </is>
      </c>
    </row>
    <row r="204">
      <c r="A204" t="inlineStr">
        <is>
          <t>199</t>
        </is>
      </c>
      <c r="B204" t="inlineStr">
        <is>
          <t>7543292098</t>
        </is>
      </c>
      <c r="C204" t="inlineStr">
        <is>
          <t>2025-12-05 01:29:08</t>
        </is>
      </c>
      <c r="D204" t="inlineStr">
        <is>
          <t>49</t>
        </is>
      </c>
      <c r="E204" t="inlineStr">
        <is>
          <t>Sha Sha - Shandaar Shawarma</t>
        </is>
      </c>
      <c r="F204" t="inlineStr">
        <is>
          <t>18557902</t>
        </is>
      </c>
      <c r="G204" t="inlineStr">
        <is>
          <t>30% off upto ₹75 (2025-06-25 - 2031-01-01)</t>
        </is>
      </c>
      <c r="H204" t="inlineStr">
        <is>
          <t>ONLINE</t>
        </is>
      </c>
      <c r="I204" t="inlineStr">
        <is>
          <t>DELIVERED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O2</t>
        </is>
      </c>
      <c r="N204" t="inlineStr">
        <is>
          <t>36</t>
        </is>
      </c>
      <c r="O204" t="n">
        <v>219</v>
      </c>
      <c r="P204" t="n">
        <v>3.5</v>
      </c>
      <c r="Q204" t="n">
        <v>0</v>
      </c>
      <c r="R204" t="n">
        <v>65.7</v>
      </c>
      <c r="S204" t="n">
        <v>0</v>
      </c>
      <c r="T204" t="n">
        <v>0</v>
      </c>
      <c r="U204" t="n">
        <v>0</v>
      </c>
      <c r="V204" t="n">
        <v>7.84</v>
      </c>
      <c r="W204" t="n">
        <v>164.64</v>
      </c>
      <c r="X204" t="n">
        <v>156.8</v>
      </c>
      <c r="Y204" t="n">
        <v>19</v>
      </c>
      <c r="Z204" t="n">
        <v>29.79</v>
      </c>
      <c r="AA204" t="n">
        <v>3.03</v>
      </c>
      <c r="AB204" t="n">
        <v>32.82</v>
      </c>
      <c r="AC204" t="n">
        <v>5.91</v>
      </c>
      <c r="AD204" t="n">
        <v>0</v>
      </c>
      <c r="AE204" t="n">
        <v>156.8</v>
      </c>
      <c r="AF204" t="n">
        <v>0</v>
      </c>
      <c r="AG204" t="n">
        <v>0</v>
      </c>
      <c r="AH204" t="n">
        <v>0.16</v>
      </c>
      <c r="AI204" t="n">
        <v>7.85</v>
      </c>
      <c r="AJ204" t="n">
        <v>-0.01</v>
      </c>
      <c r="AK204" t="n">
        <v>13.92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46.74</v>
      </c>
      <c r="AV204" t="n">
        <v>0</v>
      </c>
      <c r="AW204" t="n">
        <v>117.9</v>
      </c>
      <c r="AX204" t="inlineStr">
        <is>
          <t>settled</t>
        </is>
      </c>
      <c r="AY204" t="inlineStr">
        <is>
          <t>2025-12-10 05:30:00</t>
        </is>
      </c>
      <c r="AZ204" t="inlineStr">
        <is>
          <t>CITIN25668288188</t>
        </is>
      </c>
      <c r="BA204" t="n">
        <v>0</v>
      </c>
      <c r="BB204" t="inlineStr">
        <is>
          <t>99dd790e7fb134b11abebb70ae526da83f4574740c4a74d3268fbeb1c7dea24f</t>
        </is>
      </c>
    </row>
    <row r="205">
      <c r="A205" t="inlineStr">
        <is>
          <t>200</t>
        </is>
      </c>
      <c r="B205" t="inlineStr">
        <is>
          <t>7546749086</t>
        </is>
      </c>
      <c r="C205" t="inlineStr">
        <is>
          <t>2025-12-05 01:35:26</t>
        </is>
      </c>
      <c r="D205" t="inlineStr">
        <is>
          <t>49</t>
        </is>
      </c>
      <c r="E205" t="inlineStr">
        <is>
          <t>Sha Sha - Shandaar Shawarma</t>
        </is>
      </c>
      <c r="F205" t="inlineStr">
        <is>
          <t>18557902</t>
        </is>
      </c>
      <c r="G205" t="inlineStr">
        <is>
          <t>NA</t>
        </is>
      </c>
      <c r="H205" t="inlineStr">
        <is>
          <t>ONLINE</t>
        </is>
      </c>
      <c r="I205" t="inlineStr">
        <is>
          <t>DELIVERED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O2</t>
        </is>
      </c>
      <c r="N205" t="inlineStr">
        <is>
          <t>36</t>
        </is>
      </c>
      <c r="O205" t="n">
        <v>407</v>
      </c>
      <c r="P205" t="n">
        <v>3.5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20.53</v>
      </c>
      <c r="W205" t="n">
        <v>431.03</v>
      </c>
      <c r="X205" t="n">
        <v>410.5</v>
      </c>
      <c r="Y205" t="n">
        <v>19</v>
      </c>
      <c r="Z205" t="n">
        <v>78</v>
      </c>
      <c r="AA205" t="n">
        <v>7.93</v>
      </c>
      <c r="AB205" t="n">
        <v>85.93000000000001</v>
      </c>
      <c r="AC205" t="n">
        <v>15.47</v>
      </c>
      <c r="AD205" t="n">
        <v>0</v>
      </c>
      <c r="AE205" t="n">
        <v>410.5</v>
      </c>
      <c r="AF205" t="n">
        <v>0</v>
      </c>
      <c r="AG205" t="n">
        <v>0</v>
      </c>
      <c r="AH205" t="n">
        <v>0.41</v>
      </c>
      <c r="AI205" t="n">
        <v>20.53</v>
      </c>
      <c r="AJ205" t="n">
        <v>0</v>
      </c>
      <c r="AK205" t="n">
        <v>36.41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122.34</v>
      </c>
      <c r="AV205" t="n">
        <v>0</v>
      </c>
      <c r="AW205" t="n">
        <v>308.69</v>
      </c>
      <c r="AX205" t="inlineStr">
        <is>
          <t>settled</t>
        </is>
      </c>
      <c r="AY205" t="inlineStr">
        <is>
          <t>2025-12-10 05:30:00</t>
        </is>
      </c>
      <c r="AZ205" t="inlineStr">
        <is>
          <t>CITIN25668288188</t>
        </is>
      </c>
      <c r="BA205" t="n">
        <v>0</v>
      </c>
      <c r="BB205" t="inlineStr">
        <is>
          <t>83c63a50fef5a7c36e11617bdbea3777d40a096b86b9267297ad746be805ee7a</t>
        </is>
      </c>
    </row>
    <row r="206">
      <c r="A206" t="inlineStr">
        <is>
          <t>201</t>
        </is>
      </c>
      <c r="B206" t="inlineStr">
        <is>
          <t>7547201634</t>
        </is>
      </c>
      <c r="C206" t="inlineStr">
        <is>
          <t>2025-12-05 01:36:13</t>
        </is>
      </c>
      <c r="D206" t="inlineStr">
        <is>
          <t>49</t>
        </is>
      </c>
      <c r="E206" t="inlineStr">
        <is>
          <t>Sha Sha - Shandaar Shawarma</t>
        </is>
      </c>
      <c r="F206" t="inlineStr">
        <is>
          <t>18557902</t>
        </is>
      </c>
      <c r="G206" t="inlineStr">
        <is>
          <t>NA</t>
        </is>
      </c>
      <c r="H206" t="inlineStr">
        <is>
          <t>ONLINE</t>
        </is>
      </c>
      <c r="I206" t="inlineStr">
        <is>
          <t>DELIVERED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O2</t>
        </is>
      </c>
      <c r="N206" t="inlineStr">
        <is>
          <t>36</t>
        </is>
      </c>
      <c r="O206" t="n">
        <v>229</v>
      </c>
      <c r="P206" t="n">
        <v>3.5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11.63</v>
      </c>
      <c r="W206" t="n">
        <v>244.13</v>
      </c>
      <c r="X206" t="n">
        <v>232.5</v>
      </c>
      <c r="Y206" t="n">
        <v>19</v>
      </c>
      <c r="Z206" t="n">
        <v>44.18</v>
      </c>
      <c r="AA206" t="n">
        <v>4.49</v>
      </c>
      <c r="AB206" t="n">
        <v>48.67</v>
      </c>
      <c r="AC206" t="n">
        <v>8.76</v>
      </c>
      <c r="AD206" t="n">
        <v>0</v>
      </c>
      <c r="AE206" t="n">
        <v>232.5</v>
      </c>
      <c r="AF206" t="n">
        <v>0</v>
      </c>
      <c r="AG206" t="n">
        <v>0</v>
      </c>
      <c r="AH206" t="n">
        <v>0.23</v>
      </c>
      <c r="AI206" t="n">
        <v>11.63</v>
      </c>
      <c r="AJ206" t="n">
        <v>0</v>
      </c>
      <c r="AK206" t="n">
        <v>20.62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69.29000000000001</v>
      </c>
      <c r="AV206" t="n">
        <v>0</v>
      </c>
      <c r="AW206" t="n">
        <v>174.84</v>
      </c>
      <c r="AX206" t="inlineStr">
        <is>
          <t>settled</t>
        </is>
      </c>
      <c r="AY206" t="inlineStr">
        <is>
          <t>2025-12-10 05:30:00</t>
        </is>
      </c>
      <c r="AZ206" t="inlineStr">
        <is>
          <t>CITIN25668288188</t>
        </is>
      </c>
      <c r="BA206" t="n">
        <v>0</v>
      </c>
      <c r="BB206" t="inlineStr">
        <is>
          <t>7e02a3d32efebaddcfac5a1b62ef80f5dc0be808fd5bb5751099a620757662a2</t>
        </is>
      </c>
    </row>
    <row r="207">
      <c r="A207" t="inlineStr">
        <is>
          <t>202</t>
        </is>
      </c>
      <c r="B207" t="inlineStr">
        <is>
          <t>7549046041</t>
        </is>
      </c>
      <c r="C207" t="inlineStr">
        <is>
          <t>2025-12-05 01:46:11</t>
        </is>
      </c>
      <c r="D207" t="inlineStr">
        <is>
          <t>49</t>
        </is>
      </c>
      <c r="E207" t="inlineStr">
        <is>
          <t>Sha Sha - Shandaar Shawarma</t>
        </is>
      </c>
      <c r="F207" t="inlineStr">
        <is>
          <t>18557902</t>
        </is>
      </c>
      <c r="G207" t="inlineStr">
        <is>
          <t>NA</t>
        </is>
      </c>
      <c r="H207" t="inlineStr">
        <is>
          <t>ONLINE</t>
        </is>
      </c>
      <c r="I207" t="inlineStr">
        <is>
          <t>DELIVERED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O2</t>
        </is>
      </c>
      <c r="N207" t="inlineStr">
        <is>
          <t>36</t>
        </is>
      </c>
      <c r="O207" t="n">
        <v>239</v>
      </c>
      <c r="P207" t="n">
        <v>3.5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12.13</v>
      </c>
      <c r="W207" t="n">
        <v>254.63</v>
      </c>
      <c r="X207" t="n">
        <v>242.5</v>
      </c>
      <c r="Y207" t="n">
        <v>19</v>
      </c>
      <c r="Z207" t="n">
        <v>46.08</v>
      </c>
      <c r="AA207" t="n">
        <v>4.69</v>
      </c>
      <c r="AB207" t="n">
        <v>50.77</v>
      </c>
      <c r="AC207" t="n">
        <v>9.130000000000001</v>
      </c>
      <c r="AD207" t="n">
        <v>0</v>
      </c>
      <c r="AE207" t="n">
        <v>242.5</v>
      </c>
      <c r="AF207" t="n">
        <v>0</v>
      </c>
      <c r="AG207" t="n">
        <v>0</v>
      </c>
      <c r="AH207" t="n">
        <v>0.24</v>
      </c>
      <c r="AI207" t="n">
        <v>12.13</v>
      </c>
      <c r="AJ207" t="n">
        <v>0</v>
      </c>
      <c r="AK207" t="n">
        <v>21.5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72.27</v>
      </c>
      <c r="AV207" t="n">
        <v>0</v>
      </c>
      <c r="AW207" t="n">
        <v>182.36</v>
      </c>
      <c r="AX207" t="inlineStr">
        <is>
          <t>settled</t>
        </is>
      </c>
      <c r="AY207" t="inlineStr">
        <is>
          <t>2025-12-10 05:30:00</t>
        </is>
      </c>
      <c r="AZ207" t="inlineStr">
        <is>
          <t>CITIN25668288188</t>
        </is>
      </c>
      <c r="BA207" t="n">
        <v>0</v>
      </c>
      <c r="BB207" t="inlineStr">
        <is>
          <t>5a18e9fe4b9424748b796c44b7167942eb4d35a44044241e5fe2475a58bd8275</t>
        </is>
      </c>
    </row>
    <row r="208">
      <c r="A208" t="inlineStr">
        <is>
          <t>203</t>
        </is>
      </c>
      <c r="B208" t="inlineStr">
        <is>
          <t>7550272953</t>
        </is>
      </c>
      <c r="C208" t="inlineStr">
        <is>
          <t>2025-12-05 01:49:37</t>
        </is>
      </c>
      <c r="D208" t="inlineStr">
        <is>
          <t>49</t>
        </is>
      </c>
      <c r="E208" t="inlineStr">
        <is>
          <t>Sha Sha - Shandaar Shawarma</t>
        </is>
      </c>
      <c r="F208" t="inlineStr">
        <is>
          <t>18557902</t>
        </is>
      </c>
      <c r="G208" t="inlineStr">
        <is>
          <t>NA</t>
        </is>
      </c>
      <c r="H208" t="inlineStr">
        <is>
          <t>ONLINE</t>
        </is>
      </c>
      <c r="I208" t="inlineStr">
        <is>
          <t>DELIVERED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O2</t>
        </is>
      </c>
      <c r="N208" t="inlineStr">
        <is>
          <t>36</t>
        </is>
      </c>
      <c r="O208" t="n">
        <v>229</v>
      </c>
      <c r="P208" t="n">
        <v>3.5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11.63</v>
      </c>
      <c r="W208" t="n">
        <v>244.13</v>
      </c>
      <c r="X208" t="n">
        <v>232.5</v>
      </c>
      <c r="Y208" t="n">
        <v>19</v>
      </c>
      <c r="Z208" t="n">
        <v>44.18</v>
      </c>
      <c r="AA208" t="n">
        <v>4.49</v>
      </c>
      <c r="AB208" t="n">
        <v>48.67</v>
      </c>
      <c r="AC208" t="n">
        <v>8.76</v>
      </c>
      <c r="AD208" t="n">
        <v>0</v>
      </c>
      <c r="AE208" t="n">
        <v>232.5</v>
      </c>
      <c r="AF208" t="n">
        <v>0</v>
      </c>
      <c r="AG208" t="n">
        <v>0</v>
      </c>
      <c r="AH208" t="n">
        <v>0.23</v>
      </c>
      <c r="AI208" t="n">
        <v>11.63</v>
      </c>
      <c r="AJ208" t="n">
        <v>0</v>
      </c>
      <c r="AK208" t="n">
        <v>20.62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69.29000000000001</v>
      </c>
      <c r="AV208" t="n">
        <v>0</v>
      </c>
      <c r="AW208" t="n">
        <v>174.84</v>
      </c>
      <c r="AX208" t="inlineStr">
        <is>
          <t>settled</t>
        </is>
      </c>
      <c r="AY208" t="inlineStr">
        <is>
          <t>2025-12-10 05:30:00</t>
        </is>
      </c>
      <c r="AZ208" t="inlineStr">
        <is>
          <t>CITIN25668288188</t>
        </is>
      </c>
      <c r="BA208" t="n">
        <v>0</v>
      </c>
      <c r="BB208" t="inlineStr">
        <is>
          <t>09c89e970699faeb8edd99a9abcac4c67e913927f7bd57ec00261b84ea94b2b9</t>
        </is>
      </c>
    </row>
    <row r="209">
      <c r="A209" t="inlineStr">
        <is>
          <t>204</t>
        </is>
      </c>
      <c r="B209" t="inlineStr">
        <is>
          <t>7549115066</t>
        </is>
      </c>
      <c r="C209" t="inlineStr">
        <is>
          <t>2025-12-05 01:54:02</t>
        </is>
      </c>
      <c r="D209" t="inlineStr">
        <is>
          <t>49</t>
        </is>
      </c>
      <c r="E209" t="inlineStr">
        <is>
          <t>Sha Sha - Shandaar Shawarma</t>
        </is>
      </c>
      <c r="F209" t="inlineStr">
        <is>
          <t>18557902</t>
        </is>
      </c>
      <c r="G209" t="inlineStr">
        <is>
          <t>30% off upto ₹75 (2025-06-25 - 2031-01-01)</t>
        </is>
      </c>
      <c r="H209" t="inlineStr">
        <is>
          <t>ONLINE</t>
        </is>
      </c>
      <c r="I209" t="inlineStr">
        <is>
          <t>DELIVERED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O2</t>
        </is>
      </c>
      <c r="N209" t="inlineStr">
        <is>
          <t>36</t>
        </is>
      </c>
      <c r="O209" t="n">
        <v>229</v>
      </c>
      <c r="P209" t="n">
        <v>3.5</v>
      </c>
      <c r="Q209" t="n">
        <v>0</v>
      </c>
      <c r="R209" t="n">
        <v>68.7</v>
      </c>
      <c r="S209" t="n">
        <v>0</v>
      </c>
      <c r="T209" t="n">
        <v>0</v>
      </c>
      <c r="U209" t="n">
        <v>0</v>
      </c>
      <c r="V209" t="n">
        <v>8.19</v>
      </c>
      <c r="W209" t="n">
        <v>171.99</v>
      </c>
      <c r="X209" t="n">
        <v>163.8</v>
      </c>
      <c r="Y209" t="n">
        <v>19</v>
      </c>
      <c r="Z209" t="n">
        <v>31.12</v>
      </c>
      <c r="AA209" t="n">
        <v>3.16</v>
      </c>
      <c r="AB209" t="n">
        <v>34.28</v>
      </c>
      <c r="AC209" t="n">
        <v>6.17</v>
      </c>
      <c r="AD209" t="n">
        <v>0</v>
      </c>
      <c r="AE209" t="n">
        <v>163.8</v>
      </c>
      <c r="AF209" t="n">
        <v>0</v>
      </c>
      <c r="AG209" t="n">
        <v>0</v>
      </c>
      <c r="AH209" t="n">
        <v>0.16</v>
      </c>
      <c r="AI209" t="n">
        <v>8.199999999999999</v>
      </c>
      <c r="AJ209" t="n">
        <v>-0.01</v>
      </c>
      <c r="AK209" t="n">
        <v>14.53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48.81</v>
      </c>
      <c r="AV209" t="n">
        <v>0</v>
      </c>
      <c r="AW209" t="n">
        <v>123.18</v>
      </c>
      <c r="AX209" t="inlineStr">
        <is>
          <t>settled</t>
        </is>
      </c>
      <c r="AY209" t="inlineStr">
        <is>
          <t>2025-12-10 05:30:00</t>
        </is>
      </c>
      <c r="AZ209" t="inlineStr">
        <is>
          <t>CITIN25668288188</t>
        </is>
      </c>
      <c r="BA209" t="n">
        <v>0</v>
      </c>
      <c r="BB209" t="inlineStr">
        <is>
          <t>c7241f6af7bd606ba9c9d7267ebb33e5e2d52940cbba83627603e0bbc83ba96b</t>
        </is>
      </c>
    </row>
    <row r="210">
      <c r="A210" t="inlineStr">
        <is>
          <t>205</t>
        </is>
      </c>
      <c r="B210" t="inlineStr">
        <is>
          <t>7536180928</t>
        </is>
      </c>
      <c r="C210" t="inlineStr">
        <is>
          <t>2025-12-05 02:05:56</t>
        </is>
      </c>
      <c r="D210" t="inlineStr">
        <is>
          <t>49</t>
        </is>
      </c>
      <c r="E210" t="inlineStr">
        <is>
          <t>Sha Sha - Shandaar Shawarma</t>
        </is>
      </c>
      <c r="F210" t="inlineStr">
        <is>
          <t>18557902</t>
        </is>
      </c>
      <c r="G210" t="inlineStr">
        <is>
          <t>NA</t>
        </is>
      </c>
      <c r="H210" t="inlineStr">
        <is>
          <t>ONLINE</t>
        </is>
      </c>
      <c r="I210" t="inlineStr">
        <is>
          <t>DELIVERED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O2</t>
        </is>
      </c>
      <c r="N210" t="inlineStr">
        <is>
          <t>36</t>
        </is>
      </c>
      <c r="O210" t="n">
        <v>229</v>
      </c>
      <c r="P210" t="n">
        <v>3.5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11.63</v>
      </c>
      <c r="W210" t="n">
        <v>244.13</v>
      </c>
      <c r="X210" t="n">
        <v>232.5</v>
      </c>
      <c r="Y210" t="n">
        <v>19</v>
      </c>
      <c r="Z210" t="n">
        <v>44.18</v>
      </c>
      <c r="AA210" t="n">
        <v>4.49</v>
      </c>
      <c r="AB210" t="n">
        <v>48.67</v>
      </c>
      <c r="AC210" t="n">
        <v>8.76</v>
      </c>
      <c r="AD210" t="n">
        <v>0</v>
      </c>
      <c r="AE210" t="n">
        <v>232.5</v>
      </c>
      <c r="AF210" t="n">
        <v>0</v>
      </c>
      <c r="AG210" t="n">
        <v>0</v>
      </c>
      <c r="AH210" t="n">
        <v>0.23</v>
      </c>
      <c r="AI210" t="n">
        <v>11.63</v>
      </c>
      <c r="AJ210" t="n">
        <v>0</v>
      </c>
      <c r="AK210" t="n">
        <v>20.62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69.29000000000001</v>
      </c>
      <c r="AV210" t="n">
        <v>0</v>
      </c>
      <c r="AW210" t="n">
        <v>174.84</v>
      </c>
      <c r="AX210" t="inlineStr">
        <is>
          <t>settled</t>
        </is>
      </c>
      <c r="AY210" t="inlineStr">
        <is>
          <t>2025-12-10 05:30:00</t>
        </is>
      </c>
      <c r="AZ210" t="inlineStr">
        <is>
          <t>CITIN25668288188</t>
        </is>
      </c>
      <c r="BA210" t="n">
        <v>0</v>
      </c>
      <c r="BB210" t="inlineStr">
        <is>
          <t>68d5f5b84063cf194f9a8ccdc99cfaf694b092878cf453291d783336d44646b2</t>
        </is>
      </c>
    </row>
    <row r="211">
      <c r="A211" t="inlineStr">
        <is>
          <t>206</t>
        </is>
      </c>
      <c r="B211" t="inlineStr">
        <is>
          <t>7549186627</t>
        </is>
      </c>
      <c r="C211" t="inlineStr">
        <is>
          <t>2025-12-05 02:38:29</t>
        </is>
      </c>
      <c r="D211" t="inlineStr">
        <is>
          <t>49</t>
        </is>
      </c>
      <c r="E211" t="inlineStr">
        <is>
          <t>Sha Sha - Shandaar Shawarma</t>
        </is>
      </c>
      <c r="F211" t="inlineStr">
        <is>
          <t>18557902</t>
        </is>
      </c>
      <c r="G211" t="inlineStr">
        <is>
          <t>30% off upto ₹75 (2025-06-25 - 2031-01-01)</t>
        </is>
      </c>
      <c r="H211" t="inlineStr">
        <is>
          <t>ONLINE</t>
        </is>
      </c>
      <c r="I211" t="inlineStr">
        <is>
          <t>DELIVERED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O2</t>
        </is>
      </c>
      <c r="N211" t="inlineStr">
        <is>
          <t>36</t>
        </is>
      </c>
      <c r="O211" t="n">
        <v>577</v>
      </c>
      <c r="P211" t="n">
        <v>3.5</v>
      </c>
      <c r="Q211" t="n">
        <v>0</v>
      </c>
      <c r="R211" t="n">
        <v>75</v>
      </c>
      <c r="S211" t="n">
        <v>0</v>
      </c>
      <c r="T211" t="n">
        <v>0</v>
      </c>
      <c r="U211" t="n">
        <v>0</v>
      </c>
      <c r="V211" t="n">
        <v>25.28</v>
      </c>
      <c r="W211" t="n">
        <v>530.78</v>
      </c>
      <c r="X211" t="n">
        <v>505.5</v>
      </c>
      <c r="Y211" t="n">
        <v>19</v>
      </c>
      <c r="Z211" t="n">
        <v>96.04000000000001</v>
      </c>
      <c r="AA211" t="n">
        <v>9.77</v>
      </c>
      <c r="AB211" t="n">
        <v>105.81</v>
      </c>
      <c r="AC211" t="n">
        <v>19.05</v>
      </c>
      <c r="AD211" t="n">
        <v>0</v>
      </c>
      <c r="AE211" t="n">
        <v>505.5</v>
      </c>
      <c r="AF211" t="n">
        <v>0</v>
      </c>
      <c r="AG211" t="n">
        <v>0</v>
      </c>
      <c r="AH211" t="n">
        <v>0.51</v>
      </c>
      <c r="AI211" t="n">
        <v>25.28</v>
      </c>
      <c r="AJ211" t="n">
        <v>0</v>
      </c>
      <c r="AK211" t="n">
        <v>44.84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150.65</v>
      </c>
      <c r="AV211" t="n">
        <v>0</v>
      </c>
      <c r="AW211" t="n">
        <v>380.13</v>
      </c>
      <c r="AX211" t="inlineStr">
        <is>
          <t>settled</t>
        </is>
      </c>
      <c r="AY211" t="inlineStr">
        <is>
          <t>2025-12-10 05:30:00</t>
        </is>
      </c>
      <c r="AZ211" t="inlineStr">
        <is>
          <t>CITIN25668288188</t>
        </is>
      </c>
      <c r="BA211" t="n">
        <v>0</v>
      </c>
      <c r="BB211" t="inlineStr">
        <is>
          <t>142523c857dcd1b605826a92b5f9cc338d94e80ac458f93cd9e2d40146054c1d</t>
        </is>
      </c>
    </row>
    <row r="212">
      <c r="A212" t="inlineStr">
        <is>
          <t>207</t>
        </is>
      </c>
      <c r="B212" t="inlineStr">
        <is>
          <t>7532981924</t>
        </is>
      </c>
      <c r="C212" t="inlineStr">
        <is>
          <t>2025-12-05 03:03:22</t>
        </is>
      </c>
      <c r="D212" t="inlineStr">
        <is>
          <t>49</t>
        </is>
      </c>
      <c r="E212" t="inlineStr">
        <is>
          <t>Sha Sha - Shandaar Shawarma</t>
        </is>
      </c>
      <c r="F212" t="inlineStr">
        <is>
          <t>18557902</t>
        </is>
      </c>
      <c r="G212" t="inlineStr">
        <is>
          <t>30% off upto ₹75 (2025-06-25 - 2031-01-01)</t>
        </is>
      </c>
      <c r="H212" t="inlineStr">
        <is>
          <t>ONLINE</t>
        </is>
      </c>
      <c r="I212" t="inlineStr">
        <is>
          <t>DELIVERED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O2</t>
        </is>
      </c>
      <c r="N212" t="inlineStr">
        <is>
          <t>36</t>
        </is>
      </c>
      <c r="O212" t="n">
        <v>229</v>
      </c>
      <c r="P212" t="n">
        <v>3.5</v>
      </c>
      <c r="Q212" t="n">
        <v>0</v>
      </c>
      <c r="R212" t="n">
        <v>68.7</v>
      </c>
      <c r="S212" t="n">
        <v>0</v>
      </c>
      <c r="T212" t="n">
        <v>0</v>
      </c>
      <c r="U212" t="n">
        <v>0</v>
      </c>
      <c r="V212" t="n">
        <v>8.19</v>
      </c>
      <c r="W212" t="n">
        <v>171.99</v>
      </c>
      <c r="X212" t="n">
        <v>163.8</v>
      </c>
      <c r="Y212" t="n">
        <v>19</v>
      </c>
      <c r="Z212" t="n">
        <v>31.12</v>
      </c>
      <c r="AA212" t="n">
        <v>3.16</v>
      </c>
      <c r="AB212" t="n">
        <v>34.28</v>
      </c>
      <c r="AC212" t="n">
        <v>6.17</v>
      </c>
      <c r="AD212" t="n">
        <v>0</v>
      </c>
      <c r="AE212" t="n">
        <v>163.8</v>
      </c>
      <c r="AF212" t="n">
        <v>0</v>
      </c>
      <c r="AG212" t="n">
        <v>0</v>
      </c>
      <c r="AH212" t="n">
        <v>0.16</v>
      </c>
      <c r="AI212" t="n">
        <v>8.199999999999999</v>
      </c>
      <c r="AJ212" t="n">
        <v>-0.01</v>
      </c>
      <c r="AK212" t="n">
        <v>14.53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48.81</v>
      </c>
      <c r="AV212" t="n">
        <v>0</v>
      </c>
      <c r="AW212" t="n">
        <v>123.18</v>
      </c>
      <c r="AX212" t="inlineStr">
        <is>
          <t>settled</t>
        </is>
      </c>
      <c r="AY212" t="inlineStr">
        <is>
          <t>2025-12-10 05:30:00</t>
        </is>
      </c>
      <c r="AZ212" t="inlineStr">
        <is>
          <t>CITIN25668288188</t>
        </is>
      </c>
      <c r="BA212" t="n">
        <v>0</v>
      </c>
      <c r="BB212" t="inlineStr">
        <is>
          <t>c7241f6af7bd606ba9c9d7267ebb33e5e2d52940cbba83627603e0bbc83ba96b</t>
        </is>
      </c>
    </row>
    <row r="213">
      <c r="A213" t="inlineStr">
        <is>
          <t>208</t>
        </is>
      </c>
      <c r="B213" t="inlineStr">
        <is>
          <t>7543258584</t>
        </is>
      </c>
      <c r="C213" t="inlineStr">
        <is>
          <t>2025-12-05 03:16:47</t>
        </is>
      </c>
      <c r="D213" t="inlineStr">
        <is>
          <t>49</t>
        </is>
      </c>
      <c r="E213" t="inlineStr">
        <is>
          <t>Sha Sha - Shandaar Shawarma</t>
        </is>
      </c>
      <c r="F213" t="inlineStr">
        <is>
          <t>18557902</t>
        </is>
      </c>
      <c r="G213" t="inlineStr">
        <is>
          <t>NA</t>
        </is>
      </c>
      <c r="H213" t="inlineStr">
        <is>
          <t>ONLINE</t>
        </is>
      </c>
      <c r="I213" t="inlineStr">
        <is>
          <t>DELIVERED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O2</t>
        </is>
      </c>
      <c r="N213" t="inlineStr">
        <is>
          <t>36</t>
        </is>
      </c>
      <c r="O213" t="n">
        <v>484</v>
      </c>
      <c r="P213" t="n">
        <v>3.5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24.38</v>
      </c>
      <c r="W213" t="n">
        <v>511.88</v>
      </c>
      <c r="X213" t="n">
        <v>487.5</v>
      </c>
      <c r="Y213" t="n">
        <v>19</v>
      </c>
      <c r="Z213" t="n">
        <v>92.62</v>
      </c>
      <c r="AA213" t="n">
        <v>9.42</v>
      </c>
      <c r="AB213" t="n">
        <v>102.04</v>
      </c>
      <c r="AC213" t="n">
        <v>18.37</v>
      </c>
      <c r="AD213" t="n">
        <v>0</v>
      </c>
      <c r="AE213" t="n">
        <v>487.5</v>
      </c>
      <c r="AF213" t="n">
        <v>0</v>
      </c>
      <c r="AG213" t="n">
        <v>0</v>
      </c>
      <c r="AH213" t="n">
        <v>0.49</v>
      </c>
      <c r="AI213" t="n">
        <v>24.38</v>
      </c>
      <c r="AJ213" t="n">
        <v>0</v>
      </c>
      <c r="AK213" t="n">
        <v>43.24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145.28</v>
      </c>
      <c r="AV213" t="n">
        <v>0</v>
      </c>
      <c r="AW213" t="n">
        <v>366.6</v>
      </c>
      <c r="AX213" t="inlineStr">
        <is>
          <t>settled</t>
        </is>
      </c>
      <c r="AY213" t="inlineStr">
        <is>
          <t>2025-12-10 05:30:00</t>
        </is>
      </c>
      <c r="AZ213" t="inlineStr">
        <is>
          <t>CITIN25668288188</t>
        </is>
      </c>
      <c r="BA213" t="n">
        <v>0</v>
      </c>
      <c r="BB213" t="inlineStr">
        <is>
          <t>f084f021a5cf8ae786f2310ff4aaa295b1d8193917c81f316a16cd1a33ab6acc</t>
        </is>
      </c>
    </row>
    <row r="214">
      <c r="A214" t="inlineStr">
        <is>
          <t>209</t>
        </is>
      </c>
      <c r="B214" t="inlineStr">
        <is>
          <t>7550163259</t>
        </is>
      </c>
      <c r="C214" t="inlineStr">
        <is>
          <t>2025-12-05 03:20:10</t>
        </is>
      </c>
      <c r="D214" t="inlineStr">
        <is>
          <t>49</t>
        </is>
      </c>
      <c r="E214" t="inlineStr">
        <is>
          <t>Sha Sha - Shandaar Shawarma</t>
        </is>
      </c>
      <c r="F214" t="inlineStr">
        <is>
          <t>18557902</t>
        </is>
      </c>
      <c r="G214" t="inlineStr">
        <is>
          <t>NA</t>
        </is>
      </c>
      <c r="H214" t="inlineStr">
        <is>
          <t>ONLINE</t>
        </is>
      </c>
      <c r="I214" t="inlineStr">
        <is>
          <t>DELIVERED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O2</t>
        </is>
      </c>
      <c r="N214" t="inlineStr">
        <is>
          <t>36</t>
        </is>
      </c>
      <c r="O214" t="n">
        <v>229</v>
      </c>
      <c r="P214" t="n">
        <v>3.5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11.63</v>
      </c>
      <c r="W214" t="n">
        <v>244.13</v>
      </c>
      <c r="X214" t="n">
        <v>232.5</v>
      </c>
      <c r="Y214" t="n">
        <v>19</v>
      </c>
      <c r="Z214" t="n">
        <v>44.18</v>
      </c>
      <c r="AA214" t="n">
        <v>4.49</v>
      </c>
      <c r="AB214" t="n">
        <v>48.67</v>
      </c>
      <c r="AC214" t="n">
        <v>8.76</v>
      </c>
      <c r="AD214" t="n">
        <v>0</v>
      </c>
      <c r="AE214" t="n">
        <v>232.5</v>
      </c>
      <c r="AF214" t="n">
        <v>0</v>
      </c>
      <c r="AG214" t="n">
        <v>0</v>
      </c>
      <c r="AH214" t="n">
        <v>0.23</v>
      </c>
      <c r="AI214" t="n">
        <v>11.63</v>
      </c>
      <c r="AJ214" t="n">
        <v>0</v>
      </c>
      <c r="AK214" t="n">
        <v>20.62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69.29000000000001</v>
      </c>
      <c r="AV214" t="n">
        <v>0</v>
      </c>
      <c r="AW214" t="n">
        <v>174.84</v>
      </c>
      <c r="AX214" t="inlineStr">
        <is>
          <t>settled</t>
        </is>
      </c>
      <c r="AY214" t="inlineStr">
        <is>
          <t>2025-12-10 05:30:00</t>
        </is>
      </c>
      <c r="AZ214" t="inlineStr">
        <is>
          <t>CITIN25668288188</t>
        </is>
      </c>
      <c r="BA214" t="n">
        <v>0</v>
      </c>
      <c r="BB214" t="inlineStr">
        <is>
          <t>dc844547632c8de8e61f760876a2e780b81253a3e9d3fcea420f7da9ea9f7e62</t>
        </is>
      </c>
    </row>
    <row r="215">
      <c r="A215" t="inlineStr">
        <is>
          <t>210</t>
        </is>
      </c>
      <c r="B215" t="inlineStr">
        <is>
          <t>7545908987</t>
        </is>
      </c>
      <c r="C215" t="inlineStr">
        <is>
          <t>2025-12-05 03:38:16</t>
        </is>
      </c>
      <c r="D215" t="inlineStr">
        <is>
          <t>49</t>
        </is>
      </c>
      <c r="E215" t="inlineStr">
        <is>
          <t>Sha Sha - Shandaar Shawarma</t>
        </is>
      </c>
      <c r="F215" t="inlineStr">
        <is>
          <t>18557902</t>
        </is>
      </c>
      <c r="G215" t="inlineStr">
        <is>
          <t>NA</t>
        </is>
      </c>
      <c r="H215" t="inlineStr">
        <is>
          <t>ONLINE</t>
        </is>
      </c>
      <c r="I215" t="inlineStr">
        <is>
          <t>DELIVERED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O2</t>
        </is>
      </c>
      <c r="N215" t="inlineStr">
        <is>
          <t>36</t>
        </is>
      </c>
      <c r="O215" t="n">
        <v>328</v>
      </c>
      <c r="P215" t="n">
        <v>3.5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16.58</v>
      </c>
      <c r="W215" t="n">
        <v>348.08</v>
      </c>
      <c r="X215" t="n">
        <v>331.5</v>
      </c>
      <c r="Y215" t="n">
        <v>19</v>
      </c>
      <c r="Z215" t="n">
        <v>62.98</v>
      </c>
      <c r="AA215" t="n">
        <v>6.4</v>
      </c>
      <c r="AB215" t="n">
        <v>69.38</v>
      </c>
      <c r="AC215" t="n">
        <v>12.49</v>
      </c>
      <c r="AD215" t="n">
        <v>0</v>
      </c>
      <c r="AE215" t="n">
        <v>331.5</v>
      </c>
      <c r="AF215" t="n">
        <v>0</v>
      </c>
      <c r="AG215" t="n">
        <v>0</v>
      </c>
      <c r="AH215" t="n">
        <v>0.33</v>
      </c>
      <c r="AI215" t="n">
        <v>16.58</v>
      </c>
      <c r="AJ215" t="n">
        <v>0</v>
      </c>
      <c r="AK215" t="n">
        <v>29.4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98.78</v>
      </c>
      <c r="AV215" t="n">
        <v>0</v>
      </c>
      <c r="AW215" t="n">
        <v>249.3</v>
      </c>
      <c r="AX215" t="inlineStr">
        <is>
          <t>settled</t>
        </is>
      </c>
      <c r="AY215" t="inlineStr">
        <is>
          <t>2025-12-10 05:30:00</t>
        </is>
      </c>
      <c r="AZ215" t="inlineStr">
        <is>
          <t>CITIN25668288188</t>
        </is>
      </c>
      <c r="BA215" t="n">
        <v>0</v>
      </c>
      <c r="BB215" t="inlineStr">
        <is>
          <t>fd87790294917dc279d585e098f0b422230de3e987654de42627adcce9580efa</t>
        </is>
      </c>
    </row>
    <row r="216">
      <c r="A216" t="inlineStr">
        <is>
          <t>211</t>
        </is>
      </c>
      <c r="B216" t="inlineStr">
        <is>
          <t>7549904887</t>
        </is>
      </c>
      <c r="C216" t="inlineStr">
        <is>
          <t>2025-12-05 04:16:53</t>
        </is>
      </c>
      <c r="D216" t="inlineStr">
        <is>
          <t>49</t>
        </is>
      </c>
      <c r="E216" t="inlineStr">
        <is>
          <t>Sha Sha - Shandaar Shawarma</t>
        </is>
      </c>
      <c r="F216" t="inlineStr">
        <is>
          <t>18557902</t>
        </is>
      </c>
      <c r="G216" t="inlineStr">
        <is>
          <t>30% off upto ₹75 (2025-06-25 - 2031-01-01)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O2</t>
        </is>
      </c>
      <c r="N216" t="inlineStr">
        <is>
          <t>36</t>
        </is>
      </c>
      <c r="O216" t="n">
        <v>268</v>
      </c>
      <c r="P216" t="n">
        <v>3.5</v>
      </c>
      <c r="Q216" t="n">
        <v>0</v>
      </c>
      <c r="R216" t="n">
        <v>75</v>
      </c>
      <c r="S216" t="n">
        <v>0</v>
      </c>
      <c r="T216" t="n">
        <v>0</v>
      </c>
      <c r="U216" t="n">
        <v>0</v>
      </c>
      <c r="V216" t="n">
        <v>9.83</v>
      </c>
      <c r="W216" t="n">
        <v>206.33</v>
      </c>
      <c r="X216" t="n">
        <v>196.5</v>
      </c>
      <c r="Y216" t="n">
        <v>19</v>
      </c>
      <c r="Z216" t="n">
        <v>37.34</v>
      </c>
      <c r="AA216" t="n">
        <v>3.8</v>
      </c>
      <c r="AB216" t="n">
        <v>41.14</v>
      </c>
      <c r="AC216" t="n">
        <v>7.4</v>
      </c>
      <c r="AD216" t="n">
        <v>0</v>
      </c>
      <c r="AE216" t="n">
        <v>196.5</v>
      </c>
      <c r="AF216" t="n">
        <v>0</v>
      </c>
      <c r="AG216" t="n">
        <v>0</v>
      </c>
      <c r="AH216" t="n">
        <v>0.2</v>
      </c>
      <c r="AI216" t="n">
        <v>9.83</v>
      </c>
      <c r="AJ216" t="n">
        <v>0</v>
      </c>
      <c r="AK216" t="n">
        <v>17.43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58.57</v>
      </c>
      <c r="AV216" t="n">
        <v>0</v>
      </c>
      <c r="AW216" t="n">
        <v>147.76</v>
      </c>
      <c r="AX216" t="inlineStr">
        <is>
          <t>settled</t>
        </is>
      </c>
      <c r="AY216" t="inlineStr">
        <is>
          <t>2025-12-10 05:30:00</t>
        </is>
      </c>
      <c r="AZ216" t="inlineStr">
        <is>
          <t>CITIN25668288188</t>
        </is>
      </c>
      <c r="BA216" t="n">
        <v>0</v>
      </c>
      <c r="BB216" t="inlineStr">
        <is>
          <t>671fdf4a45fc22d1a625523ac59d944e169cc7d1cb1812dace8df5b82eacc086</t>
        </is>
      </c>
    </row>
    <row r="217">
      <c r="A217" t="inlineStr">
        <is>
          <t>212</t>
        </is>
      </c>
      <c r="B217" t="inlineStr">
        <is>
          <t>7550151728</t>
        </is>
      </c>
      <c r="C217" t="inlineStr">
        <is>
          <t>2025-12-05 04:50:18</t>
        </is>
      </c>
      <c r="D217" t="inlineStr">
        <is>
          <t>49</t>
        </is>
      </c>
      <c r="E217" t="inlineStr">
        <is>
          <t>Sha Sha - Shandaar Shawarma</t>
        </is>
      </c>
      <c r="F217" t="inlineStr">
        <is>
          <t>18557902</t>
        </is>
      </c>
      <c r="G217" t="inlineStr">
        <is>
          <t>30% off upto ₹75 (2025-06-25 - 2031-01-01)</t>
        </is>
      </c>
      <c r="H217" t="inlineStr">
        <is>
          <t>ONLINE</t>
        </is>
      </c>
      <c r="I217" t="inlineStr">
        <is>
          <t>DELIVERED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O2</t>
        </is>
      </c>
      <c r="N217" t="inlineStr">
        <is>
          <t>36</t>
        </is>
      </c>
      <c r="O217" t="n">
        <v>397</v>
      </c>
      <c r="P217" t="n">
        <v>3.5</v>
      </c>
      <c r="Q217" t="n">
        <v>0</v>
      </c>
      <c r="R217" t="n">
        <v>75</v>
      </c>
      <c r="S217" t="n">
        <v>0</v>
      </c>
      <c r="T217" t="n">
        <v>0</v>
      </c>
      <c r="U217" t="n">
        <v>0</v>
      </c>
      <c r="V217" t="n">
        <v>16.28</v>
      </c>
      <c r="W217" t="n">
        <v>341.78</v>
      </c>
      <c r="X217" t="n">
        <v>325.5</v>
      </c>
      <c r="Y217" t="n">
        <v>19</v>
      </c>
      <c r="Z217" t="n">
        <v>61.84</v>
      </c>
      <c r="AA217" t="n">
        <v>6.29</v>
      </c>
      <c r="AB217" t="n">
        <v>68.13</v>
      </c>
      <c r="AC217" t="n">
        <v>12.26</v>
      </c>
      <c r="AD217" t="n">
        <v>0</v>
      </c>
      <c r="AE217" t="n">
        <v>325.5</v>
      </c>
      <c r="AF217" t="n">
        <v>0</v>
      </c>
      <c r="AG217" t="n">
        <v>0</v>
      </c>
      <c r="AH217" t="n">
        <v>0.33</v>
      </c>
      <c r="AI217" t="n">
        <v>16.28</v>
      </c>
      <c r="AJ217" t="n">
        <v>0</v>
      </c>
      <c r="AK217" t="n">
        <v>28.87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97</v>
      </c>
      <c r="AV217" t="n">
        <v>0</v>
      </c>
      <c r="AW217" t="n">
        <v>244.78</v>
      </c>
      <c r="AX217" t="inlineStr">
        <is>
          <t>settled</t>
        </is>
      </c>
      <c r="AY217" t="inlineStr">
        <is>
          <t>2025-12-10 05:30:00</t>
        </is>
      </c>
      <c r="AZ217" t="inlineStr">
        <is>
          <t>CITIN25668288188</t>
        </is>
      </c>
      <c r="BA217" t="n">
        <v>0</v>
      </c>
      <c r="BB217" t="inlineStr">
        <is>
          <t>81ca9831caa9c4567ba5a9f1dbf206ddc61222be4739565095a35fde5c2bee48</t>
        </is>
      </c>
    </row>
    <row r="218">
      <c r="A218" t="inlineStr">
        <is>
          <t>213</t>
        </is>
      </c>
      <c r="B218" t="inlineStr">
        <is>
          <t>7537491383</t>
        </is>
      </c>
      <c r="C218" t="inlineStr">
        <is>
          <t>2025-12-05 12:27:53</t>
        </is>
      </c>
      <c r="D218" t="inlineStr">
        <is>
          <t>49</t>
        </is>
      </c>
      <c r="E218" t="inlineStr">
        <is>
          <t>Sha Sha - Shandaar Shawarma</t>
        </is>
      </c>
      <c r="F218" t="inlineStr">
        <is>
          <t>18557902</t>
        </is>
      </c>
      <c r="G218" t="inlineStr">
        <is>
          <t>30% off upto ₹75 (2025-06-25 - 2031-01-01)</t>
        </is>
      </c>
      <c r="H218" t="inlineStr">
        <is>
          <t>ONLINE</t>
        </is>
      </c>
      <c r="I218" t="inlineStr">
        <is>
          <t>DELIVERED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O2</t>
        </is>
      </c>
      <c r="N218" t="inlineStr">
        <is>
          <t>36</t>
        </is>
      </c>
      <c r="O218" t="n">
        <v>438</v>
      </c>
      <c r="P218" t="n">
        <v>3.5</v>
      </c>
      <c r="Q218" t="n">
        <v>0</v>
      </c>
      <c r="R218" t="n">
        <v>75</v>
      </c>
      <c r="S218" t="n">
        <v>0</v>
      </c>
      <c r="T218" t="n">
        <v>0</v>
      </c>
      <c r="U218" t="n">
        <v>0</v>
      </c>
      <c r="V218" t="n">
        <v>18.33</v>
      </c>
      <c r="W218" t="n">
        <v>384.83</v>
      </c>
      <c r="X218" t="n">
        <v>366.5</v>
      </c>
      <c r="Y218" t="n">
        <v>19</v>
      </c>
      <c r="Z218" t="n">
        <v>69.64</v>
      </c>
      <c r="AA218" t="n">
        <v>7.08</v>
      </c>
      <c r="AB218" t="n">
        <v>76.72</v>
      </c>
      <c r="AC218" t="n">
        <v>13.81</v>
      </c>
      <c r="AD218" t="n">
        <v>0</v>
      </c>
      <c r="AE218" t="n">
        <v>366.5</v>
      </c>
      <c r="AF218" t="n">
        <v>0</v>
      </c>
      <c r="AG218" t="n">
        <v>0</v>
      </c>
      <c r="AH218" t="n">
        <v>0.37</v>
      </c>
      <c r="AI218" t="n">
        <v>18.33</v>
      </c>
      <c r="AJ218" t="n">
        <v>0</v>
      </c>
      <c r="AK218" t="n">
        <v>32.51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109.23</v>
      </c>
      <c r="AV218" t="n">
        <v>0</v>
      </c>
      <c r="AW218" t="n">
        <v>275.6</v>
      </c>
      <c r="AX218" t="inlineStr">
        <is>
          <t>settled</t>
        </is>
      </c>
      <c r="AY218" t="inlineStr">
        <is>
          <t>2025-12-10 05:30:00</t>
        </is>
      </c>
      <c r="AZ218" t="inlineStr">
        <is>
          <t>CITIN25668288188</t>
        </is>
      </c>
      <c r="BA218" t="n">
        <v>0</v>
      </c>
      <c r="BB218" t="inlineStr">
        <is>
          <t>73f28ee5a7f9d43ca7be4b82c01cb22447cfef3be7b6e41abee87b605e79aad8</t>
        </is>
      </c>
    </row>
    <row r="219">
      <c r="A219" t="inlineStr">
        <is>
          <t>214</t>
        </is>
      </c>
      <c r="B219" t="inlineStr">
        <is>
          <t>7536824288</t>
        </is>
      </c>
      <c r="C219" t="inlineStr">
        <is>
          <t>2025-12-05 13:38:09</t>
        </is>
      </c>
      <c r="D219" t="inlineStr">
        <is>
          <t>49</t>
        </is>
      </c>
      <c r="E219" t="inlineStr">
        <is>
          <t>Sha Sha - Shandaar Shawarma</t>
        </is>
      </c>
      <c r="F219" t="inlineStr">
        <is>
          <t>18557902</t>
        </is>
      </c>
      <c r="G219" t="inlineStr">
        <is>
          <t>30% off upto ₹75 (2025-06-25 - 2031-01-01)</t>
        </is>
      </c>
      <c r="H219" t="inlineStr">
        <is>
          <t>ONLINE</t>
        </is>
      </c>
      <c r="I219" t="inlineStr">
        <is>
          <t>DELIVERED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O2</t>
        </is>
      </c>
      <c r="N219" t="inlineStr">
        <is>
          <t>36</t>
        </is>
      </c>
      <c r="O219" t="n">
        <v>219</v>
      </c>
      <c r="P219" t="n">
        <v>3.5</v>
      </c>
      <c r="Q219" t="n">
        <v>0</v>
      </c>
      <c r="R219" t="n">
        <v>65.7</v>
      </c>
      <c r="S219" t="n">
        <v>0</v>
      </c>
      <c r="T219" t="n">
        <v>0</v>
      </c>
      <c r="U219" t="n">
        <v>0</v>
      </c>
      <c r="V219" t="n">
        <v>7.84</v>
      </c>
      <c r="W219" t="n">
        <v>164.64</v>
      </c>
      <c r="X219" t="n">
        <v>156.8</v>
      </c>
      <c r="Y219" t="n">
        <v>19</v>
      </c>
      <c r="Z219" t="n">
        <v>29.79</v>
      </c>
      <c r="AA219" t="n">
        <v>3.03</v>
      </c>
      <c r="AB219" t="n">
        <v>32.82</v>
      </c>
      <c r="AC219" t="n">
        <v>5.91</v>
      </c>
      <c r="AD219" t="n">
        <v>0</v>
      </c>
      <c r="AE219" t="n">
        <v>156.8</v>
      </c>
      <c r="AF219" t="n">
        <v>0</v>
      </c>
      <c r="AG219" t="n">
        <v>0</v>
      </c>
      <c r="AH219" t="n">
        <v>0.16</v>
      </c>
      <c r="AI219" t="n">
        <v>7.85</v>
      </c>
      <c r="AJ219" t="n">
        <v>-0.01</v>
      </c>
      <c r="AK219" t="n">
        <v>13.92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46.74</v>
      </c>
      <c r="AV219" t="n">
        <v>0</v>
      </c>
      <c r="AW219" t="n">
        <v>117.9</v>
      </c>
      <c r="AX219" t="inlineStr">
        <is>
          <t>settled</t>
        </is>
      </c>
      <c r="AY219" t="inlineStr">
        <is>
          <t>2025-12-10 05:30:00</t>
        </is>
      </c>
      <c r="AZ219" t="inlineStr">
        <is>
          <t>CITIN25668288188</t>
        </is>
      </c>
      <c r="BA219" t="n">
        <v>0</v>
      </c>
      <c r="BB219" t="inlineStr">
        <is>
          <t>778e040a7c4c669871799308293448e119c25475ecf85a5e899bc0f22a67d6bc</t>
        </is>
      </c>
    </row>
    <row r="220">
      <c r="A220" t="inlineStr">
        <is>
          <t>215</t>
        </is>
      </c>
      <c r="B220" t="inlineStr">
        <is>
          <t>7546897592</t>
        </is>
      </c>
      <c r="C220" t="inlineStr">
        <is>
          <t>2025-12-05 13:45:15</t>
        </is>
      </c>
      <c r="D220" t="inlineStr">
        <is>
          <t>49</t>
        </is>
      </c>
      <c r="E220" t="inlineStr">
        <is>
          <t>Sha Sha - Shandaar Shawarma</t>
        </is>
      </c>
      <c r="F220" t="inlineStr">
        <is>
          <t>18557902</t>
        </is>
      </c>
      <c r="G220" t="inlineStr">
        <is>
          <t>30% off upto ₹75 (2025-06-25 - 2031-01-01)</t>
        </is>
      </c>
      <c r="H220" t="inlineStr">
        <is>
          <t>ONLINE</t>
        </is>
      </c>
      <c r="I220" t="inlineStr">
        <is>
          <t>DELIVERED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O2</t>
        </is>
      </c>
      <c r="N220" t="inlineStr">
        <is>
          <t>36</t>
        </is>
      </c>
      <c r="O220" t="n">
        <v>677</v>
      </c>
      <c r="P220" t="n">
        <v>3.5</v>
      </c>
      <c r="Q220" t="n">
        <v>0</v>
      </c>
      <c r="R220" t="n">
        <v>75</v>
      </c>
      <c r="S220" t="n">
        <v>0</v>
      </c>
      <c r="T220" t="n">
        <v>0</v>
      </c>
      <c r="U220" t="n">
        <v>0</v>
      </c>
      <c r="V220" t="n">
        <v>30.28</v>
      </c>
      <c r="W220" t="n">
        <v>635.78</v>
      </c>
      <c r="X220" t="n">
        <v>605.5</v>
      </c>
      <c r="Y220" t="n">
        <v>19</v>
      </c>
      <c r="Z220" t="n">
        <v>115.04</v>
      </c>
      <c r="AA220" t="n">
        <v>11.7</v>
      </c>
      <c r="AB220" t="n">
        <v>126.74</v>
      </c>
      <c r="AC220" t="n">
        <v>22.82</v>
      </c>
      <c r="AD220" t="n">
        <v>0</v>
      </c>
      <c r="AE220" t="n">
        <v>605.5</v>
      </c>
      <c r="AF220" t="n">
        <v>0</v>
      </c>
      <c r="AG220" t="n">
        <v>0</v>
      </c>
      <c r="AH220" t="n">
        <v>0.61</v>
      </c>
      <c r="AI220" t="n">
        <v>30.28</v>
      </c>
      <c r="AJ220" t="n">
        <v>0</v>
      </c>
      <c r="AK220" t="n">
        <v>53.71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180.45</v>
      </c>
      <c r="AV220" t="n">
        <v>0</v>
      </c>
      <c r="AW220" t="n">
        <v>455.33</v>
      </c>
      <c r="AX220" t="inlineStr">
        <is>
          <t>settled</t>
        </is>
      </c>
      <c r="AY220" t="inlineStr">
        <is>
          <t>2025-12-10 05:30:00</t>
        </is>
      </c>
      <c r="AZ220" t="inlineStr">
        <is>
          <t>CITIN25668288188</t>
        </is>
      </c>
      <c r="BA220" t="n">
        <v>0</v>
      </c>
      <c r="BB220" t="inlineStr">
        <is>
          <t>eb93e9b58221cfe1c2400e0a52cf1bbd0279c99dac63ae536012ee7aeca59cdf</t>
        </is>
      </c>
    </row>
    <row r="221">
      <c r="A221" t="inlineStr">
        <is>
          <t>216</t>
        </is>
      </c>
      <c r="B221" t="inlineStr">
        <is>
          <t>7549528732</t>
        </is>
      </c>
      <c r="C221" t="inlineStr">
        <is>
          <t>2025-12-05 13:58:18</t>
        </is>
      </c>
      <c r="D221" t="inlineStr">
        <is>
          <t>49</t>
        </is>
      </c>
      <c r="E221" t="inlineStr">
        <is>
          <t>Sha Sha - Shandaar Shawarma</t>
        </is>
      </c>
      <c r="F221" t="inlineStr">
        <is>
          <t>18557902</t>
        </is>
      </c>
      <c r="G221" t="inlineStr">
        <is>
          <t>NA</t>
        </is>
      </c>
      <c r="H221" t="inlineStr">
        <is>
          <t>ONLINE</t>
        </is>
      </c>
      <c r="I221" t="inlineStr">
        <is>
          <t>DELIVERED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O2</t>
        </is>
      </c>
      <c r="N221" t="inlineStr">
        <is>
          <t>36</t>
        </is>
      </c>
      <c r="O221" t="n">
        <v>389</v>
      </c>
      <c r="P221" t="n">
        <v>3.5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19.63</v>
      </c>
      <c r="W221" t="n">
        <v>412.13</v>
      </c>
      <c r="X221" t="n">
        <v>392.5</v>
      </c>
      <c r="Y221" t="n">
        <v>19</v>
      </c>
      <c r="Z221" t="n">
        <v>74.58</v>
      </c>
      <c r="AA221" t="n">
        <v>7.58</v>
      </c>
      <c r="AB221" t="n">
        <v>82.16</v>
      </c>
      <c r="AC221" t="n">
        <v>14.78</v>
      </c>
      <c r="AD221" t="n">
        <v>0</v>
      </c>
      <c r="AE221" t="n">
        <v>392.5</v>
      </c>
      <c r="AF221" t="n">
        <v>0</v>
      </c>
      <c r="AG221" t="n">
        <v>0</v>
      </c>
      <c r="AH221" t="n">
        <v>0.39</v>
      </c>
      <c r="AI221" t="n">
        <v>19.63</v>
      </c>
      <c r="AJ221" t="n">
        <v>0</v>
      </c>
      <c r="AK221" t="n">
        <v>34.8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116.96</v>
      </c>
      <c r="AV221" t="n">
        <v>0</v>
      </c>
      <c r="AW221" t="n">
        <v>295.17</v>
      </c>
      <c r="AX221" t="inlineStr">
        <is>
          <t>settled</t>
        </is>
      </c>
      <c r="AY221" t="inlineStr">
        <is>
          <t>2025-12-10 05:30:00</t>
        </is>
      </c>
      <c r="AZ221" t="inlineStr">
        <is>
          <t>CITIN25668288188</t>
        </is>
      </c>
      <c r="BA221" t="n">
        <v>0</v>
      </c>
      <c r="BB221" t="inlineStr">
        <is>
          <t>ec3a9dc73b9154f3e577804ba002f6806eb43426a54477d1b8c8ad020736becc</t>
        </is>
      </c>
    </row>
    <row r="222">
      <c r="A222" t="inlineStr">
        <is>
          <t>217</t>
        </is>
      </c>
      <c r="B222" t="inlineStr">
        <is>
          <t>7549313133</t>
        </is>
      </c>
      <c r="C222" t="inlineStr">
        <is>
          <t>2025-12-05 14:51:16</t>
        </is>
      </c>
      <c r="D222" t="inlineStr">
        <is>
          <t>49</t>
        </is>
      </c>
      <c r="E222" t="inlineStr">
        <is>
          <t>Sha Sha - Shandaar Shawarma</t>
        </is>
      </c>
      <c r="F222" t="inlineStr">
        <is>
          <t>18557902</t>
        </is>
      </c>
      <c r="G222" t="inlineStr">
        <is>
          <t>30% off upto ₹75 (2025-06-25 - 2031-01-01)</t>
        </is>
      </c>
      <c r="H222" t="inlineStr">
        <is>
          <t>ONLINE</t>
        </is>
      </c>
      <c r="I222" t="inlineStr">
        <is>
          <t>DELIVERED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O2</t>
        </is>
      </c>
      <c r="N222" t="inlineStr">
        <is>
          <t>36</t>
        </is>
      </c>
      <c r="O222" t="n">
        <v>219</v>
      </c>
      <c r="P222" t="n">
        <v>3.5</v>
      </c>
      <c r="Q222" t="n">
        <v>0</v>
      </c>
      <c r="R222" t="n">
        <v>65.7</v>
      </c>
      <c r="S222" t="n">
        <v>0</v>
      </c>
      <c r="T222" t="n">
        <v>0</v>
      </c>
      <c r="U222" t="n">
        <v>0</v>
      </c>
      <c r="V222" t="n">
        <v>7.84</v>
      </c>
      <c r="W222" t="n">
        <v>164.64</v>
      </c>
      <c r="X222" t="n">
        <v>156.8</v>
      </c>
      <c r="Y222" t="n">
        <v>19</v>
      </c>
      <c r="Z222" t="n">
        <v>29.79</v>
      </c>
      <c r="AA222" t="n">
        <v>3.03</v>
      </c>
      <c r="AB222" t="n">
        <v>32.82</v>
      </c>
      <c r="AC222" t="n">
        <v>5.91</v>
      </c>
      <c r="AD222" t="n">
        <v>0</v>
      </c>
      <c r="AE222" t="n">
        <v>156.8</v>
      </c>
      <c r="AF222" t="n">
        <v>0</v>
      </c>
      <c r="AG222" t="n">
        <v>0</v>
      </c>
      <c r="AH222" t="n">
        <v>0.16</v>
      </c>
      <c r="AI222" t="n">
        <v>7.85</v>
      </c>
      <c r="AJ222" t="n">
        <v>-0.01</v>
      </c>
      <c r="AK222" t="n">
        <v>13.92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46.74</v>
      </c>
      <c r="AV222" t="n">
        <v>0</v>
      </c>
      <c r="AW222" t="n">
        <v>117.9</v>
      </c>
      <c r="AX222" t="inlineStr">
        <is>
          <t>settled</t>
        </is>
      </c>
      <c r="AY222" t="inlineStr">
        <is>
          <t>2025-12-10 05:30:00</t>
        </is>
      </c>
      <c r="AZ222" t="inlineStr">
        <is>
          <t>CITIN25668288188</t>
        </is>
      </c>
      <c r="BA222" t="n">
        <v>0</v>
      </c>
      <c r="BB222" t="inlineStr">
        <is>
          <t>1e138c014195ee48f9d833ff61fcdfaf1b8a4e04ec197781987025fc83cb42c3</t>
        </is>
      </c>
    </row>
    <row r="223">
      <c r="A223" t="inlineStr">
        <is>
          <t>218</t>
        </is>
      </c>
      <c r="B223" t="inlineStr">
        <is>
          <t>7535615427</t>
        </is>
      </c>
      <c r="C223" t="inlineStr">
        <is>
          <t>2025-12-05 15:04:54</t>
        </is>
      </c>
      <c r="D223" t="inlineStr">
        <is>
          <t>49</t>
        </is>
      </c>
      <c r="E223" t="inlineStr">
        <is>
          <t>Sha Sha - Shandaar Shawarma</t>
        </is>
      </c>
      <c r="F223" t="inlineStr">
        <is>
          <t>18557902</t>
        </is>
      </c>
      <c r="G223" t="inlineStr">
        <is>
          <t>NA</t>
        </is>
      </c>
      <c r="H223" t="inlineStr">
        <is>
          <t>ONLINE</t>
        </is>
      </c>
      <c r="I223" t="inlineStr">
        <is>
          <t>DELIVERED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O2</t>
        </is>
      </c>
      <c r="N223" t="inlineStr">
        <is>
          <t>36</t>
        </is>
      </c>
      <c r="O223" t="n">
        <v>229</v>
      </c>
      <c r="P223" t="n">
        <v>3.5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11.63</v>
      </c>
      <c r="W223" t="n">
        <v>244.13</v>
      </c>
      <c r="X223" t="n">
        <v>232.5</v>
      </c>
      <c r="Y223" t="n">
        <v>19</v>
      </c>
      <c r="Z223" t="n">
        <v>44.18</v>
      </c>
      <c r="AA223" t="n">
        <v>4.49</v>
      </c>
      <c r="AB223" t="n">
        <v>48.67</v>
      </c>
      <c r="AC223" t="n">
        <v>8.76</v>
      </c>
      <c r="AD223" t="n">
        <v>0</v>
      </c>
      <c r="AE223" t="n">
        <v>232.5</v>
      </c>
      <c r="AF223" t="n">
        <v>0</v>
      </c>
      <c r="AG223" t="n">
        <v>0</v>
      </c>
      <c r="AH223" t="n">
        <v>0.23</v>
      </c>
      <c r="AI223" t="n">
        <v>11.63</v>
      </c>
      <c r="AJ223" t="n">
        <v>0</v>
      </c>
      <c r="AK223" t="n">
        <v>20.62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69.29000000000001</v>
      </c>
      <c r="AV223" t="n">
        <v>0</v>
      </c>
      <c r="AW223" t="n">
        <v>174.84</v>
      </c>
      <c r="AX223" t="inlineStr">
        <is>
          <t>settled</t>
        </is>
      </c>
      <c r="AY223" t="inlineStr">
        <is>
          <t>2025-12-10 05:30:00</t>
        </is>
      </c>
      <c r="AZ223" t="inlineStr">
        <is>
          <t>CITIN25668288188</t>
        </is>
      </c>
      <c r="BA223" t="n">
        <v>0</v>
      </c>
      <c r="BB223" t="inlineStr">
        <is>
          <t>1fa2152e58733242954c08a9c3415a6a4ae6345393b1e3897b03192918068a66</t>
        </is>
      </c>
    </row>
    <row r="224">
      <c r="A224" t="inlineStr">
        <is>
          <t>219</t>
        </is>
      </c>
      <c r="B224" t="inlineStr">
        <is>
          <t>7538347877</t>
        </is>
      </c>
      <c r="C224" t="inlineStr">
        <is>
          <t>2025-12-05 15:41:57</t>
        </is>
      </c>
      <c r="D224" t="inlineStr">
        <is>
          <t>49</t>
        </is>
      </c>
      <c r="E224" t="inlineStr">
        <is>
          <t>Sha Sha - Shandaar Shawarma</t>
        </is>
      </c>
      <c r="F224" t="inlineStr">
        <is>
          <t>18557902</t>
        </is>
      </c>
      <c r="G224" t="inlineStr">
        <is>
          <t>NA</t>
        </is>
      </c>
      <c r="H224" t="inlineStr">
        <is>
          <t>ONLINE</t>
        </is>
      </c>
      <c r="I224" t="inlineStr">
        <is>
          <t>DELIVERED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O2</t>
        </is>
      </c>
      <c r="N224" t="inlineStr">
        <is>
          <t>36</t>
        </is>
      </c>
      <c r="O224" t="n">
        <v>448</v>
      </c>
      <c r="P224" t="n">
        <v>3.5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22.58</v>
      </c>
      <c r="W224" t="n">
        <v>474.08</v>
      </c>
      <c r="X224" t="n">
        <v>451.5</v>
      </c>
      <c r="Y224" t="n">
        <v>19</v>
      </c>
      <c r="Z224" t="n">
        <v>85.78</v>
      </c>
      <c r="AA224" t="n">
        <v>8.720000000000001</v>
      </c>
      <c r="AB224" t="n">
        <v>94.5</v>
      </c>
      <c r="AC224" t="n">
        <v>17.01</v>
      </c>
      <c r="AD224" t="n">
        <v>0</v>
      </c>
      <c r="AE224" t="n">
        <v>451.5</v>
      </c>
      <c r="AF224" t="n">
        <v>0</v>
      </c>
      <c r="AG224" t="n">
        <v>0</v>
      </c>
      <c r="AH224" t="n">
        <v>0.45</v>
      </c>
      <c r="AI224" t="n">
        <v>22.58</v>
      </c>
      <c r="AJ224" t="n">
        <v>0</v>
      </c>
      <c r="AK224" t="n">
        <v>40.04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134.54</v>
      </c>
      <c r="AV224" t="n">
        <v>0</v>
      </c>
      <c r="AW224" t="n">
        <v>339.54</v>
      </c>
      <c r="AX224" t="inlineStr">
        <is>
          <t>settled</t>
        </is>
      </c>
      <c r="AY224" t="inlineStr">
        <is>
          <t>2025-12-10 05:30:00</t>
        </is>
      </c>
      <c r="AZ224" t="inlineStr">
        <is>
          <t>CITIN25668288188</t>
        </is>
      </c>
      <c r="BA224" t="n">
        <v>0</v>
      </c>
      <c r="BB224" t="inlineStr">
        <is>
          <t>cf0c95a4e2901dee727ac5d0fa4e14565ed53161e65642ee5f8f1aead2903e53</t>
        </is>
      </c>
    </row>
    <row r="225">
      <c r="A225" t="inlineStr">
        <is>
          <t>220</t>
        </is>
      </c>
      <c r="B225" t="inlineStr">
        <is>
          <t>7550975649</t>
        </is>
      </c>
      <c r="C225" t="inlineStr">
        <is>
          <t>2025-12-05 15:46:17</t>
        </is>
      </c>
      <c r="D225" t="inlineStr">
        <is>
          <t>49</t>
        </is>
      </c>
      <c r="E225" t="inlineStr">
        <is>
          <t>Sha Sha - Shandaar Shawarma</t>
        </is>
      </c>
      <c r="F225" t="inlineStr">
        <is>
          <t>18557902</t>
        </is>
      </c>
      <c r="G225" t="inlineStr">
        <is>
          <t>NA</t>
        </is>
      </c>
      <c r="H225" t="inlineStr">
        <is>
          <t>ONLINE</t>
        </is>
      </c>
      <c r="I225" t="inlineStr">
        <is>
          <t>DELIVERED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O2</t>
        </is>
      </c>
      <c r="N225" t="inlineStr">
        <is>
          <t>36</t>
        </is>
      </c>
      <c r="O225" t="n">
        <v>687</v>
      </c>
      <c r="P225" t="n">
        <v>3.5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34.53</v>
      </c>
      <c r="W225" t="n">
        <v>725.03</v>
      </c>
      <c r="X225" t="n">
        <v>690.5</v>
      </c>
      <c r="Y225" t="n">
        <v>19</v>
      </c>
      <c r="Z225" t="n">
        <v>131.2</v>
      </c>
      <c r="AA225" t="n">
        <v>13.34</v>
      </c>
      <c r="AB225" t="n">
        <v>144.54</v>
      </c>
      <c r="AC225" t="n">
        <v>26.02</v>
      </c>
      <c r="AD225" t="n">
        <v>0</v>
      </c>
      <c r="AE225" t="n">
        <v>690.5</v>
      </c>
      <c r="AF225" t="n">
        <v>0</v>
      </c>
      <c r="AG225" t="n">
        <v>0</v>
      </c>
      <c r="AH225" t="n">
        <v>0.6899999999999999</v>
      </c>
      <c r="AI225" t="n">
        <v>34.53</v>
      </c>
      <c r="AJ225" t="n">
        <v>0</v>
      </c>
      <c r="AK225" t="n">
        <v>61.24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205.78</v>
      </c>
      <c r="AV225" t="n">
        <v>0</v>
      </c>
      <c r="AW225" t="n">
        <v>519.25</v>
      </c>
      <c r="AX225" t="inlineStr">
        <is>
          <t>settled</t>
        </is>
      </c>
      <c r="AY225" t="inlineStr">
        <is>
          <t>2025-12-10 05:30:00</t>
        </is>
      </c>
      <c r="AZ225" t="inlineStr">
        <is>
          <t>CITIN25668288188</t>
        </is>
      </c>
      <c r="BA225" t="n">
        <v>0</v>
      </c>
      <c r="BB225" t="inlineStr">
        <is>
          <t>9f9488beec18096a582a1dac3f1ea5e20a12e420ec46fabcdd468923642d7206</t>
        </is>
      </c>
    </row>
    <row r="226">
      <c r="A226" t="inlineStr">
        <is>
          <t>221</t>
        </is>
      </c>
      <c r="B226" t="inlineStr">
        <is>
          <t>7543171127</t>
        </is>
      </c>
      <c r="C226" t="inlineStr">
        <is>
          <t>2025-12-05 17:05:20</t>
        </is>
      </c>
      <c r="D226" t="inlineStr">
        <is>
          <t>49</t>
        </is>
      </c>
      <c r="E226" t="inlineStr">
        <is>
          <t>Sha Sha - Shandaar Shawarma</t>
        </is>
      </c>
      <c r="F226" t="inlineStr">
        <is>
          <t>18557902</t>
        </is>
      </c>
      <c r="G226" t="inlineStr">
        <is>
          <t>NA</t>
        </is>
      </c>
      <c r="H226" t="inlineStr">
        <is>
          <t>ONLINE</t>
        </is>
      </c>
      <c r="I226" t="inlineStr">
        <is>
          <t>DELIVERED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O2</t>
        </is>
      </c>
      <c r="N226" t="inlineStr">
        <is>
          <t>36</t>
        </is>
      </c>
      <c r="O226" t="n">
        <v>1434</v>
      </c>
      <c r="P226" t="n">
        <v>3.5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71.88</v>
      </c>
      <c r="W226" t="n">
        <v>1509.38</v>
      </c>
      <c r="X226" t="n">
        <v>1437.5</v>
      </c>
      <c r="Y226" t="n">
        <v>19</v>
      </c>
      <c r="Z226" t="n">
        <v>273.12</v>
      </c>
      <c r="AA226" t="n">
        <v>27.77</v>
      </c>
      <c r="AB226" t="n">
        <v>300.89</v>
      </c>
      <c r="AC226" t="n">
        <v>54.16</v>
      </c>
      <c r="AD226" t="n">
        <v>0</v>
      </c>
      <c r="AE226" t="n">
        <v>1437.5</v>
      </c>
      <c r="AF226" t="n">
        <v>0</v>
      </c>
      <c r="AG226" t="n">
        <v>0</v>
      </c>
      <c r="AH226" t="n">
        <v>1.44</v>
      </c>
      <c r="AI226" t="n">
        <v>71.88</v>
      </c>
      <c r="AJ226" t="n">
        <v>0</v>
      </c>
      <c r="AK226" t="n">
        <v>127.48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428.37</v>
      </c>
      <c r="AV226" t="n">
        <v>0</v>
      </c>
      <c r="AW226" t="n">
        <v>1081.01</v>
      </c>
      <c r="AX226" t="inlineStr">
        <is>
          <t>settled</t>
        </is>
      </c>
      <c r="AY226" t="inlineStr">
        <is>
          <t>2025-12-10 05:30:00</t>
        </is>
      </c>
      <c r="AZ226" t="inlineStr">
        <is>
          <t>CITIN25668288188</t>
        </is>
      </c>
      <c r="BA226" t="n">
        <v>0</v>
      </c>
      <c r="BB226" t="inlineStr">
        <is>
          <t>87b98301065cb723a557c066126f4e03c5cda66977abb388b5591b16c7f09766</t>
        </is>
      </c>
    </row>
    <row r="227">
      <c r="A227" t="inlineStr">
        <is>
          <t>222</t>
        </is>
      </c>
      <c r="B227" t="inlineStr">
        <is>
          <t>7551572323</t>
        </is>
      </c>
      <c r="C227" t="inlineStr">
        <is>
          <t>2025-12-05 17:31:30</t>
        </is>
      </c>
      <c r="D227" t="inlineStr">
        <is>
          <t>49</t>
        </is>
      </c>
      <c r="E227" t="inlineStr">
        <is>
          <t>Sha Sha - Shandaar Shawarma</t>
        </is>
      </c>
      <c r="F227" t="inlineStr">
        <is>
          <t>18557902</t>
        </is>
      </c>
      <c r="G227" t="inlineStr">
        <is>
          <t>30% off upto ₹75 (2025-06-25 - 2031-01-01)</t>
        </is>
      </c>
      <c r="H227" t="inlineStr">
        <is>
          <t>ONLINE</t>
        </is>
      </c>
      <c r="I227" t="inlineStr">
        <is>
          <t>DELIVERED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O2</t>
        </is>
      </c>
      <c r="N227" t="inlineStr">
        <is>
          <t>36</t>
        </is>
      </c>
      <c r="O227" t="n">
        <v>438</v>
      </c>
      <c r="P227" t="n">
        <v>3.5</v>
      </c>
      <c r="Q227" t="n">
        <v>0</v>
      </c>
      <c r="R227" t="n">
        <v>75</v>
      </c>
      <c r="S227" t="n">
        <v>0</v>
      </c>
      <c r="T227" t="n">
        <v>0</v>
      </c>
      <c r="U227" t="n">
        <v>0</v>
      </c>
      <c r="V227" t="n">
        <v>18.33</v>
      </c>
      <c r="W227" t="n">
        <v>384.83</v>
      </c>
      <c r="X227" t="n">
        <v>366.5</v>
      </c>
      <c r="Y227" t="n">
        <v>19</v>
      </c>
      <c r="Z227" t="n">
        <v>69.64</v>
      </c>
      <c r="AA227" t="n">
        <v>7.08</v>
      </c>
      <c r="AB227" t="n">
        <v>76.72</v>
      </c>
      <c r="AC227" t="n">
        <v>13.81</v>
      </c>
      <c r="AD227" t="n">
        <v>0</v>
      </c>
      <c r="AE227" t="n">
        <v>366.5</v>
      </c>
      <c r="AF227" t="n">
        <v>0</v>
      </c>
      <c r="AG227" t="n">
        <v>0</v>
      </c>
      <c r="AH227" t="n">
        <v>0.37</v>
      </c>
      <c r="AI227" t="n">
        <v>18.33</v>
      </c>
      <c r="AJ227" t="n">
        <v>0</v>
      </c>
      <c r="AK227" t="n">
        <v>32.51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109.23</v>
      </c>
      <c r="AV227" t="n">
        <v>0</v>
      </c>
      <c r="AW227" t="n">
        <v>275.6</v>
      </c>
      <c r="AX227" t="inlineStr">
        <is>
          <t>settled</t>
        </is>
      </c>
      <c r="AY227" t="inlineStr">
        <is>
          <t>2025-12-10 05:30:00</t>
        </is>
      </c>
      <c r="AZ227" t="inlineStr">
        <is>
          <t>CITIN25668288188</t>
        </is>
      </c>
      <c r="BA227" t="n">
        <v>0</v>
      </c>
      <c r="BB227" t="inlineStr">
        <is>
          <t>4491e78cde30a6fe039002445714172a09ddf6651aa8139823b0c9cfa5d9950b</t>
        </is>
      </c>
    </row>
    <row r="228">
      <c r="A228" t="inlineStr">
        <is>
          <t>223</t>
        </is>
      </c>
      <c r="B228" t="inlineStr">
        <is>
          <t>7546703113</t>
        </is>
      </c>
      <c r="C228" t="inlineStr">
        <is>
          <t>2025-12-05 18:25:31</t>
        </is>
      </c>
      <c r="D228" t="inlineStr">
        <is>
          <t>49</t>
        </is>
      </c>
      <c r="E228" t="inlineStr">
        <is>
          <t>Sha Sha - Shandaar Shawarma</t>
        </is>
      </c>
      <c r="F228" t="inlineStr">
        <is>
          <t>18557902</t>
        </is>
      </c>
      <c r="G228" t="inlineStr">
        <is>
          <t>30% off upto ₹75 (2025-06-25 - 2031-01-01)</t>
        </is>
      </c>
      <c r="H228" t="inlineStr">
        <is>
          <t>ONLINE</t>
        </is>
      </c>
      <c r="I228" t="inlineStr">
        <is>
          <t>DELIVERED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O2</t>
        </is>
      </c>
      <c r="N228" t="inlineStr">
        <is>
          <t>36</t>
        </is>
      </c>
      <c r="O228" t="n">
        <v>438</v>
      </c>
      <c r="P228" t="n">
        <v>3.5</v>
      </c>
      <c r="Q228" t="n">
        <v>0</v>
      </c>
      <c r="R228" t="n">
        <v>75</v>
      </c>
      <c r="S228" t="n">
        <v>0</v>
      </c>
      <c r="T228" t="n">
        <v>0</v>
      </c>
      <c r="U228" t="n">
        <v>0</v>
      </c>
      <c r="V228" t="n">
        <v>18.33</v>
      </c>
      <c r="W228" t="n">
        <v>384.83</v>
      </c>
      <c r="X228" t="n">
        <v>366.5</v>
      </c>
      <c r="Y228" t="n">
        <v>19</v>
      </c>
      <c r="Z228" t="n">
        <v>69.64</v>
      </c>
      <c r="AA228" t="n">
        <v>7.08</v>
      </c>
      <c r="AB228" t="n">
        <v>76.72</v>
      </c>
      <c r="AC228" t="n">
        <v>13.81</v>
      </c>
      <c r="AD228" t="n">
        <v>0</v>
      </c>
      <c r="AE228" t="n">
        <v>366.5</v>
      </c>
      <c r="AF228" t="n">
        <v>0</v>
      </c>
      <c r="AG228" t="n">
        <v>0</v>
      </c>
      <c r="AH228" t="n">
        <v>0.37</v>
      </c>
      <c r="AI228" t="n">
        <v>18.33</v>
      </c>
      <c r="AJ228" t="n">
        <v>0</v>
      </c>
      <c r="AK228" t="n">
        <v>32.51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109.23</v>
      </c>
      <c r="AV228" t="n">
        <v>0</v>
      </c>
      <c r="AW228" t="n">
        <v>275.6</v>
      </c>
      <c r="AX228" t="inlineStr">
        <is>
          <t>settled</t>
        </is>
      </c>
      <c r="AY228" t="inlineStr">
        <is>
          <t>2025-12-10 05:30:00</t>
        </is>
      </c>
      <c r="AZ228" t="inlineStr">
        <is>
          <t>CITIN25668288188</t>
        </is>
      </c>
      <c r="BA228" t="n">
        <v>0</v>
      </c>
      <c r="BB228" t="inlineStr">
        <is>
          <t>7313f8f8f0b2635d81358d184c9fb74ae735c3ed7ba5f7fa561a16ba38e8e893</t>
        </is>
      </c>
    </row>
    <row r="229">
      <c r="A229" t="inlineStr">
        <is>
          <t>224</t>
        </is>
      </c>
      <c r="B229" t="inlineStr">
        <is>
          <t>7547429627</t>
        </is>
      </c>
      <c r="C229" t="inlineStr">
        <is>
          <t>2025-12-05 18:30:15</t>
        </is>
      </c>
      <c r="D229" t="inlineStr">
        <is>
          <t>49</t>
        </is>
      </c>
      <c r="E229" t="inlineStr">
        <is>
          <t>Sha Sha - Shandaar Shawarma</t>
        </is>
      </c>
      <c r="F229" t="inlineStr">
        <is>
          <t>18557902</t>
        </is>
      </c>
      <c r="G229" t="inlineStr">
        <is>
          <t>30% off upto ₹75 (2025-06-25 - 2031-01-01)</t>
        </is>
      </c>
      <c r="H229" t="inlineStr">
        <is>
          <t>ONLINE</t>
        </is>
      </c>
      <c r="I229" t="inlineStr">
        <is>
          <t>DELIVERED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O2</t>
        </is>
      </c>
      <c r="N229" t="inlineStr">
        <is>
          <t>36</t>
        </is>
      </c>
      <c r="O229" t="n">
        <v>458</v>
      </c>
      <c r="P229" t="n">
        <v>3.5</v>
      </c>
      <c r="Q229" t="n">
        <v>0</v>
      </c>
      <c r="R229" t="n">
        <v>75</v>
      </c>
      <c r="S229" t="n">
        <v>0</v>
      </c>
      <c r="T229" t="n">
        <v>0</v>
      </c>
      <c r="U229" t="n">
        <v>0</v>
      </c>
      <c r="V229" t="n">
        <v>19.33</v>
      </c>
      <c r="W229" t="n">
        <v>405.83</v>
      </c>
      <c r="X229" t="n">
        <v>386.5</v>
      </c>
      <c r="Y229" t="n">
        <v>19</v>
      </c>
      <c r="Z229" t="n">
        <v>73.44</v>
      </c>
      <c r="AA229" t="n">
        <v>7.47</v>
      </c>
      <c r="AB229" t="n">
        <v>80.91</v>
      </c>
      <c r="AC229" t="n">
        <v>14.56</v>
      </c>
      <c r="AD229" t="n">
        <v>0</v>
      </c>
      <c r="AE229" t="n">
        <v>386.5</v>
      </c>
      <c r="AF229" t="n">
        <v>0</v>
      </c>
      <c r="AG229" t="n">
        <v>0</v>
      </c>
      <c r="AH229" t="n">
        <v>0.39</v>
      </c>
      <c r="AI229" t="n">
        <v>19.33</v>
      </c>
      <c r="AJ229" t="n">
        <v>0</v>
      </c>
      <c r="AK229" t="n">
        <v>34.28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115.19</v>
      </c>
      <c r="AV229" t="n">
        <v>0</v>
      </c>
      <c r="AW229" t="n">
        <v>290.64</v>
      </c>
      <c r="AX229" t="inlineStr">
        <is>
          <t>settled</t>
        </is>
      </c>
      <c r="AY229" t="inlineStr">
        <is>
          <t>2025-12-10 05:30:00</t>
        </is>
      </c>
      <c r="AZ229" t="inlineStr">
        <is>
          <t>CITIN25668288188</t>
        </is>
      </c>
      <c r="BA229" t="n">
        <v>0</v>
      </c>
      <c r="BB229" t="inlineStr">
        <is>
          <t>a23ff92a8d554eac581ec8b4fbe7cbc6f5aa6cd043aa6950185962b68cf6c930</t>
        </is>
      </c>
    </row>
    <row r="230">
      <c r="A230" t="inlineStr">
        <is>
          <t>225</t>
        </is>
      </c>
      <c r="B230" t="inlineStr">
        <is>
          <t>7545604469</t>
        </is>
      </c>
      <c r="C230" t="inlineStr">
        <is>
          <t>2025-12-05 18:32:50</t>
        </is>
      </c>
      <c r="D230" t="inlineStr">
        <is>
          <t>49</t>
        </is>
      </c>
      <c r="E230" t="inlineStr">
        <is>
          <t>Sha Sha - Shandaar Shawarma</t>
        </is>
      </c>
      <c r="F230" t="inlineStr">
        <is>
          <t>18557902</t>
        </is>
      </c>
      <c r="G230" t="inlineStr">
        <is>
          <t>NA</t>
        </is>
      </c>
      <c r="H230" t="inlineStr">
        <is>
          <t>ONLINE</t>
        </is>
      </c>
      <c r="I230" t="inlineStr">
        <is>
          <t>DELIVERED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O2</t>
        </is>
      </c>
      <c r="N230" t="inlineStr">
        <is>
          <t>36</t>
        </is>
      </c>
      <c r="O230" t="n">
        <v>229</v>
      </c>
      <c r="P230" t="n">
        <v>3.5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11.63</v>
      </c>
      <c r="W230" t="n">
        <v>244.13</v>
      </c>
      <c r="X230" t="n">
        <v>232.5</v>
      </c>
      <c r="Y230" t="n">
        <v>19</v>
      </c>
      <c r="Z230" t="n">
        <v>44.18</v>
      </c>
      <c r="AA230" t="n">
        <v>4.49</v>
      </c>
      <c r="AB230" t="n">
        <v>48.67</v>
      </c>
      <c r="AC230" t="n">
        <v>8.76</v>
      </c>
      <c r="AD230" t="n">
        <v>0</v>
      </c>
      <c r="AE230" t="n">
        <v>232.5</v>
      </c>
      <c r="AF230" t="n">
        <v>0</v>
      </c>
      <c r="AG230" t="n">
        <v>0</v>
      </c>
      <c r="AH230" t="n">
        <v>0.23</v>
      </c>
      <c r="AI230" t="n">
        <v>11.63</v>
      </c>
      <c r="AJ230" t="n">
        <v>0</v>
      </c>
      <c r="AK230" t="n">
        <v>20.62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69.29000000000001</v>
      </c>
      <c r="AV230" t="n">
        <v>0</v>
      </c>
      <c r="AW230" t="n">
        <v>174.84</v>
      </c>
      <c r="AX230" t="inlineStr">
        <is>
          <t>settled</t>
        </is>
      </c>
      <c r="AY230" t="inlineStr">
        <is>
          <t>2025-12-10 05:30:00</t>
        </is>
      </c>
      <c r="AZ230" t="inlineStr">
        <is>
          <t>CITIN25668288188</t>
        </is>
      </c>
      <c r="BA230" t="n">
        <v>0</v>
      </c>
      <c r="BB230" t="inlineStr">
        <is>
          <t>85c429d96e1263cec7c9bb67fd222eb538edb689ca542ad1266468d641aa6153</t>
        </is>
      </c>
    </row>
    <row r="231">
      <c r="A231" t="inlineStr">
        <is>
          <t>226</t>
        </is>
      </c>
      <c r="B231" t="inlineStr">
        <is>
          <t>7546299927</t>
        </is>
      </c>
      <c r="C231" t="inlineStr">
        <is>
          <t>2025-12-05 18:43:57</t>
        </is>
      </c>
      <c r="D231" t="inlineStr">
        <is>
          <t>49</t>
        </is>
      </c>
      <c r="E231" t="inlineStr">
        <is>
          <t>Sha Sha - Shandaar Shawarma</t>
        </is>
      </c>
      <c r="F231" t="inlineStr">
        <is>
          <t>18557902</t>
        </is>
      </c>
      <c r="G231" t="inlineStr">
        <is>
          <t>30% off upto ₹75 (2025-06-25 - 2031-01-01)</t>
        </is>
      </c>
      <c r="H231" t="inlineStr">
        <is>
          <t>ONLINE</t>
        </is>
      </c>
      <c r="I231" t="inlineStr">
        <is>
          <t>DELIVERED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O2</t>
        </is>
      </c>
      <c r="N231" t="inlineStr">
        <is>
          <t>36</t>
        </is>
      </c>
      <c r="O231" t="n">
        <v>438</v>
      </c>
      <c r="P231" t="n">
        <v>3.5</v>
      </c>
      <c r="Q231" t="n">
        <v>0</v>
      </c>
      <c r="R231" t="n">
        <v>75</v>
      </c>
      <c r="S231" t="n">
        <v>0</v>
      </c>
      <c r="T231" t="n">
        <v>0</v>
      </c>
      <c r="U231" t="n">
        <v>0</v>
      </c>
      <c r="V231" t="n">
        <v>18.33</v>
      </c>
      <c r="W231" t="n">
        <v>384.83</v>
      </c>
      <c r="X231" t="n">
        <v>366.5</v>
      </c>
      <c r="Y231" t="n">
        <v>19</v>
      </c>
      <c r="Z231" t="n">
        <v>69.64</v>
      </c>
      <c r="AA231" t="n">
        <v>7.08</v>
      </c>
      <c r="AB231" t="n">
        <v>76.72</v>
      </c>
      <c r="AC231" t="n">
        <v>13.81</v>
      </c>
      <c r="AD231" t="n">
        <v>0</v>
      </c>
      <c r="AE231" t="n">
        <v>366.5</v>
      </c>
      <c r="AF231" t="n">
        <v>0</v>
      </c>
      <c r="AG231" t="n">
        <v>0</v>
      </c>
      <c r="AH231" t="n">
        <v>0.37</v>
      </c>
      <c r="AI231" t="n">
        <v>18.33</v>
      </c>
      <c r="AJ231" t="n">
        <v>0</v>
      </c>
      <c r="AK231" t="n">
        <v>32.51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109.23</v>
      </c>
      <c r="AV231" t="n">
        <v>0</v>
      </c>
      <c r="AW231" t="n">
        <v>275.6</v>
      </c>
      <c r="AX231" t="inlineStr">
        <is>
          <t>settled</t>
        </is>
      </c>
      <c r="AY231" t="inlineStr">
        <is>
          <t>2025-12-10 05:30:00</t>
        </is>
      </c>
      <c r="AZ231" t="inlineStr">
        <is>
          <t>CITIN25668288188</t>
        </is>
      </c>
      <c r="BA231" t="n">
        <v>0</v>
      </c>
      <c r="BB231" t="inlineStr">
        <is>
          <t>2e874d5d3a1b114450eabd736ef111c708276f95bf1b80271eab5d95ca54e3f8</t>
        </is>
      </c>
    </row>
    <row r="232">
      <c r="A232" t="inlineStr">
        <is>
          <t>227</t>
        </is>
      </c>
      <c r="B232" t="inlineStr">
        <is>
          <t>7545670382</t>
        </is>
      </c>
      <c r="C232" t="inlineStr">
        <is>
          <t>2025-12-05 18:51:21</t>
        </is>
      </c>
      <c r="D232" t="inlineStr">
        <is>
          <t>49</t>
        </is>
      </c>
      <c r="E232" t="inlineStr">
        <is>
          <t>Sha Sha - Shandaar Shawarma</t>
        </is>
      </c>
      <c r="F232" t="inlineStr">
        <is>
          <t>18557902</t>
        </is>
      </c>
      <c r="G232" t="inlineStr">
        <is>
          <t>NA</t>
        </is>
      </c>
      <c r="H232" t="inlineStr">
        <is>
          <t>ONLINE</t>
        </is>
      </c>
      <c r="I232" t="inlineStr">
        <is>
          <t>DELIVERED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O2</t>
        </is>
      </c>
      <c r="N232" t="inlineStr">
        <is>
          <t>36</t>
        </is>
      </c>
      <c r="O232" t="n">
        <v>458</v>
      </c>
      <c r="P232" t="n">
        <v>3.5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23.08</v>
      </c>
      <c r="W232" t="n">
        <v>484.58</v>
      </c>
      <c r="X232" t="n">
        <v>461.5</v>
      </c>
      <c r="Y232" t="n">
        <v>19</v>
      </c>
      <c r="Z232" t="n">
        <v>87.68000000000001</v>
      </c>
      <c r="AA232" t="n">
        <v>8.92</v>
      </c>
      <c r="AB232" t="n">
        <v>96.59999999999999</v>
      </c>
      <c r="AC232" t="n">
        <v>17.39</v>
      </c>
      <c r="AD232" t="n">
        <v>0</v>
      </c>
      <c r="AE232" t="n">
        <v>461.5</v>
      </c>
      <c r="AF232" t="n">
        <v>0</v>
      </c>
      <c r="AG232" t="n">
        <v>0</v>
      </c>
      <c r="AH232" t="n">
        <v>0.46</v>
      </c>
      <c r="AI232" t="n">
        <v>23.08</v>
      </c>
      <c r="AJ232" t="n">
        <v>0</v>
      </c>
      <c r="AK232" t="n">
        <v>40.93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137.53</v>
      </c>
      <c r="AV232" t="n">
        <v>0</v>
      </c>
      <c r="AW232" t="n">
        <v>347.05</v>
      </c>
      <c r="AX232" t="inlineStr">
        <is>
          <t>settled</t>
        </is>
      </c>
      <c r="AY232" t="inlineStr">
        <is>
          <t>2025-12-10 05:30:00</t>
        </is>
      </c>
      <c r="AZ232" t="inlineStr">
        <is>
          <t>CITIN25668288188</t>
        </is>
      </c>
      <c r="BA232" t="n">
        <v>0</v>
      </c>
      <c r="BB232" t="inlineStr">
        <is>
          <t>2453a798b993f77b7e30434d555a482e1d10da3fa1608b1143eaf688273b91fc</t>
        </is>
      </c>
    </row>
    <row r="233">
      <c r="A233" t="inlineStr">
        <is>
          <t>228</t>
        </is>
      </c>
      <c r="B233" t="inlineStr">
        <is>
          <t>7545037859</t>
        </is>
      </c>
      <c r="C233" t="inlineStr">
        <is>
          <t>2025-12-05 18:54:40</t>
        </is>
      </c>
      <c r="D233" t="inlineStr">
        <is>
          <t>49</t>
        </is>
      </c>
      <c r="E233" t="inlineStr">
        <is>
          <t>Sha Sha - Shandaar Shawarma</t>
        </is>
      </c>
      <c r="F233" t="inlineStr">
        <is>
          <t>18557902</t>
        </is>
      </c>
      <c r="G233" t="inlineStr">
        <is>
          <t>30% off upto ₹75 (2025-06-25 - 2031-01-01)</t>
        </is>
      </c>
      <c r="H233" t="inlineStr">
        <is>
          <t>ONLINE</t>
        </is>
      </c>
      <c r="I233" t="inlineStr">
        <is>
          <t>DELIVERED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O2</t>
        </is>
      </c>
      <c r="N233" t="inlineStr">
        <is>
          <t>36</t>
        </is>
      </c>
      <c r="O233" t="n">
        <v>229</v>
      </c>
      <c r="P233" t="n">
        <v>3.5</v>
      </c>
      <c r="Q233" t="n">
        <v>0</v>
      </c>
      <c r="R233" t="n">
        <v>68.7</v>
      </c>
      <c r="S233" t="n">
        <v>0</v>
      </c>
      <c r="T233" t="n">
        <v>0</v>
      </c>
      <c r="U233" t="n">
        <v>0</v>
      </c>
      <c r="V233" t="n">
        <v>8.19</v>
      </c>
      <c r="W233" t="n">
        <v>171.99</v>
      </c>
      <c r="X233" t="n">
        <v>163.8</v>
      </c>
      <c r="Y233" t="n">
        <v>19</v>
      </c>
      <c r="Z233" t="n">
        <v>31.12</v>
      </c>
      <c r="AA233" t="n">
        <v>3.16</v>
      </c>
      <c r="AB233" t="n">
        <v>34.28</v>
      </c>
      <c r="AC233" t="n">
        <v>6.17</v>
      </c>
      <c r="AD233" t="n">
        <v>0</v>
      </c>
      <c r="AE233" t="n">
        <v>163.8</v>
      </c>
      <c r="AF233" t="n">
        <v>0</v>
      </c>
      <c r="AG233" t="n">
        <v>0</v>
      </c>
      <c r="AH233" t="n">
        <v>0.16</v>
      </c>
      <c r="AI233" t="n">
        <v>8.199999999999999</v>
      </c>
      <c r="AJ233" t="n">
        <v>-0.01</v>
      </c>
      <c r="AK233" t="n">
        <v>14.53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48.81</v>
      </c>
      <c r="AV233" t="n">
        <v>0</v>
      </c>
      <c r="AW233" t="n">
        <v>123.18</v>
      </c>
      <c r="AX233" t="inlineStr">
        <is>
          <t>settled</t>
        </is>
      </c>
      <c r="AY233" t="inlineStr">
        <is>
          <t>2025-12-10 05:30:00</t>
        </is>
      </c>
      <c r="AZ233" t="inlineStr">
        <is>
          <t>CITIN25668288188</t>
        </is>
      </c>
      <c r="BA233" t="n">
        <v>0</v>
      </c>
      <c r="BB233" t="inlineStr">
        <is>
          <t>9c6bcac5d2e05b2341f2aecaaa1243209d7092b22d1b8c2151ba1323ea9d7a4a</t>
        </is>
      </c>
    </row>
    <row r="234">
      <c r="A234" t="inlineStr">
        <is>
          <t>229</t>
        </is>
      </c>
      <c r="B234" t="inlineStr">
        <is>
          <t>7547131032</t>
        </is>
      </c>
      <c r="C234" t="inlineStr">
        <is>
          <t>2025-12-05 19:11:06</t>
        </is>
      </c>
      <c r="D234" t="inlineStr">
        <is>
          <t>49</t>
        </is>
      </c>
      <c r="E234" t="inlineStr">
        <is>
          <t>Sha Sha - Shandaar Shawarma</t>
        </is>
      </c>
      <c r="F234" t="inlineStr">
        <is>
          <t>18557902</t>
        </is>
      </c>
      <c r="G234" t="inlineStr">
        <is>
          <t>30% off upto ₹75 (2025-06-25 - 2031-01-01)</t>
        </is>
      </c>
      <c r="H234" t="inlineStr">
        <is>
          <t>ONLINE</t>
        </is>
      </c>
      <c r="I234" t="inlineStr">
        <is>
          <t>DELIVERED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O2</t>
        </is>
      </c>
      <c r="N234" t="inlineStr">
        <is>
          <t>36</t>
        </is>
      </c>
      <c r="O234" t="n">
        <v>458</v>
      </c>
      <c r="P234" t="n">
        <v>3.5</v>
      </c>
      <c r="Q234" t="n">
        <v>0</v>
      </c>
      <c r="R234" t="n">
        <v>75</v>
      </c>
      <c r="S234" t="n">
        <v>0</v>
      </c>
      <c r="T234" t="n">
        <v>0</v>
      </c>
      <c r="U234" t="n">
        <v>0</v>
      </c>
      <c r="V234" t="n">
        <v>19.33</v>
      </c>
      <c r="W234" t="n">
        <v>405.83</v>
      </c>
      <c r="X234" t="n">
        <v>386.5</v>
      </c>
      <c r="Y234" t="n">
        <v>19</v>
      </c>
      <c r="Z234" t="n">
        <v>73.44</v>
      </c>
      <c r="AA234" t="n">
        <v>7.47</v>
      </c>
      <c r="AB234" t="n">
        <v>80.91</v>
      </c>
      <c r="AC234" t="n">
        <v>14.56</v>
      </c>
      <c r="AD234" t="n">
        <v>0</v>
      </c>
      <c r="AE234" t="n">
        <v>386.5</v>
      </c>
      <c r="AF234" t="n">
        <v>0</v>
      </c>
      <c r="AG234" t="n">
        <v>0</v>
      </c>
      <c r="AH234" t="n">
        <v>0.39</v>
      </c>
      <c r="AI234" t="n">
        <v>19.33</v>
      </c>
      <c r="AJ234" t="n">
        <v>0</v>
      </c>
      <c r="AK234" t="n">
        <v>34.28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115.19</v>
      </c>
      <c r="AV234" t="n">
        <v>0</v>
      </c>
      <c r="AW234" t="n">
        <v>290.64</v>
      </c>
      <c r="AX234" t="inlineStr">
        <is>
          <t>settled</t>
        </is>
      </c>
      <c r="AY234" t="inlineStr">
        <is>
          <t>2025-12-10 05:30:00</t>
        </is>
      </c>
      <c r="AZ234" t="inlineStr">
        <is>
          <t>CITIN25668288188</t>
        </is>
      </c>
      <c r="BA234" t="n">
        <v>0</v>
      </c>
      <c r="BB234" t="inlineStr">
        <is>
          <t>d771279947712ac5f2c5621a83d7924299a5dc4d2eb9ff5a10ba371a3b731351</t>
        </is>
      </c>
    </row>
    <row r="235">
      <c r="A235" t="inlineStr">
        <is>
          <t>230</t>
        </is>
      </c>
      <c r="B235" t="inlineStr">
        <is>
          <t>7548289517</t>
        </is>
      </c>
      <c r="C235" t="inlineStr">
        <is>
          <t>2025-12-05 19:14:46</t>
        </is>
      </c>
      <c r="D235" t="inlineStr">
        <is>
          <t>49</t>
        </is>
      </c>
      <c r="E235" t="inlineStr">
        <is>
          <t>Sha Sha - Shandaar Shawarma</t>
        </is>
      </c>
      <c r="F235" t="inlineStr">
        <is>
          <t>18557902</t>
        </is>
      </c>
      <c r="G235" t="inlineStr">
        <is>
          <t>30% off upto ₹75 (2025-06-25 - 2031-01-01)</t>
        </is>
      </c>
      <c r="H235" t="inlineStr">
        <is>
          <t>ONLINE</t>
        </is>
      </c>
      <c r="I235" t="inlineStr">
        <is>
          <t>DELIVERED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O2</t>
        </is>
      </c>
      <c r="N235" t="inlineStr">
        <is>
          <t>36</t>
        </is>
      </c>
      <c r="O235" t="n">
        <v>229</v>
      </c>
      <c r="P235" t="n">
        <v>3.5</v>
      </c>
      <c r="Q235" t="n">
        <v>0</v>
      </c>
      <c r="R235" t="n">
        <v>68.7</v>
      </c>
      <c r="S235" t="n">
        <v>0</v>
      </c>
      <c r="T235" t="n">
        <v>0</v>
      </c>
      <c r="U235" t="n">
        <v>0</v>
      </c>
      <c r="V235" t="n">
        <v>8.19</v>
      </c>
      <c r="W235" t="n">
        <v>171.99</v>
      </c>
      <c r="X235" t="n">
        <v>163.8</v>
      </c>
      <c r="Y235" t="n">
        <v>19</v>
      </c>
      <c r="Z235" t="n">
        <v>31.12</v>
      </c>
      <c r="AA235" t="n">
        <v>3.16</v>
      </c>
      <c r="AB235" t="n">
        <v>34.28</v>
      </c>
      <c r="AC235" t="n">
        <v>6.17</v>
      </c>
      <c r="AD235" t="n">
        <v>0</v>
      </c>
      <c r="AE235" t="n">
        <v>163.8</v>
      </c>
      <c r="AF235" t="n">
        <v>0</v>
      </c>
      <c r="AG235" t="n">
        <v>0</v>
      </c>
      <c r="AH235" t="n">
        <v>0.16</v>
      </c>
      <c r="AI235" t="n">
        <v>8.199999999999999</v>
      </c>
      <c r="AJ235" t="n">
        <v>-0.01</v>
      </c>
      <c r="AK235" t="n">
        <v>14.53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48.81</v>
      </c>
      <c r="AV235" t="n">
        <v>0</v>
      </c>
      <c r="AW235" t="n">
        <v>123.18</v>
      </c>
      <c r="AX235" t="inlineStr">
        <is>
          <t>settled</t>
        </is>
      </c>
      <c r="AY235" t="inlineStr">
        <is>
          <t>2025-12-10 05:30:00</t>
        </is>
      </c>
      <c r="AZ235" t="inlineStr">
        <is>
          <t>CITIN25668288188</t>
        </is>
      </c>
      <c r="BA235" t="n">
        <v>0</v>
      </c>
      <c r="BB235" t="inlineStr">
        <is>
          <t>bfae4222fa8827b43ecffd05d30eec603ffc4545217ad67003d6a78f7501304a</t>
        </is>
      </c>
    </row>
    <row r="236">
      <c r="A236" t="inlineStr">
        <is>
          <t>231</t>
        </is>
      </c>
      <c r="B236" t="inlineStr">
        <is>
          <t>7544283974</t>
        </is>
      </c>
      <c r="C236" t="inlineStr">
        <is>
          <t>2025-12-05 19:18:16</t>
        </is>
      </c>
      <c r="D236" t="inlineStr">
        <is>
          <t>49</t>
        </is>
      </c>
      <c r="E236" t="inlineStr">
        <is>
          <t>Sha Sha - Shandaar Shawarma</t>
        </is>
      </c>
      <c r="F236" t="inlineStr">
        <is>
          <t>18557902</t>
        </is>
      </c>
      <c r="G236" t="inlineStr">
        <is>
          <t>NA</t>
        </is>
      </c>
      <c r="H236" t="inlineStr">
        <is>
          <t>ONLINE</t>
        </is>
      </c>
      <c r="I236" t="inlineStr">
        <is>
          <t>DELIVERED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O2</t>
        </is>
      </c>
      <c r="N236" t="inlineStr">
        <is>
          <t>36</t>
        </is>
      </c>
      <c r="O236" t="n">
        <v>458</v>
      </c>
      <c r="P236" t="n">
        <v>3.5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23.08</v>
      </c>
      <c r="W236" t="n">
        <v>484.58</v>
      </c>
      <c r="X236" t="n">
        <v>461.5</v>
      </c>
      <c r="Y236" t="n">
        <v>19</v>
      </c>
      <c r="Z236" t="n">
        <v>87.68000000000001</v>
      </c>
      <c r="AA236" t="n">
        <v>8.92</v>
      </c>
      <c r="AB236" t="n">
        <v>96.59999999999999</v>
      </c>
      <c r="AC236" t="n">
        <v>17.39</v>
      </c>
      <c r="AD236" t="n">
        <v>0</v>
      </c>
      <c r="AE236" t="n">
        <v>461.5</v>
      </c>
      <c r="AF236" t="n">
        <v>0</v>
      </c>
      <c r="AG236" t="n">
        <v>0</v>
      </c>
      <c r="AH236" t="n">
        <v>0.46</v>
      </c>
      <c r="AI236" t="n">
        <v>23.08</v>
      </c>
      <c r="AJ236" t="n">
        <v>0</v>
      </c>
      <c r="AK236" t="n">
        <v>40.93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137.53</v>
      </c>
      <c r="AV236" t="n">
        <v>0</v>
      </c>
      <c r="AW236" t="n">
        <v>347.05</v>
      </c>
      <c r="AX236" t="inlineStr">
        <is>
          <t>settled</t>
        </is>
      </c>
      <c r="AY236" t="inlineStr">
        <is>
          <t>2025-12-10 05:30:00</t>
        </is>
      </c>
      <c r="AZ236" t="inlineStr">
        <is>
          <t>CITIN25668288188</t>
        </is>
      </c>
      <c r="BA236" t="n">
        <v>0</v>
      </c>
      <c r="BB236" t="inlineStr">
        <is>
          <t>a8be2e44216b50ca212cea7b7dbf931648eee3758069a4dcdd39ae283a011ee5</t>
        </is>
      </c>
    </row>
    <row r="237">
      <c r="A237" t="inlineStr">
        <is>
          <t>232</t>
        </is>
      </c>
      <c r="B237" t="inlineStr">
        <is>
          <t>7552025789</t>
        </is>
      </c>
      <c r="C237" t="inlineStr">
        <is>
          <t>2025-12-05 19:36:04</t>
        </is>
      </c>
      <c r="D237" t="inlineStr">
        <is>
          <t>49</t>
        </is>
      </c>
      <c r="E237" t="inlineStr">
        <is>
          <t>Sha Sha - Shandaar Shawarma</t>
        </is>
      </c>
      <c r="F237" t="inlineStr">
        <is>
          <t>18557902</t>
        </is>
      </c>
      <c r="G237" t="inlineStr">
        <is>
          <t>30% off upto ₹75 (2025-06-25 - 2031-01-01)</t>
        </is>
      </c>
      <c r="H237" t="inlineStr">
        <is>
          <t>ONLINE</t>
        </is>
      </c>
      <c r="I237" t="inlineStr">
        <is>
          <t>DELIVERED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O2</t>
        </is>
      </c>
      <c r="N237" t="inlineStr">
        <is>
          <t>36</t>
        </is>
      </c>
      <c r="O237" t="n">
        <v>229</v>
      </c>
      <c r="P237" t="n">
        <v>3.5</v>
      </c>
      <c r="Q237" t="n">
        <v>0</v>
      </c>
      <c r="R237" t="n">
        <v>68.7</v>
      </c>
      <c r="S237" t="n">
        <v>0</v>
      </c>
      <c r="T237" t="n">
        <v>0</v>
      </c>
      <c r="U237" t="n">
        <v>0</v>
      </c>
      <c r="V237" t="n">
        <v>8.19</v>
      </c>
      <c r="W237" t="n">
        <v>171.99</v>
      </c>
      <c r="X237" t="n">
        <v>163.8</v>
      </c>
      <c r="Y237" t="n">
        <v>19</v>
      </c>
      <c r="Z237" t="n">
        <v>31.12</v>
      </c>
      <c r="AA237" t="n">
        <v>3.16</v>
      </c>
      <c r="AB237" t="n">
        <v>34.28</v>
      </c>
      <c r="AC237" t="n">
        <v>6.17</v>
      </c>
      <c r="AD237" t="n">
        <v>0</v>
      </c>
      <c r="AE237" t="n">
        <v>163.8</v>
      </c>
      <c r="AF237" t="n">
        <v>0</v>
      </c>
      <c r="AG237" t="n">
        <v>0</v>
      </c>
      <c r="AH237" t="n">
        <v>0.16</v>
      </c>
      <c r="AI237" t="n">
        <v>8.199999999999999</v>
      </c>
      <c r="AJ237" t="n">
        <v>-0.01</v>
      </c>
      <c r="AK237" t="n">
        <v>14.53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48.81</v>
      </c>
      <c r="AV237" t="n">
        <v>0</v>
      </c>
      <c r="AW237" t="n">
        <v>123.18</v>
      </c>
      <c r="AX237" t="inlineStr">
        <is>
          <t>settled</t>
        </is>
      </c>
      <c r="AY237" t="inlineStr">
        <is>
          <t>2025-12-10 05:30:00</t>
        </is>
      </c>
      <c r="AZ237" t="inlineStr">
        <is>
          <t>CITIN25668288188</t>
        </is>
      </c>
      <c r="BA237" t="n">
        <v>0</v>
      </c>
      <c r="BB237" t="inlineStr">
        <is>
          <t>a011e4793b38c9fbfbba6a072c9ec6439026c5d854c4e829513f51645d0f5855</t>
        </is>
      </c>
    </row>
    <row r="238">
      <c r="A238" t="inlineStr">
        <is>
          <t>233</t>
        </is>
      </c>
      <c r="B238" t="inlineStr">
        <is>
          <t>7544458351</t>
        </is>
      </c>
      <c r="C238" t="inlineStr">
        <is>
          <t>2025-12-05 19:52:41</t>
        </is>
      </c>
      <c r="D238" t="inlineStr">
        <is>
          <t>49</t>
        </is>
      </c>
      <c r="E238" t="inlineStr">
        <is>
          <t>Sha Sha - Shandaar Shawarma</t>
        </is>
      </c>
      <c r="F238" t="inlineStr">
        <is>
          <t>18557902</t>
        </is>
      </c>
      <c r="G238" t="inlineStr">
        <is>
          <t>NA</t>
        </is>
      </c>
      <c r="H238" t="inlineStr">
        <is>
          <t>ONLINE</t>
        </is>
      </c>
      <c r="I238" t="inlineStr">
        <is>
          <t>DELIVERED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O2</t>
        </is>
      </c>
      <c r="N238" t="inlineStr">
        <is>
          <t>36</t>
        </is>
      </c>
      <c r="O238" t="n">
        <v>219</v>
      </c>
      <c r="P238" t="n">
        <v>3.5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11.13</v>
      </c>
      <c r="W238" t="n">
        <v>233.63</v>
      </c>
      <c r="X238" t="n">
        <v>222.5</v>
      </c>
      <c r="Y238" t="n">
        <v>19</v>
      </c>
      <c r="Z238" t="n">
        <v>42.28</v>
      </c>
      <c r="AA238" t="n">
        <v>4.3</v>
      </c>
      <c r="AB238" t="n">
        <v>46.58</v>
      </c>
      <c r="AC238" t="n">
        <v>8.380000000000001</v>
      </c>
      <c r="AD238" t="n">
        <v>0</v>
      </c>
      <c r="AE238" t="n">
        <v>222.5</v>
      </c>
      <c r="AF238" t="n">
        <v>0</v>
      </c>
      <c r="AG238" t="n">
        <v>0</v>
      </c>
      <c r="AH238" t="n">
        <v>0.22</v>
      </c>
      <c r="AI238" t="n">
        <v>11.13</v>
      </c>
      <c r="AJ238" t="n">
        <v>0</v>
      </c>
      <c r="AK238" t="n">
        <v>19.73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66.31</v>
      </c>
      <c r="AV238" t="n">
        <v>0</v>
      </c>
      <c r="AW238" t="n">
        <v>167.32</v>
      </c>
      <c r="AX238" t="inlineStr">
        <is>
          <t>settled</t>
        </is>
      </c>
      <c r="AY238" t="inlineStr">
        <is>
          <t>2025-12-10 05:30:00</t>
        </is>
      </c>
      <c r="AZ238" t="inlineStr">
        <is>
          <t>CITIN25668288188</t>
        </is>
      </c>
      <c r="BA238" t="n">
        <v>0</v>
      </c>
      <c r="BB238" t="inlineStr">
        <is>
          <t>5a5263417180dd2d7164ddcf885d2f885403ceb1c1f7664ba19227f2898f2a98</t>
        </is>
      </c>
    </row>
    <row r="239">
      <c r="A239" t="inlineStr">
        <is>
          <t>234</t>
        </is>
      </c>
      <c r="B239" t="inlineStr">
        <is>
          <t>7551545388</t>
        </is>
      </c>
      <c r="C239" t="inlineStr">
        <is>
          <t>2025-12-05 20:03:25</t>
        </is>
      </c>
      <c r="D239" t="inlineStr">
        <is>
          <t>49</t>
        </is>
      </c>
      <c r="E239" t="inlineStr">
        <is>
          <t>Sha Sha - Shandaar Shawarma</t>
        </is>
      </c>
      <c r="F239" t="inlineStr">
        <is>
          <t>18557902</t>
        </is>
      </c>
      <c r="G239" t="inlineStr">
        <is>
          <t>NA</t>
        </is>
      </c>
      <c r="H239" t="inlineStr">
        <is>
          <t>ONLINE</t>
        </is>
      </c>
      <c r="I239" t="inlineStr">
        <is>
          <t>DELIVERED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O2</t>
        </is>
      </c>
      <c r="N239" t="inlineStr">
        <is>
          <t>36</t>
        </is>
      </c>
      <c r="O239" t="n">
        <v>458</v>
      </c>
      <c r="P239" t="n">
        <v>3.5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23.08</v>
      </c>
      <c r="W239" t="n">
        <v>484.58</v>
      </c>
      <c r="X239" t="n">
        <v>461.5</v>
      </c>
      <c r="Y239" t="n">
        <v>19</v>
      </c>
      <c r="Z239" t="n">
        <v>87.68000000000001</v>
      </c>
      <c r="AA239" t="n">
        <v>8.92</v>
      </c>
      <c r="AB239" t="n">
        <v>96.59999999999999</v>
      </c>
      <c r="AC239" t="n">
        <v>17.39</v>
      </c>
      <c r="AD239" t="n">
        <v>0</v>
      </c>
      <c r="AE239" t="n">
        <v>461.5</v>
      </c>
      <c r="AF239" t="n">
        <v>0</v>
      </c>
      <c r="AG239" t="n">
        <v>0</v>
      </c>
      <c r="AH239" t="n">
        <v>0.46</v>
      </c>
      <c r="AI239" t="n">
        <v>23.08</v>
      </c>
      <c r="AJ239" t="n">
        <v>0</v>
      </c>
      <c r="AK239" t="n">
        <v>40.93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137.53</v>
      </c>
      <c r="AV239" t="n">
        <v>0</v>
      </c>
      <c r="AW239" t="n">
        <v>347.05</v>
      </c>
      <c r="AX239" t="inlineStr">
        <is>
          <t>settled</t>
        </is>
      </c>
      <c r="AY239" t="inlineStr">
        <is>
          <t>2025-12-10 05:30:00</t>
        </is>
      </c>
      <c r="AZ239" t="inlineStr">
        <is>
          <t>CITIN25668288188</t>
        </is>
      </c>
      <c r="BA239" t="n">
        <v>0</v>
      </c>
      <c r="BB239" t="inlineStr">
        <is>
          <t>e3aa44282ad297d7df85aff8af97646ea6ffc7cea6c5304329493758008b6971</t>
        </is>
      </c>
    </row>
    <row r="240">
      <c r="A240" t="inlineStr">
        <is>
          <t>235</t>
        </is>
      </c>
      <c r="B240" t="inlineStr">
        <is>
          <t>7547486487</t>
        </is>
      </c>
      <c r="C240" t="inlineStr">
        <is>
          <t>2025-12-05 20:04:48</t>
        </is>
      </c>
      <c r="D240" t="inlineStr">
        <is>
          <t>49</t>
        </is>
      </c>
      <c r="E240" t="inlineStr">
        <is>
          <t>Sha Sha - Shandaar Shawarma</t>
        </is>
      </c>
      <c r="F240" t="inlineStr">
        <is>
          <t>18557902</t>
        </is>
      </c>
      <c r="G240" t="inlineStr">
        <is>
          <t>30% off upto ₹75 (2025-06-25 - 2031-01-01)</t>
        </is>
      </c>
      <c r="H240" t="inlineStr">
        <is>
          <t>ONLINE</t>
        </is>
      </c>
      <c r="I240" t="inlineStr">
        <is>
          <t>DELIVERED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O2</t>
        </is>
      </c>
      <c r="N240" t="inlineStr">
        <is>
          <t>36</t>
        </is>
      </c>
      <c r="O240" t="n">
        <v>229</v>
      </c>
      <c r="P240" t="n">
        <v>3.5</v>
      </c>
      <c r="Q240" t="n">
        <v>0</v>
      </c>
      <c r="R240" t="n">
        <v>68.7</v>
      </c>
      <c r="S240" t="n">
        <v>0</v>
      </c>
      <c r="T240" t="n">
        <v>0</v>
      </c>
      <c r="U240" t="n">
        <v>0</v>
      </c>
      <c r="V240" t="n">
        <v>8.19</v>
      </c>
      <c r="W240" t="n">
        <v>171.99</v>
      </c>
      <c r="X240" t="n">
        <v>163.8</v>
      </c>
      <c r="Y240" t="n">
        <v>19</v>
      </c>
      <c r="Z240" t="n">
        <v>31.12</v>
      </c>
      <c r="AA240" t="n">
        <v>3.16</v>
      </c>
      <c r="AB240" t="n">
        <v>34.28</v>
      </c>
      <c r="AC240" t="n">
        <v>6.17</v>
      </c>
      <c r="AD240" t="n">
        <v>0</v>
      </c>
      <c r="AE240" t="n">
        <v>163.8</v>
      </c>
      <c r="AF240" t="n">
        <v>0</v>
      </c>
      <c r="AG240" t="n">
        <v>0</v>
      </c>
      <c r="AH240" t="n">
        <v>0.16</v>
      </c>
      <c r="AI240" t="n">
        <v>8.199999999999999</v>
      </c>
      <c r="AJ240" t="n">
        <v>-0.01</v>
      </c>
      <c r="AK240" t="n">
        <v>14.53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48.81</v>
      </c>
      <c r="AV240" t="n">
        <v>0</v>
      </c>
      <c r="AW240" t="n">
        <v>123.18</v>
      </c>
      <c r="AX240" t="inlineStr">
        <is>
          <t>settled</t>
        </is>
      </c>
      <c r="AY240" t="inlineStr">
        <is>
          <t>2025-12-10 05:30:00</t>
        </is>
      </c>
      <c r="AZ240" t="inlineStr">
        <is>
          <t>CITIN25668288188</t>
        </is>
      </c>
      <c r="BA240" t="n">
        <v>0</v>
      </c>
      <c r="BB240" t="inlineStr">
        <is>
          <t>ba2073be21a83e322191f84b8cc535b59cb7c947677a969e51806c29397b7055</t>
        </is>
      </c>
    </row>
    <row r="241">
      <c r="A241" t="inlineStr">
        <is>
          <t>236</t>
        </is>
      </c>
      <c r="B241" t="inlineStr">
        <is>
          <t>7550880168</t>
        </is>
      </c>
      <c r="C241" t="inlineStr">
        <is>
          <t>2025-12-05 20:06:51</t>
        </is>
      </c>
      <c r="D241" t="inlineStr">
        <is>
          <t>49</t>
        </is>
      </c>
      <c r="E241" t="inlineStr">
        <is>
          <t>Sha Sha - Shandaar Shawarma</t>
        </is>
      </c>
      <c r="F241" t="inlineStr">
        <is>
          <t>18557902</t>
        </is>
      </c>
      <c r="G241" t="inlineStr">
        <is>
          <t>NA</t>
        </is>
      </c>
      <c r="H241" t="inlineStr">
        <is>
          <t>ONLINE</t>
        </is>
      </c>
      <c r="I241" t="inlineStr">
        <is>
          <t>DELIVERED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O2</t>
        </is>
      </c>
      <c r="N241" t="inlineStr">
        <is>
          <t>36</t>
        </is>
      </c>
      <c r="O241" t="n">
        <v>574</v>
      </c>
      <c r="P241" t="n">
        <v>3.5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28.88</v>
      </c>
      <c r="W241" t="n">
        <v>606.38</v>
      </c>
      <c r="X241" t="n">
        <v>577.5</v>
      </c>
      <c r="Y241" t="n">
        <v>19</v>
      </c>
      <c r="Z241" t="n">
        <v>109.72</v>
      </c>
      <c r="AA241" t="n">
        <v>11.16</v>
      </c>
      <c r="AB241" t="n">
        <v>120.88</v>
      </c>
      <c r="AC241" t="n">
        <v>21.76</v>
      </c>
      <c r="AD241" t="n">
        <v>0</v>
      </c>
      <c r="AE241" t="n">
        <v>577.5</v>
      </c>
      <c r="AF241" t="n">
        <v>0</v>
      </c>
      <c r="AG241" t="n">
        <v>0</v>
      </c>
      <c r="AH241" t="n">
        <v>0.58</v>
      </c>
      <c r="AI241" t="n">
        <v>28.88</v>
      </c>
      <c r="AJ241" t="n">
        <v>0</v>
      </c>
      <c r="AK241" t="n">
        <v>51.22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172.1</v>
      </c>
      <c r="AV241" t="n">
        <v>0</v>
      </c>
      <c r="AW241" t="n">
        <v>434.28</v>
      </c>
      <c r="AX241" t="inlineStr">
        <is>
          <t>settled</t>
        </is>
      </c>
      <c r="AY241" t="inlineStr">
        <is>
          <t>2025-12-10 05:30:00</t>
        </is>
      </c>
      <c r="AZ241" t="inlineStr">
        <is>
          <t>CITIN25668288188</t>
        </is>
      </c>
      <c r="BA241" t="n">
        <v>0</v>
      </c>
      <c r="BB241" t="inlineStr">
        <is>
          <t>c6c5b04c908bb28855191399b89ec45ef44ef7bb61b4347e278ec621e3d30eb7</t>
        </is>
      </c>
    </row>
    <row r="242">
      <c r="A242" t="inlineStr">
        <is>
          <t>237</t>
        </is>
      </c>
      <c r="B242" t="inlineStr">
        <is>
          <t>7538373171</t>
        </is>
      </c>
      <c r="C242" t="inlineStr">
        <is>
          <t>2025-12-05 20:23:16</t>
        </is>
      </c>
      <c r="D242" t="inlineStr">
        <is>
          <t>49</t>
        </is>
      </c>
      <c r="E242" t="inlineStr">
        <is>
          <t>Sha Sha - Shandaar Shawarma</t>
        </is>
      </c>
      <c r="F242" t="inlineStr">
        <is>
          <t>18557902</t>
        </is>
      </c>
      <c r="G242" t="inlineStr">
        <is>
          <t>30% off upto ₹75 (2025-06-25 - 2031-01-01)</t>
        </is>
      </c>
      <c r="H242" t="inlineStr">
        <is>
          <t>ONLINE</t>
        </is>
      </c>
      <c r="I242" t="inlineStr">
        <is>
          <t>DELIVERED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O2</t>
        </is>
      </c>
      <c r="N242" t="inlineStr">
        <is>
          <t>36</t>
        </is>
      </c>
      <c r="O242" t="n">
        <v>229</v>
      </c>
      <c r="P242" t="n">
        <v>3.5</v>
      </c>
      <c r="Q242" t="n">
        <v>0</v>
      </c>
      <c r="R242" t="n">
        <v>68.7</v>
      </c>
      <c r="S242" t="n">
        <v>0</v>
      </c>
      <c r="T242" t="n">
        <v>0</v>
      </c>
      <c r="U242" t="n">
        <v>0</v>
      </c>
      <c r="V242" t="n">
        <v>8.19</v>
      </c>
      <c r="W242" t="n">
        <v>171.99</v>
      </c>
      <c r="X242" t="n">
        <v>163.8</v>
      </c>
      <c r="Y242" t="n">
        <v>19</v>
      </c>
      <c r="Z242" t="n">
        <v>31.12</v>
      </c>
      <c r="AA242" t="n">
        <v>3.16</v>
      </c>
      <c r="AB242" t="n">
        <v>34.28</v>
      </c>
      <c r="AC242" t="n">
        <v>6.17</v>
      </c>
      <c r="AD242" t="n">
        <v>0</v>
      </c>
      <c r="AE242" t="n">
        <v>163.8</v>
      </c>
      <c r="AF242" t="n">
        <v>0</v>
      </c>
      <c r="AG242" t="n">
        <v>0</v>
      </c>
      <c r="AH242" t="n">
        <v>0.16</v>
      </c>
      <c r="AI242" t="n">
        <v>8.199999999999999</v>
      </c>
      <c r="AJ242" t="n">
        <v>-0.01</v>
      </c>
      <c r="AK242" t="n">
        <v>14.53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48.81</v>
      </c>
      <c r="AV242" t="n">
        <v>0</v>
      </c>
      <c r="AW242" t="n">
        <v>123.18</v>
      </c>
      <c r="AX242" t="inlineStr">
        <is>
          <t>settled</t>
        </is>
      </c>
      <c r="AY242" t="inlineStr">
        <is>
          <t>2025-12-10 05:30:00</t>
        </is>
      </c>
      <c r="AZ242" t="inlineStr">
        <is>
          <t>CITIN25668288188</t>
        </is>
      </c>
      <c r="BA242" t="n">
        <v>0</v>
      </c>
      <c r="BB242" t="inlineStr">
        <is>
          <t>10f8fb0885e3b5ab98feee3e076d4ca116674f9d0de9bb608fa144a29fe0475e</t>
        </is>
      </c>
    </row>
    <row r="243">
      <c r="A243" t="inlineStr">
        <is>
          <t>238</t>
        </is>
      </c>
      <c r="B243" t="inlineStr">
        <is>
          <t>7545091563</t>
        </is>
      </c>
      <c r="C243" t="inlineStr">
        <is>
          <t>2025-12-05 20:35:41</t>
        </is>
      </c>
      <c r="D243" t="inlineStr">
        <is>
          <t>49</t>
        </is>
      </c>
      <c r="E243" t="inlineStr">
        <is>
          <t>Sha Sha - Shandaar Shawarma</t>
        </is>
      </c>
      <c r="F243" t="inlineStr">
        <is>
          <t>18557902</t>
        </is>
      </c>
      <c r="G243" t="inlineStr">
        <is>
          <t>30% off upto ₹75 (2025-06-25 - 2031-01-01)</t>
        </is>
      </c>
      <c r="H243" t="inlineStr">
        <is>
          <t>ONLINE</t>
        </is>
      </c>
      <c r="I243" t="inlineStr">
        <is>
          <t>DELIVERED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O2</t>
        </is>
      </c>
      <c r="N243" t="inlineStr">
        <is>
          <t>36</t>
        </is>
      </c>
      <c r="O243" t="n">
        <v>219</v>
      </c>
      <c r="P243" t="n">
        <v>3.5</v>
      </c>
      <c r="Q243" t="n">
        <v>0</v>
      </c>
      <c r="R243" t="n">
        <v>65.7</v>
      </c>
      <c r="S243" t="n">
        <v>0</v>
      </c>
      <c r="T243" t="n">
        <v>0</v>
      </c>
      <c r="U243" t="n">
        <v>0</v>
      </c>
      <c r="V243" t="n">
        <v>7.84</v>
      </c>
      <c r="W243" t="n">
        <v>164.64</v>
      </c>
      <c r="X243" t="n">
        <v>156.8</v>
      </c>
      <c r="Y243" t="n">
        <v>19</v>
      </c>
      <c r="Z243" t="n">
        <v>29.79</v>
      </c>
      <c r="AA243" t="n">
        <v>3.03</v>
      </c>
      <c r="AB243" t="n">
        <v>32.82</v>
      </c>
      <c r="AC243" t="n">
        <v>5.91</v>
      </c>
      <c r="AD243" t="n">
        <v>0</v>
      </c>
      <c r="AE243" t="n">
        <v>156.8</v>
      </c>
      <c r="AF243" t="n">
        <v>0</v>
      </c>
      <c r="AG243" t="n">
        <v>0</v>
      </c>
      <c r="AH243" t="n">
        <v>0.16</v>
      </c>
      <c r="AI243" t="n">
        <v>7.85</v>
      </c>
      <c r="AJ243" t="n">
        <v>-0.01</v>
      </c>
      <c r="AK243" t="n">
        <v>13.92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46.74</v>
      </c>
      <c r="AV243" t="n">
        <v>0</v>
      </c>
      <c r="AW243" t="n">
        <v>117.9</v>
      </c>
      <c r="AX243" t="inlineStr">
        <is>
          <t>settled</t>
        </is>
      </c>
      <c r="AY243" t="inlineStr">
        <is>
          <t>2025-12-10 05:30:00</t>
        </is>
      </c>
      <c r="AZ243" t="inlineStr">
        <is>
          <t>CITIN25668288188</t>
        </is>
      </c>
      <c r="BA243" t="n">
        <v>0</v>
      </c>
      <c r="BB243" t="inlineStr">
        <is>
          <t>334066efc1a970b13637674bf96124b2c6991b446e1d77f5c6561e2f43956818</t>
        </is>
      </c>
    </row>
    <row r="244">
      <c r="A244" t="inlineStr">
        <is>
          <t>239</t>
        </is>
      </c>
      <c r="B244" t="inlineStr">
        <is>
          <t>7537012976</t>
        </is>
      </c>
      <c r="C244" t="inlineStr">
        <is>
          <t>2025-12-05 21:29:56</t>
        </is>
      </c>
      <c r="D244" t="inlineStr">
        <is>
          <t>49</t>
        </is>
      </c>
      <c r="E244" t="inlineStr">
        <is>
          <t>Sha Sha - Shandaar Shawarma</t>
        </is>
      </c>
      <c r="F244" t="inlineStr">
        <is>
          <t>18557902</t>
        </is>
      </c>
      <c r="G244" t="inlineStr">
        <is>
          <t>NA</t>
        </is>
      </c>
      <c r="H244" t="inlineStr">
        <is>
          <t>ONLINE</t>
        </is>
      </c>
      <c r="I244" t="inlineStr">
        <is>
          <t>DELIVERED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O2</t>
        </is>
      </c>
      <c r="N244" t="inlineStr">
        <is>
          <t>36</t>
        </is>
      </c>
      <c r="O244" t="n">
        <v>448</v>
      </c>
      <c r="P244" t="n">
        <v>3.5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22.58</v>
      </c>
      <c r="W244" t="n">
        <v>474.08</v>
      </c>
      <c r="X244" t="n">
        <v>451.5</v>
      </c>
      <c r="Y244" t="n">
        <v>19</v>
      </c>
      <c r="Z244" t="n">
        <v>85.78</v>
      </c>
      <c r="AA244" t="n">
        <v>8.720000000000001</v>
      </c>
      <c r="AB244" t="n">
        <v>94.5</v>
      </c>
      <c r="AC244" t="n">
        <v>17.01</v>
      </c>
      <c r="AD244" t="n">
        <v>0</v>
      </c>
      <c r="AE244" t="n">
        <v>451.5</v>
      </c>
      <c r="AF244" t="n">
        <v>0</v>
      </c>
      <c r="AG244" t="n">
        <v>0</v>
      </c>
      <c r="AH244" t="n">
        <v>0.45</v>
      </c>
      <c r="AI244" t="n">
        <v>22.58</v>
      </c>
      <c r="AJ244" t="n">
        <v>0</v>
      </c>
      <c r="AK244" t="n">
        <v>40.04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134.54</v>
      </c>
      <c r="AV244" t="n">
        <v>0</v>
      </c>
      <c r="AW244" t="n">
        <v>339.54</v>
      </c>
      <c r="AX244" t="inlineStr">
        <is>
          <t>settled</t>
        </is>
      </c>
      <c r="AY244" t="inlineStr">
        <is>
          <t>2025-12-10 05:30:00</t>
        </is>
      </c>
      <c r="AZ244" t="inlineStr">
        <is>
          <t>CITIN25668288188</t>
        </is>
      </c>
      <c r="BA244" t="n">
        <v>0</v>
      </c>
      <c r="BB244" t="inlineStr">
        <is>
          <t>aa506c6c1c3f40fd8798329f310fdd8beb46a3621c7f93ced42a104558a5109d</t>
        </is>
      </c>
    </row>
    <row r="245">
      <c r="A245" t="inlineStr">
        <is>
          <t>240</t>
        </is>
      </c>
      <c r="B245" t="inlineStr">
        <is>
          <t>7538950540</t>
        </is>
      </c>
      <c r="C245" t="inlineStr">
        <is>
          <t>2025-12-05 22:16:17</t>
        </is>
      </c>
      <c r="D245" t="inlineStr">
        <is>
          <t>49</t>
        </is>
      </c>
      <c r="E245" t="inlineStr">
        <is>
          <t>Sha Sha - Shandaar Shawarma</t>
        </is>
      </c>
      <c r="F245" t="inlineStr">
        <is>
          <t>18557902</t>
        </is>
      </c>
      <c r="G245" t="inlineStr">
        <is>
          <t>30% off upto ₹75 (2025-06-25 - 2031-01-01)</t>
        </is>
      </c>
      <c r="H245" t="inlineStr">
        <is>
          <t>ONLINE</t>
        </is>
      </c>
      <c r="I245" t="inlineStr">
        <is>
          <t>DELIVERED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O2</t>
        </is>
      </c>
      <c r="N245" t="inlineStr">
        <is>
          <t>36</t>
        </is>
      </c>
      <c r="O245" t="n">
        <v>229</v>
      </c>
      <c r="P245" t="n">
        <v>3.5</v>
      </c>
      <c r="Q245" t="n">
        <v>0</v>
      </c>
      <c r="R245" t="n">
        <v>68.7</v>
      </c>
      <c r="S245" t="n">
        <v>0</v>
      </c>
      <c r="T245" t="n">
        <v>0</v>
      </c>
      <c r="U245" t="n">
        <v>0</v>
      </c>
      <c r="V245" t="n">
        <v>8.19</v>
      </c>
      <c r="W245" t="n">
        <v>171.99</v>
      </c>
      <c r="X245" t="n">
        <v>163.8</v>
      </c>
      <c r="Y245" t="n">
        <v>19</v>
      </c>
      <c r="Z245" t="n">
        <v>31.12</v>
      </c>
      <c r="AA245" t="n">
        <v>3.16</v>
      </c>
      <c r="AB245" t="n">
        <v>34.28</v>
      </c>
      <c r="AC245" t="n">
        <v>6.17</v>
      </c>
      <c r="AD245" t="n">
        <v>0</v>
      </c>
      <c r="AE245" t="n">
        <v>163.8</v>
      </c>
      <c r="AF245" t="n">
        <v>0</v>
      </c>
      <c r="AG245" t="n">
        <v>0</v>
      </c>
      <c r="AH245" t="n">
        <v>0.16</v>
      </c>
      <c r="AI245" t="n">
        <v>8.199999999999999</v>
      </c>
      <c r="AJ245" t="n">
        <v>-0.01</v>
      </c>
      <c r="AK245" t="n">
        <v>14.53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48.81</v>
      </c>
      <c r="AV245" t="n">
        <v>0</v>
      </c>
      <c r="AW245" t="n">
        <v>123.18</v>
      </c>
      <c r="AX245" t="inlineStr">
        <is>
          <t>settled</t>
        </is>
      </c>
      <c r="AY245" t="inlineStr">
        <is>
          <t>2025-12-10 05:30:00</t>
        </is>
      </c>
      <c r="AZ245" t="inlineStr">
        <is>
          <t>CITIN25668288188</t>
        </is>
      </c>
      <c r="BA245" t="n">
        <v>0</v>
      </c>
      <c r="BB245" t="inlineStr">
        <is>
          <t>e31b01d32c82888d218a080f2b823c362a028c76d24d42d740748d2c7f1d9efa</t>
        </is>
      </c>
    </row>
    <row r="246">
      <c r="A246" t="inlineStr">
        <is>
          <t>241</t>
        </is>
      </c>
      <c r="B246" t="inlineStr">
        <is>
          <t>7553236697</t>
        </is>
      </c>
      <c r="C246" t="inlineStr">
        <is>
          <t>2025-12-05 23:04:59</t>
        </is>
      </c>
      <c r="D246" t="inlineStr">
        <is>
          <t>49</t>
        </is>
      </c>
      <c r="E246" t="inlineStr">
        <is>
          <t>Sha Sha - Shandaar Shawarma</t>
        </is>
      </c>
      <c r="F246" t="inlineStr">
        <is>
          <t>18557902</t>
        </is>
      </c>
      <c r="G246" t="inlineStr">
        <is>
          <t>NA</t>
        </is>
      </c>
      <c r="H246" t="inlineStr">
        <is>
          <t>ONLINE</t>
        </is>
      </c>
      <c r="I246" t="inlineStr">
        <is>
          <t>DELIVERED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O2</t>
        </is>
      </c>
      <c r="N246" t="inlineStr">
        <is>
          <t>36</t>
        </is>
      </c>
      <c r="O246" t="n">
        <v>229</v>
      </c>
      <c r="P246" t="n">
        <v>3.5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11.63</v>
      </c>
      <c r="W246" t="n">
        <v>244.13</v>
      </c>
      <c r="X246" t="n">
        <v>232.5</v>
      </c>
      <c r="Y246" t="n">
        <v>19</v>
      </c>
      <c r="Z246" t="n">
        <v>44.18</v>
      </c>
      <c r="AA246" t="n">
        <v>4.49</v>
      </c>
      <c r="AB246" t="n">
        <v>48.67</v>
      </c>
      <c r="AC246" t="n">
        <v>8.76</v>
      </c>
      <c r="AD246" t="n">
        <v>0</v>
      </c>
      <c r="AE246" t="n">
        <v>232.5</v>
      </c>
      <c r="AF246" t="n">
        <v>0</v>
      </c>
      <c r="AG246" t="n">
        <v>0</v>
      </c>
      <c r="AH246" t="n">
        <v>0.23</v>
      </c>
      <c r="AI246" t="n">
        <v>11.63</v>
      </c>
      <c r="AJ246" t="n">
        <v>0</v>
      </c>
      <c r="AK246" t="n">
        <v>20.62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69.29000000000001</v>
      </c>
      <c r="AV246" t="n">
        <v>0</v>
      </c>
      <c r="AW246" t="n">
        <v>174.84</v>
      </c>
      <c r="AX246" t="inlineStr">
        <is>
          <t>settled</t>
        </is>
      </c>
      <c r="AY246" t="inlineStr">
        <is>
          <t>2025-12-10 05:30:00</t>
        </is>
      </c>
      <c r="AZ246" t="inlineStr">
        <is>
          <t>CITIN25668288188</t>
        </is>
      </c>
      <c r="BA246" t="n">
        <v>0</v>
      </c>
      <c r="BB246" t="inlineStr">
        <is>
          <t>8373f66d66c8bbdcfef5358fbbd53c21a4a2898d0fcda742d7f1559885d6673b</t>
        </is>
      </c>
    </row>
    <row r="247">
      <c r="A247" t="inlineStr">
        <is>
          <t>242</t>
        </is>
      </c>
      <c r="B247" t="inlineStr">
        <is>
          <t>7541863350</t>
        </is>
      </c>
      <c r="C247" t="inlineStr">
        <is>
          <t>2025-12-05 23:15:04</t>
        </is>
      </c>
      <c r="D247" t="inlineStr">
        <is>
          <t>49</t>
        </is>
      </c>
      <c r="E247" t="inlineStr">
        <is>
          <t>Sha Sha - Shandaar Shawarma</t>
        </is>
      </c>
      <c r="F247" t="inlineStr">
        <is>
          <t>18557902</t>
        </is>
      </c>
      <c r="G247" t="inlineStr">
        <is>
          <t>30% off upto ₹75 (2025-06-25 - 2031-01-01)</t>
        </is>
      </c>
      <c r="H247" t="inlineStr">
        <is>
          <t>ONLINE</t>
        </is>
      </c>
      <c r="I247" t="inlineStr">
        <is>
          <t>DELIVERED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O2</t>
        </is>
      </c>
      <c r="N247" t="inlineStr">
        <is>
          <t>36</t>
        </is>
      </c>
      <c r="O247" t="n">
        <v>229</v>
      </c>
      <c r="P247" t="n">
        <v>3.5</v>
      </c>
      <c r="Q247" t="n">
        <v>0</v>
      </c>
      <c r="R247" t="n">
        <v>68.7</v>
      </c>
      <c r="S247" t="n">
        <v>0</v>
      </c>
      <c r="T247" t="n">
        <v>0</v>
      </c>
      <c r="U247" t="n">
        <v>0</v>
      </c>
      <c r="V247" t="n">
        <v>8.19</v>
      </c>
      <c r="W247" t="n">
        <v>171.99</v>
      </c>
      <c r="X247" t="n">
        <v>163.8</v>
      </c>
      <c r="Y247" t="n">
        <v>19</v>
      </c>
      <c r="Z247" t="n">
        <v>31.12</v>
      </c>
      <c r="AA247" t="n">
        <v>3.16</v>
      </c>
      <c r="AB247" t="n">
        <v>34.28</v>
      </c>
      <c r="AC247" t="n">
        <v>6.17</v>
      </c>
      <c r="AD247" t="n">
        <v>0</v>
      </c>
      <c r="AE247" t="n">
        <v>163.8</v>
      </c>
      <c r="AF247" t="n">
        <v>0</v>
      </c>
      <c r="AG247" t="n">
        <v>0</v>
      </c>
      <c r="AH247" t="n">
        <v>0.16</v>
      </c>
      <c r="AI247" t="n">
        <v>8.199999999999999</v>
      </c>
      <c r="AJ247" t="n">
        <v>-0.01</v>
      </c>
      <c r="AK247" t="n">
        <v>14.53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48.81</v>
      </c>
      <c r="AV247" t="n">
        <v>0</v>
      </c>
      <c r="AW247" t="n">
        <v>123.18</v>
      </c>
      <c r="AX247" t="inlineStr">
        <is>
          <t>settled</t>
        </is>
      </c>
      <c r="AY247" t="inlineStr">
        <is>
          <t>2025-12-10 05:30:00</t>
        </is>
      </c>
      <c r="AZ247" t="inlineStr">
        <is>
          <t>CITIN25668288188</t>
        </is>
      </c>
      <c r="BA247" t="n">
        <v>0</v>
      </c>
      <c r="BB247" t="inlineStr">
        <is>
          <t>0b471710a9fb7c7c12a8e90cd0e634516a6396a8561c554a9694e411ab54e0d9</t>
        </is>
      </c>
    </row>
    <row r="248">
      <c r="A248" t="inlineStr">
        <is>
          <t>243</t>
        </is>
      </c>
      <c r="B248" t="inlineStr">
        <is>
          <t>7551765330</t>
        </is>
      </c>
      <c r="C248" t="inlineStr">
        <is>
          <t>2025-12-05 23:42:11</t>
        </is>
      </c>
      <c r="D248" t="inlineStr">
        <is>
          <t>49</t>
        </is>
      </c>
      <c r="E248" t="inlineStr">
        <is>
          <t>Sha Sha - Shandaar Shawarma</t>
        </is>
      </c>
      <c r="F248" t="inlineStr">
        <is>
          <t>18557902</t>
        </is>
      </c>
      <c r="G248" t="inlineStr">
        <is>
          <t>30% off upto ₹75 (2025-06-25 - 2031-01-01)</t>
        </is>
      </c>
      <c r="H248" t="inlineStr">
        <is>
          <t>ONLINE</t>
        </is>
      </c>
      <c r="I248" t="inlineStr">
        <is>
          <t>DELIVERED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O2</t>
        </is>
      </c>
      <c r="N248" t="inlineStr">
        <is>
          <t>36</t>
        </is>
      </c>
      <c r="O248" t="n">
        <v>229</v>
      </c>
      <c r="P248" t="n">
        <v>3.5</v>
      </c>
      <c r="Q248" t="n">
        <v>0</v>
      </c>
      <c r="R248" t="n">
        <v>68.7</v>
      </c>
      <c r="S248" t="n">
        <v>0</v>
      </c>
      <c r="T248" t="n">
        <v>0</v>
      </c>
      <c r="U248" t="n">
        <v>0</v>
      </c>
      <c r="V248" t="n">
        <v>8.19</v>
      </c>
      <c r="W248" t="n">
        <v>171.99</v>
      </c>
      <c r="X248" t="n">
        <v>163.8</v>
      </c>
      <c r="Y248" t="n">
        <v>19</v>
      </c>
      <c r="Z248" t="n">
        <v>31.12</v>
      </c>
      <c r="AA248" t="n">
        <v>3.16</v>
      </c>
      <c r="AB248" t="n">
        <v>34.28</v>
      </c>
      <c r="AC248" t="n">
        <v>6.17</v>
      </c>
      <c r="AD248" t="n">
        <v>0</v>
      </c>
      <c r="AE248" t="n">
        <v>163.8</v>
      </c>
      <c r="AF248" t="n">
        <v>0</v>
      </c>
      <c r="AG248" t="n">
        <v>0</v>
      </c>
      <c r="AH248" t="n">
        <v>0.16</v>
      </c>
      <c r="AI248" t="n">
        <v>8.199999999999999</v>
      </c>
      <c r="AJ248" t="n">
        <v>-0.01</v>
      </c>
      <c r="AK248" t="n">
        <v>14.53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48.81</v>
      </c>
      <c r="AV248" t="n">
        <v>0</v>
      </c>
      <c r="AW248" t="n">
        <v>123.18</v>
      </c>
      <c r="AX248" t="inlineStr">
        <is>
          <t>settled</t>
        </is>
      </c>
      <c r="AY248" t="inlineStr">
        <is>
          <t>2025-12-10 05:30:00</t>
        </is>
      </c>
      <c r="AZ248" t="inlineStr">
        <is>
          <t>CITIN25668288188</t>
        </is>
      </c>
      <c r="BA248" t="n">
        <v>0</v>
      </c>
      <c r="BB248" t="inlineStr">
        <is>
          <t>442803b2597c904289a1b63ce2bf175aa58967f6ec8985f118a1505a2654c3d9</t>
        </is>
      </c>
    </row>
    <row r="249">
      <c r="A249" t="inlineStr">
        <is>
          <t>244</t>
        </is>
      </c>
      <c r="B249" t="inlineStr">
        <is>
          <t>7548841610</t>
        </is>
      </c>
      <c r="C249" t="inlineStr">
        <is>
          <t>2025-12-05 23:55:04</t>
        </is>
      </c>
      <c r="D249" t="inlineStr">
        <is>
          <t>49</t>
        </is>
      </c>
      <c r="E249" t="inlineStr">
        <is>
          <t>Sha Sha - Shandaar Shawarma</t>
        </is>
      </c>
      <c r="F249" t="inlineStr">
        <is>
          <t>18557902</t>
        </is>
      </c>
      <c r="G249" t="inlineStr">
        <is>
          <t>NA</t>
        </is>
      </c>
      <c r="H249" t="inlineStr">
        <is>
          <t>ONLINE</t>
        </is>
      </c>
      <c r="I249" t="inlineStr">
        <is>
          <t>DELIVERED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O2</t>
        </is>
      </c>
      <c r="N249" t="inlineStr">
        <is>
          <t>36</t>
        </is>
      </c>
      <c r="O249" t="n">
        <v>219</v>
      </c>
      <c r="P249" t="n">
        <v>3.5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11.13</v>
      </c>
      <c r="W249" t="n">
        <v>233.63</v>
      </c>
      <c r="X249" t="n">
        <v>222.5</v>
      </c>
      <c r="Y249" t="n">
        <v>19</v>
      </c>
      <c r="Z249" t="n">
        <v>42.28</v>
      </c>
      <c r="AA249" t="n">
        <v>4.3</v>
      </c>
      <c r="AB249" t="n">
        <v>46.58</v>
      </c>
      <c r="AC249" t="n">
        <v>8.380000000000001</v>
      </c>
      <c r="AD249" t="n">
        <v>0</v>
      </c>
      <c r="AE249" t="n">
        <v>222.5</v>
      </c>
      <c r="AF249" t="n">
        <v>0</v>
      </c>
      <c r="AG249" t="n">
        <v>0</v>
      </c>
      <c r="AH249" t="n">
        <v>0.22</v>
      </c>
      <c r="AI249" t="n">
        <v>11.13</v>
      </c>
      <c r="AJ249" t="n">
        <v>0</v>
      </c>
      <c r="AK249" t="n">
        <v>19.73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66.31</v>
      </c>
      <c r="AV249" t="n">
        <v>0</v>
      </c>
      <c r="AW249" t="n">
        <v>167.32</v>
      </c>
      <c r="AX249" t="inlineStr">
        <is>
          <t>settled</t>
        </is>
      </c>
      <c r="AY249" t="inlineStr">
        <is>
          <t>2025-12-10 05:30:00</t>
        </is>
      </c>
      <c r="AZ249" t="inlineStr">
        <is>
          <t>CITIN25668288188</t>
        </is>
      </c>
      <c r="BA249" t="n">
        <v>0</v>
      </c>
      <c r="BB249" t="inlineStr">
        <is>
          <t>746ad3e0fe752f18ce13f6a313553364dd262b3c13ed3d817c17dbf05408a38f</t>
        </is>
      </c>
    </row>
    <row r="250">
      <c r="A250" t="inlineStr">
        <is>
          <t>245</t>
        </is>
      </c>
      <c r="B250" t="inlineStr">
        <is>
          <t>7551264942</t>
        </is>
      </c>
      <c r="C250" t="inlineStr">
        <is>
          <t>2025-12-06 00:04:48</t>
        </is>
      </c>
      <c r="D250" t="inlineStr">
        <is>
          <t>49</t>
        </is>
      </c>
      <c r="E250" t="inlineStr">
        <is>
          <t>Sha Sha - Shandaar Shawarma</t>
        </is>
      </c>
      <c r="F250" t="inlineStr">
        <is>
          <t>18557902</t>
        </is>
      </c>
      <c r="G250" t="inlineStr">
        <is>
          <t>30% off upto ₹75 (2025-06-25 - 2031-01-01)</t>
        </is>
      </c>
      <c r="H250" t="inlineStr">
        <is>
          <t>ONLINE</t>
        </is>
      </c>
      <c r="I250" t="inlineStr">
        <is>
          <t>DELIVERED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O2</t>
        </is>
      </c>
      <c r="N250" t="inlineStr">
        <is>
          <t>36</t>
        </is>
      </c>
      <c r="O250" t="n">
        <v>345</v>
      </c>
      <c r="P250" t="n">
        <v>3.5</v>
      </c>
      <c r="Q250" t="n">
        <v>0</v>
      </c>
      <c r="R250" t="n">
        <v>75</v>
      </c>
      <c r="S250" t="n">
        <v>0</v>
      </c>
      <c r="T250" t="n">
        <v>0</v>
      </c>
      <c r="U250" t="n">
        <v>0</v>
      </c>
      <c r="V250" t="n">
        <v>13.68</v>
      </c>
      <c r="W250" t="n">
        <v>287.18</v>
      </c>
      <c r="X250" t="n">
        <v>273.5</v>
      </c>
      <c r="Y250" t="n">
        <v>19</v>
      </c>
      <c r="Z250" t="n">
        <v>51.96</v>
      </c>
      <c r="AA250" t="n">
        <v>5.28</v>
      </c>
      <c r="AB250" t="n">
        <v>57.24</v>
      </c>
      <c r="AC250" t="n">
        <v>10.3</v>
      </c>
      <c r="AD250" t="n">
        <v>0</v>
      </c>
      <c r="AE250" t="n">
        <v>273.5</v>
      </c>
      <c r="AF250" t="n">
        <v>0</v>
      </c>
      <c r="AG250" t="n">
        <v>0</v>
      </c>
      <c r="AH250" t="n">
        <v>0.27</v>
      </c>
      <c r="AI250" t="n">
        <v>13.68</v>
      </c>
      <c r="AJ250" t="n">
        <v>0</v>
      </c>
      <c r="AK250" t="n">
        <v>24.25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81.48999999999999</v>
      </c>
      <c r="AV250" t="n">
        <v>0</v>
      </c>
      <c r="AW250" t="n">
        <v>205.69</v>
      </c>
      <c r="AX250" t="inlineStr">
        <is>
          <t>settled</t>
        </is>
      </c>
      <c r="AY250" t="inlineStr">
        <is>
          <t>2025-12-10 05:30:00</t>
        </is>
      </c>
      <c r="AZ250" t="inlineStr">
        <is>
          <t>CITIN25668288188</t>
        </is>
      </c>
      <c r="BA250" t="n">
        <v>0</v>
      </c>
      <c r="BB250" t="inlineStr">
        <is>
          <t>97b4133bde4eb0767e9ce68171387ff49f31d258169b1f78ae8f5981ef069b25</t>
        </is>
      </c>
    </row>
    <row r="251">
      <c r="A251" t="inlineStr">
        <is>
          <t>246</t>
        </is>
      </c>
      <c r="B251" t="inlineStr">
        <is>
          <t>7544245344</t>
        </is>
      </c>
      <c r="C251" t="inlineStr">
        <is>
          <t>2025-12-06 00:24:09</t>
        </is>
      </c>
      <c r="D251" t="inlineStr">
        <is>
          <t>49</t>
        </is>
      </c>
      <c r="E251" t="inlineStr">
        <is>
          <t>Sha Sha - Shandaar Shawarma</t>
        </is>
      </c>
      <c r="F251" t="inlineStr">
        <is>
          <t>18557902</t>
        </is>
      </c>
      <c r="G251" t="inlineStr">
        <is>
          <t>30% off upto ₹75 (2025-06-25 - 2031-01-01)</t>
        </is>
      </c>
      <c r="H251" t="inlineStr">
        <is>
          <t>ONLINE</t>
        </is>
      </c>
      <c r="I251" t="inlineStr">
        <is>
          <t>DELIVERED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O2</t>
        </is>
      </c>
      <c r="N251" t="inlineStr">
        <is>
          <t>36</t>
        </is>
      </c>
      <c r="O251" t="n">
        <v>289</v>
      </c>
      <c r="P251" t="n">
        <v>3.5</v>
      </c>
      <c r="Q251" t="n">
        <v>0</v>
      </c>
      <c r="R251" t="n">
        <v>75</v>
      </c>
      <c r="S251" t="n">
        <v>0</v>
      </c>
      <c r="T251" t="n">
        <v>0</v>
      </c>
      <c r="U251" t="n">
        <v>0</v>
      </c>
      <c r="V251" t="n">
        <v>10.88</v>
      </c>
      <c r="W251" t="n">
        <v>228.38</v>
      </c>
      <c r="X251" t="n">
        <v>217.5</v>
      </c>
      <c r="Y251" t="n">
        <v>19</v>
      </c>
      <c r="Z251" t="n">
        <v>41.32</v>
      </c>
      <c r="AA251" t="n">
        <v>4.2</v>
      </c>
      <c r="AB251" t="n">
        <v>45.52</v>
      </c>
      <c r="AC251" t="n">
        <v>8.199999999999999</v>
      </c>
      <c r="AD251" t="n">
        <v>0</v>
      </c>
      <c r="AE251" t="n">
        <v>217.5</v>
      </c>
      <c r="AF251" t="n">
        <v>0</v>
      </c>
      <c r="AG251" t="n">
        <v>0</v>
      </c>
      <c r="AH251" t="n">
        <v>0.22</v>
      </c>
      <c r="AI251" t="n">
        <v>10.88</v>
      </c>
      <c r="AJ251" t="n">
        <v>0</v>
      </c>
      <c r="AK251" t="n">
        <v>19.3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64.81999999999999</v>
      </c>
      <c r="AV251" t="n">
        <v>0</v>
      </c>
      <c r="AW251" t="n">
        <v>163.56</v>
      </c>
      <c r="AX251" t="inlineStr">
        <is>
          <t>settled</t>
        </is>
      </c>
      <c r="AY251" t="inlineStr">
        <is>
          <t>2025-12-10 05:30:00</t>
        </is>
      </c>
      <c r="AZ251" t="inlineStr">
        <is>
          <t>CITIN25668288188</t>
        </is>
      </c>
      <c r="BA251" t="n">
        <v>0</v>
      </c>
      <c r="BB251" t="inlineStr">
        <is>
          <t>07923fa9f3448eafd264bc51d969488672562029895e1ee729e5a8f301ec3ead</t>
        </is>
      </c>
    </row>
    <row r="252">
      <c r="A252" t="inlineStr">
        <is>
          <t>247</t>
        </is>
      </c>
      <c r="B252" t="inlineStr">
        <is>
          <t>7546004217</t>
        </is>
      </c>
      <c r="C252" t="inlineStr">
        <is>
          <t>2025-12-06 00:28:52</t>
        </is>
      </c>
      <c r="D252" t="inlineStr">
        <is>
          <t>49</t>
        </is>
      </c>
      <c r="E252" t="inlineStr">
        <is>
          <t>Sha Sha - Shandaar Shawarma</t>
        </is>
      </c>
      <c r="F252" t="inlineStr">
        <is>
          <t>18557902</t>
        </is>
      </c>
      <c r="G252" t="inlineStr">
        <is>
          <t>30% off upto ₹75 (2025-06-25 - 2031-01-01)</t>
        </is>
      </c>
      <c r="H252" t="inlineStr">
        <is>
          <t>ONLINE</t>
        </is>
      </c>
      <c r="I252" t="inlineStr">
        <is>
          <t>DELIVERED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O2</t>
        </is>
      </c>
      <c r="N252" t="inlineStr">
        <is>
          <t>36</t>
        </is>
      </c>
      <c r="O252" t="n">
        <v>394</v>
      </c>
      <c r="P252" t="n">
        <v>3.5</v>
      </c>
      <c r="Q252" t="n">
        <v>0</v>
      </c>
      <c r="R252" t="n">
        <v>75</v>
      </c>
      <c r="S252" t="n">
        <v>0</v>
      </c>
      <c r="T252" t="n">
        <v>0</v>
      </c>
      <c r="U252" t="n">
        <v>0</v>
      </c>
      <c r="V252" t="n">
        <v>16.13</v>
      </c>
      <c r="W252" t="n">
        <v>338.63</v>
      </c>
      <c r="X252" t="n">
        <v>322.5</v>
      </c>
      <c r="Y252" t="n">
        <v>19</v>
      </c>
      <c r="Z252" t="n">
        <v>61.28</v>
      </c>
      <c r="AA252" t="n">
        <v>6.23</v>
      </c>
      <c r="AB252" t="n">
        <v>67.51000000000001</v>
      </c>
      <c r="AC252" t="n">
        <v>12.15</v>
      </c>
      <c r="AD252" t="n">
        <v>0</v>
      </c>
      <c r="AE252" t="n">
        <v>322.5</v>
      </c>
      <c r="AF252" t="n">
        <v>0</v>
      </c>
      <c r="AG252" t="n">
        <v>0</v>
      </c>
      <c r="AH252" t="n">
        <v>0.32</v>
      </c>
      <c r="AI252" t="n">
        <v>16.13</v>
      </c>
      <c r="AJ252" t="n">
        <v>0</v>
      </c>
      <c r="AK252" t="n">
        <v>28.6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96.11</v>
      </c>
      <c r="AV252" t="n">
        <v>0</v>
      </c>
      <c r="AW252" t="n">
        <v>242.52</v>
      </c>
      <c r="AX252" t="inlineStr">
        <is>
          <t>settled</t>
        </is>
      </c>
      <c r="AY252" t="inlineStr">
        <is>
          <t>2025-12-10 05:30:00</t>
        </is>
      </c>
      <c r="AZ252" t="inlineStr">
        <is>
          <t>CITIN25668288188</t>
        </is>
      </c>
      <c r="BA252" t="n">
        <v>0</v>
      </c>
      <c r="BB252" t="inlineStr">
        <is>
          <t>fe4913e34c8eff3b3a7e2aed9b00e2d1129ed32658ade026c390db8e60b0bef8</t>
        </is>
      </c>
    </row>
    <row r="253">
      <c r="A253" t="inlineStr">
        <is>
          <t>248</t>
        </is>
      </c>
      <c r="B253" t="inlineStr">
        <is>
          <t>7544994049</t>
        </is>
      </c>
      <c r="C253" t="inlineStr">
        <is>
          <t>2025-12-06 00:52:32</t>
        </is>
      </c>
      <c r="D253" t="inlineStr">
        <is>
          <t>49</t>
        </is>
      </c>
      <c r="E253" t="inlineStr">
        <is>
          <t>Sha Sha - Shandaar Shawarma</t>
        </is>
      </c>
      <c r="F253" t="inlineStr">
        <is>
          <t>18557902</t>
        </is>
      </c>
      <c r="G253" t="inlineStr">
        <is>
          <t>30% off upto ₹75 (2025-06-25 - 2031-01-01)</t>
        </is>
      </c>
      <c r="H253" t="inlineStr">
        <is>
          <t>ONLINE</t>
        </is>
      </c>
      <c r="I253" t="inlineStr">
        <is>
          <t>DELIVERED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O2</t>
        </is>
      </c>
      <c r="N253" t="inlineStr">
        <is>
          <t>36</t>
        </is>
      </c>
      <c r="O253" t="n">
        <v>448</v>
      </c>
      <c r="P253" t="n">
        <v>3.5</v>
      </c>
      <c r="Q253" t="n">
        <v>0</v>
      </c>
      <c r="R253" t="n">
        <v>75</v>
      </c>
      <c r="S253" t="n">
        <v>0</v>
      </c>
      <c r="T253" t="n">
        <v>0</v>
      </c>
      <c r="U253" t="n">
        <v>0</v>
      </c>
      <c r="V253" t="n">
        <v>18.83</v>
      </c>
      <c r="W253" t="n">
        <v>395.33</v>
      </c>
      <c r="X253" t="n">
        <v>376.5</v>
      </c>
      <c r="Y253" t="n">
        <v>19</v>
      </c>
      <c r="Z253" t="n">
        <v>71.54000000000001</v>
      </c>
      <c r="AA253" t="n">
        <v>7.27</v>
      </c>
      <c r="AB253" t="n">
        <v>78.81</v>
      </c>
      <c r="AC253" t="n">
        <v>14.19</v>
      </c>
      <c r="AD253" t="n">
        <v>0</v>
      </c>
      <c r="AE253" t="n">
        <v>376.5</v>
      </c>
      <c r="AF253" t="n">
        <v>0</v>
      </c>
      <c r="AG253" t="n">
        <v>0</v>
      </c>
      <c r="AH253" t="n">
        <v>0.38</v>
      </c>
      <c r="AI253" t="n">
        <v>18.83</v>
      </c>
      <c r="AJ253" t="n">
        <v>0</v>
      </c>
      <c r="AK253" t="n">
        <v>33.4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112.21</v>
      </c>
      <c r="AV253" t="n">
        <v>0</v>
      </c>
      <c r="AW253" t="n">
        <v>283.12</v>
      </c>
      <c r="AX253" t="inlineStr">
        <is>
          <t>settled</t>
        </is>
      </c>
      <c r="AY253" t="inlineStr">
        <is>
          <t>2025-12-10 05:30:00</t>
        </is>
      </c>
      <c r="AZ253" t="inlineStr">
        <is>
          <t>CITIN25668288188</t>
        </is>
      </c>
      <c r="BA253" t="n">
        <v>0</v>
      </c>
      <c r="BB253" t="inlineStr">
        <is>
          <t>289d1d22a064db9587f5b112ccc8efd2c795587376cc0fb78b7c205f5ba23a60</t>
        </is>
      </c>
    </row>
    <row r="254">
      <c r="A254" t="inlineStr">
        <is>
          <t>249</t>
        </is>
      </c>
      <c r="B254" t="inlineStr">
        <is>
          <t>7552859462</t>
        </is>
      </c>
      <c r="C254" t="inlineStr">
        <is>
          <t>2025-12-06 01:07:20</t>
        </is>
      </c>
      <c r="D254" t="inlineStr">
        <is>
          <t>49</t>
        </is>
      </c>
      <c r="E254" t="inlineStr">
        <is>
          <t>Sha Sha - Shandaar Shawarma</t>
        </is>
      </c>
      <c r="F254" t="inlineStr">
        <is>
          <t>18557902</t>
        </is>
      </c>
      <c r="G254" t="inlineStr">
        <is>
          <t>NA</t>
        </is>
      </c>
      <c r="H254" t="inlineStr">
        <is>
          <t>ONLINE</t>
        </is>
      </c>
      <c r="I254" t="inlineStr">
        <is>
          <t>DELIVERED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O2</t>
        </is>
      </c>
      <c r="N254" t="inlineStr">
        <is>
          <t>36</t>
        </is>
      </c>
      <c r="O254" t="n">
        <v>219</v>
      </c>
      <c r="P254" t="n">
        <v>3.5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11.13</v>
      </c>
      <c r="W254" t="n">
        <v>233.63</v>
      </c>
      <c r="X254" t="n">
        <v>222.5</v>
      </c>
      <c r="Y254" t="n">
        <v>19</v>
      </c>
      <c r="Z254" t="n">
        <v>42.28</v>
      </c>
      <c r="AA254" t="n">
        <v>4.3</v>
      </c>
      <c r="AB254" t="n">
        <v>46.58</v>
      </c>
      <c r="AC254" t="n">
        <v>8.380000000000001</v>
      </c>
      <c r="AD254" t="n">
        <v>0</v>
      </c>
      <c r="AE254" t="n">
        <v>222.5</v>
      </c>
      <c r="AF254" t="n">
        <v>0</v>
      </c>
      <c r="AG254" t="n">
        <v>0</v>
      </c>
      <c r="AH254" t="n">
        <v>0.22</v>
      </c>
      <c r="AI254" t="n">
        <v>11.13</v>
      </c>
      <c r="AJ254" t="n">
        <v>0</v>
      </c>
      <c r="AK254" t="n">
        <v>19.73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66.31</v>
      </c>
      <c r="AV254" t="n">
        <v>0</v>
      </c>
      <c r="AW254" t="n">
        <v>167.32</v>
      </c>
      <c r="AX254" t="inlineStr">
        <is>
          <t>settled</t>
        </is>
      </c>
      <c r="AY254" t="inlineStr">
        <is>
          <t>2025-12-10 05:30:00</t>
        </is>
      </c>
      <c r="AZ254" t="inlineStr">
        <is>
          <t>CITIN25668288188</t>
        </is>
      </c>
      <c r="BA254" t="n">
        <v>0</v>
      </c>
      <c r="BB254" t="inlineStr">
        <is>
          <t>408a7e8f021f8b02fd712675d8bc4efdb045fde4d2a749dd2bf8158a720ef105</t>
        </is>
      </c>
    </row>
    <row r="255">
      <c r="A255" t="inlineStr">
        <is>
          <t>250</t>
        </is>
      </c>
      <c r="B255" t="inlineStr">
        <is>
          <t>7550645047</t>
        </is>
      </c>
      <c r="C255" t="inlineStr">
        <is>
          <t>2025-12-06 01:08:05</t>
        </is>
      </c>
      <c r="D255" t="inlineStr">
        <is>
          <t>49</t>
        </is>
      </c>
      <c r="E255" t="inlineStr">
        <is>
          <t>Sha Sha - Shandaar Shawarma</t>
        </is>
      </c>
      <c r="F255" t="inlineStr">
        <is>
          <t>18557902</t>
        </is>
      </c>
      <c r="G255" t="inlineStr">
        <is>
          <t>NA</t>
        </is>
      </c>
      <c r="H255" t="inlineStr">
        <is>
          <t>ONLINE</t>
        </is>
      </c>
      <c r="I255" t="inlineStr">
        <is>
          <t>DELIVERED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O2</t>
        </is>
      </c>
      <c r="N255" t="inlineStr">
        <is>
          <t>36</t>
        </is>
      </c>
      <c r="O255" t="n">
        <v>448</v>
      </c>
      <c r="P255" t="n">
        <v>3.5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22.58</v>
      </c>
      <c r="W255" t="n">
        <v>474.08</v>
      </c>
      <c r="X255" t="n">
        <v>451.5</v>
      </c>
      <c r="Y255" t="n">
        <v>19</v>
      </c>
      <c r="Z255" t="n">
        <v>85.78</v>
      </c>
      <c r="AA255" t="n">
        <v>8.720000000000001</v>
      </c>
      <c r="AB255" t="n">
        <v>94.5</v>
      </c>
      <c r="AC255" t="n">
        <v>17.01</v>
      </c>
      <c r="AD255" t="n">
        <v>0</v>
      </c>
      <c r="AE255" t="n">
        <v>451.5</v>
      </c>
      <c r="AF255" t="n">
        <v>0</v>
      </c>
      <c r="AG255" t="n">
        <v>0</v>
      </c>
      <c r="AH255" t="n">
        <v>0.45</v>
      </c>
      <c r="AI255" t="n">
        <v>22.58</v>
      </c>
      <c r="AJ255" t="n">
        <v>0</v>
      </c>
      <c r="AK255" t="n">
        <v>40.04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134.54</v>
      </c>
      <c r="AV255" t="n">
        <v>0</v>
      </c>
      <c r="AW255" t="n">
        <v>339.54</v>
      </c>
      <c r="AX255" t="inlineStr">
        <is>
          <t>settled</t>
        </is>
      </c>
      <c r="AY255" t="inlineStr">
        <is>
          <t>2025-12-10 05:30:00</t>
        </is>
      </c>
      <c r="AZ255" t="inlineStr">
        <is>
          <t>CITIN25668288188</t>
        </is>
      </c>
      <c r="BA255" t="n">
        <v>0</v>
      </c>
      <c r="BB255" t="inlineStr">
        <is>
          <t>c8f9aeeef49416365dda5f14b56fd091669a441c17e282291bcbfe61449a1b9c</t>
        </is>
      </c>
    </row>
    <row r="256">
      <c r="A256" t="inlineStr">
        <is>
          <t>251</t>
        </is>
      </c>
      <c r="B256" t="inlineStr">
        <is>
          <t>7544466367</t>
        </is>
      </c>
      <c r="C256" t="inlineStr">
        <is>
          <t>2025-12-06 01:21:33</t>
        </is>
      </c>
      <c r="D256" t="inlineStr">
        <is>
          <t>49</t>
        </is>
      </c>
      <c r="E256" t="inlineStr">
        <is>
          <t>Sha Sha - Shandaar Shawarma</t>
        </is>
      </c>
      <c r="F256" t="inlineStr">
        <is>
          <t>18557902</t>
        </is>
      </c>
      <c r="G256" t="inlineStr">
        <is>
          <t>30% off upto ₹75 (2025-06-25 - 2031-01-01)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O2</t>
        </is>
      </c>
      <c r="N256" t="inlineStr">
        <is>
          <t>36</t>
        </is>
      </c>
      <c r="O256" t="n">
        <v>229</v>
      </c>
      <c r="P256" t="n">
        <v>3.5</v>
      </c>
      <c r="Q256" t="n">
        <v>0</v>
      </c>
      <c r="R256" t="n">
        <v>68.7</v>
      </c>
      <c r="S256" t="n">
        <v>0</v>
      </c>
      <c r="T256" t="n">
        <v>0</v>
      </c>
      <c r="U256" t="n">
        <v>0</v>
      </c>
      <c r="V256" t="n">
        <v>8.19</v>
      </c>
      <c r="W256" t="n">
        <v>171.99</v>
      </c>
      <c r="X256" t="n">
        <v>163.8</v>
      </c>
      <c r="Y256" t="n">
        <v>19</v>
      </c>
      <c r="Z256" t="n">
        <v>31.12</v>
      </c>
      <c r="AA256" t="n">
        <v>3.16</v>
      </c>
      <c r="AB256" t="n">
        <v>34.28</v>
      </c>
      <c r="AC256" t="n">
        <v>6.17</v>
      </c>
      <c r="AD256" t="n">
        <v>0</v>
      </c>
      <c r="AE256" t="n">
        <v>163.8</v>
      </c>
      <c r="AF256" t="n">
        <v>0</v>
      </c>
      <c r="AG256" t="n">
        <v>0</v>
      </c>
      <c r="AH256" t="n">
        <v>0.16</v>
      </c>
      <c r="AI256" t="n">
        <v>8.199999999999999</v>
      </c>
      <c r="AJ256" t="n">
        <v>-0.01</v>
      </c>
      <c r="AK256" t="n">
        <v>14.53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48.81</v>
      </c>
      <c r="AV256" t="n">
        <v>0</v>
      </c>
      <c r="AW256" t="n">
        <v>123.18</v>
      </c>
      <c r="AX256" t="inlineStr">
        <is>
          <t>settled</t>
        </is>
      </c>
      <c r="AY256" t="inlineStr">
        <is>
          <t>2025-12-10 05:30:00</t>
        </is>
      </c>
      <c r="AZ256" t="inlineStr">
        <is>
          <t>CITIN25668288188</t>
        </is>
      </c>
      <c r="BA256" t="n">
        <v>0</v>
      </c>
      <c r="BB256" t="inlineStr">
        <is>
          <t>1608d4358c94fb8e26724d2ab45a784e1e69eb546a1d67ff4661d38d70da1850</t>
        </is>
      </c>
    </row>
    <row r="257">
      <c r="A257" t="inlineStr">
        <is>
          <t>252</t>
        </is>
      </c>
      <c r="B257" t="inlineStr">
        <is>
          <t>7544592160</t>
        </is>
      </c>
      <c r="C257" t="inlineStr">
        <is>
          <t>2025-12-06 01:29:31</t>
        </is>
      </c>
      <c r="D257" t="inlineStr">
        <is>
          <t>49</t>
        </is>
      </c>
      <c r="E257" t="inlineStr">
        <is>
          <t>Sha Sha - Shandaar Shawarma</t>
        </is>
      </c>
      <c r="F257" t="inlineStr">
        <is>
          <t>18557902</t>
        </is>
      </c>
      <c r="G257" t="inlineStr">
        <is>
          <t>30% off upto ₹75 (2025-06-25 - 2031-01-01)</t>
        </is>
      </c>
      <c r="H257" t="inlineStr">
        <is>
          <t>ONLINE</t>
        </is>
      </c>
      <c r="I257" t="inlineStr">
        <is>
          <t>DELIVERED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O2</t>
        </is>
      </c>
      <c r="N257" t="inlineStr">
        <is>
          <t>36</t>
        </is>
      </c>
      <c r="O257" t="n">
        <v>219</v>
      </c>
      <c r="P257" t="n">
        <v>3.5</v>
      </c>
      <c r="Q257" t="n">
        <v>0</v>
      </c>
      <c r="R257" t="n">
        <v>65.7</v>
      </c>
      <c r="S257" t="n">
        <v>0</v>
      </c>
      <c r="T257" t="n">
        <v>0</v>
      </c>
      <c r="U257" t="n">
        <v>0</v>
      </c>
      <c r="V257" t="n">
        <v>7.84</v>
      </c>
      <c r="W257" t="n">
        <v>164.64</v>
      </c>
      <c r="X257" t="n">
        <v>156.8</v>
      </c>
      <c r="Y257" t="n">
        <v>19</v>
      </c>
      <c r="Z257" t="n">
        <v>29.79</v>
      </c>
      <c r="AA257" t="n">
        <v>3.03</v>
      </c>
      <c r="AB257" t="n">
        <v>32.82</v>
      </c>
      <c r="AC257" t="n">
        <v>5.91</v>
      </c>
      <c r="AD257" t="n">
        <v>0</v>
      </c>
      <c r="AE257" t="n">
        <v>156.8</v>
      </c>
      <c r="AF257" t="n">
        <v>0</v>
      </c>
      <c r="AG257" t="n">
        <v>0</v>
      </c>
      <c r="AH257" t="n">
        <v>0.16</v>
      </c>
      <c r="AI257" t="n">
        <v>7.85</v>
      </c>
      <c r="AJ257" t="n">
        <v>-0.01</v>
      </c>
      <c r="AK257" t="n">
        <v>13.92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46.74</v>
      </c>
      <c r="AV257" t="n">
        <v>0</v>
      </c>
      <c r="AW257" t="n">
        <v>117.9</v>
      </c>
      <c r="AX257" t="inlineStr">
        <is>
          <t>settled</t>
        </is>
      </c>
      <c r="AY257" t="inlineStr">
        <is>
          <t>2025-12-10 05:30:00</t>
        </is>
      </c>
      <c r="AZ257" t="inlineStr">
        <is>
          <t>CITIN25668288188</t>
        </is>
      </c>
      <c r="BA257" t="n">
        <v>0</v>
      </c>
      <c r="BB257" t="inlineStr">
        <is>
          <t>827ae6b419f83241cd747769701b52ee26422320c1b38ccd02a02ec848163a4a</t>
        </is>
      </c>
    </row>
    <row r="258">
      <c r="A258" t="inlineStr">
        <is>
          <t>253</t>
        </is>
      </c>
      <c r="B258" t="inlineStr">
        <is>
          <t>7551819099</t>
        </is>
      </c>
      <c r="C258" t="inlineStr">
        <is>
          <t>2025-12-06 01:53:34</t>
        </is>
      </c>
      <c r="D258" t="inlineStr">
        <is>
          <t>49</t>
        </is>
      </c>
      <c r="E258" t="inlineStr">
        <is>
          <t>Sha Sha - Shandaar Shawarma</t>
        </is>
      </c>
      <c r="F258" t="inlineStr">
        <is>
          <t>18557902</t>
        </is>
      </c>
      <c r="G258" t="inlineStr">
        <is>
          <t>30% off upto ₹75 (2025-06-25 - 2031-01-01)</t>
        </is>
      </c>
      <c r="H258" t="inlineStr">
        <is>
          <t>ONLINE</t>
        </is>
      </c>
      <c r="I258" t="inlineStr">
        <is>
          <t>DELIVERED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O2</t>
        </is>
      </c>
      <c r="N258" t="inlineStr">
        <is>
          <t>36</t>
        </is>
      </c>
      <c r="O258" t="n">
        <v>355</v>
      </c>
      <c r="P258" t="n">
        <v>3.5</v>
      </c>
      <c r="Q258" t="n">
        <v>0</v>
      </c>
      <c r="R258" t="n">
        <v>75</v>
      </c>
      <c r="S258" t="n">
        <v>0</v>
      </c>
      <c r="T258" t="n">
        <v>0</v>
      </c>
      <c r="U258" t="n">
        <v>0</v>
      </c>
      <c r="V258" t="n">
        <v>14.18</v>
      </c>
      <c r="W258" t="n">
        <v>297.68</v>
      </c>
      <c r="X258" t="n">
        <v>283.5</v>
      </c>
      <c r="Y258" t="n">
        <v>19</v>
      </c>
      <c r="Z258" t="n">
        <v>53.86</v>
      </c>
      <c r="AA258" t="n">
        <v>5.48</v>
      </c>
      <c r="AB258" t="n">
        <v>59.34</v>
      </c>
      <c r="AC258" t="n">
        <v>10.68</v>
      </c>
      <c r="AD258" t="n">
        <v>0</v>
      </c>
      <c r="AE258" t="n">
        <v>283.5</v>
      </c>
      <c r="AF258" t="n">
        <v>0</v>
      </c>
      <c r="AG258" t="n">
        <v>0</v>
      </c>
      <c r="AH258" t="n">
        <v>0.28</v>
      </c>
      <c r="AI258" t="n">
        <v>14.18</v>
      </c>
      <c r="AJ258" t="n">
        <v>0</v>
      </c>
      <c r="AK258" t="n">
        <v>25.14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84.48</v>
      </c>
      <c r="AV258" t="n">
        <v>0</v>
      </c>
      <c r="AW258" t="n">
        <v>213.2</v>
      </c>
      <c r="AX258" t="inlineStr">
        <is>
          <t>settled</t>
        </is>
      </c>
      <c r="AY258" t="inlineStr">
        <is>
          <t>2025-12-10 05:30:00</t>
        </is>
      </c>
      <c r="AZ258" t="inlineStr">
        <is>
          <t>CITIN25668288188</t>
        </is>
      </c>
      <c r="BA258" t="n">
        <v>0</v>
      </c>
      <c r="BB258" t="inlineStr">
        <is>
          <t>c234766eb0b94f6ed6607bd12b69e5b2322b1ad4ec02614d904c242e1681169a</t>
        </is>
      </c>
    </row>
    <row r="259">
      <c r="A259" t="inlineStr">
        <is>
          <t>254</t>
        </is>
      </c>
      <c r="B259" t="inlineStr">
        <is>
          <t>7551987758</t>
        </is>
      </c>
      <c r="C259" t="inlineStr">
        <is>
          <t>2025-12-06 01:58:28</t>
        </is>
      </c>
      <c r="D259" t="inlineStr">
        <is>
          <t>49</t>
        </is>
      </c>
      <c r="E259" t="inlineStr">
        <is>
          <t>Sha Sha - Shandaar Shawarma</t>
        </is>
      </c>
      <c r="F259" t="inlineStr">
        <is>
          <t>18557902</t>
        </is>
      </c>
      <c r="G259" t="inlineStr">
        <is>
          <t>30% off upto ₹75 (2025-06-25 - 2031-01-01)</t>
        </is>
      </c>
      <c r="H259" t="inlineStr">
        <is>
          <t>ONLINE</t>
        </is>
      </c>
      <c r="I259" t="inlineStr">
        <is>
          <t>DELIVERED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O2</t>
        </is>
      </c>
      <c r="N259" t="inlineStr">
        <is>
          <t>36</t>
        </is>
      </c>
      <c r="O259" t="n">
        <v>497</v>
      </c>
      <c r="P259" t="n">
        <v>3.5</v>
      </c>
      <c r="Q259" t="n">
        <v>0</v>
      </c>
      <c r="R259" t="n">
        <v>75</v>
      </c>
      <c r="S259" t="n">
        <v>0</v>
      </c>
      <c r="T259" t="n">
        <v>0</v>
      </c>
      <c r="U259" t="n">
        <v>0</v>
      </c>
      <c r="V259" t="n">
        <v>21.28</v>
      </c>
      <c r="W259" t="n">
        <v>446.78</v>
      </c>
      <c r="X259" t="n">
        <v>425.5</v>
      </c>
      <c r="Y259" t="n">
        <v>19</v>
      </c>
      <c r="Z259" t="n">
        <v>80.84</v>
      </c>
      <c r="AA259" t="n">
        <v>8.220000000000001</v>
      </c>
      <c r="AB259" t="n">
        <v>89.06</v>
      </c>
      <c r="AC259" t="n">
        <v>16.03</v>
      </c>
      <c r="AD259" t="n">
        <v>0</v>
      </c>
      <c r="AE259" t="n">
        <v>425.5</v>
      </c>
      <c r="AF259" t="n">
        <v>0</v>
      </c>
      <c r="AG259" t="n">
        <v>0</v>
      </c>
      <c r="AH259" t="n">
        <v>0.43</v>
      </c>
      <c r="AI259" t="n">
        <v>21.28</v>
      </c>
      <c r="AJ259" t="n">
        <v>0</v>
      </c>
      <c r="AK259" t="n">
        <v>37.74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126.8</v>
      </c>
      <c r="AV259" t="n">
        <v>0</v>
      </c>
      <c r="AW259" t="n">
        <v>319.98</v>
      </c>
      <c r="AX259" t="inlineStr">
        <is>
          <t>settled</t>
        </is>
      </c>
      <c r="AY259" t="inlineStr">
        <is>
          <t>2025-12-10 05:30:00</t>
        </is>
      </c>
      <c r="AZ259" t="inlineStr">
        <is>
          <t>CITIN25668288188</t>
        </is>
      </c>
      <c r="BA259" t="n">
        <v>0</v>
      </c>
      <c r="BB259" t="inlineStr">
        <is>
          <t>0463db40bb63a08064817d7ba1f2eb228dc3a555e4caa9e74eafecedbb5ddc63</t>
        </is>
      </c>
    </row>
    <row r="260">
      <c r="A260" t="inlineStr">
        <is>
          <t>255</t>
        </is>
      </c>
      <c r="B260" t="inlineStr">
        <is>
          <t>7551514266</t>
        </is>
      </c>
      <c r="C260" t="inlineStr">
        <is>
          <t>2025-12-06 02:23:59</t>
        </is>
      </c>
      <c r="D260" t="inlineStr">
        <is>
          <t>49</t>
        </is>
      </c>
      <c r="E260" t="inlineStr">
        <is>
          <t>Sha Sha - Shandaar Shawarma</t>
        </is>
      </c>
      <c r="F260" t="inlineStr">
        <is>
          <t>18557902</t>
        </is>
      </c>
      <c r="G260" t="inlineStr">
        <is>
          <t>30% off upto ₹75 (2025-06-25 - 2031-01-01)</t>
        </is>
      </c>
      <c r="H260" t="inlineStr">
        <is>
          <t>ONLINE</t>
        </is>
      </c>
      <c r="I260" t="inlineStr">
        <is>
          <t>DELIVERED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O2</t>
        </is>
      </c>
      <c r="N260" t="inlineStr">
        <is>
          <t>36</t>
        </is>
      </c>
      <c r="O260" t="n">
        <v>438</v>
      </c>
      <c r="P260" t="n">
        <v>3.5</v>
      </c>
      <c r="Q260" t="n">
        <v>0</v>
      </c>
      <c r="R260" t="n">
        <v>75</v>
      </c>
      <c r="S260" t="n">
        <v>0</v>
      </c>
      <c r="T260" t="n">
        <v>0</v>
      </c>
      <c r="U260" t="n">
        <v>0</v>
      </c>
      <c r="V260" t="n">
        <v>18.33</v>
      </c>
      <c r="W260" t="n">
        <v>384.83</v>
      </c>
      <c r="X260" t="n">
        <v>366.5</v>
      </c>
      <c r="Y260" t="n">
        <v>19</v>
      </c>
      <c r="Z260" t="n">
        <v>69.64</v>
      </c>
      <c r="AA260" t="n">
        <v>7.08</v>
      </c>
      <c r="AB260" t="n">
        <v>76.72</v>
      </c>
      <c r="AC260" t="n">
        <v>13.81</v>
      </c>
      <c r="AD260" t="n">
        <v>0</v>
      </c>
      <c r="AE260" t="n">
        <v>366.5</v>
      </c>
      <c r="AF260" t="n">
        <v>0</v>
      </c>
      <c r="AG260" t="n">
        <v>0</v>
      </c>
      <c r="AH260" t="n">
        <v>0.37</v>
      </c>
      <c r="AI260" t="n">
        <v>18.33</v>
      </c>
      <c r="AJ260" t="n">
        <v>0</v>
      </c>
      <c r="AK260" t="n">
        <v>32.51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109.23</v>
      </c>
      <c r="AV260" t="n">
        <v>0</v>
      </c>
      <c r="AW260" t="n">
        <v>275.6</v>
      </c>
      <c r="AX260" t="inlineStr">
        <is>
          <t>settled</t>
        </is>
      </c>
      <c r="AY260" t="inlineStr">
        <is>
          <t>2025-12-10 05:30:00</t>
        </is>
      </c>
      <c r="AZ260" t="inlineStr">
        <is>
          <t>CITIN25668288188</t>
        </is>
      </c>
      <c r="BA260" t="n">
        <v>0</v>
      </c>
      <c r="BB260" t="inlineStr">
        <is>
          <t>37efe5945b4cffd6c031ecc99210473baf14b9a93ab624bb5793d9c26d002fa4</t>
        </is>
      </c>
    </row>
    <row r="261">
      <c r="A261" t="inlineStr">
        <is>
          <t>256</t>
        </is>
      </c>
      <c r="B261" t="inlineStr">
        <is>
          <t>7540792602</t>
        </is>
      </c>
      <c r="C261" t="inlineStr">
        <is>
          <t>2025-12-06 02:24:23</t>
        </is>
      </c>
      <c r="D261" t="inlineStr">
        <is>
          <t>49</t>
        </is>
      </c>
      <c r="E261" t="inlineStr">
        <is>
          <t>Sha Sha - Shandaar Shawarma</t>
        </is>
      </c>
      <c r="F261" t="inlineStr">
        <is>
          <t>18557902</t>
        </is>
      </c>
      <c r="G261" t="inlineStr">
        <is>
          <t>30% off upto ₹75 (2025-06-25 - 2031-01-01)</t>
        </is>
      </c>
      <c r="H261" t="inlineStr">
        <is>
          <t>ONLINE</t>
        </is>
      </c>
      <c r="I261" t="inlineStr">
        <is>
          <t>DELIVERED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O2</t>
        </is>
      </c>
      <c r="N261" t="inlineStr">
        <is>
          <t>36</t>
        </is>
      </c>
      <c r="O261" t="n">
        <v>916</v>
      </c>
      <c r="P261" t="n">
        <v>3.5</v>
      </c>
      <c r="Q261" t="n">
        <v>0</v>
      </c>
      <c r="R261" t="n">
        <v>75</v>
      </c>
      <c r="S261" t="n">
        <v>0</v>
      </c>
      <c r="T261" t="n">
        <v>0</v>
      </c>
      <c r="U261" t="n">
        <v>0</v>
      </c>
      <c r="V261" t="n">
        <v>42.23</v>
      </c>
      <c r="W261" t="n">
        <v>886.73</v>
      </c>
      <c r="X261" t="n">
        <v>844.5</v>
      </c>
      <c r="Y261" t="n">
        <v>19</v>
      </c>
      <c r="Z261" t="n">
        <v>160.46</v>
      </c>
      <c r="AA261" t="n">
        <v>16.32</v>
      </c>
      <c r="AB261" t="n">
        <v>176.78</v>
      </c>
      <c r="AC261" t="n">
        <v>31.82</v>
      </c>
      <c r="AD261" t="n">
        <v>0</v>
      </c>
      <c r="AE261" t="n">
        <v>844.5</v>
      </c>
      <c r="AF261" t="n">
        <v>0</v>
      </c>
      <c r="AG261" t="n">
        <v>0</v>
      </c>
      <c r="AH261" t="n">
        <v>0.84</v>
      </c>
      <c r="AI261" t="n">
        <v>42.23</v>
      </c>
      <c r="AJ261" t="n">
        <v>0</v>
      </c>
      <c r="AK261" t="n">
        <v>74.89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251.67</v>
      </c>
      <c r="AV261" t="n">
        <v>0</v>
      </c>
      <c r="AW261" t="n">
        <v>635.0599999999999</v>
      </c>
      <c r="AX261" t="inlineStr">
        <is>
          <t>settled</t>
        </is>
      </c>
      <c r="AY261" t="inlineStr">
        <is>
          <t>2025-12-10 05:30:00</t>
        </is>
      </c>
      <c r="AZ261" t="inlineStr">
        <is>
          <t>CITIN25668288188</t>
        </is>
      </c>
      <c r="BA261" t="n">
        <v>0</v>
      </c>
      <c r="BB261" t="inlineStr">
        <is>
          <t>ae174d82a2e5865525893d004b38cc9e6a47ea71a265ad48b5bc86a66b7d5950</t>
        </is>
      </c>
    </row>
    <row r="262">
      <c r="A262" t="inlineStr">
        <is>
          <t>257</t>
        </is>
      </c>
      <c r="B262" t="inlineStr">
        <is>
          <t>7551119282</t>
        </is>
      </c>
      <c r="C262" t="inlineStr">
        <is>
          <t>2025-12-06 02:39:33</t>
        </is>
      </c>
      <c r="D262" t="inlineStr">
        <is>
          <t>49</t>
        </is>
      </c>
      <c r="E262" t="inlineStr">
        <is>
          <t>Sha Sha - Shandaar Shawarma</t>
        </is>
      </c>
      <c r="F262" t="inlineStr">
        <is>
          <t>18557902</t>
        </is>
      </c>
      <c r="G262" t="inlineStr">
        <is>
          <t>30% off upto ₹75 (2025-06-25 - 2031-01-01)</t>
        </is>
      </c>
      <c r="H262" t="inlineStr">
        <is>
          <t>ONLINE</t>
        </is>
      </c>
      <c r="I262" t="inlineStr">
        <is>
          <t>DELIVERED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O2</t>
        </is>
      </c>
      <c r="N262" t="inlineStr">
        <is>
          <t>36</t>
        </is>
      </c>
      <c r="O262" t="n">
        <v>229</v>
      </c>
      <c r="P262" t="n">
        <v>3.5</v>
      </c>
      <c r="Q262" t="n">
        <v>0</v>
      </c>
      <c r="R262" t="n">
        <v>68.7</v>
      </c>
      <c r="S262" t="n">
        <v>0</v>
      </c>
      <c r="T262" t="n">
        <v>0</v>
      </c>
      <c r="U262" t="n">
        <v>0</v>
      </c>
      <c r="V262" t="n">
        <v>8.19</v>
      </c>
      <c r="W262" t="n">
        <v>171.99</v>
      </c>
      <c r="X262" t="n">
        <v>163.8</v>
      </c>
      <c r="Y262" t="n">
        <v>19</v>
      </c>
      <c r="Z262" t="n">
        <v>31.12</v>
      </c>
      <c r="AA262" t="n">
        <v>3.16</v>
      </c>
      <c r="AB262" t="n">
        <v>34.28</v>
      </c>
      <c r="AC262" t="n">
        <v>6.17</v>
      </c>
      <c r="AD262" t="n">
        <v>0</v>
      </c>
      <c r="AE262" t="n">
        <v>163.8</v>
      </c>
      <c r="AF262" t="n">
        <v>0</v>
      </c>
      <c r="AG262" t="n">
        <v>0</v>
      </c>
      <c r="AH262" t="n">
        <v>0.16</v>
      </c>
      <c r="AI262" t="n">
        <v>8.199999999999999</v>
      </c>
      <c r="AJ262" t="n">
        <v>-0.01</v>
      </c>
      <c r="AK262" t="n">
        <v>14.53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48.81</v>
      </c>
      <c r="AV262" t="n">
        <v>0</v>
      </c>
      <c r="AW262" t="n">
        <v>123.18</v>
      </c>
      <c r="AX262" t="inlineStr">
        <is>
          <t>settled</t>
        </is>
      </c>
      <c r="AY262" t="inlineStr">
        <is>
          <t>2025-12-10 05:30:00</t>
        </is>
      </c>
      <c r="AZ262" t="inlineStr">
        <is>
          <t>CITIN25668288188</t>
        </is>
      </c>
      <c r="BA262" t="n">
        <v>0</v>
      </c>
      <c r="BB262" t="inlineStr">
        <is>
          <t>e723b49338c3e18a3b1528e45ce5929fe25f8b749b27bf8972c1cb022f5c9540</t>
        </is>
      </c>
    </row>
    <row r="263">
      <c r="A263" t="inlineStr">
        <is>
          <t>258</t>
        </is>
      </c>
      <c r="B263" t="inlineStr">
        <is>
          <t>7551516273</t>
        </is>
      </c>
      <c r="C263" t="inlineStr">
        <is>
          <t>2025-12-06 02:54:44</t>
        </is>
      </c>
      <c r="D263" t="inlineStr">
        <is>
          <t>49</t>
        </is>
      </c>
      <c r="E263" t="inlineStr">
        <is>
          <t>Sha Sha - Shandaar Shawarma</t>
        </is>
      </c>
      <c r="F263" t="inlineStr">
        <is>
          <t>18557902</t>
        </is>
      </c>
      <c r="G263" t="inlineStr">
        <is>
          <t>NA</t>
        </is>
      </c>
      <c r="H263" t="inlineStr">
        <is>
          <t>ONLINE</t>
        </is>
      </c>
      <c r="I263" t="inlineStr">
        <is>
          <t>DELIVERED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O2</t>
        </is>
      </c>
      <c r="N263" t="inlineStr">
        <is>
          <t>36</t>
        </is>
      </c>
      <c r="O263" t="n">
        <v>229</v>
      </c>
      <c r="P263" t="n">
        <v>3.5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11.63</v>
      </c>
      <c r="W263" t="n">
        <v>244.13</v>
      </c>
      <c r="X263" t="n">
        <v>232.5</v>
      </c>
      <c r="Y263" t="n">
        <v>19</v>
      </c>
      <c r="Z263" t="n">
        <v>44.18</v>
      </c>
      <c r="AA263" t="n">
        <v>4.49</v>
      </c>
      <c r="AB263" t="n">
        <v>48.67</v>
      </c>
      <c r="AC263" t="n">
        <v>8.76</v>
      </c>
      <c r="AD263" t="n">
        <v>0</v>
      </c>
      <c r="AE263" t="n">
        <v>232.5</v>
      </c>
      <c r="AF263" t="n">
        <v>0</v>
      </c>
      <c r="AG263" t="n">
        <v>0</v>
      </c>
      <c r="AH263" t="n">
        <v>0.23</v>
      </c>
      <c r="AI263" t="n">
        <v>11.63</v>
      </c>
      <c r="AJ263" t="n">
        <v>0</v>
      </c>
      <c r="AK263" t="n">
        <v>20.62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69.29000000000001</v>
      </c>
      <c r="AV263" t="n">
        <v>0</v>
      </c>
      <c r="AW263" t="n">
        <v>174.84</v>
      </c>
      <c r="AX263" t="inlineStr">
        <is>
          <t>settled</t>
        </is>
      </c>
      <c r="AY263" t="inlineStr">
        <is>
          <t>2025-12-10 05:30:00</t>
        </is>
      </c>
      <c r="AZ263" t="inlineStr">
        <is>
          <t>CITIN25668288188</t>
        </is>
      </c>
      <c r="BA263" t="n">
        <v>0</v>
      </c>
      <c r="BB263" t="inlineStr">
        <is>
          <t>8b4946f10545cdac6dbdfca787d3eaf53d440de1a0b14aab7a89991ab585ada2</t>
        </is>
      </c>
    </row>
    <row r="264">
      <c r="A264" t="inlineStr">
        <is>
          <t>259</t>
        </is>
      </c>
      <c r="B264" t="inlineStr">
        <is>
          <t>7543224296</t>
        </is>
      </c>
      <c r="C264" t="inlineStr">
        <is>
          <t>2025-12-06 03:18:18</t>
        </is>
      </c>
      <c r="D264" t="inlineStr">
        <is>
          <t>49</t>
        </is>
      </c>
      <c r="E264" t="inlineStr">
        <is>
          <t>Sha Sha - Shandaar Shawarma</t>
        </is>
      </c>
      <c r="F264" t="inlineStr">
        <is>
          <t>18557902</t>
        </is>
      </c>
      <c r="G264" t="inlineStr">
        <is>
          <t>NA</t>
        </is>
      </c>
      <c r="H264" t="inlineStr">
        <is>
          <t>ONLINE</t>
        </is>
      </c>
      <c r="I264" t="inlineStr">
        <is>
          <t>DELIVERED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O2</t>
        </is>
      </c>
      <c r="N264" t="inlineStr">
        <is>
          <t>36</t>
        </is>
      </c>
      <c r="O264" t="n">
        <v>229</v>
      </c>
      <c r="P264" t="n">
        <v>3.5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11.63</v>
      </c>
      <c r="W264" t="n">
        <v>244.13</v>
      </c>
      <c r="X264" t="n">
        <v>232.5</v>
      </c>
      <c r="Y264" t="n">
        <v>19</v>
      </c>
      <c r="Z264" t="n">
        <v>44.18</v>
      </c>
      <c r="AA264" t="n">
        <v>4.49</v>
      </c>
      <c r="AB264" t="n">
        <v>48.67</v>
      </c>
      <c r="AC264" t="n">
        <v>8.76</v>
      </c>
      <c r="AD264" t="n">
        <v>0</v>
      </c>
      <c r="AE264" t="n">
        <v>232.5</v>
      </c>
      <c r="AF264" t="n">
        <v>0</v>
      </c>
      <c r="AG264" t="n">
        <v>0</v>
      </c>
      <c r="AH264" t="n">
        <v>0.23</v>
      </c>
      <c r="AI264" t="n">
        <v>11.63</v>
      </c>
      <c r="AJ264" t="n">
        <v>0</v>
      </c>
      <c r="AK264" t="n">
        <v>20.62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69.29000000000001</v>
      </c>
      <c r="AV264" t="n">
        <v>0</v>
      </c>
      <c r="AW264" t="n">
        <v>174.84</v>
      </c>
      <c r="AX264" t="inlineStr">
        <is>
          <t>settled</t>
        </is>
      </c>
      <c r="AY264" t="inlineStr">
        <is>
          <t>2025-12-10 05:30:00</t>
        </is>
      </c>
      <c r="AZ264" t="inlineStr">
        <is>
          <t>CITIN25668288188</t>
        </is>
      </c>
      <c r="BA264" t="n">
        <v>0</v>
      </c>
      <c r="BB264" t="inlineStr">
        <is>
          <t>8d94bf6f4dbd090158378d33baf7fc28c68295f34be9a37f2721485457d88b8f</t>
        </is>
      </c>
    </row>
    <row r="265">
      <c r="A265" t="inlineStr">
        <is>
          <t>260</t>
        </is>
      </c>
      <c r="B265" t="inlineStr">
        <is>
          <t>7550322187</t>
        </is>
      </c>
      <c r="C265" t="inlineStr">
        <is>
          <t>2025-12-06 03:25:04</t>
        </is>
      </c>
      <c r="D265" t="inlineStr">
        <is>
          <t>49</t>
        </is>
      </c>
      <c r="E265" t="inlineStr">
        <is>
          <t>Sha Sha - Shandaar Shawarma</t>
        </is>
      </c>
      <c r="F265" t="inlineStr">
        <is>
          <t>18557902</t>
        </is>
      </c>
      <c r="G265" t="inlineStr">
        <is>
          <t>30% off upto ₹75 (2025-06-25 - 2031-01-01)</t>
        </is>
      </c>
      <c r="H265" t="inlineStr">
        <is>
          <t>ONLINE</t>
        </is>
      </c>
      <c r="I265" t="inlineStr">
        <is>
          <t>DELIVERED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O2</t>
        </is>
      </c>
      <c r="N265" t="inlineStr">
        <is>
          <t>36</t>
        </is>
      </c>
      <c r="O265" t="n">
        <v>219</v>
      </c>
      <c r="P265" t="n">
        <v>3.5</v>
      </c>
      <c r="Q265" t="n">
        <v>0</v>
      </c>
      <c r="R265" t="n">
        <v>65.7</v>
      </c>
      <c r="S265" t="n">
        <v>0</v>
      </c>
      <c r="T265" t="n">
        <v>0</v>
      </c>
      <c r="U265" t="n">
        <v>0</v>
      </c>
      <c r="V265" t="n">
        <v>7.84</v>
      </c>
      <c r="W265" t="n">
        <v>164.64</v>
      </c>
      <c r="X265" t="n">
        <v>156.8</v>
      </c>
      <c r="Y265" t="n">
        <v>19</v>
      </c>
      <c r="Z265" t="n">
        <v>29.79</v>
      </c>
      <c r="AA265" t="n">
        <v>3.03</v>
      </c>
      <c r="AB265" t="n">
        <v>32.82</v>
      </c>
      <c r="AC265" t="n">
        <v>5.91</v>
      </c>
      <c r="AD265" t="n">
        <v>0</v>
      </c>
      <c r="AE265" t="n">
        <v>156.8</v>
      </c>
      <c r="AF265" t="n">
        <v>0</v>
      </c>
      <c r="AG265" t="n">
        <v>0</v>
      </c>
      <c r="AH265" t="n">
        <v>0.16</v>
      </c>
      <c r="AI265" t="n">
        <v>7.85</v>
      </c>
      <c r="AJ265" t="n">
        <v>-0.01</v>
      </c>
      <c r="AK265" t="n">
        <v>13.92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46.74</v>
      </c>
      <c r="AV265" t="n">
        <v>0</v>
      </c>
      <c r="AW265" t="n">
        <v>117.9</v>
      </c>
      <c r="AX265" t="inlineStr">
        <is>
          <t>settled</t>
        </is>
      </c>
      <c r="AY265" t="inlineStr">
        <is>
          <t>2025-12-10 05:30:00</t>
        </is>
      </c>
      <c r="AZ265" t="inlineStr">
        <is>
          <t>CITIN25668288188</t>
        </is>
      </c>
      <c r="BA265" t="n">
        <v>0</v>
      </c>
      <c r="BB265" t="inlineStr">
        <is>
          <t>81ca9831caa9c4567ba5a9f1dbf206ddc61222be4739565095a35fde5c2bee48</t>
        </is>
      </c>
    </row>
    <row r="266">
      <c r="A266" t="inlineStr">
        <is>
          <t>261</t>
        </is>
      </c>
      <c r="B266" t="inlineStr">
        <is>
          <t>7552587710</t>
        </is>
      </c>
      <c r="C266" t="inlineStr">
        <is>
          <t>2025-12-06 03:28:59</t>
        </is>
      </c>
      <c r="D266" t="inlineStr">
        <is>
          <t>49</t>
        </is>
      </c>
      <c r="E266" t="inlineStr">
        <is>
          <t>Sha Sha - Shandaar Shawarma</t>
        </is>
      </c>
      <c r="F266" t="inlineStr">
        <is>
          <t>18557902</t>
        </is>
      </c>
      <c r="G266" t="inlineStr">
        <is>
          <t>NA</t>
        </is>
      </c>
      <c r="H266" t="inlineStr">
        <is>
          <t>ONLINE</t>
        </is>
      </c>
      <c r="I266" t="inlineStr">
        <is>
          <t>DELIVERED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O2</t>
        </is>
      </c>
      <c r="N266" t="inlineStr">
        <is>
          <t>36</t>
        </is>
      </c>
      <c r="O266" t="n">
        <v>229</v>
      </c>
      <c r="P266" t="n">
        <v>3.5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11.63</v>
      </c>
      <c r="W266" t="n">
        <v>244.13</v>
      </c>
      <c r="X266" t="n">
        <v>232.5</v>
      </c>
      <c r="Y266" t="n">
        <v>19</v>
      </c>
      <c r="Z266" t="n">
        <v>44.18</v>
      </c>
      <c r="AA266" t="n">
        <v>4.49</v>
      </c>
      <c r="AB266" t="n">
        <v>48.67</v>
      </c>
      <c r="AC266" t="n">
        <v>8.76</v>
      </c>
      <c r="AD266" t="n">
        <v>0</v>
      </c>
      <c r="AE266" t="n">
        <v>232.5</v>
      </c>
      <c r="AF266" t="n">
        <v>0</v>
      </c>
      <c r="AG266" t="n">
        <v>0</v>
      </c>
      <c r="AH266" t="n">
        <v>0.23</v>
      </c>
      <c r="AI266" t="n">
        <v>11.63</v>
      </c>
      <c r="AJ266" t="n">
        <v>0</v>
      </c>
      <c r="AK266" t="n">
        <v>20.62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69.29000000000001</v>
      </c>
      <c r="AV266" t="n">
        <v>0</v>
      </c>
      <c r="AW266" t="n">
        <v>174.84</v>
      </c>
      <c r="AX266" t="inlineStr">
        <is>
          <t>settled</t>
        </is>
      </c>
      <c r="AY266" t="inlineStr">
        <is>
          <t>2025-12-10 05:30:00</t>
        </is>
      </c>
      <c r="AZ266" t="inlineStr">
        <is>
          <t>CITIN25668288188</t>
        </is>
      </c>
      <c r="BA266" t="n">
        <v>0</v>
      </c>
      <c r="BB266" t="inlineStr">
        <is>
          <t>5d731170d98b6c316059ec70eb7ab9d65f8a50415ef17ff56de2682a5bda4702</t>
        </is>
      </c>
    </row>
    <row r="267">
      <c r="A267" t="inlineStr">
        <is>
          <t>262</t>
        </is>
      </c>
      <c r="B267" t="inlineStr">
        <is>
          <t>7551363477</t>
        </is>
      </c>
      <c r="C267" t="inlineStr">
        <is>
          <t>2025-12-06 03:35:15</t>
        </is>
      </c>
      <c r="D267" t="inlineStr">
        <is>
          <t>49</t>
        </is>
      </c>
      <c r="E267" t="inlineStr">
        <is>
          <t>Sha Sha - Shandaar Shawarma</t>
        </is>
      </c>
      <c r="F267" t="inlineStr">
        <is>
          <t>18557902</t>
        </is>
      </c>
      <c r="G267" t="inlineStr">
        <is>
          <t>30% off upto ₹75 (2025-06-25 - 2031-01-01)</t>
        </is>
      </c>
      <c r="H267" t="inlineStr">
        <is>
          <t>ONLINE</t>
        </is>
      </c>
      <c r="I267" t="inlineStr">
        <is>
          <t>DELIVERED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O2</t>
        </is>
      </c>
      <c r="N267" t="inlineStr">
        <is>
          <t>36</t>
        </is>
      </c>
      <c r="O267" t="n">
        <v>229</v>
      </c>
      <c r="P267" t="n">
        <v>3.5</v>
      </c>
      <c r="Q267" t="n">
        <v>0</v>
      </c>
      <c r="R267" t="n">
        <v>68.7</v>
      </c>
      <c r="S267" t="n">
        <v>0</v>
      </c>
      <c r="T267" t="n">
        <v>0</v>
      </c>
      <c r="U267" t="n">
        <v>0</v>
      </c>
      <c r="V267" t="n">
        <v>8.19</v>
      </c>
      <c r="W267" t="n">
        <v>171.99</v>
      </c>
      <c r="X267" t="n">
        <v>163.8</v>
      </c>
      <c r="Y267" t="n">
        <v>19</v>
      </c>
      <c r="Z267" t="n">
        <v>31.12</v>
      </c>
      <c r="AA267" t="n">
        <v>3.16</v>
      </c>
      <c r="AB267" t="n">
        <v>34.28</v>
      </c>
      <c r="AC267" t="n">
        <v>6.17</v>
      </c>
      <c r="AD267" t="n">
        <v>0</v>
      </c>
      <c r="AE267" t="n">
        <v>163.8</v>
      </c>
      <c r="AF267" t="n">
        <v>0</v>
      </c>
      <c r="AG267" t="n">
        <v>0</v>
      </c>
      <c r="AH267" t="n">
        <v>0.16</v>
      </c>
      <c r="AI267" t="n">
        <v>8.199999999999999</v>
      </c>
      <c r="AJ267" t="n">
        <v>-0.01</v>
      </c>
      <c r="AK267" t="n">
        <v>14.53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48.81</v>
      </c>
      <c r="AV267" t="n">
        <v>0</v>
      </c>
      <c r="AW267" t="n">
        <v>123.18</v>
      </c>
      <c r="AX267" t="inlineStr">
        <is>
          <t>settled</t>
        </is>
      </c>
      <c r="AY267" t="inlineStr">
        <is>
          <t>2025-12-10 05:30:00</t>
        </is>
      </c>
      <c r="AZ267" t="inlineStr">
        <is>
          <t>CITIN25668288188</t>
        </is>
      </c>
      <c r="BA267" t="n">
        <v>0</v>
      </c>
      <c r="BB267" t="inlineStr">
        <is>
          <t>e084f0fe3c7e12ceb21481626b45d8bd7b3c876784a7d7eb9d0ad434cd374a98</t>
        </is>
      </c>
    </row>
    <row r="268">
      <c r="A268" t="inlineStr">
        <is>
          <t>263</t>
        </is>
      </c>
      <c r="B268" t="inlineStr">
        <is>
          <t>7543569704</t>
        </is>
      </c>
      <c r="C268" t="inlineStr">
        <is>
          <t>2025-12-06 03:35:48</t>
        </is>
      </c>
      <c r="D268" t="inlineStr">
        <is>
          <t>49</t>
        </is>
      </c>
      <c r="E268" t="inlineStr">
        <is>
          <t>Sha Sha - Shandaar Shawarma</t>
        </is>
      </c>
      <c r="F268" t="inlineStr">
        <is>
          <t>18557902</t>
        </is>
      </c>
      <c r="G268" t="inlineStr">
        <is>
          <t>30% off upto ₹75 (2025-06-25 - 2031-01-01)</t>
        </is>
      </c>
      <c r="H268" t="inlineStr">
        <is>
          <t>ONLINE</t>
        </is>
      </c>
      <c r="I268" t="inlineStr">
        <is>
          <t>DELIVERED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O2</t>
        </is>
      </c>
      <c r="N268" t="inlineStr">
        <is>
          <t>36</t>
        </is>
      </c>
      <c r="O268" t="n">
        <v>458</v>
      </c>
      <c r="P268" t="n">
        <v>3.5</v>
      </c>
      <c r="Q268" t="n">
        <v>0</v>
      </c>
      <c r="R268" t="n">
        <v>75</v>
      </c>
      <c r="S268" t="n">
        <v>0</v>
      </c>
      <c r="T268" t="n">
        <v>0</v>
      </c>
      <c r="U268" t="n">
        <v>0</v>
      </c>
      <c r="V268" t="n">
        <v>19.33</v>
      </c>
      <c r="W268" t="n">
        <v>405.83</v>
      </c>
      <c r="X268" t="n">
        <v>386.5</v>
      </c>
      <c r="Y268" t="n">
        <v>19</v>
      </c>
      <c r="Z268" t="n">
        <v>73.44</v>
      </c>
      <c r="AA268" t="n">
        <v>7.47</v>
      </c>
      <c r="AB268" t="n">
        <v>80.91</v>
      </c>
      <c r="AC268" t="n">
        <v>14.56</v>
      </c>
      <c r="AD268" t="n">
        <v>0</v>
      </c>
      <c r="AE268" t="n">
        <v>386.5</v>
      </c>
      <c r="AF268" t="n">
        <v>0</v>
      </c>
      <c r="AG268" t="n">
        <v>0</v>
      </c>
      <c r="AH268" t="n">
        <v>0.39</v>
      </c>
      <c r="AI268" t="n">
        <v>19.33</v>
      </c>
      <c r="AJ268" t="n">
        <v>0</v>
      </c>
      <c r="AK268" t="n">
        <v>34.28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115.19</v>
      </c>
      <c r="AV268" t="n">
        <v>0</v>
      </c>
      <c r="AW268" t="n">
        <v>290.64</v>
      </c>
      <c r="AX268" t="inlineStr">
        <is>
          <t>settled</t>
        </is>
      </c>
      <c r="AY268" t="inlineStr">
        <is>
          <t>2025-12-10 05:30:00</t>
        </is>
      </c>
      <c r="AZ268" t="inlineStr">
        <is>
          <t>CITIN25668288188</t>
        </is>
      </c>
      <c r="BA268" t="n">
        <v>0</v>
      </c>
      <c r="BB268" t="inlineStr">
        <is>
          <t>e9289a2479d905b7a8035972c2891ab19348bd29a6e967c7b509c42dad536666</t>
        </is>
      </c>
    </row>
    <row r="269">
      <c r="A269" t="inlineStr">
        <is>
          <t>264</t>
        </is>
      </c>
      <c r="B269" t="inlineStr">
        <is>
          <t>7540960237</t>
        </is>
      </c>
      <c r="C269" t="inlineStr">
        <is>
          <t>2025-12-06 03:43:36</t>
        </is>
      </c>
      <c r="D269" t="inlineStr">
        <is>
          <t>49</t>
        </is>
      </c>
      <c r="E269" t="inlineStr">
        <is>
          <t>Sha Sha - Shandaar Shawarma</t>
        </is>
      </c>
      <c r="F269" t="inlineStr">
        <is>
          <t>18557902</t>
        </is>
      </c>
      <c r="G269" t="inlineStr">
        <is>
          <t>NA</t>
        </is>
      </c>
      <c r="H269" t="inlineStr">
        <is>
          <t>ONLINE</t>
        </is>
      </c>
      <c r="I269" t="inlineStr">
        <is>
          <t>DELIVERED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O2</t>
        </is>
      </c>
      <c r="N269" t="inlineStr">
        <is>
          <t>36</t>
        </is>
      </c>
      <c r="O269" t="n">
        <v>438</v>
      </c>
      <c r="P269" t="n">
        <v>3.5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22.08</v>
      </c>
      <c r="W269" t="n">
        <v>463.58</v>
      </c>
      <c r="X269" t="n">
        <v>441.5</v>
      </c>
      <c r="Y269" t="n">
        <v>19</v>
      </c>
      <c r="Z269" t="n">
        <v>83.88</v>
      </c>
      <c r="AA269" t="n">
        <v>8.529999999999999</v>
      </c>
      <c r="AB269" t="n">
        <v>92.41</v>
      </c>
      <c r="AC269" t="n">
        <v>16.64</v>
      </c>
      <c r="AD269" t="n">
        <v>0</v>
      </c>
      <c r="AE269" t="n">
        <v>441.5</v>
      </c>
      <c r="AF269" t="n">
        <v>0</v>
      </c>
      <c r="AG269" t="n">
        <v>0</v>
      </c>
      <c r="AH269" t="n">
        <v>0.44</v>
      </c>
      <c r="AI269" t="n">
        <v>22.08</v>
      </c>
      <c r="AJ269" t="n">
        <v>0</v>
      </c>
      <c r="AK269" t="n">
        <v>39.16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131.57</v>
      </c>
      <c r="AV269" t="n">
        <v>0</v>
      </c>
      <c r="AW269" t="n">
        <v>332.01</v>
      </c>
      <c r="AX269" t="inlineStr">
        <is>
          <t>settled</t>
        </is>
      </c>
      <c r="AY269" t="inlineStr">
        <is>
          <t>2025-12-10 05:30:00</t>
        </is>
      </c>
      <c r="AZ269" t="inlineStr">
        <is>
          <t>CITIN25668288188</t>
        </is>
      </c>
      <c r="BA269" t="n">
        <v>0</v>
      </c>
      <c r="BB269" t="inlineStr">
        <is>
          <t>8bd29452abc90812b4a5f14619ed56942fcf60f37b3c9d6f9189eee73de0d0c6</t>
        </is>
      </c>
    </row>
    <row r="270">
      <c r="A270" t="inlineStr">
        <is>
          <t>265</t>
        </is>
      </c>
      <c r="B270" t="inlineStr">
        <is>
          <t>7550830074</t>
        </is>
      </c>
      <c r="C270" t="inlineStr">
        <is>
          <t>2025-12-06 04:04:23</t>
        </is>
      </c>
      <c r="D270" t="inlineStr">
        <is>
          <t>49</t>
        </is>
      </c>
      <c r="E270" t="inlineStr">
        <is>
          <t>Sha Sha - Shandaar Shawarma</t>
        </is>
      </c>
      <c r="F270" t="inlineStr">
        <is>
          <t>18557902</t>
        </is>
      </c>
      <c r="G270" t="inlineStr">
        <is>
          <t>30% off upto ₹75 (2025-06-25 - 2031-01-01)</t>
        </is>
      </c>
      <c r="H270" t="inlineStr">
        <is>
          <t>ONLINE</t>
        </is>
      </c>
      <c r="I270" t="inlineStr">
        <is>
          <t>DELIVERED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O2</t>
        </is>
      </c>
      <c r="N270" t="inlineStr">
        <is>
          <t>36</t>
        </is>
      </c>
      <c r="O270" t="n">
        <v>407</v>
      </c>
      <c r="P270" t="n">
        <v>3.5</v>
      </c>
      <c r="Q270" t="n">
        <v>0</v>
      </c>
      <c r="R270" t="n">
        <v>75</v>
      </c>
      <c r="S270" t="n">
        <v>0</v>
      </c>
      <c r="T270" t="n">
        <v>0</v>
      </c>
      <c r="U270" t="n">
        <v>0</v>
      </c>
      <c r="V270" t="n">
        <v>16.78</v>
      </c>
      <c r="W270" t="n">
        <v>352.28</v>
      </c>
      <c r="X270" t="n">
        <v>335.5</v>
      </c>
      <c r="Y270" t="n">
        <v>19</v>
      </c>
      <c r="Z270" t="n">
        <v>63.74</v>
      </c>
      <c r="AA270" t="n">
        <v>6.48</v>
      </c>
      <c r="AB270" t="n">
        <v>70.22</v>
      </c>
      <c r="AC270" t="n">
        <v>12.64</v>
      </c>
      <c r="AD270" t="n">
        <v>0</v>
      </c>
      <c r="AE270" t="n">
        <v>335.5</v>
      </c>
      <c r="AF270" t="n">
        <v>0</v>
      </c>
      <c r="AG270" t="n">
        <v>0</v>
      </c>
      <c r="AH270" t="n">
        <v>0.34</v>
      </c>
      <c r="AI270" t="n">
        <v>16.78</v>
      </c>
      <c r="AJ270" t="n">
        <v>0</v>
      </c>
      <c r="AK270" t="n">
        <v>29.76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99.98</v>
      </c>
      <c r="AV270" t="n">
        <v>0</v>
      </c>
      <c r="AW270" t="n">
        <v>252.3</v>
      </c>
      <c r="AX270" t="inlineStr">
        <is>
          <t>settled</t>
        </is>
      </c>
      <c r="AY270" t="inlineStr">
        <is>
          <t>2025-12-10 05:30:00</t>
        </is>
      </c>
      <c r="AZ270" t="inlineStr">
        <is>
          <t>CITIN25668288188</t>
        </is>
      </c>
      <c r="BA270" t="n">
        <v>0</v>
      </c>
      <c r="BB270" t="inlineStr">
        <is>
          <t>6bd6a99861195cf5330a4bca3b47335cd7f974ddfd4b63aabd4d1f181529682c</t>
        </is>
      </c>
    </row>
    <row r="271">
      <c r="A271" t="inlineStr">
        <is>
          <t>266</t>
        </is>
      </c>
      <c r="B271" t="inlineStr">
        <is>
          <t>7531923278</t>
        </is>
      </c>
      <c r="C271" t="inlineStr">
        <is>
          <t>2025-12-06 04:06:03</t>
        </is>
      </c>
      <c r="D271" t="inlineStr">
        <is>
          <t>49</t>
        </is>
      </c>
      <c r="E271" t="inlineStr">
        <is>
          <t>Sha Sha - Shandaar Shawarma</t>
        </is>
      </c>
      <c r="F271" t="inlineStr">
        <is>
          <t>18557902</t>
        </is>
      </c>
      <c r="G271" t="inlineStr">
        <is>
          <t>NA</t>
        </is>
      </c>
      <c r="H271" t="inlineStr">
        <is>
          <t>ONLINE</t>
        </is>
      </c>
      <c r="I271" t="inlineStr">
        <is>
          <t>DELIVERED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O2</t>
        </is>
      </c>
      <c r="N271" t="inlineStr">
        <is>
          <t>36</t>
        </is>
      </c>
      <c r="O271" t="n">
        <v>1145</v>
      </c>
      <c r="P271" t="n">
        <v>3.5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57.43</v>
      </c>
      <c r="W271" t="n">
        <v>1205.93</v>
      </c>
      <c r="X271" t="n">
        <v>1148.5</v>
      </c>
      <c r="Y271" t="n">
        <v>19</v>
      </c>
      <c r="Z271" t="n">
        <v>218.22</v>
      </c>
      <c r="AA271" t="n">
        <v>22.19</v>
      </c>
      <c r="AB271" t="n">
        <v>240.41</v>
      </c>
      <c r="AC271" t="n">
        <v>43.27</v>
      </c>
      <c r="AD271" t="n">
        <v>0</v>
      </c>
      <c r="AE271" t="n">
        <v>1148.5</v>
      </c>
      <c r="AF271" t="n">
        <v>0</v>
      </c>
      <c r="AG271" t="n">
        <v>0</v>
      </c>
      <c r="AH271" t="n">
        <v>1.15</v>
      </c>
      <c r="AI271" t="n">
        <v>57.43</v>
      </c>
      <c r="AJ271" t="n">
        <v>0</v>
      </c>
      <c r="AK271" t="n">
        <v>101.85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342.26</v>
      </c>
      <c r="AV271" t="n">
        <v>0</v>
      </c>
      <c r="AW271" t="n">
        <v>863.67</v>
      </c>
      <c r="AX271" t="inlineStr">
        <is>
          <t>settled</t>
        </is>
      </c>
      <c r="AY271" t="inlineStr">
        <is>
          <t>2025-12-10 05:30:00</t>
        </is>
      </c>
      <c r="AZ271" t="inlineStr">
        <is>
          <t>CITIN25668288188</t>
        </is>
      </c>
      <c r="BA271" t="n">
        <v>0</v>
      </c>
      <c r="BB271" t="inlineStr">
        <is>
          <t>e2a6e90b3bb19703ab902eccba5145364ddc8cbc723cf9bc382bac39cf5bc26a</t>
        </is>
      </c>
    </row>
    <row r="272">
      <c r="A272" t="inlineStr">
        <is>
          <t>267</t>
        </is>
      </c>
      <c r="B272" t="inlineStr">
        <is>
          <t>7536780871</t>
        </is>
      </c>
      <c r="C272" t="inlineStr">
        <is>
          <t>2025-12-06 04:08:49</t>
        </is>
      </c>
      <c r="D272" t="inlineStr">
        <is>
          <t>49</t>
        </is>
      </c>
      <c r="E272" t="inlineStr">
        <is>
          <t>Sha Sha - Shandaar Shawarma</t>
        </is>
      </c>
      <c r="F272" t="inlineStr">
        <is>
          <t>18557902</t>
        </is>
      </c>
      <c r="G272" t="inlineStr">
        <is>
          <t>30% off upto ₹75 (2025-06-25 - 2031-01-01)</t>
        </is>
      </c>
      <c r="H272" t="inlineStr">
        <is>
          <t>ONLINE</t>
        </is>
      </c>
      <c r="I272" t="inlineStr">
        <is>
          <t>DELIVERED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O2</t>
        </is>
      </c>
      <c r="N272" t="inlineStr">
        <is>
          <t>36</t>
        </is>
      </c>
      <c r="O272" t="n">
        <v>458</v>
      </c>
      <c r="P272" t="n">
        <v>3.5</v>
      </c>
      <c r="Q272" t="n">
        <v>0</v>
      </c>
      <c r="R272" t="n">
        <v>75</v>
      </c>
      <c r="S272" t="n">
        <v>0</v>
      </c>
      <c r="T272" t="n">
        <v>0</v>
      </c>
      <c r="U272" t="n">
        <v>0</v>
      </c>
      <c r="V272" t="n">
        <v>19.33</v>
      </c>
      <c r="W272" t="n">
        <v>405.83</v>
      </c>
      <c r="X272" t="n">
        <v>386.5</v>
      </c>
      <c r="Y272" t="n">
        <v>19</v>
      </c>
      <c r="Z272" t="n">
        <v>73.44</v>
      </c>
      <c r="AA272" t="n">
        <v>7.47</v>
      </c>
      <c r="AB272" t="n">
        <v>80.91</v>
      </c>
      <c r="AC272" t="n">
        <v>14.56</v>
      </c>
      <c r="AD272" t="n">
        <v>0</v>
      </c>
      <c r="AE272" t="n">
        <v>386.5</v>
      </c>
      <c r="AF272" t="n">
        <v>0</v>
      </c>
      <c r="AG272" t="n">
        <v>0</v>
      </c>
      <c r="AH272" t="n">
        <v>0.39</v>
      </c>
      <c r="AI272" t="n">
        <v>19.33</v>
      </c>
      <c r="AJ272" t="n">
        <v>0</v>
      </c>
      <c r="AK272" t="n">
        <v>34.28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115.19</v>
      </c>
      <c r="AV272" t="n">
        <v>0</v>
      </c>
      <c r="AW272" t="n">
        <v>290.64</v>
      </c>
      <c r="AX272" t="inlineStr">
        <is>
          <t>settled</t>
        </is>
      </c>
      <c r="AY272" t="inlineStr">
        <is>
          <t>2025-12-10 05:30:00</t>
        </is>
      </c>
      <c r="AZ272" t="inlineStr">
        <is>
          <t>CITIN25668288188</t>
        </is>
      </c>
      <c r="BA272" t="n">
        <v>0</v>
      </c>
      <c r="BB272" t="inlineStr">
        <is>
          <t>6a01438020ff4370ac3a3bdedb46efce2ce2c16c41fa5c73c9e5fd0d97328fa1</t>
        </is>
      </c>
    </row>
    <row r="273">
      <c r="A273" t="inlineStr">
        <is>
          <t>268</t>
        </is>
      </c>
      <c r="B273" t="inlineStr">
        <is>
          <t>7549980538</t>
        </is>
      </c>
      <c r="C273" t="inlineStr">
        <is>
          <t>2025-12-06 13:30:58</t>
        </is>
      </c>
      <c r="D273" t="inlineStr">
        <is>
          <t>49</t>
        </is>
      </c>
      <c r="E273" t="inlineStr">
        <is>
          <t>Sha Sha - Shandaar Shawarma</t>
        </is>
      </c>
      <c r="F273" t="inlineStr">
        <is>
          <t>18557902</t>
        </is>
      </c>
      <c r="G273" t="inlineStr">
        <is>
          <t>NA</t>
        </is>
      </c>
      <c r="H273" t="inlineStr">
        <is>
          <t>ONLINE</t>
        </is>
      </c>
      <c r="I273" t="inlineStr">
        <is>
          <t>DELIVERED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O2</t>
        </is>
      </c>
      <c r="N273" t="inlineStr">
        <is>
          <t>36</t>
        </is>
      </c>
      <c r="O273" t="n">
        <v>219</v>
      </c>
      <c r="P273" t="n">
        <v>3.5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11.13</v>
      </c>
      <c r="W273" t="n">
        <v>233.63</v>
      </c>
      <c r="X273" t="n">
        <v>222.5</v>
      </c>
      <c r="Y273" t="n">
        <v>19</v>
      </c>
      <c r="Z273" t="n">
        <v>42.28</v>
      </c>
      <c r="AA273" t="n">
        <v>4.3</v>
      </c>
      <c r="AB273" t="n">
        <v>46.58</v>
      </c>
      <c r="AC273" t="n">
        <v>8.380000000000001</v>
      </c>
      <c r="AD273" t="n">
        <v>0</v>
      </c>
      <c r="AE273" t="n">
        <v>222.5</v>
      </c>
      <c r="AF273" t="n">
        <v>0</v>
      </c>
      <c r="AG273" t="n">
        <v>0</v>
      </c>
      <c r="AH273" t="n">
        <v>0.22</v>
      </c>
      <c r="AI273" t="n">
        <v>11.13</v>
      </c>
      <c r="AJ273" t="n">
        <v>0</v>
      </c>
      <c r="AK273" t="n">
        <v>19.73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66.31</v>
      </c>
      <c r="AV273" t="n">
        <v>0</v>
      </c>
      <c r="AW273" t="n">
        <v>167.32</v>
      </c>
      <c r="AX273" t="inlineStr">
        <is>
          <t>settled</t>
        </is>
      </c>
      <c r="AY273" t="inlineStr">
        <is>
          <t>2025-12-10 05:30:00</t>
        </is>
      </c>
      <c r="AZ273" t="inlineStr">
        <is>
          <t>CITIN25668288188</t>
        </is>
      </c>
      <c r="BA273" t="n">
        <v>0</v>
      </c>
      <c r="BB273" t="inlineStr">
        <is>
          <t>80c52b5ba66cb17f87337f1f5178815ae36bf29f551b5308345600f77c1e5826</t>
        </is>
      </c>
    </row>
    <row r="274">
      <c r="A274" t="inlineStr">
        <is>
          <t>269</t>
        </is>
      </c>
      <c r="B274" t="inlineStr">
        <is>
          <t>7552769531</t>
        </is>
      </c>
      <c r="C274" t="inlineStr">
        <is>
          <t>2025-12-06 14:12:07</t>
        </is>
      </c>
      <c r="D274" t="inlineStr">
        <is>
          <t>49</t>
        </is>
      </c>
      <c r="E274" t="inlineStr">
        <is>
          <t>Sha Sha - Shandaar Shawarma</t>
        </is>
      </c>
      <c r="F274" t="inlineStr">
        <is>
          <t>18557902</t>
        </is>
      </c>
      <c r="G274" t="inlineStr">
        <is>
          <t>30% off upto ₹75 (2025-06-25 - 2031-01-01)</t>
        </is>
      </c>
      <c r="H274" t="inlineStr">
        <is>
          <t>ONLINE</t>
        </is>
      </c>
      <c r="I274" t="inlineStr">
        <is>
          <t>DELIVERED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O2</t>
        </is>
      </c>
      <c r="N274" t="inlineStr">
        <is>
          <t>36</t>
        </is>
      </c>
      <c r="O274" t="n">
        <v>518</v>
      </c>
      <c r="P274" t="n">
        <v>3.5</v>
      </c>
      <c r="Q274" t="n">
        <v>0</v>
      </c>
      <c r="R274" t="n">
        <v>75</v>
      </c>
      <c r="S274" t="n">
        <v>0</v>
      </c>
      <c r="T274" t="n">
        <v>0</v>
      </c>
      <c r="U274" t="n">
        <v>0</v>
      </c>
      <c r="V274" t="n">
        <v>22.33</v>
      </c>
      <c r="W274" t="n">
        <v>468.83</v>
      </c>
      <c r="X274" t="n">
        <v>446.5</v>
      </c>
      <c r="Y274" t="n">
        <v>19</v>
      </c>
      <c r="Z274" t="n">
        <v>84.84</v>
      </c>
      <c r="AA274" t="n">
        <v>8.630000000000001</v>
      </c>
      <c r="AB274" t="n">
        <v>93.47</v>
      </c>
      <c r="AC274" t="n">
        <v>16.82</v>
      </c>
      <c r="AD274" t="n">
        <v>0</v>
      </c>
      <c r="AE274" t="n">
        <v>446.5</v>
      </c>
      <c r="AF274" t="n">
        <v>0</v>
      </c>
      <c r="AG274" t="n">
        <v>0</v>
      </c>
      <c r="AH274" t="n">
        <v>0.45</v>
      </c>
      <c r="AI274" t="n">
        <v>22.33</v>
      </c>
      <c r="AJ274" t="n">
        <v>0</v>
      </c>
      <c r="AK274" t="n">
        <v>39.6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133.07</v>
      </c>
      <c r="AV274" t="n">
        <v>0</v>
      </c>
      <c r="AW274" t="n">
        <v>335.76</v>
      </c>
      <c r="AX274" t="inlineStr">
        <is>
          <t>settled</t>
        </is>
      </c>
      <c r="AY274" t="inlineStr">
        <is>
          <t>2025-12-10 05:30:00</t>
        </is>
      </c>
      <c r="AZ274" t="inlineStr">
        <is>
          <t>CITIN25668288188</t>
        </is>
      </c>
      <c r="BA274" t="n">
        <v>0</v>
      </c>
      <c r="BB274" t="inlineStr">
        <is>
          <t>5e13430fa3a1ebf1da9895443edc06b799a0c20e7d74212c7af6853b16ffbbd8</t>
        </is>
      </c>
    </row>
    <row r="275">
      <c r="A275" t="inlineStr">
        <is>
          <t>270</t>
        </is>
      </c>
      <c r="B275" t="inlineStr">
        <is>
          <t>7551805749</t>
        </is>
      </c>
      <c r="C275" t="inlineStr">
        <is>
          <t>2025-12-06 14:33:57</t>
        </is>
      </c>
      <c r="D275" t="inlineStr">
        <is>
          <t>49</t>
        </is>
      </c>
      <c r="E275" t="inlineStr">
        <is>
          <t>Sha Sha - Shandaar Shawarma</t>
        </is>
      </c>
      <c r="F275" t="inlineStr">
        <is>
          <t>18557902</t>
        </is>
      </c>
      <c r="G275" t="inlineStr">
        <is>
          <t>30% off upto ₹75 (2025-06-25 - 2031-01-01)</t>
        </is>
      </c>
      <c r="H275" t="inlineStr">
        <is>
          <t>ONLINE</t>
        </is>
      </c>
      <c r="I275" t="inlineStr">
        <is>
          <t>DELIVERED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O2</t>
        </is>
      </c>
      <c r="N275" t="inlineStr">
        <is>
          <t>36</t>
        </is>
      </c>
      <c r="O275" t="n">
        <v>355</v>
      </c>
      <c r="P275" t="n">
        <v>3.5</v>
      </c>
      <c r="Q275" t="n">
        <v>0</v>
      </c>
      <c r="R275" t="n">
        <v>75</v>
      </c>
      <c r="S275" t="n">
        <v>0</v>
      </c>
      <c r="T275" t="n">
        <v>0</v>
      </c>
      <c r="U275" t="n">
        <v>0</v>
      </c>
      <c r="V275" t="n">
        <v>14.18</v>
      </c>
      <c r="W275" t="n">
        <v>297.68</v>
      </c>
      <c r="X275" t="n">
        <v>283.5</v>
      </c>
      <c r="Y275" t="n">
        <v>19</v>
      </c>
      <c r="Z275" t="n">
        <v>53.86</v>
      </c>
      <c r="AA275" t="n">
        <v>5.48</v>
      </c>
      <c r="AB275" t="n">
        <v>59.34</v>
      </c>
      <c r="AC275" t="n">
        <v>10.68</v>
      </c>
      <c r="AD275" t="n">
        <v>0</v>
      </c>
      <c r="AE275" t="n">
        <v>283.5</v>
      </c>
      <c r="AF275" t="n">
        <v>0</v>
      </c>
      <c r="AG275" t="n">
        <v>0</v>
      </c>
      <c r="AH275" t="n">
        <v>0.28</v>
      </c>
      <c r="AI275" t="n">
        <v>14.18</v>
      </c>
      <c r="AJ275" t="n">
        <v>0</v>
      </c>
      <c r="AK275" t="n">
        <v>25.14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84.48</v>
      </c>
      <c r="AV275" t="n">
        <v>0</v>
      </c>
      <c r="AW275" t="n">
        <v>213.2</v>
      </c>
      <c r="AX275" t="inlineStr">
        <is>
          <t>settled</t>
        </is>
      </c>
      <c r="AY275" t="inlineStr">
        <is>
          <t>2025-12-10 05:30:00</t>
        </is>
      </c>
      <c r="AZ275" t="inlineStr">
        <is>
          <t>CITIN25668288188</t>
        </is>
      </c>
      <c r="BA275" t="n">
        <v>0</v>
      </c>
      <c r="BB275" t="inlineStr">
        <is>
          <t>9d2486f83fc28e1fadcaa70a9c0b02a1cc3529fc76d6573bb2213825983c5a4e</t>
        </is>
      </c>
    </row>
    <row r="276">
      <c r="A276" t="inlineStr">
        <is>
          <t>271</t>
        </is>
      </c>
      <c r="B276" t="inlineStr">
        <is>
          <t>7549869675</t>
        </is>
      </c>
      <c r="C276" t="inlineStr">
        <is>
          <t>2025-12-06 14:36:01</t>
        </is>
      </c>
      <c r="D276" t="inlineStr">
        <is>
          <t>49</t>
        </is>
      </c>
      <c r="E276" t="inlineStr">
        <is>
          <t>Sha Sha - Shandaar Shawarma</t>
        </is>
      </c>
      <c r="F276" t="inlineStr">
        <is>
          <t>18557902</t>
        </is>
      </c>
      <c r="G276" t="inlineStr">
        <is>
          <t>30% off upto ₹75 (2025-06-25 - 2031-01-01)</t>
        </is>
      </c>
      <c r="H276" t="inlineStr">
        <is>
          <t>ONLINE</t>
        </is>
      </c>
      <c r="I276" t="inlineStr">
        <is>
          <t>DELIVERED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O2</t>
        </is>
      </c>
      <c r="N276" t="inlineStr">
        <is>
          <t>36</t>
        </is>
      </c>
      <c r="O276" t="n">
        <v>229</v>
      </c>
      <c r="P276" t="n">
        <v>3.5</v>
      </c>
      <c r="Q276" t="n">
        <v>0</v>
      </c>
      <c r="R276" t="n">
        <v>68.7</v>
      </c>
      <c r="S276" t="n">
        <v>0</v>
      </c>
      <c r="T276" t="n">
        <v>0</v>
      </c>
      <c r="U276" t="n">
        <v>0</v>
      </c>
      <c r="V276" t="n">
        <v>8.19</v>
      </c>
      <c r="W276" t="n">
        <v>171.99</v>
      </c>
      <c r="X276" t="n">
        <v>163.8</v>
      </c>
      <c r="Y276" t="n">
        <v>19</v>
      </c>
      <c r="Z276" t="n">
        <v>31.12</v>
      </c>
      <c r="AA276" t="n">
        <v>3.16</v>
      </c>
      <c r="AB276" t="n">
        <v>34.28</v>
      </c>
      <c r="AC276" t="n">
        <v>6.17</v>
      </c>
      <c r="AD276" t="n">
        <v>0</v>
      </c>
      <c r="AE276" t="n">
        <v>163.8</v>
      </c>
      <c r="AF276" t="n">
        <v>0</v>
      </c>
      <c r="AG276" t="n">
        <v>0</v>
      </c>
      <c r="AH276" t="n">
        <v>0.16</v>
      </c>
      <c r="AI276" t="n">
        <v>8.199999999999999</v>
      </c>
      <c r="AJ276" t="n">
        <v>-0.01</v>
      </c>
      <c r="AK276" t="n">
        <v>14.53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48.81</v>
      </c>
      <c r="AV276" t="n">
        <v>0</v>
      </c>
      <c r="AW276" t="n">
        <v>123.18</v>
      </c>
      <c r="AX276" t="inlineStr">
        <is>
          <t>settled</t>
        </is>
      </c>
      <c r="AY276" t="inlineStr">
        <is>
          <t>2025-12-10 05:30:00</t>
        </is>
      </c>
      <c r="AZ276" t="inlineStr">
        <is>
          <t>CITIN25668288188</t>
        </is>
      </c>
      <c r="BA276" t="n">
        <v>0</v>
      </c>
      <c r="BB276" t="inlineStr">
        <is>
          <t>e8becf94ff6d2416dfca6da5804c7420edbc4160c5b56006871ed02d10eff020</t>
        </is>
      </c>
    </row>
    <row r="277">
      <c r="A277" t="inlineStr">
        <is>
          <t>272</t>
        </is>
      </c>
      <c r="B277" t="inlineStr">
        <is>
          <t>7554274649</t>
        </is>
      </c>
      <c r="C277" t="inlineStr">
        <is>
          <t>2025-12-06 15:25:12</t>
        </is>
      </c>
      <c r="D277" t="inlineStr">
        <is>
          <t>49</t>
        </is>
      </c>
      <c r="E277" t="inlineStr">
        <is>
          <t>Sha Sha - Shandaar Shawarma</t>
        </is>
      </c>
      <c r="F277" t="inlineStr">
        <is>
          <t>18557902</t>
        </is>
      </c>
      <c r="G277" t="inlineStr">
        <is>
          <t>NA</t>
        </is>
      </c>
      <c r="H277" t="inlineStr">
        <is>
          <t>ONLINE</t>
        </is>
      </c>
      <c r="I277" t="inlineStr">
        <is>
          <t>DELIVERED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O2</t>
        </is>
      </c>
      <c r="N277" t="inlineStr">
        <is>
          <t>36</t>
        </is>
      </c>
      <c r="O277" t="n">
        <v>229</v>
      </c>
      <c r="P277" t="n">
        <v>3.5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11.63</v>
      </c>
      <c r="W277" t="n">
        <v>244.13</v>
      </c>
      <c r="X277" t="n">
        <v>232.5</v>
      </c>
      <c r="Y277" t="n">
        <v>19</v>
      </c>
      <c r="Z277" t="n">
        <v>44.18</v>
      </c>
      <c r="AA277" t="n">
        <v>4.49</v>
      </c>
      <c r="AB277" t="n">
        <v>48.67</v>
      </c>
      <c r="AC277" t="n">
        <v>8.76</v>
      </c>
      <c r="AD277" t="n">
        <v>0</v>
      </c>
      <c r="AE277" t="n">
        <v>232.5</v>
      </c>
      <c r="AF277" t="n">
        <v>0</v>
      </c>
      <c r="AG277" t="n">
        <v>0</v>
      </c>
      <c r="AH277" t="n">
        <v>0.23</v>
      </c>
      <c r="AI277" t="n">
        <v>11.63</v>
      </c>
      <c r="AJ277" t="n">
        <v>0</v>
      </c>
      <c r="AK277" t="n">
        <v>20.62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69.29000000000001</v>
      </c>
      <c r="AV277" t="n">
        <v>0</v>
      </c>
      <c r="AW277" t="n">
        <v>174.84</v>
      </c>
      <c r="AX277" t="inlineStr">
        <is>
          <t>settled</t>
        </is>
      </c>
      <c r="AY277" t="inlineStr">
        <is>
          <t>2025-12-10 05:30:00</t>
        </is>
      </c>
      <c r="AZ277" t="inlineStr">
        <is>
          <t>CITIN25668288188</t>
        </is>
      </c>
      <c r="BA277" t="n">
        <v>0</v>
      </c>
      <c r="BB277" t="inlineStr">
        <is>
          <t>1f7851a4315ac5c0aafd1866e40379128e2deab1177413fe2366cef93917dc62</t>
        </is>
      </c>
    </row>
    <row r="278">
      <c r="A278" t="inlineStr">
        <is>
          <t>273</t>
        </is>
      </c>
      <c r="B278" t="inlineStr">
        <is>
          <t>7548392739</t>
        </is>
      </c>
      <c r="C278" t="inlineStr">
        <is>
          <t>2025-12-06 15:36:02</t>
        </is>
      </c>
      <c r="D278" t="inlineStr">
        <is>
          <t>49</t>
        </is>
      </c>
      <c r="E278" t="inlineStr">
        <is>
          <t>Sha Sha - Shandaar Shawarma</t>
        </is>
      </c>
      <c r="F278" t="inlineStr">
        <is>
          <t>18557902</t>
        </is>
      </c>
      <c r="G278" t="inlineStr">
        <is>
          <t>NA</t>
        </is>
      </c>
      <c r="H278" t="inlineStr">
        <is>
          <t>ONLINE</t>
        </is>
      </c>
      <c r="I278" t="inlineStr">
        <is>
          <t>DELIVERED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O2</t>
        </is>
      </c>
      <c r="N278" t="inlineStr">
        <is>
          <t>36</t>
        </is>
      </c>
      <c r="O278" t="n">
        <v>458</v>
      </c>
      <c r="P278" t="n">
        <v>3.5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23.08</v>
      </c>
      <c r="W278" t="n">
        <v>484.58</v>
      </c>
      <c r="X278" t="n">
        <v>461.5</v>
      </c>
      <c r="Y278" t="n">
        <v>19</v>
      </c>
      <c r="Z278" t="n">
        <v>87.68000000000001</v>
      </c>
      <c r="AA278" t="n">
        <v>8.92</v>
      </c>
      <c r="AB278" t="n">
        <v>96.59999999999999</v>
      </c>
      <c r="AC278" t="n">
        <v>17.39</v>
      </c>
      <c r="AD278" t="n">
        <v>0</v>
      </c>
      <c r="AE278" t="n">
        <v>461.5</v>
      </c>
      <c r="AF278" t="n">
        <v>0</v>
      </c>
      <c r="AG278" t="n">
        <v>0</v>
      </c>
      <c r="AH278" t="n">
        <v>0.46</v>
      </c>
      <c r="AI278" t="n">
        <v>23.08</v>
      </c>
      <c r="AJ278" t="n">
        <v>0</v>
      </c>
      <c r="AK278" t="n">
        <v>40.93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137.53</v>
      </c>
      <c r="AV278" t="n">
        <v>0</v>
      </c>
      <c r="AW278" t="n">
        <v>347.05</v>
      </c>
      <c r="AX278" t="inlineStr">
        <is>
          <t>settled</t>
        </is>
      </c>
      <c r="AY278" t="inlineStr">
        <is>
          <t>2025-12-10 05:30:00</t>
        </is>
      </c>
      <c r="AZ278" t="inlineStr">
        <is>
          <t>CITIN25668288188</t>
        </is>
      </c>
      <c r="BA278" t="n">
        <v>0</v>
      </c>
      <c r="BB278" t="inlineStr">
        <is>
          <t>cdda960e330651f30dcdf0cc24245c9fd9b78511ccf8843ecfea41344849c594</t>
        </is>
      </c>
    </row>
    <row r="279">
      <c r="A279" t="inlineStr">
        <is>
          <t>274</t>
        </is>
      </c>
      <c r="B279" t="inlineStr">
        <is>
          <t>7544766627</t>
        </is>
      </c>
      <c r="C279" t="inlineStr">
        <is>
          <t>2025-12-06 16:24:33</t>
        </is>
      </c>
      <c r="D279" t="inlineStr">
        <is>
          <t>49</t>
        </is>
      </c>
      <c r="E279" t="inlineStr">
        <is>
          <t>Sha Sha - Shandaar Shawarma</t>
        </is>
      </c>
      <c r="F279" t="inlineStr">
        <is>
          <t>18557902</t>
        </is>
      </c>
      <c r="G279" t="inlineStr">
        <is>
          <t>30% off upto ₹75 (2025-06-25 - 2031-01-01)</t>
        </is>
      </c>
      <c r="H279" t="inlineStr">
        <is>
          <t>ONLINE</t>
        </is>
      </c>
      <c r="I279" t="inlineStr">
        <is>
          <t>DELIVERED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O2</t>
        </is>
      </c>
      <c r="N279" t="inlineStr">
        <is>
          <t>36</t>
        </is>
      </c>
      <c r="O279" t="n">
        <v>219</v>
      </c>
      <c r="P279" t="n">
        <v>3.5</v>
      </c>
      <c r="Q279" t="n">
        <v>0</v>
      </c>
      <c r="R279" t="n">
        <v>65.7</v>
      </c>
      <c r="S279" t="n">
        <v>0</v>
      </c>
      <c r="T279" t="n">
        <v>0</v>
      </c>
      <c r="U279" t="n">
        <v>0</v>
      </c>
      <c r="V279" t="n">
        <v>7.84</v>
      </c>
      <c r="W279" t="n">
        <v>164.64</v>
      </c>
      <c r="X279" t="n">
        <v>156.8</v>
      </c>
      <c r="Y279" t="n">
        <v>19</v>
      </c>
      <c r="Z279" t="n">
        <v>29.79</v>
      </c>
      <c r="AA279" t="n">
        <v>3.03</v>
      </c>
      <c r="AB279" t="n">
        <v>32.82</v>
      </c>
      <c r="AC279" t="n">
        <v>5.91</v>
      </c>
      <c r="AD279" t="n">
        <v>0</v>
      </c>
      <c r="AE279" t="n">
        <v>156.8</v>
      </c>
      <c r="AF279" t="n">
        <v>0</v>
      </c>
      <c r="AG279" t="n">
        <v>0</v>
      </c>
      <c r="AH279" t="n">
        <v>0.16</v>
      </c>
      <c r="AI279" t="n">
        <v>7.85</v>
      </c>
      <c r="AJ279" t="n">
        <v>-0.01</v>
      </c>
      <c r="AK279" t="n">
        <v>13.92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46.74</v>
      </c>
      <c r="AV279" t="n">
        <v>0</v>
      </c>
      <c r="AW279" t="n">
        <v>117.9</v>
      </c>
      <c r="AX279" t="inlineStr">
        <is>
          <t>settled</t>
        </is>
      </c>
      <c r="AY279" t="inlineStr">
        <is>
          <t>2025-12-10 05:30:00</t>
        </is>
      </c>
      <c r="AZ279" t="inlineStr">
        <is>
          <t>CITIN25668288188</t>
        </is>
      </c>
      <c r="BA279" t="n">
        <v>0</v>
      </c>
      <c r="BB279" t="inlineStr">
        <is>
          <t>3615bbab2ece159dec95f89aab443c45ec95dbd6cfa4d96f9cce32e8a91ecb4c</t>
        </is>
      </c>
    </row>
    <row r="280">
      <c r="A280" t="inlineStr">
        <is>
          <t>275</t>
        </is>
      </c>
      <c r="B280" t="inlineStr">
        <is>
          <t>7546687685</t>
        </is>
      </c>
      <c r="C280" t="inlineStr">
        <is>
          <t>2025-12-06 16:38:22</t>
        </is>
      </c>
      <c r="D280" t="inlineStr">
        <is>
          <t>49</t>
        </is>
      </c>
      <c r="E280" t="inlineStr">
        <is>
          <t>Sha Sha - Shandaar Shawarma</t>
        </is>
      </c>
      <c r="F280" t="inlineStr">
        <is>
          <t>18557902</t>
        </is>
      </c>
      <c r="G280" t="inlineStr">
        <is>
          <t>NA</t>
        </is>
      </c>
      <c r="H280" t="inlineStr">
        <is>
          <t>ONLINE</t>
        </is>
      </c>
      <c r="I280" t="inlineStr">
        <is>
          <t>DELIVERED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O2</t>
        </is>
      </c>
      <c r="N280" t="inlineStr">
        <is>
          <t>36</t>
        </is>
      </c>
      <c r="O280" t="n">
        <v>229</v>
      </c>
      <c r="P280" t="n">
        <v>3.5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11.63</v>
      </c>
      <c r="W280" t="n">
        <v>244.13</v>
      </c>
      <c r="X280" t="n">
        <v>232.5</v>
      </c>
      <c r="Y280" t="n">
        <v>19</v>
      </c>
      <c r="Z280" t="n">
        <v>44.18</v>
      </c>
      <c r="AA280" t="n">
        <v>4.49</v>
      </c>
      <c r="AB280" t="n">
        <v>48.67</v>
      </c>
      <c r="AC280" t="n">
        <v>8.76</v>
      </c>
      <c r="AD280" t="n">
        <v>0</v>
      </c>
      <c r="AE280" t="n">
        <v>232.5</v>
      </c>
      <c r="AF280" t="n">
        <v>0</v>
      </c>
      <c r="AG280" t="n">
        <v>0</v>
      </c>
      <c r="AH280" t="n">
        <v>0.23</v>
      </c>
      <c r="AI280" t="n">
        <v>11.63</v>
      </c>
      <c r="AJ280" t="n">
        <v>0</v>
      </c>
      <c r="AK280" t="n">
        <v>20.62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69.29000000000001</v>
      </c>
      <c r="AV280" t="n">
        <v>0</v>
      </c>
      <c r="AW280" t="n">
        <v>174.84</v>
      </c>
      <c r="AX280" t="inlineStr">
        <is>
          <t>settled</t>
        </is>
      </c>
      <c r="AY280" t="inlineStr">
        <is>
          <t>2025-12-10 05:30:00</t>
        </is>
      </c>
      <c r="AZ280" t="inlineStr">
        <is>
          <t>CITIN25668288188</t>
        </is>
      </c>
      <c r="BA280" t="n">
        <v>0</v>
      </c>
      <c r="BB280" t="inlineStr">
        <is>
          <t>e14931498b82fd212b829045cf473a24b625d0326207171354c3acd751518fd6</t>
        </is>
      </c>
    </row>
    <row r="281">
      <c r="A281" t="inlineStr">
        <is>
          <t>276</t>
        </is>
      </c>
      <c r="B281" t="inlineStr">
        <is>
          <t>7554493791</t>
        </is>
      </c>
      <c r="C281" t="inlineStr">
        <is>
          <t>2025-12-06 17:07:10</t>
        </is>
      </c>
      <c r="D281" t="inlineStr">
        <is>
          <t>49</t>
        </is>
      </c>
      <c r="E281" t="inlineStr">
        <is>
          <t>Sha Sha - Shandaar Shawarma</t>
        </is>
      </c>
      <c r="F281" t="inlineStr">
        <is>
          <t>18557902</t>
        </is>
      </c>
      <c r="G281" t="inlineStr">
        <is>
          <t>30% off upto ₹75 (2025-06-25 - 2031-01-01)</t>
        </is>
      </c>
      <c r="H281" t="inlineStr">
        <is>
          <t>ONLINE</t>
        </is>
      </c>
      <c r="I281" t="inlineStr">
        <is>
          <t>DELIVERED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O2</t>
        </is>
      </c>
      <c r="N281" t="inlineStr">
        <is>
          <t>36</t>
        </is>
      </c>
      <c r="O281" t="n">
        <v>458</v>
      </c>
      <c r="P281" t="n">
        <v>3.5</v>
      </c>
      <c r="Q281" t="n">
        <v>0</v>
      </c>
      <c r="R281" t="n">
        <v>75</v>
      </c>
      <c r="S281" t="n">
        <v>0</v>
      </c>
      <c r="T281" t="n">
        <v>0</v>
      </c>
      <c r="U281" t="n">
        <v>0</v>
      </c>
      <c r="V281" t="n">
        <v>19.33</v>
      </c>
      <c r="W281" t="n">
        <v>405.83</v>
      </c>
      <c r="X281" t="n">
        <v>386.5</v>
      </c>
      <c r="Y281" t="n">
        <v>19</v>
      </c>
      <c r="Z281" t="n">
        <v>73.44</v>
      </c>
      <c r="AA281" t="n">
        <v>7.47</v>
      </c>
      <c r="AB281" t="n">
        <v>80.91</v>
      </c>
      <c r="AC281" t="n">
        <v>14.56</v>
      </c>
      <c r="AD281" t="n">
        <v>0</v>
      </c>
      <c r="AE281" t="n">
        <v>386.5</v>
      </c>
      <c r="AF281" t="n">
        <v>0</v>
      </c>
      <c r="AG281" t="n">
        <v>0</v>
      </c>
      <c r="AH281" t="n">
        <v>0.39</v>
      </c>
      <c r="AI281" t="n">
        <v>19.33</v>
      </c>
      <c r="AJ281" t="n">
        <v>0</v>
      </c>
      <c r="AK281" t="n">
        <v>34.28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115.19</v>
      </c>
      <c r="AV281" t="n">
        <v>0</v>
      </c>
      <c r="AW281" t="n">
        <v>290.64</v>
      </c>
      <c r="AX281" t="inlineStr">
        <is>
          <t>settled</t>
        </is>
      </c>
      <c r="AY281" t="inlineStr">
        <is>
          <t>2025-12-10 05:30:00</t>
        </is>
      </c>
      <c r="AZ281" t="inlineStr">
        <is>
          <t>CITIN25668288188</t>
        </is>
      </c>
      <c r="BA281" t="n">
        <v>0</v>
      </c>
      <c r="BB281" t="inlineStr">
        <is>
          <t>711d298a8497886c29ae225008fc5584fcbbd1ed5961b4b04e3c2cc1e612a7b9</t>
        </is>
      </c>
    </row>
    <row r="282">
      <c r="A282" t="inlineStr">
        <is>
          <t>277</t>
        </is>
      </c>
      <c r="B282" t="inlineStr">
        <is>
          <t>7553660845</t>
        </is>
      </c>
      <c r="C282" t="inlineStr">
        <is>
          <t>2025-12-06 17:08:23</t>
        </is>
      </c>
      <c r="D282" t="inlineStr">
        <is>
          <t>49</t>
        </is>
      </c>
      <c r="E282" t="inlineStr">
        <is>
          <t>Sha Sha - Shandaar Shawarma</t>
        </is>
      </c>
      <c r="F282" t="inlineStr">
        <is>
          <t>18557902</t>
        </is>
      </c>
      <c r="G282" t="inlineStr">
        <is>
          <t>NA</t>
        </is>
      </c>
      <c r="H282" t="inlineStr">
        <is>
          <t>ONLINE</t>
        </is>
      </c>
      <c r="I282" t="inlineStr">
        <is>
          <t>DELIVERED</t>
        </is>
      </c>
      <c r="J282" t="inlineStr">
        <is>
          <t>NA</t>
        </is>
      </c>
      <c r="K282" t="inlineStr">
        <is>
          <t>NA</t>
        </is>
      </c>
      <c r="L282" t="inlineStr">
        <is>
          <t>NA</t>
        </is>
      </c>
      <c r="M282" t="inlineStr">
        <is>
          <t>O2</t>
        </is>
      </c>
      <c r="N282" t="inlineStr">
        <is>
          <t>36</t>
        </is>
      </c>
      <c r="O282" t="n">
        <v>438</v>
      </c>
      <c r="P282" t="n">
        <v>3.5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22.08</v>
      </c>
      <c r="W282" t="n">
        <v>463.58</v>
      </c>
      <c r="X282" t="n">
        <v>441.5</v>
      </c>
      <c r="Y282" t="n">
        <v>19</v>
      </c>
      <c r="Z282" t="n">
        <v>83.88</v>
      </c>
      <c r="AA282" t="n">
        <v>8.529999999999999</v>
      </c>
      <c r="AB282" t="n">
        <v>92.41</v>
      </c>
      <c r="AC282" t="n">
        <v>16.64</v>
      </c>
      <c r="AD282" t="n">
        <v>0</v>
      </c>
      <c r="AE282" t="n">
        <v>441.5</v>
      </c>
      <c r="AF282" t="n">
        <v>0</v>
      </c>
      <c r="AG282" t="n">
        <v>0</v>
      </c>
      <c r="AH282" t="n">
        <v>0.44</v>
      </c>
      <c r="AI282" t="n">
        <v>22.08</v>
      </c>
      <c r="AJ282" t="n">
        <v>0</v>
      </c>
      <c r="AK282" t="n">
        <v>39.16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131.57</v>
      </c>
      <c r="AV282" t="n">
        <v>0</v>
      </c>
      <c r="AW282" t="n">
        <v>332.01</v>
      </c>
      <c r="AX282" t="inlineStr">
        <is>
          <t>settled</t>
        </is>
      </c>
      <c r="AY282" t="inlineStr">
        <is>
          <t>2025-12-10 05:30:00</t>
        </is>
      </c>
      <c r="AZ282" t="inlineStr">
        <is>
          <t>CITIN25668288188</t>
        </is>
      </c>
      <c r="BA282" t="n">
        <v>0</v>
      </c>
      <c r="BB282" t="inlineStr">
        <is>
          <t>df9669a338da80312a8477f38b081ffde7249b430ce45ecf7dfd257560e4cddf</t>
        </is>
      </c>
    </row>
    <row r="283">
      <c r="A283" t="inlineStr">
        <is>
          <t>278</t>
        </is>
      </c>
      <c r="B283" t="inlineStr">
        <is>
          <t>7548369874</t>
        </is>
      </c>
      <c r="C283" t="inlineStr">
        <is>
          <t>2025-12-06 19:19:19</t>
        </is>
      </c>
      <c r="D283" t="inlineStr">
        <is>
          <t>49</t>
        </is>
      </c>
      <c r="E283" t="inlineStr">
        <is>
          <t>Sha Sha - Shandaar Shawarma</t>
        </is>
      </c>
      <c r="F283" t="inlineStr">
        <is>
          <t>18557902</t>
        </is>
      </c>
      <c r="G283" t="inlineStr">
        <is>
          <t>NA</t>
        </is>
      </c>
      <c r="H283" t="inlineStr">
        <is>
          <t>ONLINE</t>
        </is>
      </c>
      <c r="I283" t="inlineStr">
        <is>
          <t>DELIVERED</t>
        </is>
      </c>
      <c r="J283" t="inlineStr">
        <is>
          <t>NA</t>
        </is>
      </c>
      <c r="K283" t="inlineStr">
        <is>
          <t>NA</t>
        </is>
      </c>
      <c r="L283" t="inlineStr">
        <is>
          <t>NA</t>
        </is>
      </c>
      <c r="M283" t="inlineStr">
        <is>
          <t>O2</t>
        </is>
      </c>
      <c r="N283" t="inlineStr">
        <is>
          <t>36</t>
        </is>
      </c>
      <c r="O283" t="n">
        <v>448</v>
      </c>
      <c r="P283" t="n">
        <v>3.5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22.58</v>
      </c>
      <c r="W283" t="n">
        <v>474.08</v>
      </c>
      <c r="X283" t="n">
        <v>451.5</v>
      </c>
      <c r="Y283" t="n">
        <v>19</v>
      </c>
      <c r="Z283" t="n">
        <v>85.78</v>
      </c>
      <c r="AA283" t="n">
        <v>8.720000000000001</v>
      </c>
      <c r="AB283" t="n">
        <v>94.5</v>
      </c>
      <c r="AC283" t="n">
        <v>17.01</v>
      </c>
      <c r="AD283" t="n">
        <v>0</v>
      </c>
      <c r="AE283" t="n">
        <v>451.5</v>
      </c>
      <c r="AF283" t="n">
        <v>0</v>
      </c>
      <c r="AG283" t="n">
        <v>0</v>
      </c>
      <c r="AH283" t="n">
        <v>0.45</v>
      </c>
      <c r="AI283" t="n">
        <v>22.58</v>
      </c>
      <c r="AJ283" t="n">
        <v>0</v>
      </c>
      <c r="AK283" t="n">
        <v>40.04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134.54</v>
      </c>
      <c r="AV283" t="n">
        <v>0</v>
      </c>
      <c r="AW283" t="n">
        <v>339.54</v>
      </c>
      <c r="AX283" t="inlineStr">
        <is>
          <t>settled</t>
        </is>
      </c>
      <c r="AY283" t="inlineStr">
        <is>
          <t>2025-12-10 05:30:00</t>
        </is>
      </c>
      <c r="AZ283" t="inlineStr">
        <is>
          <t>CITIN25668288188</t>
        </is>
      </c>
      <c r="BA283" t="n">
        <v>0</v>
      </c>
      <c r="BB283" t="inlineStr">
        <is>
          <t>59bcd1e55d346c999c9006f8df17b6c8361e1f75a44fe4f5cd672ed5a0bfa902</t>
        </is>
      </c>
    </row>
    <row r="284">
      <c r="A284" t="inlineStr">
        <is>
          <t>279</t>
        </is>
      </c>
      <c r="B284" t="inlineStr">
        <is>
          <t>7552113617</t>
        </is>
      </c>
      <c r="C284" t="inlineStr">
        <is>
          <t>2025-12-06 19:56:39</t>
        </is>
      </c>
      <c r="D284" t="inlineStr">
        <is>
          <t>49</t>
        </is>
      </c>
      <c r="E284" t="inlineStr">
        <is>
          <t>Sha Sha - Shandaar Shawarma</t>
        </is>
      </c>
      <c r="F284" t="inlineStr">
        <is>
          <t>18557902</t>
        </is>
      </c>
      <c r="G284" t="inlineStr">
        <is>
          <t>30% off upto ₹75 (2025-06-25 - 2031-01-01)</t>
        </is>
      </c>
      <c r="H284" t="inlineStr">
        <is>
          <t>ONLINE</t>
        </is>
      </c>
      <c r="I284" t="inlineStr">
        <is>
          <t>DELIVERED</t>
        </is>
      </c>
      <c r="J284" t="inlineStr">
        <is>
          <t>NA</t>
        </is>
      </c>
      <c r="K284" t="inlineStr">
        <is>
          <t>NA</t>
        </is>
      </c>
      <c r="L284" t="inlineStr">
        <is>
          <t>NA</t>
        </is>
      </c>
      <c r="M284" t="inlineStr">
        <is>
          <t>O2</t>
        </is>
      </c>
      <c r="N284" t="inlineStr">
        <is>
          <t>36</t>
        </is>
      </c>
      <c r="O284" t="n">
        <v>229</v>
      </c>
      <c r="P284" t="n">
        <v>3.5</v>
      </c>
      <c r="Q284" t="n">
        <v>0</v>
      </c>
      <c r="R284" t="n">
        <v>68.7</v>
      </c>
      <c r="S284" t="n">
        <v>0</v>
      </c>
      <c r="T284" t="n">
        <v>0</v>
      </c>
      <c r="U284" t="n">
        <v>0</v>
      </c>
      <c r="V284" t="n">
        <v>8.19</v>
      </c>
      <c r="W284" t="n">
        <v>171.99</v>
      </c>
      <c r="X284" t="n">
        <v>163.8</v>
      </c>
      <c r="Y284" t="n">
        <v>19</v>
      </c>
      <c r="Z284" t="n">
        <v>31.12</v>
      </c>
      <c r="AA284" t="n">
        <v>3.16</v>
      </c>
      <c r="AB284" t="n">
        <v>34.28</v>
      </c>
      <c r="AC284" t="n">
        <v>6.17</v>
      </c>
      <c r="AD284" t="n">
        <v>0</v>
      </c>
      <c r="AE284" t="n">
        <v>163.8</v>
      </c>
      <c r="AF284" t="n">
        <v>0</v>
      </c>
      <c r="AG284" t="n">
        <v>0</v>
      </c>
      <c r="AH284" t="n">
        <v>0.16</v>
      </c>
      <c r="AI284" t="n">
        <v>8.199999999999999</v>
      </c>
      <c r="AJ284" t="n">
        <v>-0.01</v>
      </c>
      <c r="AK284" t="n">
        <v>14.53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48.81</v>
      </c>
      <c r="AV284" t="n">
        <v>0</v>
      </c>
      <c r="AW284" t="n">
        <v>123.18</v>
      </c>
      <c r="AX284" t="inlineStr">
        <is>
          <t>settled</t>
        </is>
      </c>
      <c r="AY284" t="inlineStr">
        <is>
          <t>2025-12-10 05:30:00</t>
        </is>
      </c>
      <c r="AZ284" t="inlineStr">
        <is>
          <t>CITIN25668288188</t>
        </is>
      </c>
      <c r="BA284" t="n">
        <v>0</v>
      </c>
      <c r="BB284" t="inlineStr">
        <is>
          <t>b1b4a31d5628f709fbd760c0f1c02cb1f1f1b00b5dd8c3f4b5d4aa8a929aea98</t>
        </is>
      </c>
    </row>
    <row r="285">
      <c r="A285" t="inlineStr">
        <is>
          <t>280</t>
        </is>
      </c>
      <c r="B285" t="inlineStr">
        <is>
          <t>7554012822</t>
        </is>
      </c>
      <c r="C285" t="inlineStr">
        <is>
          <t>2025-12-06 20:13:51</t>
        </is>
      </c>
      <c r="D285" t="inlineStr">
        <is>
          <t>49</t>
        </is>
      </c>
      <c r="E285" t="inlineStr">
        <is>
          <t>Sha Sha - Shandaar Shawarma</t>
        </is>
      </c>
      <c r="F285" t="inlineStr">
        <is>
          <t>18557902</t>
        </is>
      </c>
      <c r="G285" t="inlineStr">
        <is>
          <t>30% off upto ₹75 (2025-06-25 - 2031-01-01)</t>
        </is>
      </c>
      <c r="H285" t="inlineStr">
        <is>
          <t>ONLINE</t>
        </is>
      </c>
      <c r="I285" t="inlineStr">
        <is>
          <t>DELIVERED</t>
        </is>
      </c>
      <c r="J285" t="inlineStr">
        <is>
          <t>NA</t>
        </is>
      </c>
      <c r="K285" t="inlineStr">
        <is>
          <t>NA</t>
        </is>
      </c>
      <c r="L285" t="inlineStr">
        <is>
          <t>NA</t>
        </is>
      </c>
      <c r="M285" t="inlineStr">
        <is>
          <t>O2</t>
        </is>
      </c>
      <c r="N285" t="inlineStr">
        <is>
          <t>36</t>
        </is>
      </c>
      <c r="O285" t="n">
        <v>229</v>
      </c>
      <c r="P285" t="n">
        <v>3.5</v>
      </c>
      <c r="Q285" t="n">
        <v>0</v>
      </c>
      <c r="R285" t="n">
        <v>68.7</v>
      </c>
      <c r="S285" t="n">
        <v>0</v>
      </c>
      <c r="T285" t="n">
        <v>0</v>
      </c>
      <c r="U285" t="n">
        <v>0</v>
      </c>
      <c r="V285" t="n">
        <v>8.19</v>
      </c>
      <c r="W285" t="n">
        <v>171.99</v>
      </c>
      <c r="X285" t="n">
        <v>163.8</v>
      </c>
      <c r="Y285" t="n">
        <v>19</v>
      </c>
      <c r="Z285" t="n">
        <v>31.12</v>
      </c>
      <c r="AA285" t="n">
        <v>3.16</v>
      </c>
      <c r="AB285" t="n">
        <v>34.28</v>
      </c>
      <c r="AC285" t="n">
        <v>6.17</v>
      </c>
      <c r="AD285" t="n">
        <v>0</v>
      </c>
      <c r="AE285" t="n">
        <v>163.8</v>
      </c>
      <c r="AF285" t="n">
        <v>0</v>
      </c>
      <c r="AG285" t="n">
        <v>0</v>
      </c>
      <c r="AH285" t="n">
        <v>0.16</v>
      </c>
      <c r="AI285" t="n">
        <v>8.199999999999999</v>
      </c>
      <c r="AJ285" t="n">
        <v>-0.01</v>
      </c>
      <c r="AK285" t="n">
        <v>14.53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48.81</v>
      </c>
      <c r="AV285" t="n">
        <v>0</v>
      </c>
      <c r="AW285" t="n">
        <v>123.18</v>
      </c>
      <c r="AX285" t="inlineStr">
        <is>
          <t>settled</t>
        </is>
      </c>
      <c r="AY285" t="inlineStr">
        <is>
          <t>2025-12-10 05:30:00</t>
        </is>
      </c>
      <c r="AZ285" t="inlineStr">
        <is>
          <t>CITIN25668288188</t>
        </is>
      </c>
      <c r="BA285" t="n">
        <v>0</v>
      </c>
      <c r="BB285" t="inlineStr">
        <is>
          <t>da95d0914c095c1f6225950eba7ba56e408f7fde6f2a0080219fa8baa710539b</t>
        </is>
      </c>
    </row>
    <row r="286">
      <c r="A286" t="inlineStr">
        <is>
          <t>281</t>
        </is>
      </c>
      <c r="B286" t="inlineStr">
        <is>
          <t>7554115228</t>
        </is>
      </c>
      <c r="C286" t="inlineStr">
        <is>
          <t>2025-12-06 20:22:07</t>
        </is>
      </c>
      <c r="D286" t="inlineStr">
        <is>
          <t>49</t>
        </is>
      </c>
      <c r="E286" t="inlineStr">
        <is>
          <t>Sha Sha - Shandaar Shawarma</t>
        </is>
      </c>
      <c r="F286" t="inlineStr">
        <is>
          <t>18557902</t>
        </is>
      </c>
      <c r="G286" t="inlineStr">
        <is>
          <t>NA</t>
        </is>
      </c>
      <c r="H286" t="inlineStr">
        <is>
          <t>ONLINE</t>
        </is>
      </c>
      <c r="I286" t="inlineStr">
        <is>
          <t>DELIVERED</t>
        </is>
      </c>
      <c r="J286" t="inlineStr">
        <is>
          <t>NA</t>
        </is>
      </c>
      <c r="K286" t="inlineStr">
        <is>
          <t>NA</t>
        </is>
      </c>
      <c r="L286" t="inlineStr">
        <is>
          <t>NA</t>
        </is>
      </c>
      <c r="M286" t="inlineStr">
        <is>
          <t>O2</t>
        </is>
      </c>
      <c r="N286" t="inlineStr">
        <is>
          <t>36</t>
        </is>
      </c>
      <c r="O286" t="n">
        <v>358</v>
      </c>
      <c r="P286" t="n">
        <v>3.5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18.08</v>
      </c>
      <c r="W286" t="n">
        <v>379.58</v>
      </c>
      <c r="X286" t="n">
        <v>361.5</v>
      </c>
      <c r="Y286" t="n">
        <v>19</v>
      </c>
      <c r="Z286" t="n">
        <v>68.68000000000001</v>
      </c>
      <c r="AA286" t="n">
        <v>6.98</v>
      </c>
      <c r="AB286" t="n">
        <v>75.66</v>
      </c>
      <c r="AC286" t="n">
        <v>13.62</v>
      </c>
      <c r="AD286" t="n">
        <v>0</v>
      </c>
      <c r="AE286" t="n">
        <v>361.5</v>
      </c>
      <c r="AF286" t="n">
        <v>0</v>
      </c>
      <c r="AG286" t="n">
        <v>0</v>
      </c>
      <c r="AH286" t="n">
        <v>0.36</v>
      </c>
      <c r="AI286" t="n">
        <v>18.08</v>
      </c>
      <c r="AJ286" t="n">
        <v>0</v>
      </c>
      <c r="AK286" t="n">
        <v>32.06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107.72</v>
      </c>
      <c r="AV286" t="n">
        <v>0</v>
      </c>
      <c r="AW286" t="n">
        <v>271.86</v>
      </c>
      <c r="AX286" t="inlineStr">
        <is>
          <t>settled</t>
        </is>
      </c>
      <c r="AY286" t="inlineStr">
        <is>
          <t>2025-12-10 05:30:00</t>
        </is>
      </c>
      <c r="AZ286" t="inlineStr">
        <is>
          <t>CITIN25668288188</t>
        </is>
      </c>
      <c r="BA286" t="n">
        <v>0</v>
      </c>
      <c r="BB286" t="inlineStr">
        <is>
          <t>e0e30cca09142b26e5f53320880f4c599d92883e71bb63716747bd0f2777459f</t>
        </is>
      </c>
    </row>
    <row r="287">
      <c r="A287" t="inlineStr">
        <is>
          <t>282</t>
        </is>
      </c>
      <c r="B287" t="inlineStr">
        <is>
          <t>7555467236</t>
        </is>
      </c>
      <c r="C287" t="inlineStr">
        <is>
          <t>2025-12-06 20:24:35</t>
        </is>
      </c>
      <c r="D287" t="inlineStr">
        <is>
          <t>49</t>
        </is>
      </c>
      <c r="E287" t="inlineStr">
        <is>
          <t>Sha Sha - Shandaar Shawarma</t>
        </is>
      </c>
      <c r="F287" t="inlineStr">
        <is>
          <t>18557902</t>
        </is>
      </c>
      <c r="G287" t="inlineStr">
        <is>
          <t>30% off upto ₹75 (2025-06-25 - 2031-01-01)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NA</t>
        </is>
      </c>
      <c r="K287" t="inlineStr">
        <is>
          <t>NA</t>
        </is>
      </c>
      <c r="L287" t="inlineStr">
        <is>
          <t>NA</t>
        </is>
      </c>
      <c r="M287" t="inlineStr">
        <is>
          <t>O2</t>
        </is>
      </c>
      <c r="N287" t="inlineStr">
        <is>
          <t>36</t>
        </is>
      </c>
      <c r="O287" t="n">
        <v>358</v>
      </c>
      <c r="P287" t="n">
        <v>3.5</v>
      </c>
      <c r="Q287" t="n">
        <v>0</v>
      </c>
      <c r="R287" t="n">
        <v>75</v>
      </c>
      <c r="S287" t="n">
        <v>0</v>
      </c>
      <c r="T287" t="n">
        <v>0</v>
      </c>
      <c r="U287" t="n">
        <v>0</v>
      </c>
      <c r="V287" t="n">
        <v>14.33</v>
      </c>
      <c r="W287" t="n">
        <v>300.83</v>
      </c>
      <c r="X287" t="n">
        <v>286.5</v>
      </c>
      <c r="Y287" t="n">
        <v>19</v>
      </c>
      <c r="Z287" t="n">
        <v>54.44</v>
      </c>
      <c r="AA287" t="n">
        <v>5.54</v>
      </c>
      <c r="AB287" t="n">
        <v>59.98</v>
      </c>
      <c r="AC287" t="n">
        <v>10.8</v>
      </c>
      <c r="AD287" t="n">
        <v>0</v>
      </c>
      <c r="AE287" t="n">
        <v>286.5</v>
      </c>
      <c r="AF287" t="n">
        <v>0</v>
      </c>
      <c r="AG287" t="n">
        <v>0</v>
      </c>
      <c r="AH287" t="n">
        <v>0.29</v>
      </c>
      <c r="AI287" t="n">
        <v>14.33</v>
      </c>
      <c r="AJ287" t="n">
        <v>0</v>
      </c>
      <c r="AK287" t="n">
        <v>25.42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85.40000000000001</v>
      </c>
      <c r="AV287" t="n">
        <v>0</v>
      </c>
      <c r="AW287" t="n">
        <v>215.43</v>
      </c>
      <c r="AX287" t="inlineStr">
        <is>
          <t>settled</t>
        </is>
      </c>
      <c r="AY287" t="inlineStr">
        <is>
          <t>2025-12-10 05:30:00</t>
        </is>
      </c>
      <c r="AZ287" t="inlineStr">
        <is>
          <t>CITIN25668288188</t>
        </is>
      </c>
      <c r="BA287" t="n">
        <v>0</v>
      </c>
      <c r="BB287" t="inlineStr">
        <is>
          <t>a7028fc96661abcc4ffd1ddef206c5c4b5112e99a4375b1d5769d7f156719a07</t>
        </is>
      </c>
    </row>
    <row r="288">
      <c r="A288" t="inlineStr">
        <is>
          <t>283</t>
        </is>
      </c>
      <c r="B288" t="inlineStr">
        <is>
          <t>7552841527</t>
        </is>
      </c>
      <c r="C288" t="inlineStr">
        <is>
          <t>2025-12-06 21:13:33</t>
        </is>
      </c>
      <c r="D288" t="inlineStr">
        <is>
          <t>49</t>
        </is>
      </c>
      <c r="E288" t="inlineStr">
        <is>
          <t>Sha Sha - Shandaar Shawarma</t>
        </is>
      </c>
      <c r="F288" t="inlineStr">
        <is>
          <t>18557902</t>
        </is>
      </c>
      <c r="G288" t="inlineStr">
        <is>
          <t>30% off upto ₹75 (2025-06-25 - 2031-01-01)</t>
        </is>
      </c>
      <c r="H288" t="inlineStr">
        <is>
          <t>ONLINE</t>
        </is>
      </c>
      <c r="I288" t="inlineStr">
        <is>
          <t>DELIVERED</t>
        </is>
      </c>
      <c r="J288" t="inlineStr">
        <is>
          <t>NA</t>
        </is>
      </c>
      <c r="K288" t="inlineStr">
        <is>
          <t>NA</t>
        </is>
      </c>
      <c r="L288" t="inlineStr">
        <is>
          <t>NA</t>
        </is>
      </c>
      <c r="M288" t="inlineStr">
        <is>
          <t>O2</t>
        </is>
      </c>
      <c r="N288" t="inlineStr">
        <is>
          <t>36</t>
        </is>
      </c>
      <c r="O288" t="n">
        <v>636</v>
      </c>
      <c r="P288" t="n">
        <v>3.5</v>
      </c>
      <c r="Q288" t="n">
        <v>0</v>
      </c>
      <c r="R288" t="n">
        <v>75</v>
      </c>
      <c r="S288" t="n">
        <v>0</v>
      </c>
      <c r="T288" t="n">
        <v>0</v>
      </c>
      <c r="U288" t="n">
        <v>0</v>
      </c>
      <c r="V288" t="n">
        <v>28.23</v>
      </c>
      <c r="W288" t="n">
        <v>592.73</v>
      </c>
      <c r="X288" t="n">
        <v>564.5</v>
      </c>
      <c r="Y288" t="n">
        <v>19</v>
      </c>
      <c r="Z288" t="n">
        <v>107.26</v>
      </c>
      <c r="AA288" t="n">
        <v>10.91</v>
      </c>
      <c r="AB288" t="n">
        <v>118.17</v>
      </c>
      <c r="AC288" t="n">
        <v>21.27</v>
      </c>
      <c r="AD288" t="n">
        <v>0</v>
      </c>
      <c r="AE288" t="n">
        <v>564.5</v>
      </c>
      <c r="AF288" t="n">
        <v>0</v>
      </c>
      <c r="AG288" t="n">
        <v>0</v>
      </c>
      <c r="AH288" t="n">
        <v>0.5600000000000001</v>
      </c>
      <c r="AI288" t="n">
        <v>28.23</v>
      </c>
      <c r="AJ288" t="n">
        <v>0</v>
      </c>
      <c r="AK288" t="n">
        <v>50.06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168.23</v>
      </c>
      <c r="AV288" t="n">
        <v>0</v>
      </c>
      <c r="AW288" t="n">
        <v>424.5</v>
      </c>
      <c r="AX288" t="inlineStr">
        <is>
          <t>settled</t>
        </is>
      </c>
      <c r="AY288" t="inlineStr">
        <is>
          <t>2025-12-10 05:30:00</t>
        </is>
      </c>
      <c r="AZ288" t="inlineStr">
        <is>
          <t>CITIN25668288188</t>
        </is>
      </c>
      <c r="BA288" t="n">
        <v>0</v>
      </c>
      <c r="BB288" t="inlineStr">
        <is>
          <t>587b9a8abd9a85ed7e1f3f904302a113c5f9d1fc52a3b7323cde5d9ab7274fea</t>
        </is>
      </c>
    </row>
    <row r="289">
      <c r="A289" t="inlineStr">
        <is>
          <t>284</t>
        </is>
      </c>
      <c r="B289" t="inlineStr">
        <is>
          <t>7555155626</t>
        </is>
      </c>
      <c r="C289" t="inlineStr">
        <is>
          <t>2025-12-06 21:25:39</t>
        </is>
      </c>
      <c r="D289" t="inlineStr">
        <is>
          <t>49</t>
        </is>
      </c>
      <c r="E289" t="inlineStr">
        <is>
          <t>Sha Sha - Shandaar Shawarma</t>
        </is>
      </c>
      <c r="F289" t="inlineStr">
        <is>
          <t>18557902</t>
        </is>
      </c>
      <c r="G289" t="inlineStr">
        <is>
          <t>30% off upto ₹75 (2025-06-25 - 2031-01-01)</t>
        </is>
      </c>
      <c r="H289" t="inlineStr">
        <is>
          <t>ONLINE</t>
        </is>
      </c>
      <c r="I289" t="inlineStr">
        <is>
          <t>DELIVERED</t>
        </is>
      </c>
      <c r="J289" t="inlineStr">
        <is>
          <t>NA</t>
        </is>
      </c>
      <c r="K289" t="inlineStr">
        <is>
          <t>NA</t>
        </is>
      </c>
      <c r="L289" t="inlineStr">
        <is>
          <t>NA</t>
        </is>
      </c>
      <c r="M289" t="inlineStr">
        <is>
          <t>O2</t>
        </is>
      </c>
      <c r="N289" t="inlineStr">
        <is>
          <t>36</t>
        </is>
      </c>
      <c r="O289" t="n">
        <v>229</v>
      </c>
      <c r="P289" t="n">
        <v>3.5</v>
      </c>
      <c r="Q289" t="n">
        <v>0</v>
      </c>
      <c r="R289" t="n">
        <v>68.7</v>
      </c>
      <c r="S289" t="n">
        <v>0</v>
      </c>
      <c r="T289" t="n">
        <v>0</v>
      </c>
      <c r="U289" t="n">
        <v>0</v>
      </c>
      <c r="V289" t="n">
        <v>8.19</v>
      </c>
      <c r="W289" t="n">
        <v>171.99</v>
      </c>
      <c r="X289" t="n">
        <v>163.8</v>
      </c>
      <c r="Y289" t="n">
        <v>19</v>
      </c>
      <c r="Z289" t="n">
        <v>31.12</v>
      </c>
      <c r="AA289" t="n">
        <v>3.16</v>
      </c>
      <c r="AB289" t="n">
        <v>34.28</v>
      </c>
      <c r="AC289" t="n">
        <v>6.17</v>
      </c>
      <c r="AD289" t="n">
        <v>0</v>
      </c>
      <c r="AE289" t="n">
        <v>163.8</v>
      </c>
      <c r="AF289" t="n">
        <v>0</v>
      </c>
      <c r="AG289" t="n">
        <v>0</v>
      </c>
      <c r="AH289" t="n">
        <v>0.16</v>
      </c>
      <c r="AI289" t="n">
        <v>8.199999999999999</v>
      </c>
      <c r="AJ289" t="n">
        <v>-0.01</v>
      </c>
      <c r="AK289" t="n">
        <v>14.53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48.81</v>
      </c>
      <c r="AV289" t="n">
        <v>0</v>
      </c>
      <c r="AW289" t="n">
        <v>123.18</v>
      </c>
      <c r="AX289" t="inlineStr">
        <is>
          <t>settled</t>
        </is>
      </c>
      <c r="AY289" t="inlineStr">
        <is>
          <t>2025-12-10 05:30:00</t>
        </is>
      </c>
      <c r="AZ289" t="inlineStr">
        <is>
          <t>CITIN25668288188</t>
        </is>
      </c>
      <c r="BA289" t="n">
        <v>0</v>
      </c>
      <c r="BB289" t="inlineStr">
        <is>
          <t>3159cd8d0f5ff123a1cff3b35ddbdba173220e5ee8b2befa7b865ba91dc09da1</t>
        </is>
      </c>
    </row>
    <row r="290">
      <c r="A290" t="inlineStr">
        <is>
          <t>285</t>
        </is>
      </c>
      <c r="B290" t="inlineStr">
        <is>
          <t>7556017764</t>
        </is>
      </c>
      <c r="C290" t="inlineStr">
        <is>
          <t>2025-12-06 21:51:52</t>
        </is>
      </c>
      <c r="D290" t="inlineStr">
        <is>
          <t>49</t>
        </is>
      </c>
      <c r="E290" t="inlineStr">
        <is>
          <t>Sha Sha - Shandaar Shawarma</t>
        </is>
      </c>
      <c r="F290" t="inlineStr">
        <is>
          <t>18557902</t>
        </is>
      </c>
      <c r="G290" t="inlineStr">
        <is>
          <t>NA</t>
        </is>
      </c>
      <c r="H290" t="inlineStr">
        <is>
          <t>ONLINE</t>
        </is>
      </c>
      <c r="I290" t="inlineStr">
        <is>
          <t>DELIVERED</t>
        </is>
      </c>
      <c r="J290" t="inlineStr">
        <is>
          <t>NA</t>
        </is>
      </c>
      <c r="K290" t="inlineStr">
        <is>
          <t>NA</t>
        </is>
      </c>
      <c r="L290" t="inlineStr">
        <is>
          <t>NA</t>
        </is>
      </c>
      <c r="M290" t="inlineStr">
        <is>
          <t>O2</t>
        </is>
      </c>
      <c r="N290" t="inlineStr">
        <is>
          <t>36</t>
        </is>
      </c>
      <c r="O290" t="n">
        <v>219</v>
      </c>
      <c r="P290" t="n">
        <v>3.5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11.13</v>
      </c>
      <c r="W290" t="n">
        <v>233.63</v>
      </c>
      <c r="X290" t="n">
        <v>222.5</v>
      </c>
      <c r="Y290" t="n">
        <v>19</v>
      </c>
      <c r="Z290" t="n">
        <v>42.28</v>
      </c>
      <c r="AA290" t="n">
        <v>4.3</v>
      </c>
      <c r="AB290" t="n">
        <v>46.58</v>
      </c>
      <c r="AC290" t="n">
        <v>8.380000000000001</v>
      </c>
      <c r="AD290" t="n">
        <v>0</v>
      </c>
      <c r="AE290" t="n">
        <v>222.5</v>
      </c>
      <c r="AF290" t="n">
        <v>0</v>
      </c>
      <c r="AG290" t="n">
        <v>0</v>
      </c>
      <c r="AH290" t="n">
        <v>0.22</v>
      </c>
      <c r="AI290" t="n">
        <v>11.13</v>
      </c>
      <c r="AJ290" t="n">
        <v>0</v>
      </c>
      <c r="AK290" t="n">
        <v>19.73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66.31</v>
      </c>
      <c r="AV290" t="n">
        <v>0</v>
      </c>
      <c r="AW290" t="n">
        <v>167.32</v>
      </c>
      <c r="AX290" t="inlineStr">
        <is>
          <t>settled</t>
        </is>
      </c>
      <c r="AY290" t="inlineStr">
        <is>
          <t>2025-12-10 05:30:00</t>
        </is>
      </c>
      <c r="AZ290" t="inlineStr">
        <is>
          <t>CITIN25668288188</t>
        </is>
      </c>
      <c r="BA290" t="n">
        <v>0</v>
      </c>
      <c r="BB290" t="inlineStr">
        <is>
          <t>0f4e2a4c8d438b30e8b9b0382455e790afb9377b2047c33bf16964673b7de322</t>
        </is>
      </c>
    </row>
    <row r="291">
      <c r="A291" t="inlineStr">
        <is>
          <t>286</t>
        </is>
      </c>
      <c r="B291" t="inlineStr">
        <is>
          <t>7552554685</t>
        </is>
      </c>
      <c r="C291" t="inlineStr">
        <is>
          <t>2025-12-06 22:04:07</t>
        </is>
      </c>
      <c r="D291" t="inlineStr">
        <is>
          <t>49</t>
        </is>
      </c>
      <c r="E291" t="inlineStr">
        <is>
          <t>Sha Sha - Shandaar Shawarma</t>
        </is>
      </c>
      <c r="F291" t="inlineStr">
        <is>
          <t>18557902</t>
        </is>
      </c>
      <c r="G291" t="inlineStr">
        <is>
          <t>30% off upto ₹75 (2025-06-25 - 2031-01-01)</t>
        </is>
      </c>
      <c r="H291" t="inlineStr">
        <is>
          <t>ONLINE</t>
        </is>
      </c>
      <c r="I291" t="inlineStr">
        <is>
          <t>DELIVERED</t>
        </is>
      </c>
      <c r="J291" t="inlineStr">
        <is>
          <t>NA</t>
        </is>
      </c>
      <c r="K291" t="inlineStr">
        <is>
          <t>NA</t>
        </is>
      </c>
      <c r="L291" t="inlineStr">
        <is>
          <t>NA</t>
        </is>
      </c>
      <c r="M291" t="inlineStr">
        <is>
          <t>O2</t>
        </is>
      </c>
      <c r="N291" t="inlineStr">
        <is>
          <t>36</t>
        </is>
      </c>
      <c r="O291" t="n">
        <v>229</v>
      </c>
      <c r="P291" t="n">
        <v>3.5</v>
      </c>
      <c r="Q291" t="n">
        <v>0</v>
      </c>
      <c r="R291" t="n">
        <v>68.7</v>
      </c>
      <c r="S291" t="n">
        <v>0</v>
      </c>
      <c r="T291" t="n">
        <v>0</v>
      </c>
      <c r="U291" t="n">
        <v>0</v>
      </c>
      <c r="V291" t="n">
        <v>8.19</v>
      </c>
      <c r="W291" t="n">
        <v>171.99</v>
      </c>
      <c r="X291" t="n">
        <v>163.8</v>
      </c>
      <c r="Y291" t="n">
        <v>19</v>
      </c>
      <c r="Z291" t="n">
        <v>31.12</v>
      </c>
      <c r="AA291" t="n">
        <v>3.16</v>
      </c>
      <c r="AB291" t="n">
        <v>34.28</v>
      </c>
      <c r="AC291" t="n">
        <v>6.17</v>
      </c>
      <c r="AD291" t="n">
        <v>0</v>
      </c>
      <c r="AE291" t="n">
        <v>163.8</v>
      </c>
      <c r="AF291" t="n">
        <v>0</v>
      </c>
      <c r="AG291" t="n">
        <v>0</v>
      </c>
      <c r="AH291" t="n">
        <v>0.16</v>
      </c>
      <c r="AI291" t="n">
        <v>8.199999999999999</v>
      </c>
      <c r="AJ291" t="n">
        <v>-0.01</v>
      </c>
      <c r="AK291" t="n">
        <v>14.53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48.81</v>
      </c>
      <c r="AV291" t="n">
        <v>0</v>
      </c>
      <c r="AW291" t="n">
        <v>123.18</v>
      </c>
      <c r="AX291" t="inlineStr">
        <is>
          <t>settled</t>
        </is>
      </c>
      <c r="AY291" t="inlineStr">
        <is>
          <t>2025-12-10 05:30:00</t>
        </is>
      </c>
      <c r="AZ291" t="inlineStr">
        <is>
          <t>CITIN25668288188</t>
        </is>
      </c>
      <c r="BA291" t="n">
        <v>0</v>
      </c>
      <c r="BB291" t="inlineStr">
        <is>
          <t>c8d884d19218e3dc04db1b2ad902f811a449bd7105501a0ffce57bb178640238</t>
        </is>
      </c>
    </row>
    <row r="292">
      <c r="A292" t="inlineStr">
        <is>
          <t>287</t>
        </is>
      </c>
      <c r="B292" t="inlineStr">
        <is>
          <t>7550635942</t>
        </is>
      </c>
      <c r="C292" t="inlineStr">
        <is>
          <t>2025-12-06 22:04:33</t>
        </is>
      </c>
      <c r="D292" t="inlineStr">
        <is>
          <t>49</t>
        </is>
      </c>
      <c r="E292" t="inlineStr">
        <is>
          <t>Sha Sha - Shandaar Shawarma</t>
        </is>
      </c>
      <c r="F292" t="inlineStr">
        <is>
          <t>18557902</t>
        </is>
      </c>
      <c r="G292" t="inlineStr">
        <is>
          <t>NA</t>
        </is>
      </c>
      <c r="H292" t="inlineStr">
        <is>
          <t>ONLINE</t>
        </is>
      </c>
      <c r="I292" t="inlineStr">
        <is>
          <t>DELIVERED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O2</t>
        </is>
      </c>
      <c r="N292" t="inlineStr">
        <is>
          <t>36</t>
        </is>
      </c>
      <c r="O292" t="n">
        <v>229</v>
      </c>
      <c r="P292" t="n">
        <v>3.5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11.63</v>
      </c>
      <c r="W292" t="n">
        <v>244.13</v>
      </c>
      <c r="X292" t="n">
        <v>232.5</v>
      </c>
      <c r="Y292" t="n">
        <v>19</v>
      </c>
      <c r="Z292" t="n">
        <v>44.18</v>
      </c>
      <c r="AA292" t="n">
        <v>4.49</v>
      </c>
      <c r="AB292" t="n">
        <v>48.67</v>
      </c>
      <c r="AC292" t="n">
        <v>8.76</v>
      </c>
      <c r="AD292" t="n">
        <v>0</v>
      </c>
      <c r="AE292" t="n">
        <v>232.5</v>
      </c>
      <c r="AF292" t="n">
        <v>0</v>
      </c>
      <c r="AG292" t="n">
        <v>0</v>
      </c>
      <c r="AH292" t="n">
        <v>0.23</v>
      </c>
      <c r="AI292" t="n">
        <v>11.63</v>
      </c>
      <c r="AJ292" t="n">
        <v>0</v>
      </c>
      <c r="AK292" t="n">
        <v>20.62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69.29000000000001</v>
      </c>
      <c r="AV292" t="n">
        <v>0</v>
      </c>
      <c r="AW292" t="n">
        <v>174.84</v>
      </c>
      <c r="AX292" t="inlineStr">
        <is>
          <t>settled</t>
        </is>
      </c>
      <c r="AY292" t="inlineStr">
        <is>
          <t>2025-12-10 05:30:00</t>
        </is>
      </c>
      <c r="AZ292" t="inlineStr">
        <is>
          <t>CITIN25668288188</t>
        </is>
      </c>
      <c r="BA292" t="n">
        <v>0</v>
      </c>
      <c r="BB292" t="inlineStr">
        <is>
          <t>9307ffc9aa4c569a4cd8eba8e33028919d436feb304a14124f4286ac3e3388cd</t>
        </is>
      </c>
    </row>
    <row r="293">
      <c r="A293" t="inlineStr">
        <is>
          <t>288</t>
        </is>
      </c>
      <c r="B293" t="inlineStr">
        <is>
          <t>7556905216</t>
        </is>
      </c>
      <c r="C293" t="inlineStr">
        <is>
          <t>2025-12-06 22:33:03</t>
        </is>
      </c>
      <c r="D293" t="inlineStr">
        <is>
          <t>49</t>
        </is>
      </c>
      <c r="E293" t="inlineStr">
        <is>
          <t>Sha Sha - Shandaar Shawarma</t>
        </is>
      </c>
      <c r="F293" t="inlineStr">
        <is>
          <t>18557902</t>
        </is>
      </c>
      <c r="G293" t="inlineStr">
        <is>
          <t>30% off upto ₹75 (2025-06-25 - 2031-01-01)</t>
        </is>
      </c>
      <c r="H293" t="inlineStr">
        <is>
          <t>ONLINE</t>
        </is>
      </c>
      <c r="I293" t="inlineStr">
        <is>
          <t>DELIVERED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O2</t>
        </is>
      </c>
      <c r="N293" t="inlineStr">
        <is>
          <t>36</t>
        </is>
      </c>
      <c r="O293" t="n">
        <v>448</v>
      </c>
      <c r="P293" t="n">
        <v>3.5</v>
      </c>
      <c r="Q293" t="n">
        <v>0</v>
      </c>
      <c r="R293" t="n">
        <v>75</v>
      </c>
      <c r="S293" t="n">
        <v>0</v>
      </c>
      <c r="T293" t="n">
        <v>0</v>
      </c>
      <c r="U293" t="n">
        <v>0</v>
      </c>
      <c r="V293" t="n">
        <v>18.83</v>
      </c>
      <c r="W293" t="n">
        <v>395.33</v>
      </c>
      <c r="X293" t="n">
        <v>376.5</v>
      </c>
      <c r="Y293" t="n">
        <v>19</v>
      </c>
      <c r="Z293" t="n">
        <v>71.54000000000001</v>
      </c>
      <c r="AA293" t="n">
        <v>7.27</v>
      </c>
      <c r="AB293" t="n">
        <v>78.81</v>
      </c>
      <c r="AC293" t="n">
        <v>14.19</v>
      </c>
      <c r="AD293" t="n">
        <v>0</v>
      </c>
      <c r="AE293" t="n">
        <v>376.5</v>
      </c>
      <c r="AF293" t="n">
        <v>0</v>
      </c>
      <c r="AG293" t="n">
        <v>0</v>
      </c>
      <c r="AH293" t="n">
        <v>0.38</v>
      </c>
      <c r="AI293" t="n">
        <v>18.83</v>
      </c>
      <c r="AJ293" t="n">
        <v>0</v>
      </c>
      <c r="AK293" t="n">
        <v>33.4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112.21</v>
      </c>
      <c r="AV293" t="n">
        <v>0</v>
      </c>
      <c r="AW293" t="n">
        <v>283.12</v>
      </c>
      <c r="AX293" t="inlineStr">
        <is>
          <t>settled</t>
        </is>
      </c>
      <c r="AY293" t="inlineStr">
        <is>
          <t>2025-12-10 05:30:00</t>
        </is>
      </c>
      <c r="AZ293" t="inlineStr">
        <is>
          <t>CITIN25668288188</t>
        </is>
      </c>
      <c r="BA293" t="n">
        <v>0</v>
      </c>
      <c r="BB293" t="inlineStr">
        <is>
          <t>e5a7d68326f76e8f834b541753825f35e3b6a5128311285e73f996809625720e</t>
        </is>
      </c>
    </row>
    <row r="294">
      <c r="A294" t="inlineStr">
        <is>
          <t>289</t>
        </is>
      </c>
      <c r="B294" t="inlineStr">
        <is>
          <t>7555269352</t>
        </is>
      </c>
      <c r="C294" t="inlineStr">
        <is>
          <t>2025-12-06 22:53:41</t>
        </is>
      </c>
      <c r="D294" t="inlineStr">
        <is>
          <t>49</t>
        </is>
      </c>
      <c r="E294" t="inlineStr">
        <is>
          <t>Sha Sha - Shandaar Shawarma</t>
        </is>
      </c>
      <c r="F294" t="inlineStr">
        <is>
          <t>18557902</t>
        </is>
      </c>
      <c r="G294" t="inlineStr">
        <is>
          <t>30% off upto ₹75 (2025-06-25 - 2031-01-01)</t>
        </is>
      </c>
      <c r="H294" t="inlineStr">
        <is>
          <t>ONLINE</t>
        </is>
      </c>
      <c r="I294" t="inlineStr">
        <is>
          <t>DELIVERED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O2</t>
        </is>
      </c>
      <c r="N294" t="inlineStr">
        <is>
          <t>36</t>
        </is>
      </c>
      <c r="O294" t="n">
        <v>458</v>
      </c>
      <c r="P294" t="n">
        <v>3.5</v>
      </c>
      <c r="Q294" t="n">
        <v>0</v>
      </c>
      <c r="R294" t="n">
        <v>75</v>
      </c>
      <c r="S294" t="n">
        <v>0</v>
      </c>
      <c r="T294" t="n">
        <v>0</v>
      </c>
      <c r="U294" t="n">
        <v>0</v>
      </c>
      <c r="V294" t="n">
        <v>19.33</v>
      </c>
      <c r="W294" t="n">
        <v>405.83</v>
      </c>
      <c r="X294" t="n">
        <v>386.5</v>
      </c>
      <c r="Y294" t="n">
        <v>19</v>
      </c>
      <c r="Z294" t="n">
        <v>73.44</v>
      </c>
      <c r="AA294" t="n">
        <v>7.47</v>
      </c>
      <c r="AB294" t="n">
        <v>80.91</v>
      </c>
      <c r="AC294" t="n">
        <v>14.56</v>
      </c>
      <c r="AD294" t="n">
        <v>0</v>
      </c>
      <c r="AE294" t="n">
        <v>386.5</v>
      </c>
      <c r="AF294" t="n">
        <v>0</v>
      </c>
      <c r="AG294" t="n">
        <v>0</v>
      </c>
      <c r="AH294" t="n">
        <v>0.39</v>
      </c>
      <c r="AI294" t="n">
        <v>19.33</v>
      </c>
      <c r="AJ294" t="n">
        <v>0</v>
      </c>
      <c r="AK294" t="n">
        <v>34.28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115.19</v>
      </c>
      <c r="AV294" t="n">
        <v>0</v>
      </c>
      <c r="AW294" t="n">
        <v>290.64</v>
      </c>
      <c r="AX294" t="inlineStr">
        <is>
          <t>settled</t>
        </is>
      </c>
      <c r="AY294" t="inlineStr">
        <is>
          <t>2025-12-10 05:30:00</t>
        </is>
      </c>
      <c r="AZ294" t="inlineStr">
        <is>
          <t>CITIN25668288188</t>
        </is>
      </c>
      <c r="BA294" t="n">
        <v>0</v>
      </c>
      <c r="BB294" t="inlineStr">
        <is>
          <t>2bb0d410ce2e2dccee778f409402ec867df7887e581d9bbf720913a6e41c3867</t>
        </is>
      </c>
    </row>
    <row r="295">
      <c r="A295" t="inlineStr">
        <is>
          <t>290</t>
        </is>
      </c>
      <c r="B295" t="inlineStr">
        <is>
          <t>7551453811</t>
        </is>
      </c>
      <c r="C295" t="inlineStr">
        <is>
          <t>2025-12-06 22:56:05</t>
        </is>
      </c>
      <c r="D295" t="inlineStr">
        <is>
          <t>49</t>
        </is>
      </c>
      <c r="E295" t="inlineStr">
        <is>
          <t>Sha Sha - Shandaar Shawarma</t>
        </is>
      </c>
      <c r="F295" t="inlineStr">
        <is>
          <t>18557902</t>
        </is>
      </c>
      <c r="G295" t="inlineStr">
        <is>
          <t>30% off upto ₹75 (2025-06-25 - 2031-01-01)</t>
        </is>
      </c>
      <c r="H295" t="inlineStr">
        <is>
          <t>ONLINE</t>
        </is>
      </c>
      <c r="I295" t="inlineStr">
        <is>
          <t>DELIVERED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O2</t>
        </is>
      </c>
      <c r="N295" t="inlineStr">
        <is>
          <t>36</t>
        </is>
      </c>
      <c r="O295" t="n">
        <v>219</v>
      </c>
      <c r="P295" t="n">
        <v>3.5</v>
      </c>
      <c r="Q295" t="n">
        <v>0</v>
      </c>
      <c r="R295" t="n">
        <v>65.7</v>
      </c>
      <c r="S295" t="n">
        <v>0</v>
      </c>
      <c r="T295" t="n">
        <v>0</v>
      </c>
      <c r="U295" t="n">
        <v>0</v>
      </c>
      <c r="V295" t="n">
        <v>7.84</v>
      </c>
      <c r="W295" t="n">
        <v>164.64</v>
      </c>
      <c r="X295" t="n">
        <v>156.8</v>
      </c>
      <c r="Y295" t="n">
        <v>19</v>
      </c>
      <c r="Z295" t="n">
        <v>29.79</v>
      </c>
      <c r="AA295" t="n">
        <v>3.03</v>
      </c>
      <c r="AB295" t="n">
        <v>32.82</v>
      </c>
      <c r="AC295" t="n">
        <v>5.91</v>
      </c>
      <c r="AD295" t="n">
        <v>0</v>
      </c>
      <c r="AE295" t="n">
        <v>156.8</v>
      </c>
      <c r="AF295" t="n">
        <v>0</v>
      </c>
      <c r="AG295" t="n">
        <v>0</v>
      </c>
      <c r="AH295" t="n">
        <v>0.16</v>
      </c>
      <c r="AI295" t="n">
        <v>7.85</v>
      </c>
      <c r="AJ295" t="n">
        <v>-0.01</v>
      </c>
      <c r="AK295" t="n">
        <v>13.92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46.74</v>
      </c>
      <c r="AV295" t="n">
        <v>0</v>
      </c>
      <c r="AW295" t="n">
        <v>117.9</v>
      </c>
      <c r="AX295" t="inlineStr">
        <is>
          <t>settled</t>
        </is>
      </c>
      <c r="AY295" t="inlineStr">
        <is>
          <t>2025-12-10 05:30:00</t>
        </is>
      </c>
      <c r="AZ295" t="inlineStr">
        <is>
          <t>CITIN25668288188</t>
        </is>
      </c>
      <c r="BA295" t="n">
        <v>0</v>
      </c>
      <c r="BB295" t="inlineStr">
        <is>
          <t>2a9219e27381566ed8c95b63e8c9fc532c192f0bfe4bef6a5491b2b556ed036e</t>
        </is>
      </c>
    </row>
    <row r="296">
      <c r="A296" t="inlineStr">
        <is>
          <t>291</t>
        </is>
      </c>
      <c r="B296" t="inlineStr">
        <is>
          <t>7556047170</t>
        </is>
      </c>
      <c r="C296" t="inlineStr">
        <is>
          <t>2025-12-06 22:57:03</t>
        </is>
      </c>
      <c r="D296" t="inlineStr">
        <is>
          <t>49</t>
        </is>
      </c>
      <c r="E296" t="inlineStr">
        <is>
          <t>Sha Sha - Shandaar Shawarma</t>
        </is>
      </c>
      <c r="F296" t="inlineStr">
        <is>
          <t>18557902</t>
        </is>
      </c>
      <c r="G296" t="inlineStr">
        <is>
          <t>30% off upto ₹75 (2025-06-25 - 2031-01-01)</t>
        </is>
      </c>
      <c r="H296" t="inlineStr">
        <is>
          <t>ONLINE</t>
        </is>
      </c>
      <c r="I296" t="inlineStr">
        <is>
          <t>DELIVERED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O2</t>
        </is>
      </c>
      <c r="N296" t="inlineStr">
        <is>
          <t>36</t>
        </is>
      </c>
      <c r="O296" t="n">
        <v>219</v>
      </c>
      <c r="P296" t="n">
        <v>3.5</v>
      </c>
      <c r="Q296" t="n">
        <v>0</v>
      </c>
      <c r="R296" t="n">
        <v>65.7</v>
      </c>
      <c r="S296" t="n">
        <v>0</v>
      </c>
      <c r="T296" t="n">
        <v>0</v>
      </c>
      <c r="U296" t="n">
        <v>0</v>
      </c>
      <c r="V296" t="n">
        <v>7.84</v>
      </c>
      <c r="W296" t="n">
        <v>164.64</v>
      </c>
      <c r="X296" t="n">
        <v>156.8</v>
      </c>
      <c r="Y296" t="n">
        <v>19</v>
      </c>
      <c r="Z296" t="n">
        <v>29.79</v>
      </c>
      <c r="AA296" t="n">
        <v>3.03</v>
      </c>
      <c r="AB296" t="n">
        <v>32.82</v>
      </c>
      <c r="AC296" t="n">
        <v>5.91</v>
      </c>
      <c r="AD296" t="n">
        <v>0</v>
      </c>
      <c r="AE296" t="n">
        <v>156.8</v>
      </c>
      <c r="AF296" t="n">
        <v>0</v>
      </c>
      <c r="AG296" t="n">
        <v>0</v>
      </c>
      <c r="AH296" t="n">
        <v>0.16</v>
      </c>
      <c r="AI296" t="n">
        <v>7.85</v>
      </c>
      <c r="AJ296" t="n">
        <v>-0.01</v>
      </c>
      <c r="AK296" t="n">
        <v>13.92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46.74</v>
      </c>
      <c r="AV296" t="n">
        <v>0</v>
      </c>
      <c r="AW296" t="n">
        <v>117.9</v>
      </c>
      <c r="AX296" t="inlineStr">
        <is>
          <t>settled</t>
        </is>
      </c>
      <c r="AY296" t="inlineStr">
        <is>
          <t>2025-12-10 05:30:00</t>
        </is>
      </c>
      <c r="AZ296" t="inlineStr">
        <is>
          <t>CITIN25668288188</t>
        </is>
      </c>
      <c r="BA296" t="n">
        <v>0</v>
      </c>
      <c r="BB296" t="inlineStr">
        <is>
          <t>381e8c14115331b8caa3b6d05d1218eb2153fdab28a3a29a05d485555565b82c</t>
        </is>
      </c>
    </row>
    <row r="297">
      <c r="A297" t="inlineStr">
        <is>
          <t>292</t>
        </is>
      </c>
      <c r="B297" t="inlineStr">
        <is>
          <t>7551151642</t>
        </is>
      </c>
      <c r="C297" t="inlineStr">
        <is>
          <t>2025-12-06 23:37:21</t>
        </is>
      </c>
      <c r="D297" t="inlineStr">
        <is>
          <t>49</t>
        </is>
      </c>
      <c r="E297" t="inlineStr">
        <is>
          <t>Sha Sha - Shandaar Shawarma</t>
        </is>
      </c>
      <c r="F297" t="inlineStr">
        <is>
          <t>18557902</t>
        </is>
      </c>
      <c r="G297" t="inlineStr">
        <is>
          <t>30% off upto ₹75 (2025-06-25 - 2031-01-01)</t>
        </is>
      </c>
      <c r="H297" t="inlineStr">
        <is>
          <t>ONLINE</t>
        </is>
      </c>
      <c r="I297" t="inlineStr">
        <is>
          <t>DELIVERED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O2</t>
        </is>
      </c>
      <c r="N297" t="inlineStr">
        <is>
          <t>36</t>
        </is>
      </c>
      <c r="O297" t="n">
        <v>219</v>
      </c>
      <c r="P297" t="n">
        <v>3.5</v>
      </c>
      <c r="Q297" t="n">
        <v>0</v>
      </c>
      <c r="R297" t="n">
        <v>65.7</v>
      </c>
      <c r="S297" t="n">
        <v>0</v>
      </c>
      <c r="T297" t="n">
        <v>0</v>
      </c>
      <c r="U297" t="n">
        <v>0</v>
      </c>
      <c r="V297" t="n">
        <v>7.84</v>
      </c>
      <c r="W297" t="n">
        <v>164.64</v>
      </c>
      <c r="X297" t="n">
        <v>156.8</v>
      </c>
      <c r="Y297" t="n">
        <v>19</v>
      </c>
      <c r="Z297" t="n">
        <v>29.79</v>
      </c>
      <c r="AA297" t="n">
        <v>3.03</v>
      </c>
      <c r="AB297" t="n">
        <v>32.82</v>
      </c>
      <c r="AC297" t="n">
        <v>5.91</v>
      </c>
      <c r="AD297" t="n">
        <v>0</v>
      </c>
      <c r="AE297" t="n">
        <v>156.8</v>
      </c>
      <c r="AF297" t="n">
        <v>0</v>
      </c>
      <c r="AG297" t="n">
        <v>0</v>
      </c>
      <c r="AH297" t="n">
        <v>0.16</v>
      </c>
      <c r="AI297" t="n">
        <v>7.85</v>
      </c>
      <c r="AJ297" t="n">
        <v>-0.01</v>
      </c>
      <c r="AK297" t="n">
        <v>13.92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46.74</v>
      </c>
      <c r="AV297" t="n">
        <v>0</v>
      </c>
      <c r="AW297" t="n">
        <v>117.9</v>
      </c>
      <c r="AX297" t="inlineStr">
        <is>
          <t>settled</t>
        </is>
      </c>
      <c r="AY297" t="inlineStr">
        <is>
          <t>2025-12-10 05:30:00</t>
        </is>
      </c>
      <c r="AZ297" t="inlineStr">
        <is>
          <t>CITIN25668288188</t>
        </is>
      </c>
      <c r="BA297" t="n">
        <v>0</v>
      </c>
      <c r="BB297" t="inlineStr">
        <is>
          <t>dd238b84f53c162fa549791bec466016466539e931f81c21f39c713c37b6b177</t>
        </is>
      </c>
    </row>
    <row r="298">
      <c r="A298" t="inlineStr">
        <is>
          <t>293</t>
        </is>
      </c>
      <c r="B298" t="inlineStr">
        <is>
          <t>7555281179</t>
        </is>
      </c>
      <c r="C298" t="inlineStr">
        <is>
          <t>2025-12-06 23:38:55</t>
        </is>
      </c>
      <c r="D298" t="inlineStr">
        <is>
          <t>49</t>
        </is>
      </c>
      <c r="E298" t="inlineStr">
        <is>
          <t>Sha Sha - Shandaar Shawarma</t>
        </is>
      </c>
      <c r="F298" t="inlineStr">
        <is>
          <t>18557902</t>
        </is>
      </c>
      <c r="G298" t="inlineStr">
        <is>
          <t>NA</t>
        </is>
      </c>
      <c r="H298" t="inlineStr">
        <is>
          <t>ONLINE</t>
        </is>
      </c>
      <c r="I298" t="inlineStr">
        <is>
          <t>DELIVERED</t>
        </is>
      </c>
      <c r="J298" t="inlineStr">
        <is>
          <t>NA</t>
        </is>
      </c>
      <c r="K298" t="inlineStr">
        <is>
          <t>NA</t>
        </is>
      </c>
      <c r="L298" t="inlineStr">
        <is>
          <t>NA</t>
        </is>
      </c>
      <c r="M298" t="inlineStr">
        <is>
          <t>O2</t>
        </is>
      </c>
      <c r="N298" t="inlineStr">
        <is>
          <t>36</t>
        </is>
      </c>
      <c r="O298" t="n">
        <v>438</v>
      </c>
      <c r="P298" t="n">
        <v>3.5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22.08</v>
      </c>
      <c r="W298" t="n">
        <v>463.58</v>
      </c>
      <c r="X298" t="n">
        <v>441.5</v>
      </c>
      <c r="Y298" t="n">
        <v>19</v>
      </c>
      <c r="Z298" t="n">
        <v>83.88</v>
      </c>
      <c r="AA298" t="n">
        <v>8.529999999999999</v>
      </c>
      <c r="AB298" t="n">
        <v>92.41</v>
      </c>
      <c r="AC298" t="n">
        <v>16.64</v>
      </c>
      <c r="AD298" t="n">
        <v>0</v>
      </c>
      <c r="AE298" t="n">
        <v>441.5</v>
      </c>
      <c r="AF298" t="n">
        <v>0</v>
      </c>
      <c r="AG298" t="n">
        <v>0</v>
      </c>
      <c r="AH298" t="n">
        <v>0.44</v>
      </c>
      <c r="AI298" t="n">
        <v>22.08</v>
      </c>
      <c r="AJ298" t="n">
        <v>0</v>
      </c>
      <c r="AK298" t="n">
        <v>39.16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131.57</v>
      </c>
      <c r="AV298" t="n">
        <v>0</v>
      </c>
      <c r="AW298" t="n">
        <v>332.01</v>
      </c>
      <c r="AX298" t="inlineStr">
        <is>
          <t>settled</t>
        </is>
      </c>
      <c r="AY298" t="inlineStr">
        <is>
          <t>2025-12-10 05:30:00</t>
        </is>
      </c>
      <c r="AZ298" t="inlineStr">
        <is>
          <t>CITIN25668288188</t>
        </is>
      </c>
      <c r="BA298" t="n">
        <v>0</v>
      </c>
      <c r="BB298" t="inlineStr">
        <is>
          <t>175d13c10feaeb25593eac995afd62757b9e5e3d733bebfa8dbc4548d72b72d0</t>
        </is>
      </c>
    </row>
    <row r="299">
      <c r="A299" t="inlineStr">
        <is>
          <t>294</t>
        </is>
      </c>
      <c r="B299" t="inlineStr">
        <is>
          <t>7555228520</t>
        </is>
      </c>
      <c r="C299" t="inlineStr">
        <is>
          <t>2025-12-06 23:52:34</t>
        </is>
      </c>
      <c r="D299" t="inlineStr">
        <is>
          <t>49</t>
        </is>
      </c>
      <c r="E299" t="inlineStr">
        <is>
          <t>Sha Sha - Shandaar Shawarma</t>
        </is>
      </c>
      <c r="F299" t="inlineStr">
        <is>
          <t>18557902</t>
        </is>
      </c>
      <c r="G299" t="inlineStr">
        <is>
          <t>NA</t>
        </is>
      </c>
      <c r="H299" t="inlineStr">
        <is>
          <t>ONLINE</t>
        </is>
      </c>
      <c r="I299" t="inlineStr">
        <is>
          <t>DELIVERED</t>
        </is>
      </c>
      <c r="J299" t="inlineStr">
        <is>
          <t>NA</t>
        </is>
      </c>
      <c r="K299" t="inlineStr">
        <is>
          <t>NA</t>
        </is>
      </c>
      <c r="L299" t="inlineStr">
        <is>
          <t>NA</t>
        </is>
      </c>
      <c r="M299" t="inlineStr">
        <is>
          <t>O2</t>
        </is>
      </c>
      <c r="N299" t="inlineStr">
        <is>
          <t>36</t>
        </is>
      </c>
      <c r="O299" t="n">
        <v>229</v>
      </c>
      <c r="P299" t="n">
        <v>3.5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11.63</v>
      </c>
      <c r="W299" t="n">
        <v>244.13</v>
      </c>
      <c r="X299" t="n">
        <v>232.5</v>
      </c>
      <c r="Y299" t="n">
        <v>19</v>
      </c>
      <c r="Z299" t="n">
        <v>44.18</v>
      </c>
      <c r="AA299" t="n">
        <v>4.49</v>
      </c>
      <c r="AB299" t="n">
        <v>48.67</v>
      </c>
      <c r="AC299" t="n">
        <v>8.76</v>
      </c>
      <c r="AD299" t="n">
        <v>0</v>
      </c>
      <c r="AE299" t="n">
        <v>232.5</v>
      </c>
      <c r="AF299" t="n">
        <v>0</v>
      </c>
      <c r="AG299" t="n">
        <v>0</v>
      </c>
      <c r="AH299" t="n">
        <v>0.23</v>
      </c>
      <c r="AI299" t="n">
        <v>11.63</v>
      </c>
      <c r="AJ299" t="n">
        <v>0</v>
      </c>
      <c r="AK299" t="n">
        <v>20.62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69.29000000000001</v>
      </c>
      <c r="AV299" t="n">
        <v>0</v>
      </c>
      <c r="AW299" t="n">
        <v>174.84</v>
      </c>
      <c r="AX299" t="inlineStr">
        <is>
          <t>settled</t>
        </is>
      </c>
      <c r="AY299" t="inlineStr">
        <is>
          <t>2025-12-10 05:30:00</t>
        </is>
      </c>
      <c r="AZ299" t="inlineStr">
        <is>
          <t>CITIN25668288188</t>
        </is>
      </c>
      <c r="BA299" t="n">
        <v>0</v>
      </c>
      <c r="BB299" t="inlineStr">
        <is>
          <t>361d7336e058e0d373dc76df7c407b0775504750ca7f2c2b974d714b3269dded</t>
        </is>
      </c>
    </row>
    <row r="300">
      <c r="A300" t="inlineStr">
        <is>
          <t>295</t>
        </is>
      </c>
      <c r="B300" t="inlineStr">
        <is>
          <t>7534918105</t>
        </is>
      </c>
      <c r="C300" t="inlineStr">
        <is>
          <t>2025-12-07 00:18:16</t>
        </is>
      </c>
      <c r="D300" t="inlineStr">
        <is>
          <t>49</t>
        </is>
      </c>
      <c r="E300" t="inlineStr">
        <is>
          <t>Sha Sha - Shandaar Shawarma</t>
        </is>
      </c>
      <c r="F300" t="inlineStr">
        <is>
          <t>18557902</t>
        </is>
      </c>
      <c r="G300" t="inlineStr">
        <is>
          <t>30% off upto ₹75 (2025-06-25 - 2031-01-01)</t>
        </is>
      </c>
      <c r="H300" t="inlineStr">
        <is>
          <t>ONLINE</t>
        </is>
      </c>
      <c r="I300" t="inlineStr">
        <is>
          <t>DELIVERED</t>
        </is>
      </c>
      <c r="J300" t="inlineStr">
        <is>
          <t>NA</t>
        </is>
      </c>
      <c r="K300" t="inlineStr">
        <is>
          <t>NA</t>
        </is>
      </c>
      <c r="L300" t="inlineStr">
        <is>
          <t>NA</t>
        </is>
      </c>
      <c r="M300" t="inlineStr">
        <is>
          <t>O2</t>
        </is>
      </c>
      <c r="N300" t="inlineStr">
        <is>
          <t>36</t>
        </is>
      </c>
      <c r="O300" t="n">
        <v>229</v>
      </c>
      <c r="P300" t="n">
        <v>3.5</v>
      </c>
      <c r="Q300" t="n">
        <v>0</v>
      </c>
      <c r="R300" t="n">
        <v>68.7</v>
      </c>
      <c r="S300" t="n">
        <v>0</v>
      </c>
      <c r="T300" t="n">
        <v>0</v>
      </c>
      <c r="U300" t="n">
        <v>0</v>
      </c>
      <c r="V300" t="n">
        <v>8.19</v>
      </c>
      <c r="W300" t="n">
        <v>171.99</v>
      </c>
      <c r="X300" t="n">
        <v>163.8</v>
      </c>
      <c r="Y300" t="n">
        <v>19</v>
      </c>
      <c r="Z300" t="n">
        <v>31.12</v>
      </c>
      <c r="AA300" t="n">
        <v>3.16</v>
      </c>
      <c r="AB300" t="n">
        <v>34.28</v>
      </c>
      <c r="AC300" t="n">
        <v>6.17</v>
      </c>
      <c r="AD300" t="n">
        <v>0</v>
      </c>
      <c r="AE300" t="n">
        <v>163.8</v>
      </c>
      <c r="AF300" t="n">
        <v>0</v>
      </c>
      <c r="AG300" t="n">
        <v>0</v>
      </c>
      <c r="AH300" t="n">
        <v>0.16</v>
      </c>
      <c r="AI300" t="n">
        <v>8.199999999999999</v>
      </c>
      <c r="AJ300" t="n">
        <v>-0.01</v>
      </c>
      <c r="AK300" t="n">
        <v>14.53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48.81</v>
      </c>
      <c r="AV300" t="n">
        <v>0</v>
      </c>
      <c r="AW300" t="n">
        <v>123.18</v>
      </c>
      <c r="AX300" t="inlineStr">
        <is>
          <t>settled</t>
        </is>
      </c>
      <c r="AY300" t="inlineStr">
        <is>
          <t>2025-12-10 05:30:00</t>
        </is>
      </c>
      <c r="AZ300" t="inlineStr">
        <is>
          <t>CITIN25668288188</t>
        </is>
      </c>
      <c r="BA300" t="n">
        <v>0</v>
      </c>
      <c r="BB300" t="inlineStr">
        <is>
          <t>f4e8e56d778454938c459853a36783f477f6e7059549148c133481bf556aa6f8</t>
        </is>
      </c>
    </row>
    <row r="301">
      <c r="A301" t="inlineStr">
        <is>
          <t>296</t>
        </is>
      </c>
      <c r="B301" t="inlineStr">
        <is>
          <t>7546637207</t>
        </is>
      </c>
      <c r="C301" t="inlineStr">
        <is>
          <t>2025-12-07 00:28:25</t>
        </is>
      </c>
      <c r="D301" t="inlineStr">
        <is>
          <t>49</t>
        </is>
      </c>
      <c r="E301" t="inlineStr">
        <is>
          <t>Sha Sha - Shandaar Shawarma</t>
        </is>
      </c>
      <c r="F301" t="inlineStr">
        <is>
          <t>18557902</t>
        </is>
      </c>
      <c r="G301" t="inlineStr">
        <is>
          <t>NA</t>
        </is>
      </c>
      <c r="H301" t="inlineStr">
        <is>
          <t>ONLINE</t>
        </is>
      </c>
      <c r="I301" t="inlineStr">
        <is>
          <t>DELIVERED</t>
        </is>
      </c>
      <c r="J301" t="inlineStr">
        <is>
          <t>NA</t>
        </is>
      </c>
      <c r="K301" t="inlineStr">
        <is>
          <t>NA</t>
        </is>
      </c>
      <c r="L301" t="inlineStr">
        <is>
          <t>NA</t>
        </is>
      </c>
      <c r="M301" t="inlineStr">
        <is>
          <t>O2</t>
        </is>
      </c>
      <c r="N301" t="inlineStr">
        <is>
          <t>36</t>
        </is>
      </c>
      <c r="O301" t="n">
        <v>229</v>
      </c>
      <c r="P301" t="n">
        <v>3.5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11.63</v>
      </c>
      <c r="W301" t="n">
        <v>244.13</v>
      </c>
      <c r="X301" t="n">
        <v>232.5</v>
      </c>
      <c r="Y301" t="n">
        <v>19</v>
      </c>
      <c r="Z301" t="n">
        <v>44.18</v>
      </c>
      <c r="AA301" t="n">
        <v>4.49</v>
      </c>
      <c r="AB301" t="n">
        <v>48.67</v>
      </c>
      <c r="AC301" t="n">
        <v>8.76</v>
      </c>
      <c r="AD301" t="n">
        <v>0</v>
      </c>
      <c r="AE301" t="n">
        <v>232.5</v>
      </c>
      <c r="AF301" t="n">
        <v>0</v>
      </c>
      <c r="AG301" t="n">
        <v>0</v>
      </c>
      <c r="AH301" t="n">
        <v>0.23</v>
      </c>
      <c r="AI301" t="n">
        <v>11.63</v>
      </c>
      <c r="AJ301" t="n">
        <v>0</v>
      </c>
      <c r="AK301" t="n">
        <v>20.62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69.29000000000001</v>
      </c>
      <c r="AV301" t="n">
        <v>0</v>
      </c>
      <c r="AW301" t="n">
        <v>174.84</v>
      </c>
      <c r="AX301" t="inlineStr">
        <is>
          <t>settled</t>
        </is>
      </c>
      <c r="AY301" t="inlineStr">
        <is>
          <t>2025-12-10 05:30:00</t>
        </is>
      </c>
      <c r="AZ301" t="inlineStr">
        <is>
          <t>CITIN25668288188</t>
        </is>
      </c>
      <c r="BA301" t="n">
        <v>0</v>
      </c>
      <c r="BB301" t="inlineStr">
        <is>
          <t>3fc006d1fe31d58b0945c186c5ddaee87d3336931e987dad5886744296906f19</t>
        </is>
      </c>
    </row>
    <row r="302">
      <c r="A302" t="inlineStr">
        <is>
          <t>297</t>
        </is>
      </c>
      <c r="B302" t="inlineStr">
        <is>
          <t>7548133360</t>
        </is>
      </c>
      <c r="C302" t="inlineStr">
        <is>
          <t>2025-12-07 00:29:00</t>
        </is>
      </c>
      <c r="D302" t="inlineStr">
        <is>
          <t>49</t>
        </is>
      </c>
      <c r="E302" t="inlineStr">
        <is>
          <t>Sha Sha - Shandaar Shawarma</t>
        </is>
      </c>
      <c r="F302" t="inlineStr">
        <is>
          <t>18557902</t>
        </is>
      </c>
      <c r="G302" t="inlineStr">
        <is>
          <t>NA</t>
        </is>
      </c>
      <c r="H302" t="inlineStr">
        <is>
          <t>ONLINE</t>
        </is>
      </c>
      <c r="I302" t="inlineStr">
        <is>
          <t>DELIVERED</t>
        </is>
      </c>
      <c r="J302" t="inlineStr">
        <is>
          <t>NA</t>
        </is>
      </c>
      <c r="K302" t="inlineStr">
        <is>
          <t>NA</t>
        </is>
      </c>
      <c r="L302" t="inlineStr">
        <is>
          <t>NA</t>
        </is>
      </c>
      <c r="M302" t="inlineStr">
        <is>
          <t>O2</t>
        </is>
      </c>
      <c r="N302" t="inlineStr">
        <is>
          <t>36</t>
        </is>
      </c>
      <c r="O302" t="n">
        <v>376</v>
      </c>
      <c r="P302" t="n">
        <v>3.5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18.98</v>
      </c>
      <c r="W302" t="n">
        <v>398.48</v>
      </c>
      <c r="X302" t="n">
        <v>379.5</v>
      </c>
      <c r="Y302" t="n">
        <v>19</v>
      </c>
      <c r="Z302" t="n">
        <v>72.09999999999999</v>
      </c>
      <c r="AA302" t="n">
        <v>7.33</v>
      </c>
      <c r="AB302" t="n">
        <v>79.43000000000001</v>
      </c>
      <c r="AC302" t="n">
        <v>14.3</v>
      </c>
      <c r="AD302" t="n">
        <v>0</v>
      </c>
      <c r="AE302" t="n">
        <v>379.5</v>
      </c>
      <c r="AF302" t="n">
        <v>0</v>
      </c>
      <c r="AG302" t="n">
        <v>0</v>
      </c>
      <c r="AH302" t="n">
        <v>0.38</v>
      </c>
      <c r="AI302" t="n">
        <v>18.98</v>
      </c>
      <c r="AJ302" t="n">
        <v>0</v>
      </c>
      <c r="AK302" t="n">
        <v>33.66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113.09</v>
      </c>
      <c r="AV302" t="n">
        <v>0</v>
      </c>
      <c r="AW302" t="n">
        <v>285.39</v>
      </c>
      <c r="AX302" t="inlineStr">
        <is>
          <t>settled</t>
        </is>
      </c>
      <c r="AY302" t="inlineStr">
        <is>
          <t>2025-12-10 05:30:00</t>
        </is>
      </c>
      <c r="AZ302" t="inlineStr">
        <is>
          <t>CITIN25668288188</t>
        </is>
      </c>
      <c r="BA302" t="n">
        <v>0</v>
      </c>
      <c r="BB302" t="inlineStr">
        <is>
          <t>347c4c2e54714e6bc3765468c0837323339199077ce4db49e0ef3dc54c57ced7</t>
        </is>
      </c>
    </row>
    <row r="303">
      <c r="A303" t="inlineStr">
        <is>
          <t>298</t>
        </is>
      </c>
      <c r="B303" t="inlineStr">
        <is>
          <t>7554128227</t>
        </is>
      </c>
      <c r="C303" t="inlineStr">
        <is>
          <t>2025-12-07 00:42:46</t>
        </is>
      </c>
      <c r="D303" t="inlineStr">
        <is>
          <t>49</t>
        </is>
      </c>
      <c r="E303" t="inlineStr">
        <is>
          <t>Sha Sha - Shandaar Shawarma</t>
        </is>
      </c>
      <c r="F303" t="inlineStr">
        <is>
          <t>18557902</t>
        </is>
      </c>
      <c r="G303" t="inlineStr">
        <is>
          <t>30% off upto ₹75 (2025-06-25 - 2031-01-01)</t>
        </is>
      </c>
      <c r="H303" t="inlineStr">
        <is>
          <t>ONLINE</t>
        </is>
      </c>
      <c r="I303" t="inlineStr">
        <is>
          <t>DELIVERED</t>
        </is>
      </c>
      <c r="J303" t="inlineStr">
        <is>
          <t>NA</t>
        </is>
      </c>
      <c r="K303" t="inlineStr">
        <is>
          <t>NA</t>
        </is>
      </c>
      <c r="L303" t="inlineStr">
        <is>
          <t>NA</t>
        </is>
      </c>
      <c r="M303" t="inlineStr">
        <is>
          <t>O2</t>
        </is>
      </c>
      <c r="N303" t="inlineStr">
        <is>
          <t>36</t>
        </is>
      </c>
      <c r="O303" t="n">
        <v>229</v>
      </c>
      <c r="P303" t="n">
        <v>3.5</v>
      </c>
      <c r="Q303" t="n">
        <v>0</v>
      </c>
      <c r="R303" t="n">
        <v>68.7</v>
      </c>
      <c r="S303" t="n">
        <v>0</v>
      </c>
      <c r="T303" t="n">
        <v>0</v>
      </c>
      <c r="U303" t="n">
        <v>0</v>
      </c>
      <c r="V303" t="n">
        <v>8.19</v>
      </c>
      <c r="W303" t="n">
        <v>171.99</v>
      </c>
      <c r="X303" t="n">
        <v>163.8</v>
      </c>
      <c r="Y303" t="n">
        <v>19</v>
      </c>
      <c r="Z303" t="n">
        <v>31.12</v>
      </c>
      <c r="AA303" t="n">
        <v>3.16</v>
      </c>
      <c r="AB303" t="n">
        <v>34.28</v>
      </c>
      <c r="AC303" t="n">
        <v>6.17</v>
      </c>
      <c r="AD303" t="n">
        <v>0</v>
      </c>
      <c r="AE303" t="n">
        <v>163.8</v>
      </c>
      <c r="AF303" t="n">
        <v>0</v>
      </c>
      <c r="AG303" t="n">
        <v>0</v>
      </c>
      <c r="AH303" t="n">
        <v>0.16</v>
      </c>
      <c r="AI303" t="n">
        <v>8.199999999999999</v>
      </c>
      <c r="AJ303" t="n">
        <v>-0.01</v>
      </c>
      <c r="AK303" t="n">
        <v>14.53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48.81</v>
      </c>
      <c r="AV303" t="n">
        <v>0</v>
      </c>
      <c r="AW303" t="n">
        <v>123.18</v>
      </c>
      <c r="AX303" t="inlineStr">
        <is>
          <t>settled</t>
        </is>
      </c>
      <c r="AY303" t="inlineStr">
        <is>
          <t>2025-12-10 05:30:00</t>
        </is>
      </c>
      <c r="AZ303" t="inlineStr">
        <is>
          <t>CITIN25668288188</t>
        </is>
      </c>
      <c r="BA303" t="n">
        <v>0</v>
      </c>
      <c r="BB303" t="inlineStr">
        <is>
          <t>b359ba1d0deb7c6134bf34fd66b09e7ef0d0c62fed1d632ea7d6af12a33df66f</t>
        </is>
      </c>
    </row>
    <row r="304">
      <c r="A304" t="inlineStr">
        <is>
          <t>299</t>
        </is>
      </c>
      <c r="B304" t="inlineStr">
        <is>
          <t>7555948954</t>
        </is>
      </c>
      <c r="C304" t="inlineStr">
        <is>
          <t>2025-12-07 01:04:56</t>
        </is>
      </c>
      <c r="D304" t="inlineStr">
        <is>
          <t>49</t>
        </is>
      </c>
      <c r="E304" t="inlineStr">
        <is>
          <t>Sha Sha - Shandaar Shawarma</t>
        </is>
      </c>
      <c r="F304" t="inlineStr">
        <is>
          <t>18557902</t>
        </is>
      </c>
      <c r="G304" t="inlineStr">
        <is>
          <t>30% off upto ₹75 (2025-06-25 - 2031-01-01)</t>
        </is>
      </c>
      <c r="H304" t="inlineStr">
        <is>
          <t>ONLINE</t>
        </is>
      </c>
      <c r="I304" t="inlineStr">
        <is>
          <t>DELIVERED</t>
        </is>
      </c>
      <c r="J304" t="inlineStr">
        <is>
          <t>NA</t>
        </is>
      </c>
      <c r="K304" t="inlineStr">
        <is>
          <t>NA</t>
        </is>
      </c>
      <c r="L304" t="inlineStr">
        <is>
          <t>NA</t>
        </is>
      </c>
      <c r="M304" t="inlineStr">
        <is>
          <t>O2</t>
        </is>
      </c>
      <c r="N304" t="inlineStr">
        <is>
          <t>36</t>
        </is>
      </c>
      <c r="O304" t="n">
        <v>229</v>
      </c>
      <c r="P304" t="n">
        <v>3.5</v>
      </c>
      <c r="Q304" t="n">
        <v>0</v>
      </c>
      <c r="R304" t="n">
        <v>68.7</v>
      </c>
      <c r="S304" t="n">
        <v>0</v>
      </c>
      <c r="T304" t="n">
        <v>0</v>
      </c>
      <c r="U304" t="n">
        <v>0</v>
      </c>
      <c r="V304" t="n">
        <v>8.19</v>
      </c>
      <c r="W304" t="n">
        <v>171.99</v>
      </c>
      <c r="X304" t="n">
        <v>163.8</v>
      </c>
      <c r="Y304" t="n">
        <v>19</v>
      </c>
      <c r="Z304" t="n">
        <v>31.12</v>
      </c>
      <c r="AA304" t="n">
        <v>3.16</v>
      </c>
      <c r="AB304" t="n">
        <v>34.28</v>
      </c>
      <c r="AC304" t="n">
        <v>6.17</v>
      </c>
      <c r="AD304" t="n">
        <v>0</v>
      </c>
      <c r="AE304" t="n">
        <v>163.8</v>
      </c>
      <c r="AF304" t="n">
        <v>0</v>
      </c>
      <c r="AG304" t="n">
        <v>0</v>
      </c>
      <c r="AH304" t="n">
        <v>0.16</v>
      </c>
      <c r="AI304" t="n">
        <v>8.199999999999999</v>
      </c>
      <c r="AJ304" t="n">
        <v>-0.01</v>
      </c>
      <c r="AK304" t="n">
        <v>14.53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48.81</v>
      </c>
      <c r="AV304" t="n">
        <v>0</v>
      </c>
      <c r="AW304" t="n">
        <v>123.18</v>
      </c>
      <c r="AX304" t="inlineStr">
        <is>
          <t>settled</t>
        </is>
      </c>
      <c r="AY304" t="inlineStr">
        <is>
          <t>2025-12-10 05:30:00</t>
        </is>
      </c>
      <c r="AZ304" t="inlineStr">
        <is>
          <t>CITIN25668288188</t>
        </is>
      </c>
      <c r="BA304" t="n">
        <v>0</v>
      </c>
      <c r="BB304" t="inlineStr">
        <is>
          <t>d83fe9a6e88d91106b1289c7e37ce5a4f6356a320a8aec3b81a341c2b1012691</t>
        </is>
      </c>
    </row>
    <row r="305">
      <c r="A305" t="inlineStr">
        <is>
          <t>300</t>
        </is>
      </c>
      <c r="B305" t="inlineStr">
        <is>
          <t>7555771341</t>
        </is>
      </c>
      <c r="C305" t="inlineStr">
        <is>
          <t>2025-12-07 01:08:28</t>
        </is>
      </c>
      <c r="D305" t="inlineStr">
        <is>
          <t>49</t>
        </is>
      </c>
      <c r="E305" t="inlineStr">
        <is>
          <t>Sha Sha - Shandaar Shawarma</t>
        </is>
      </c>
      <c r="F305" t="inlineStr">
        <is>
          <t>18557902</t>
        </is>
      </c>
      <c r="G305" t="inlineStr">
        <is>
          <t>30% off upto ₹75 (2025-06-25 - 2031-01-01)</t>
        </is>
      </c>
      <c r="H305" t="inlineStr">
        <is>
          <t>ONLINE</t>
        </is>
      </c>
      <c r="I305" t="inlineStr">
        <is>
          <t>DELIVERED</t>
        </is>
      </c>
      <c r="J305" t="inlineStr">
        <is>
          <t>NA</t>
        </is>
      </c>
      <c r="K305" t="inlineStr">
        <is>
          <t>NA</t>
        </is>
      </c>
      <c r="L305" t="inlineStr">
        <is>
          <t>NA</t>
        </is>
      </c>
      <c r="M305" t="inlineStr">
        <is>
          <t>O2</t>
        </is>
      </c>
      <c r="N305" t="inlineStr">
        <is>
          <t>36</t>
        </is>
      </c>
      <c r="O305" t="n">
        <v>229</v>
      </c>
      <c r="P305" t="n">
        <v>3.5</v>
      </c>
      <c r="Q305" t="n">
        <v>0</v>
      </c>
      <c r="R305" t="n">
        <v>68.7</v>
      </c>
      <c r="S305" t="n">
        <v>0</v>
      </c>
      <c r="T305" t="n">
        <v>0</v>
      </c>
      <c r="U305" t="n">
        <v>0</v>
      </c>
      <c r="V305" t="n">
        <v>8.19</v>
      </c>
      <c r="W305" t="n">
        <v>171.99</v>
      </c>
      <c r="X305" t="n">
        <v>163.8</v>
      </c>
      <c r="Y305" t="n">
        <v>19</v>
      </c>
      <c r="Z305" t="n">
        <v>31.12</v>
      </c>
      <c r="AA305" t="n">
        <v>3.16</v>
      </c>
      <c r="AB305" t="n">
        <v>34.28</v>
      </c>
      <c r="AC305" t="n">
        <v>6.17</v>
      </c>
      <c r="AD305" t="n">
        <v>0</v>
      </c>
      <c r="AE305" t="n">
        <v>163.8</v>
      </c>
      <c r="AF305" t="n">
        <v>0</v>
      </c>
      <c r="AG305" t="n">
        <v>0</v>
      </c>
      <c r="AH305" t="n">
        <v>0.16</v>
      </c>
      <c r="AI305" t="n">
        <v>8.199999999999999</v>
      </c>
      <c r="AJ305" t="n">
        <v>-0.01</v>
      </c>
      <c r="AK305" t="n">
        <v>14.53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48.81</v>
      </c>
      <c r="AV305" t="n">
        <v>0</v>
      </c>
      <c r="AW305" t="n">
        <v>123.18</v>
      </c>
      <c r="AX305" t="inlineStr">
        <is>
          <t>settled</t>
        </is>
      </c>
      <c r="AY305" t="inlineStr">
        <is>
          <t>2025-12-10 05:30:00</t>
        </is>
      </c>
      <c r="AZ305" t="inlineStr">
        <is>
          <t>CITIN25668288188</t>
        </is>
      </c>
      <c r="BA305" t="n">
        <v>0</v>
      </c>
      <c r="BB305" t="inlineStr">
        <is>
          <t>d887a88ea0a0186543527cf78731e3fda1df61d2abb7c2194f2c4915fc54b93c</t>
        </is>
      </c>
    </row>
    <row r="306">
      <c r="A306" t="inlineStr">
        <is>
          <t>301</t>
        </is>
      </c>
      <c r="B306" t="inlineStr">
        <is>
          <t>7556746819</t>
        </is>
      </c>
      <c r="C306" t="inlineStr">
        <is>
          <t>2025-12-07 01:12:15</t>
        </is>
      </c>
      <c r="D306" t="inlineStr">
        <is>
          <t>49</t>
        </is>
      </c>
      <c r="E306" t="inlineStr">
        <is>
          <t>Sha Sha - Shandaar Shawarma</t>
        </is>
      </c>
      <c r="F306" t="inlineStr">
        <is>
          <t>18557902</t>
        </is>
      </c>
      <c r="G306" t="inlineStr">
        <is>
          <t>NA</t>
        </is>
      </c>
      <c r="H306" t="inlineStr">
        <is>
          <t>ONLINE</t>
        </is>
      </c>
      <c r="I306" t="inlineStr">
        <is>
          <t>DELIVERED</t>
        </is>
      </c>
      <c r="J306" t="inlineStr">
        <is>
          <t>NA</t>
        </is>
      </c>
      <c r="K306" t="inlineStr">
        <is>
          <t>NA</t>
        </is>
      </c>
      <c r="L306" t="inlineStr">
        <is>
          <t>NA</t>
        </is>
      </c>
      <c r="M306" t="inlineStr">
        <is>
          <t>O2</t>
        </is>
      </c>
      <c r="N306" t="inlineStr">
        <is>
          <t>36</t>
        </is>
      </c>
      <c r="O306" t="n">
        <v>458</v>
      </c>
      <c r="P306" t="n">
        <v>3.5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23.08</v>
      </c>
      <c r="W306" t="n">
        <v>484.58</v>
      </c>
      <c r="X306" t="n">
        <v>461.5</v>
      </c>
      <c r="Y306" t="n">
        <v>19</v>
      </c>
      <c r="Z306" t="n">
        <v>87.68000000000001</v>
      </c>
      <c r="AA306" t="n">
        <v>8.92</v>
      </c>
      <c r="AB306" t="n">
        <v>96.59999999999999</v>
      </c>
      <c r="AC306" t="n">
        <v>17.39</v>
      </c>
      <c r="AD306" t="n">
        <v>0</v>
      </c>
      <c r="AE306" t="n">
        <v>461.5</v>
      </c>
      <c r="AF306" t="n">
        <v>0</v>
      </c>
      <c r="AG306" t="n">
        <v>0</v>
      </c>
      <c r="AH306" t="n">
        <v>0.46</v>
      </c>
      <c r="AI306" t="n">
        <v>23.08</v>
      </c>
      <c r="AJ306" t="n">
        <v>0</v>
      </c>
      <c r="AK306" t="n">
        <v>40.93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137.53</v>
      </c>
      <c r="AV306" t="n">
        <v>0</v>
      </c>
      <c r="AW306" t="n">
        <v>347.05</v>
      </c>
      <c r="AX306" t="inlineStr">
        <is>
          <t>settled</t>
        </is>
      </c>
      <c r="AY306" t="inlineStr">
        <is>
          <t>2025-12-10 05:30:00</t>
        </is>
      </c>
      <c r="AZ306" t="inlineStr">
        <is>
          <t>CITIN25668288188</t>
        </is>
      </c>
      <c r="BA306" t="n">
        <v>0</v>
      </c>
      <c r="BB306" t="inlineStr">
        <is>
          <t>4988fc4d89556ead2c6fbe3415091fa8b62694a22a80e96237e04104769f37dc</t>
        </is>
      </c>
    </row>
    <row r="307">
      <c r="A307" t="inlineStr">
        <is>
          <t>302</t>
        </is>
      </c>
      <c r="B307" t="inlineStr">
        <is>
          <t>7546084894</t>
        </is>
      </c>
      <c r="C307" t="inlineStr">
        <is>
          <t>2025-12-07 01:23:12</t>
        </is>
      </c>
      <c r="D307" t="inlineStr">
        <is>
          <t>49</t>
        </is>
      </c>
      <c r="E307" t="inlineStr">
        <is>
          <t>Sha Sha - Shandaar Shawarma</t>
        </is>
      </c>
      <c r="F307" t="inlineStr">
        <is>
          <t>18557902</t>
        </is>
      </c>
      <c r="G307" t="inlineStr">
        <is>
          <t>30% off upto ₹75 (2025-06-25 - 2031-01-01)</t>
        </is>
      </c>
      <c r="H307" t="inlineStr">
        <is>
          <t>ONLINE</t>
        </is>
      </c>
      <c r="I307" t="inlineStr">
        <is>
          <t>DELIVERED</t>
        </is>
      </c>
      <c r="J307" t="inlineStr">
        <is>
          <t>NA</t>
        </is>
      </c>
      <c r="K307" t="inlineStr">
        <is>
          <t>NA</t>
        </is>
      </c>
      <c r="L307" t="inlineStr">
        <is>
          <t>NA</t>
        </is>
      </c>
      <c r="M307" t="inlineStr">
        <is>
          <t>O2</t>
        </is>
      </c>
      <c r="N307" t="inlineStr">
        <is>
          <t>36</t>
        </is>
      </c>
      <c r="O307" t="n">
        <v>355</v>
      </c>
      <c r="P307" t="n">
        <v>3.5</v>
      </c>
      <c r="Q307" t="n">
        <v>0</v>
      </c>
      <c r="R307" t="n">
        <v>75</v>
      </c>
      <c r="S307" t="n">
        <v>0</v>
      </c>
      <c r="T307" t="n">
        <v>0</v>
      </c>
      <c r="U307" t="n">
        <v>0</v>
      </c>
      <c r="V307" t="n">
        <v>14.18</v>
      </c>
      <c r="W307" t="n">
        <v>297.68</v>
      </c>
      <c r="X307" t="n">
        <v>283.5</v>
      </c>
      <c r="Y307" t="n">
        <v>19</v>
      </c>
      <c r="Z307" t="n">
        <v>53.86</v>
      </c>
      <c r="AA307" t="n">
        <v>5.48</v>
      </c>
      <c r="AB307" t="n">
        <v>59.34</v>
      </c>
      <c r="AC307" t="n">
        <v>10.68</v>
      </c>
      <c r="AD307" t="n">
        <v>0</v>
      </c>
      <c r="AE307" t="n">
        <v>283.5</v>
      </c>
      <c r="AF307" t="n">
        <v>0</v>
      </c>
      <c r="AG307" t="n">
        <v>0</v>
      </c>
      <c r="AH307" t="n">
        <v>0.28</v>
      </c>
      <c r="AI307" t="n">
        <v>14.18</v>
      </c>
      <c r="AJ307" t="n">
        <v>0</v>
      </c>
      <c r="AK307" t="n">
        <v>25.14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84.48</v>
      </c>
      <c r="AV307" t="n">
        <v>0</v>
      </c>
      <c r="AW307" t="n">
        <v>213.2</v>
      </c>
      <c r="AX307" t="inlineStr">
        <is>
          <t>settled</t>
        </is>
      </c>
      <c r="AY307" t="inlineStr">
        <is>
          <t>2025-12-10 05:30:00</t>
        </is>
      </c>
      <c r="AZ307" t="inlineStr">
        <is>
          <t>CITIN25668288188</t>
        </is>
      </c>
      <c r="BA307" t="n">
        <v>0</v>
      </c>
      <c r="BB307" t="inlineStr">
        <is>
          <t>2241a5c13547a4e3eeb013b41bc94103afa9982e5132f8105185e1b9bbed9989</t>
        </is>
      </c>
    </row>
    <row r="308">
      <c r="A308" t="inlineStr">
        <is>
          <t>303</t>
        </is>
      </c>
      <c r="B308" t="inlineStr">
        <is>
          <t>7555359279</t>
        </is>
      </c>
      <c r="C308" t="inlineStr">
        <is>
          <t>2025-12-07 01:36:04</t>
        </is>
      </c>
      <c r="D308" t="inlineStr">
        <is>
          <t>49</t>
        </is>
      </c>
      <c r="E308" t="inlineStr">
        <is>
          <t>Sha Sha - Shandaar Shawarma</t>
        </is>
      </c>
      <c r="F308" t="inlineStr">
        <is>
          <t>18557902</t>
        </is>
      </c>
      <c r="G308" t="inlineStr">
        <is>
          <t>NA</t>
        </is>
      </c>
      <c r="H308" t="inlineStr">
        <is>
          <t>ONLINE</t>
        </is>
      </c>
      <c r="I308" t="inlineStr">
        <is>
          <t>DELIVERED</t>
        </is>
      </c>
      <c r="J308" t="inlineStr">
        <is>
          <t>NA</t>
        </is>
      </c>
      <c r="K308" t="inlineStr">
        <is>
          <t>NA</t>
        </is>
      </c>
      <c r="L308" t="inlineStr">
        <is>
          <t>NA</t>
        </is>
      </c>
      <c r="M308" t="inlineStr">
        <is>
          <t>O2</t>
        </is>
      </c>
      <c r="N308" t="inlineStr">
        <is>
          <t>36</t>
        </is>
      </c>
      <c r="O308" t="n">
        <v>229</v>
      </c>
      <c r="P308" t="n">
        <v>3.5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11.63</v>
      </c>
      <c r="W308" t="n">
        <v>244.13</v>
      </c>
      <c r="X308" t="n">
        <v>232.5</v>
      </c>
      <c r="Y308" t="n">
        <v>19</v>
      </c>
      <c r="Z308" t="n">
        <v>44.18</v>
      </c>
      <c r="AA308" t="n">
        <v>4.49</v>
      </c>
      <c r="AB308" t="n">
        <v>48.67</v>
      </c>
      <c r="AC308" t="n">
        <v>8.76</v>
      </c>
      <c r="AD308" t="n">
        <v>0</v>
      </c>
      <c r="AE308" t="n">
        <v>232.5</v>
      </c>
      <c r="AF308" t="n">
        <v>0</v>
      </c>
      <c r="AG308" t="n">
        <v>0</v>
      </c>
      <c r="AH308" t="n">
        <v>0.23</v>
      </c>
      <c r="AI308" t="n">
        <v>11.63</v>
      </c>
      <c r="AJ308" t="n">
        <v>0</v>
      </c>
      <c r="AK308" t="n">
        <v>20.62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69.29000000000001</v>
      </c>
      <c r="AV308" t="n">
        <v>0</v>
      </c>
      <c r="AW308" t="n">
        <v>174.84</v>
      </c>
      <c r="AX308" t="inlineStr">
        <is>
          <t>settled</t>
        </is>
      </c>
      <c r="AY308" t="inlineStr">
        <is>
          <t>2025-12-10 05:30:00</t>
        </is>
      </c>
      <c r="AZ308" t="inlineStr">
        <is>
          <t>CITIN25668288188</t>
        </is>
      </c>
      <c r="BA308" t="n">
        <v>0</v>
      </c>
      <c r="BB308" t="inlineStr">
        <is>
          <t>d79ca7a6c09071fcbcdd90e224b1e308d22abe905ab83dd3cf0a5a4bd576e6b9</t>
        </is>
      </c>
    </row>
    <row r="309">
      <c r="A309" t="inlineStr">
        <is>
          <t>304</t>
        </is>
      </c>
      <c r="B309" t="inlineStr">
        <is>
          <t>7555720635</t>
        </is>
      </c>
      <c r="C309" t="inlineStr">
        <is>
          <t>2025-12-07 01:42:00</t>
        </is>
      </c>
      <c r="D309" t="inlineStr">
        <is>
          <t>49</t>
        </is>
      </c>
      <c r="E309" t="inlineStr">
        <is>
          <t>Sha Sha - Shandaar Shawarma</t>
        </is>
      </c>
      <c r="F309" t="inlineStr">
        <is>
          <t>18557902</t>
        </is>
      </c>
      <c r="G309" t="inlineStr">
        <is>
          <t>NA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NA</t>
        </is>
      </c>
      <c r="K309" t="inlineStr">
        <is>
          <t>NA</t>
        </is>
      </c>
      <c r="L309" t="inlineStr">
        <is>
          <t>NA</t>
        </is>
      </c>
      <c r="M309" t="inlineStr">
        <is>
          <t>O2</t>
        </is>
      </c>
      <c r="N309" t="inlineStr">
        <is>
          <t>36</t>
        </is>
      </c>
      <c r="O309" t="n">
        <v>229</v>
      </c>
      <c r="P309" t="n">
        <v>3.5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11.63</v>
      </c>
      <c r="W309" t="n">
        <v>244.13</v>
      </c>
      <c r="X309" t="n">
        <v>232.5</v>
      </c>
      <c r="Y309" t="n">
        <v>19</v>
      </c>
      <c r="Z309" t="n">
        <v>44.18</v>
      </c>
      <c r="AA309" t="n">
        <v>4.49</v>
      </c>
      <c r="AB309" t="n">
        <v>48.67</v>
      </c>
      <c r="AC309" t="n">
        <v>8.76</v>
      </c>
      <c r="AD309" t="n">
        <v>0</v>
      </c>
      <c r="AE309" t="n">
        <v>232.5</v>
      </c>
      <c r="AF309" t="n">
        <v>0</v>
      </c>
      <c r="AG309" t="n">
        <v>0</v>
      </c>
      <c r="AH309" t="n">
        <v>0.23</v>
      </c>
      <c r="AI309" t="n">
        <v>11.63</v>
      </c>
      <c r="AJ309" t="n">
        <v>0</v>
      </c>
      <c r="AK309" t="n">
        <v>20.62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69.29000000000001</v>
      </c>
      <c r="AV309" t="n">
        <v>0</v>
      </c>
      <c r="AW309" t="n">
        <v>174.84</v>
      </c>
      <c r="AX309" t="inlineStr">
        <is>
          <t>settled</t>
        </is>
      </c>
      <c r="AY309" t="inlineStr">
        <is>
          <t>2025-12-10 05:30:00</t>
        </is>
      </c>
      <c r="AZ309" t="inlineStr">
        <is>
          <t>CITIN25668288188</t>
        </is>
      </c>
      <c r="BA309" t="n">
        <v>0</v>
      </c>
      <c r="BB309" t="inlineStr">
        <is>
          <t>8c9f022b55332e9b9b106e0ca0cba646653882d5e35efe2266d56fc4607dc3f0</t>
        </is>
      </c>
    </row>
    <row r="310">
      <c r="A310" t="inlineStr">
        <is>
          <t>305</t>
        </is>
      </c>
      <c r="B310" t="inlineStr">
        <is>
          <t>7546161535</t>
        </is>
      </c>
      <c r="C310" t="inlineStr">
        <is>
          <t>2025-12-07 01:46:22</t>
        </is>
      </c>
      <c r="D310" t="inlineStr">
        <is>
          <t>49</t>
        </is>
      </c>
      <c r="E310" t="inlineStr">
        <is>
          <t>Sha Sha - Shandaar Shawarma</t>
        </is>
      </c>
      <c r="F310" t="inlineStr">
        <is>
          <t>18557902</t>
        </is>
      </c>
      <c r="G310" t="inlineStr">
        <is>
          <t>NA</t>
        </is>
      </c>
      <c r="H310" t="inlineStr">
        <is>
          <t>ONLINE</t>
        </is>
      </c>
      <c r="I310" t="inlineStr">
        <is>
          <t>DELIVERED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O2</t>
        </is>
      </c>
      <c r="N310" t="inlineStr">
        <is>
          <t>36</t>
        </is>
      </c>
      <c r="O310" t="n">
        <v>229</v>
      </c>
      <c r="P310" t="n">
        <v>3.5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11.63</v>
      </c>
      <c r="W310" t="n">
        <v>244.13</v>
      </c>
      <c r="X310" t="n">
        <v>232.5</v>
      </c>
      <c r="Y310" t="n">
        <v>19</v>
      </c>
      <c r="Z310" t="n">
        <v>44.18</v>
      </c>
      <c r="AA310" t="n">
        <v>4.49</v>
      </c>
      <c r="AB310" t="n">
        <v>48.67</v>
      </c>
      <c r="AC310" t="n">
        <v>8.76</v>
      </c>
      <c r="AD310" t="n">
        <v>0</v>
      </c>
      <c r="AE310" t="n">
        <v>232.5</v>
      </c>
      <c r="AF310" t="n">
        <v>0</v>
      </c>
      <c r="AG310" t="n">
        <v>0</v>
      </c>
      <c r="AH310" t="n">
        <v>0.23</v>
      </c>
      <c r="AI310" t="n">
        <v>11.63</v>
      </c>
      <c r="AJ310" t="n">
        <v>0</v>
      </c>
      <c r="AK310" t="n">
        <v>20.62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69.29000000000001</v>
      </c>
      <c r="AV310" t="n">
        <v>0</v>
      </c>
      <c r="AW310" t="n">
        <v>174.84</v>
      </c>
      <c r="AX310" t="inlineStr">
        <is>
          <t>settled</t>
        </is>
      </c>
      <c r="AY310" t="inlineStr">
        <is>
          <t>2025-12-10 05:30:00</t>
        </is>
      </c>
      <c r="AZ310" t="inlineStr">
        <is>
          <t>CITIN25668288188</t>
        </is>
      </c>
      <c r="BA310" t="n">
        <v>0</v>
      </c>
      <c r="BB310" t="inlineStr">
        <is>
          <t>c3d550b68ed68a11cb044f43ada45646c470045c21e9605f4226d6f8425b60e8</t>
        </is>
      </c>
    </row>
    <row r="311">
      <c r="A311" t="inlineStr">
        <is>
          <t>306</t>
        </is>
      </c>
      <c r="B311" t="inlineStr">
        <is>
          <t>7553219915</t>
        </is>
      </c>
      <c r="C311" t="inlineStr">
        <is>
          <t>2025-12-07 01:47:00</t>
        </is>
      </c>
      <c r="D311" t="inlineStr">
        <is>
          <t>49</t>
        </is>
      </c>
      <c r="E311" t="inlineStr">
        <is>
          <t>Sha Sha - Shandaar Shawarma</t>
        </is>
      </c>
      <c r="F311" t="inlineStr">
        <is>
          <t>18557902</t>
        </is>
      </c>
      <c r="G311" t="inlineStr">
        <is>
          <t>NA</t>
        </is>
      </c>
      <c r="H311" t="inlineStr">
        <is>
          <t>ONLINE</t>
        </is>
      </c>
      <c r="I311" t="inlineStr">
        <is>
          <t>DELIVERED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O2</t>
        </is>
      </c>
      <c r="N311" t="inlineStr">
        <is>
          <t>36</t>
        </is>
      </c>
      <c r="O311" t="n">
        <v>219</v>
      </c>
      <c r="P311" t="n">
        <v>3.5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11.13</v>
      </c>
      <c r="W311" t="n">
        <v>233.63</v>
      </c>
      <c r="X311" t="n">
        <v>222.5</v>
      </c>
      <c r="Y311" t="n">
        <v>19</v>
      </c>
      <c r="Z311" t="n">
        <v>42.28</v>
      </c>
      <c r="AA311" t="n">
        <v>4.3</v>
      </c>
      <c r="AB311" t="n">
        <v>46.58</v>
      </c>
      <c r="AC311" t="n">
        <v>8.380000000000001</v>
      </c>
      <c r="AD311" t="n">
        <v>0</v>
      </c>
      <c r="AE311" t="n">
        <v>222.5</v>
      </c>
      <c r="AF311" t="n">
        <v>0</v>
      </c>
      <c r="AG311" t="n">
        <v>0</v>
      </c>
      <c r="AH311" t="n">
        <v>0.22</v>
      </c>
      <c r="AI311" t="n">
        <v>11.13</v>
      </c>
      <c r="AJ311" t="n">
        <v>0</v>
      </c>
      <c r="AK311" t="n">
        <v>19.73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66.31</v>
      </c>
      <c r="AV311" t="n">
        <v>0</v>
      </c>
      <c r="AW311" t="n">
        <v>167.32</v>
      </c>
      <c r="AX311" t="inlineStr">
        <is>
          <t>settled</t>
        </is>
      </c>
      <c r="AY311" t="inlineStr">
        <is>
          <t>2025-12-10 05:30:00</t>
        </is>
      </c>
      <c r="AZ311" t="inlineStr">
        <is>
          <t>CITIN25668288188</t>
        </is>
      </c>
      <c r="BA311" t="n">
        <v>0</v>
      </c>
      <c r="BB311" t="inlineStr">
        <is>
          <t>63023a4f6ef5c9f5719b72b06c91812069714f831e4acbc99eaf1f6d0c48c105</t>
        </is>
      </c>
    </row>
    <row r="312">
      <c r="A312" t="inlineStr">
        <is>
          <t>307</t>
        </is>
      </c>
      <c r="B312" t="inlineStr">
        <is>
          <t>7543282063</t>
        </is>
      </c>
      <c r="C312" t="inlineStr">
        <is>
          <t>2025-12-07 01:54:54</t>
        </is>
      </c>
      <c r="D312" t="inlineStr">
        <is>
          <t>49</t>
        </is>
      </c>
      <c r="E312" t="inlineStr">
        <is>
          <t>Sha Sha - Shandaar Shawarma</t>
        </is>
      </c>
      <c r="F312" t="inlineStr">
        <is>
          <t>18557902</t>
        </is>
      </c>
      <c r="G312" t="inlineStr">
        <is>
          <t>30% off upto ₹75 (2025-06-25 - 2031-01-01)</t>
        </is>
      </c>
      <c r="H312" t="inlineStr">
        <is>
          <t>ONLINE</t>
        </is>
      </c>
      <c r="I312" t="inlineStr">
        <is>
          <t>DELIVERED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O2</t>
        </is>
      </c>
      <c r="N312" t="inlineStr">
        <is>
          <t>36</t>
        </is>
      </c>
      <c r="O312" t="n">
        <v>368</v>
      </c>
      <c r="P312" t="n">
        <v>3.5</v>
      </c>
      <c r="Q312" t="n">
        <v>0</v>
      </c>
      <c r="R312" t="n">
        <v>75</v>
      </c>
      <c r="S312" t="n">
        <v>0</v>
      </c>
      <c r="T312" t="n">
        <v>0</v>
      </c>
      <c r="U312" t="n">
        <v>0</v>
      </c>
      <c r="V312" t="n">
        <v>14.83</v>
      </c>
      <c r="W312" t="n">
        <v>311.33</v>
      </c>
      <c r="X312" t="n">
        <v>296.5</v>
      </c>
      <c r="Y312" t="n">
        <v>19</v>
      </c>
      <c r="Z312" t="n">
        <v>56.34</v>
      </c>
      <c r="AA312" t="n">
        <v>5.73</v>
      </c>
      <c r="AB312" t="n">
        <v>62.07</v>
      </c>
      <c r="AC312" t="n">
        <v>11.17</v>
      </c>
      <c r="AD312" t="n">
        <v>0</v>
      </c>
      <c r="AE312" t="n">
        <v>296.5</v>
      </c>
      <c r="AF312" t="n">
        <v>0</v>
      </c>
      <c r="AG312" t="n">
        <v>0</v>
      </c>
      <c r="AH312" t="n">
        <v>0.3</v>
      </c>
      <c r="AI312" t="n">
        <v>14.83</v>
      </c>
      <c r="AJ312" t="n">
        <v>0</v>
      </c>
      <c r="AK312" t="n">
        <v>26.3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88.37</v>
      </c>
      <c r="AV312" t="n">
        <v>0</v>
      </c>
      <c r="AW312" t="n">
        <v>222.96</v>
      </c>
      <c r="AX312" t="inlineStr">
        <is>
          <t>settled</t>
        </is>
      </c>
      <c r="AY312" t="inlineStr">
        <is>
          <t>2025-12-10 05:30:00</t>
        </is>
      </c>
      <c r="AZ312" t="inlineStr">
        <is>
          <t>CITIN25668288188</t>
        </is>
      </c>
      <c r="BA312" t="n">
        <v>0</v>
      </c>
      <c r="BB312" t="inlineStr">
        <is>
          <t>35143427691d665f965b1fae676be1b0fa82afa393940f647785f89613f5325f</t>
        </is>
      </c>
    </row>
    <row r="313">
      <c r="A313" t="inlineStr">
        <is>
          <t>308</t>
        </is>
      </c>
      <c r="B313" t="inlineStr">
        <is>
          <t>7548677085</t>
        </is>
      </c>
      <c r="C313" t="inlineStr">
        <is>
          <t>2025-12-07 02:05:43</t>
        </is>
      </c>
      <c r="D313" t="inlineStr">
        <is>
          <t>49</t>
        </is>
      </c>
      <c r="E313" t="inlineStr">
        <is>
          <t>Sha Sha - Shandaar Shawarma</t>
        </is>
      </c>
      <c r="F313" t="inlineStr">
        <is>
          <t>18557902</t>
        </is>
      </c>
      <c r="G313" t="inlineStr">
        <is>
          <t>30% off upto ₹75 (2025-06-25 - 2031-01-01)</t>
        </is>
      </c>
      <c r="H313" t="inlineStr">
        <is>
          <t>ONLINE</t>
        </is>
      </c>
      <c r="I313" t="inlineStr">
        <is>
          <t>DELIVERED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O2</t>
        </is>
      </c>
      <c r="N313" t="inlineStr">
        <is>
          <t>36</t>
        </is>
      </c>
      <c r="O313" t="n">
        <v>229</v>
      </c>
      <c r="P313" t="n">
        <v>3.5</v>
      </c>
      <c r="Q313" t="n">
        <v>0</v>
      </c>
      <c r="R313" t="n">
        <v>68.7</v>
      </c>
      <c r="S313" t="n">
        <v>0</v>
      </c>
      <c r="T313" t="n">
        <v>0</v>
      </c>
      <c r="U313" t="n">
        <v>0</v>
      </c>
      <c r="V313" t="n">
        <v>8.19</v>
      </c>
      <c r="W313" t="n">
        <v>171.99</v>
      </c>
      <c r="X313" t="n">
        <v>163.8</v>
      </c>
      <c r="Y313" t="n">
        <v>19</v>
      </c>
      <c r="Z313" t="n">
        <v>31.12</v>
      </c>
      <c r="AA313" t="n">
        <v>3.16</v>
      </c>
      <c r="AB313" t="n">
        <v>34.28</v>
      </c>
      <c r="AC313" t="n">
        <v>6.17</v>
      </c>
      <c r="AD313" t="n">
        <v>0</v>
      </c>
      <c r="AE313" t="n">
        <v>163.8</v>
      </c>
      <c r="AF313" t="n">
        <v>0</v>
      </c>
      <c r="AG313" t="n">
        <v>0</v>
      </c>
      <c r="AH313" t="n">
        <v>0.16</v>
      </c>
      <c r="AI313" t="n">
        <v>8.199999999999999</v>
      </c>
      <c r="AJ313" t="n">
        <v>-0.01</v>
      </c>
      <c r="AK313" t="n">
        <v>14.53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48.81</v>
      </c>
      <c r="AV313" t="n">
        <v>0</v>
      </c>
      <c r="AW313" t="n">
        <v>123.18</v>
      </c>
      <c r="AX313" t="inlineStr">
        <is>
          <t>settled</t>
        </is>
      </c>
      <c r="AY313" t="inlineStr">
        <is>
          <t>2025-12-10 05:30:00</t>
        </is>
      </c>
      <c r="AZ313" t="inlineStr">
        <is>
          <t>CITIN25668288188</t>
        </is>
      </c>
      <c r="BA313" t="n">
        <v>0</v>
      </c>
      <c r="BB313" t="inlineStr">
        <is>
          <t>a3dffc9985bc4f0b01fad08f740890c3ab85d00f16c55b5702b58397a4307d01</t>
        </is>
      </c>
    </row>
    <row r="314">
      <c r="A314" t="inlineStr">
        <is>
          <t>309</t>
        </is>
      </c>
      <c r="B314" t="inlineStr">
        <is>
          <t>7550915116</t>
        </is>
      </c>
      <c r="C314" t="inlineStr">
        <is>
          <t>2025-12-07 03:28:37</t>
        </is>
      </c>
      <c r="D314" t="inlineStr">
        <is>
          <t>49</t>
        </is>
      </c>
      <c r="E314" t="inlineStr">
        <is>
          <t>Sha Sha - Shandaar Shawarma</t>
        </is>
      </c>
      <c r="F314" t="inlineStr">
        <is>
          <t>18557902</t>
        </is>
      </c>
      <c r="G314" t="inlineStr">
        <is>
          <t>30% off upto ₹75 (2025-06-25 - 2031-01-01)</t>
        </is>
      </c>
      <c r="H314" t="inlineStr">
        <is>
          <t>ONLINE</t>
        </is>
      </c>
      <c r="I314" t="inlineStr">
        <is>
          <t>DELIVERED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O2</t>
        </is>
      </c>
      <c r="N314" t="inlineStr">
        <is>
          <t>36</t>
        </is>
      </c>
      <c r="O314" t="n">
        <v>219</v>
      </c>
      <c r="P314" t="n">
        <v>3.5</v>
      </c>
      <c r="Q314" t="n">
        <v>0</v>
      </c>
      <c r="R314" t="n">
        <v>65.7</v>
      </c>
      <c r="S314" t="n">
        <v>0</v>
      </c>
      <c r="T314" t="n">
        <v>0</v>
      </c>
      <c r="U314" t="n">
        <v>0</v>
      </c>
      <c r="V314" t="n">
        <v>7.84</v>
      </c>
      <c r="W314" t="n">
        <v>164.64</v>
      </c>
      <c r="X314" t="n">
        <v>156.8</v>
      </c>
      <c r="Y314" t="n">
        <v>19</v>
      </c>
      <c r="Z314" t="n">
        <v>29.79</v>
      </c>
      <c r="AA314" t="n">
        <v>3.03</v>
      </c>
      <c r="AB314" t="n">
        <v>32.82</v>
      </c>
      <c r="AC314" t="n">
        <v>5.91</v>
      </c>
      <c r="AD314" t="n">
        <v>0</v>
      </c>
      <c r="AE314" t="n">
        <v>156.8</v>
      </c>
      <c r="AF314" t="n">
        <v>0</v>
      </c>
      <c r="AG314" t="n">
        <v>0</v>
      </c>
      <c r="AH314" t="n">
        <v>0.16</v>
      </c>
      <c r="AI314" t="n">
        <v>7.85</v>
      </c>
      <c r="AJ314" t="n">
        <v>-0.01</v>
      </c>
      <c r="AK314" t="n">
        <v>13.92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46.74</v>
      </c>
      <c r="AV314" t="n">
        <v>0</v>
      </c>
      <c r="AW314" t="n">
        <v>117.9</v>
      </c>
      <c r="AX314" t="inlineStr">
        <is>
          <t>settled</t>
        </is>
      </c>
      <c r="AY314" t="inlineStr">
        <is>
          <t>2025-12-10 05:30:00</t>
        </is>
      </c>
      <c r="AZ314" t="inlineStr">
        <is>
          <t>CITIN25668288188</t>
        </is>
      </c>
      <c r="BA314" t="n">
        <v>0</v>
      </c>
      <c r="BB314" t="inlineStr">
        <is>
          <t>47f105e9cfaf98392ab86c045e2911f0e145f0c9f5cb34fca5ce5b0d9bad2a22</t>
        </is>
      </c>
    </row>
    <row r="315">
      <c r="A315" t="inlineStr">
        <is>
          <t>310</t>
        </is>
      </c>
      <c r="B315" t="inlineStr">
        <is>
          <t>7556301477</t>
        </is>
      </c>
      <c r="C315" t="inlineStr">
        <is>
          <t>2025-12-07 04:00:33</t>
        </is>
      </c>
      <c r="D315" t="inlineStr">
        <is>
          <t>49</t>
        </is>
      </c>
      <c r="E315" t="inlineStr">
        <is>
          <t>Sha Sha - Shandaar Shawarma</t>
        </is>
      </c>
      <c r="F315" t="inlineStr">
        <is>
          <t>18557902</t>
        </is>
      </c>
      <c r="G315" t="inlineStr">
        <is>
          <t>NA</t>
        </is>
      </c>
      <c r="H315" t="inlineStr">
        <is>
          <t>ONLINE</t>
        </is>
      </c>
      <c r="I315" t="inlineStr">
        <is>
          <t>DELIVERED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O2</t>
        </is>
      </c>
      <c r="N315" t="inlineStr">
        <is>
          <t>36</t>
        </is>
      </c>
      <c r="O315" t="n">
        <v>229</v>
      </c>
      <c r="P315" t="n">
        <v>3.5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11.63</v>
      </c>
      <c r="W315" t="n">
        <v>244.13</v>
      </c>
      <c r="X315" t="n">
        <v>232.5</v>
      </c>
      <c r="Y315" t="n">
        <v>19</v>
      </c>
      <c r="Z315" t="n">
        <v>44.18</v>
      </c>
      <c r="AA315" t="n">
        <v>4.49</v>
      </c>
      <c r="AB315" t="n">
        <v>48.67</v>
      </c>
      <c r="AC315" t="n">
        <v>8.76</v>
      </c>
      <c r="AD315" t="n">
        <v>0</v>
      </c>
      <c r="AE315" t="n">
        <v>232.5</v>
      </c>
      <c r="AF315" t="n">
        <v>0</v>
      </c>
      <c r="AG315" t="n">
        <v>0</v>
      </c>
      <c r="AH315" t="n">
        <v>0.23</v>
      </c>
      <c r="AI315" t="n">
        <v>11.63</v>
      </c>
      <c r="AJ315" t="n">
        <v>0</v>
      </c>
      <c r="AK315" t="n">
        <v>20.62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69.29000000000001</v>
      </c>
      <c r="AV315" t="n">
        <v>0</v>
      </c>
      <c r="AW315" t="n">
        <v>174.84</v>
      </c>
      <c r="AX315" t="inlineStr">
        <is>
          <t>settled</t>
        </is>
      </c>
      <c r="AY315" t="inlineStr">
        <is>
          <t>2025-12-10 05:30:00</t>
        </is>
      </c>
      <c r="AZ315" t="inlineStr">
        <is>
          <t>CITIN25668288188</t>
        </is>
      </c>
      <c r="BA315" t="n">
        <v>0</v>
      </c>
      <c r="BB315" t="inlineStr">
        <is>
          <t>87bdb3dba1ff489cf60468fc2a0374c785537e1d236ea2c570ac51f54053b524</t>
        </is>
      </c>
    </row>
    <row r="316">
      <c r="A316" t="inlineStr">
        <is>
          <t>311</t>
        </is>
      </c>
      <c r="B316" t="inlineStr">
        <is>
          <t>7546143191</t>
        </is>
      </c>
      <c r="C316" t="inlineStr">
        <is>
          <t>2025-12-07 12:09:10</t>
        </is>
      </c>
      <c r="D316" t="inlineStr">
        <is>
          <t>49</t>
        </is>
      </c>
      <c r="E316" t="inlineStr">
        <is>
          <t>Sha Sha - Shandaar Shawarma</t>
        </is>
      </c>
      <c r="F316" t="inlineStr">
        <is>
          <t>18557902</t>
        </is>
      </c>
      <c r="G316" t="inlineStr">
        <is>
          <t>NA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NA</t>
        </is>
      </c>
      <c r="K316" t="inlineStr">
        <is>
          <t>NA</t>
        </is>
      </c>
      <c r="L316" t="inlineStr">
        <is>
          <t>NA</t>
        </is>
      </c>
      <c r="M316" t="inlineStr">
        <is>
          <t>O2</t>
        </is>
      </c>
      <c r="N316" t="inlineStr">
        <is>
          <t>36</t>
        </is>
      </c>
      <c r="O316" t="n">
        <v>229</v>
      </c>
      <c r="P316" t="n">
        <v>3.5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11.63</v>
      </c>
      <c r="W316" t="n">
        <v>244.13</v>
      </c>
      <c r="X316" t="n">
        <v>232.5</v>
      </c>
      <c r="Y316" t="n">
        <v>19</v>
      </c>
      <c r="Z316" t="n">
        <v>44.18</v>
      </c>
      <c r="AA316" t="n">
        <v>4.49</v>
      </c>
      <c r="AB316" t="n">
        <v>48.67</v>
      </c>
      <c r="AC316" t="n">
        <v>8.76</v>
      </c>
      <c r="AD316" t="n">
        <v>0</v>
      </c>
      <c r="AE316" t="n">
        <v>232.5</v>
      </c>
      <c r="AF316" t="n">
        <v>0</v>
      </c>
      <c r="AG316" t="n">
        <v>0</v>
      </c>
      <c r="AH316" t="n">
        <v>0.23</v>
      </c>
      <c r="AI316" t="n">
        <v>11.63</v>
      </c>
      <c r="AJ316" t="n">
        <v>0</v>
      </c>
      <c r="AK316" t="n">
        <v>20.62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69.29000000000001</v>
      </c>
      <c r="AV316" t="n">
        <v>0</v>
      </c>
      <c r="AW316" t="n">
        <v>174.84</v>
      </c>
      <c r="AX316" t="inlineStr">
        <is>
          <t>settled</t>
        </is>
      </c>
      <c r="AY316" t="inlineStr">
        <is>
          <t>2025-12-10 05:30:00</t>
        </is>
      </c>
      <c r="AZ316" t="inlineStr">
        <is>
          <t>CITIN25668288188</t>
        </is>
      </c>
      <c r="BA316" t="n">
        <v>0</v>
      </c>
      <c r="BB316" t="inlineStr">
        <is>
          <t>2f9e79b0e664aa3eb47acc639cfe460a9cf80de6161fe98fac0c0257b39ae7ea</t>
        </is>
      </c>
    </row>
    <row r="317">
      <c r="A317" t="inlineStr">
        <is>
          <t>312</t>
        </is>
      </c>
      <c r="B317" t="inlineStr">
        <is>
          <t>7555410628</t>
        </is>
      </c>
      <c r="C317" t="inlineStr">
        <is>
          <t>2025-12-07 12:10:52</t>
        </is>
      </c>
      <c r="D317" t="inlineStr">
        <is>
          <t>49</t>
        </is>
      </c>
      <c r="E317" t="inlineStr">
        <is>
          <t>Sha Sha - Shandaar Shawarma</t>
        </is>
      </c>
      <c r="F317" t="inlineStr">
        <is>
          <t>18557902</t>
        </is>
      </c>
      <c r="G317" t="inlineStr">
        <is>
          <t>NA</t>
        </is>
      </c>
      <c r="H317" t="inlineStr">
        <is>
          <t>ONLINE</t>
        </is>
      </c>
      <c r="I317" t="inlineStr">
        <is>
          <t>DELIVERED</t>
        </is>
      </c>
      <c r="J317" t="inlineStr">
        <is>
          <t>NA</t>
        </is>
      </c>
      <c r="K317" t="inlineStr">
        <is>
          <t>NA</t>
        </is>
      </c>
      <c r="L317" t="inlineStr">
        <is>
          <t>NA</t>
        </is>
      </c>
      <c r="M317" t="inlineStr">
        <is>
          <t>O2</t>
        </is>
      </c>
      <c r="N317" t="inlineStr">
        <is>
          <t>36</t>
        </is>
      </c>
      <c r="O317" t="n">
        <v>219</v>
      </c>
      <c r="P317" t="n">
        <v>3.5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11.13</v>
      </c>
      <c r="W317" t="n">
        <v>233.63</v>
      </c>
      <c r="X317" t="n">
        <v>222.5</v>
      </c>
      <c r="Y317" t="n">
        <v>19</v>
      </c>
      <c r="Z317" t="n">
        <v>42.28</v>
      </c>
      <c r="AA317" t="n">
        <v>4.3</v>
      </c>
      <c r="AB317" t="n">
        <v>46.58</v>
      </c>
      <c r="AC317" t="n">
        <v>8.380000000000001</v>
      </c>
      <c r="AD317" t="n">
        <v>0</v>
      </c>
      <c r="AE317" t="n">
        <v>222.5</v>
      </c>
      <c r="AF317" t="n">
        <v>0</v>
      </c>
      <c r="AG317" t="n">
        <v>0</v>
      </c>
      <c r="AH317" t="n">
        <v>0.22</v>
      </c>
      <c r="AI317" t="n">
        <v>11.13</v>
      </c>
      <c r="AJ317" t="n">
        <v>0</v>
      </c>
      <c r="AK317" t="n">
        <v>19.73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66.31</v>
      </c>
      <c r="AV317" t="n">
        <v>0</v>
      </c>
      <c r="AW317" t="n">
        <v>167.32</v>
      </c>
      <c r="AX317" t="inlineStr">
        <is>
          <t>settled</t>
        </is>
      </c>
      <c r="AY317" t="inlineStr">
        <is>
          <t>2025-12-10 05:30:00</t>
        </is>
      </c>
      <c r="AZ317" t="inlineStr">
        <is>
          <t>CITIN25668288188</t>
        </is>
      </c>
      <c r="BA317" t="n">
        <v>0</v>
      </c>
      <c r="BB317" t="inlineStr">
        <is>
          <t>2f9e79b0e664aa3eb47acc639cfe460a9cf80de6161fe98fac0c0257b39ae7ea</t>
        </is>
      </c>
    </row>
    <row r="318">
      <c r="A318" t="inlineStr">
        <is>
          <t>313</t>
        </is>
      </c>
      <c r="B318" t="inlineStr">
        <is>
          <t>7553697709</t>
        </is>
      </c>
      <c r="C318" t="inlineStr">
        <is>
          <t>2025-12-07 13:52:21</t>
        </is>
      </c>
      <c r="D318" t="inlineStr">
        <is>
          <t>49</t>
        </is>
      </c>
      <c r="E318" t="inlineStr">
        <is>
          <t>Sha Sha - Shandaar Shawarma</t>
        </is>
      </c>
      <c r="F318" t="inlineStr">
        <is>
          <t>18557902</t>
        </is>
      </c>
      <c r="G318" t="inlineStr">
        <is>
          <t>30% off upto ₹75 (2025-06-25 - 2031-01-01)</t>
        </is>
      </c>
      <c r="H318" t="inlineStr">
        <is>
          <t>ONLINE</t>
        </is>
      </c>
      <c r="I318" t="inlineStr">
        <is>
          <t>DELIVERED</t>
        </is>
      </c>
      <c r="J318" t="inlineStr">
        <is>
          <t>NA</t>
        </is>
      </c>
      <c r="K318" t="inlineStr">
        <is>
          <t>NA</t>
        </is>
      </c>
      <c r="L318" t="inlineStr">
        <is>
          <t>NA</t>
        </is>
      </c>
      <c r="M318" t="inlineStr">
        <is>
          <t>O2</t>
        </is>
      </c>
      <c r="N318" t="inlineStr">
        <is>
          <t>36</t>
        </is>
      </c>
      <c r="O318" t="n">
        <v>574</v>
      </c>
      <c r="P318" t="n">
        <v>3.5</v>
      </c>
      <c r="Q318" t="n">
        <v>0</v>
      </c>
      <c r="R318" t="n">
        <v>75</v>
      </c>
      <c r="S318" t="n">
        <v>0</v>
      </c>
      <c r="T318" t="n">
        <v>0</v>
      </c>
      <c r="U318" t="n">
        <v>0</v>
      </c>
      <c r="V318" t="n">
        <v>25.13</v>
      </c>
      <c r="W318" t="n">
        <v>527.63</v>
      </c>
      <c r="X318" t="n">
        <v>502.5</v>
      </c>
      <c r="Y318" t="n">
        <v>19</v>
      </c>
      <c r="Z318" t="n">
        <v>95.48</v>
      </c>
      <c r="AA318" t="n">
        <v>9.710000000000001</v>
      </c>
      <c r="AB318" t="n">
        <v>105.19</v>
      </c>
      <c r="AC318" t="n">
        <v>18.94</v>
      </c>
      <c r="AD318" t="n">
        <v>0</v>
      </c>
      <c r="AE318" t="n">
        <v>502.5</v>
      </c>
      <c r="AF318" t="n">
        <v>0</v>
      </c>
      <c r="AG318" t="n">
        <v>0</v>
      </c>
      <c r="AH318" t="n">
        <v>0.5</v>
      </c>
      <c r="AI318" t="n">
        <v>25.13</v>
      </c>
      <c r="AJ318" t="n">
        <v>0</v>
      </c>
      <c r="AK318" t="n">
        <v>44.57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149.76</v>
      </c>
      <c r="AV318" t="n">
        <v>0</v>
      </c>
      <c r="AW318" t="n">
        <v>377.87</v>
      </c>
      <c r="AX318" t="inlineStr">
        <is>
          <t>settled</t>
        </is>
      </c>
      <c r="AY318" t="inlineStr">
        <is>
          <t>2025-12-10 05:30:00</t>
        </is>
      </c>
      <c r="AZ318" t="inlineStr">
        <is>
          <t>CITIN25668288188</t>
        </is>
      </c>
      <c r="BA318" t="n">
        <v>0</v>
      </c>
      <c r="BB318" t="inlineStr">
        <is>
          <t>804328dcd0362175653fd1c14ce7670a5d06a96c0a685fc889b9d03d8683cac5</t>
        </is>
      </c>
    </row>
    <row r="319">
      <c r="A319" t="inlineStr">
        <is>
          <t>314</t>
        </is>
      </c>
      <c r="B319" t="inlineStr">
        <is>
          <t>7547697487</t>
        </is>
      </c>
      <c r="C319" t="inlineStr">
        <is>
          <t>2025-12-07 13:52:57</t>
        </is>
      </c>
      <c r="D319" t="inlineStr">
        <is>
          <t>49</t>
        </is>
      </c>
      <c r="E319" t="inlineStr">
        <is>
          <t>Sha Sha - Shandaar Shawarma</t>
        </is>
      </c>
      <c r="F319" t="inlineStr">
        <is>
          <t>18557902</t>
        </is>
      </c>
      <c r="G319" t="inlineStr">
        <is>
          <t>30% off upto ₹75 (2025-06-25 - 2031-01-01)</t>
        </is>
      </c>
      <c r="H319" t="inlineStr">
        <is>
          <t>ONLINE</t>
        </is>
      </c>
      <c r="I319" t="inlineStr">
        <is>
          <t>DELIVERED</t>
        </is>
      </c>
      <c r="J319" t="inlineStr">
        <is>
          <t>NA</t>
        </is>
      </c>
      <c r="K319" t="inlineStr">
        <is>
          <t>NA</t>
        </is>
      </c>
      <c r="L319" t="inlineStr">
        <is>
          <t>NA</t>
        </is>
      </c>
      <c r="M319" t="inlineStr">
        <is>
          <t>O2</t>
        </is>
      </c>
      <c r="N319" t="inlineStr">
        <is>
          <t>36</t>
        </is>
      </c>
      <c r="O319" t="n">
        <v>229</v>
      </c>
      <c r="P319" t="n">
        <v>3.5</v>
      </c>
      <c r="Q319" t="n">
        <v>0</v>
      </c>
      <c r="R319" t="n">
        <v>68.7</v>
      </c>
      <c r="S319" t="n">
        <v>0</v>
      </c>
      <c r="T319" t="n">
        <v>0</v>
      </c>
      <c r="U319" t="n">
        <v>0</v>
      </c>
      <c r="V319" t="n">
        <v>8.19</v>
      </c>
      <c r="W319" t="n">
        <v>171.99</v>
      </c>
      <c r="X319" t="n">
        <v>163.8</v>
      </c>
      <c r="Y319" t="n">
        <v>19</v>
      </c>
      <c r="Z319" t="n">
        <v>31.12</v>
      </c>
      <c r="AA319" t="n">
        <v>3.16</v>
      </c>
      <c r="AB319" t="n">
        <v>34.28</v>
      </c>
      <c r="AC319" t="n">
        <v>6.17</v>
      </c>
      <c r="AD319" t="n">
        <v>0</v>
      </c>
      <c r="AE319" t="n">
        <v>163.8</v>
      </c>
      <c r="AF319" t="n">
        <v>0</v>
      </c>
      <c r="AG319" t="n">
        <v>0</v>
      </c>
      <c r="AH319" t="n">
        <v>0.16</v>
      </c>
      <c r="AI319" t="n">
        <v>8.199999999999999</v>
      </c>
      <c r="AJ319" t="n">
        <v>-0.01</v>
      </c>
      <c r="AK319" t="n">
        <v>14.53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48.81</v>
      </c>
      <c r="AV319" t="n">
        <v>0</v>
      </c>
      <c r="AW319" t="n">
        <v>123.18</v>
      </c>
      <c r="AX319" t="inlineStr">
        <is>
          <t>settled</t>
        </is>
      </c>
      <c r="AY319" t="inlineStr">
        <is>
          <t>2025-12-10 05:30:00</t>
        </is>
      </c>
      <c r="AZ319" t="inlineStr">
        <is>
          <t>CITIN25668288188</t>
        </is>
      </c>
      <c r="BA319" t="n">
        <v>0</v>
      </c>
      <c r="BB319" t="inlineStr">
        <is>
          <t>4988ec347c69966174af5c90cc9a1c91d2c291921a71f4226380fa0788f1f2e0</t>
        </is>
      </c>
    </row>
    <row r="320">
      <c r="A320" t="inlineStr">
        <is>
          <t>315</t>
        </is>
      </c>
      <c r="B320" t="inlineStr">
        <is>
          <t>7553921742</t>
        </is>
      </c>
      <c r="C320" t="inlineStr">
        <is>
          <t>2025-12-07 13:53:41</t>
        </is>
      </c>
      <c r="D320" t="inlineStr">
        <is>
          <t>49</t>
        </is>
      </c>
      <c r="E320" t="inlineStr">
        <is>
          <t>Sha Sha - Shandaar Shawarma</t>
        </is>
      </c>
      <c r="F320" t="inlineStr">
        <is>
          <t>18557902</t>
        </is>
      </c>
      <c r="G320" t="inlineStr">
        <is>
          <t>30% off upto ₹75 (2025-06-25 - 2031-01-01)</t>
        </is>
      </c>
      <c r="H320" t="inlineStr">
        <is>
          <t>ONLINE</t>
        </is>
      </c>
      <c r="I320" t="inlineStr">
        <is>
          <t>DELIVERED</t>
        </is>
      </c>
      <c r="J320" t="inlineStr">
        <is>
          <t>NA</t>
        </is>
      </c>
      <c r="K320" t="inlineStr">
        <is>
          <t>NA</t>
        </is>
      </c>
      <c r="L320" t="inlineStr">
        <is>
          <t>NA</t>
        </is>
      </c>
      <c r="M320" t="inlineStr">
        <is>
          <t>O2</t>
        </is>
      </c>
      <c r="N320" t="inlineStr">
        <is>
          <t>36</t>
        </is>
      </c>
      <c r="O320" t="n">
        <v>219</v>
      </c>
      <c r="P320" t="n">
        <v>3.5</v>
      </c>
      <c r="Q320" t="n">
        <v>0</v>
      </c>
      <c r="R320" t="n">
        <v>65.7</v>
      </c>
      <c r="S320" t="n">
        <v>0</v>
      </c>
      <c r="T320" t="n">
        <v>0</v>
      </c>
      <c r="U320" t="n">
        <v>0</v>
      </c>
      <c r="V320" t="n">
        <v>7.84</v>
      </c>
      <c r="W320" t="n">
        <v>164.64</v>
      </c>
      <c r="X320" t="n">
        <v>156.8</v>
      </c>
      <c r="Y320" t="n">
        <v>19</v>
      </c>
      <c r="Z320" t="n">
        <v>29.79</v>
      </c>
      <c r="AA320" t="n">
        <v>3.03</v>
      </c>
      <c r="AB320" t="n">
        <v>32.82</v>
      </c>
      <c r="AC320" t="n">
        <v>5.91</v>
      </c>
      <c r="AD320" t="n">
        <v>0</v>
      </c>
      <c r="AE320" t="n">
        <v>156.8</v>
      </c>
      <c r="AF320" t="n">
        <v>0</v>
      </c>
      <c r="AG320" t="n">
        <v>0</v>
      </c>
      <c r="AH320" t="n">
        <v>0.16</v>
      </c>
      <c r="AI320" t="n">
        <v>7.85</v>
      </c>
      <c r="AJ320" t="n">
        <v>-0.01</v>
      </c>
      <c r="AK320" t="n">
        <v>13.92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46.74</v>
      </c>
      <c r="AV320" t="n">
        <v>0</v>
      </c>
      <c r="AW320" t="n">
        <v>117.9</v>
      </c>
      <c r="AX320" t="inlineStr">
        <is>
          <t>settled</t>
        </is>
      </c>
      <c r="AY320" t="inlineStr">
        <is>
          <t>2025-12-10 05:30:00</t>
        </is>
      </c>
      <c r="AZ320" t="inlineStr">
        <is>
          <t>CITIN25668288188</t>
        </is>
      </c>
      <c r="BA320" t="n">
        <v>0</v>
      </c>
      <c r="BB320" t="inlineStr">
        <is>
          <t>054ffaf674622d41f22837ef63eda385642d1d4e0fbf92c7bd24d187d21d8c26</t>
        </is>
      </c>
    </row>
    <row r="321">
      <c r="A321" t="inlineStr">
        <is>
          <t>316</t>
        </is>
      </c>
      <c r="B321" t="inlineStr">
        <is>
          <t>7556523463</t>
        </is>
      </c>
      <c r="C321" t="inlineStr">
        <is>
          <t>2025-12-07 13:56:51</t>
        </is>
      </c>
      <c r="D321" t="inlineStr">
        <is>
          <t>49</t>
        </is>
      </c>
      <c r="E321" t="inlineStr">
        <is>
          <t>Sha Sha - Shandaar Shawarma</t>
        </is>
      </c>
      <c r="F321" t="inlineStr">
        <is>
          <t>18557902</t>
        </is>
      </c>
      <c r="G321" t="inlineStr">
        <is>
          <t>NA</t>
        </is>
      </c>
      <c r="H321" t="inlineStr">
        <is>
          <t>ONLINE</t>
        </is>
      </c>
      <c r="I321" t="inlineStr">
        <is>
          <t>DELIVERED</t>
        </is>
      </c>
      <c r="J321" t="inlineStr">
        <is>
          <t>NA</t>
        </is>
      </c>
      <c r="K321" t="inlineStr">
        <is>
          <t>NA</t>
        </is>
      </c>
      <c r="L321" t="inlineStr">
        <is>
          <t>NA</t>
        </is>
      </c>
      <c r="M321" t="inlineStr">
        <is>
          <t>O2</t>
        </is>
      </c>
      <c r="N321" t="inlineStr">
        <is>
          <t>36</t>
        </is>
      </c>
      <c r="O321" t="n">
        <v>229</v>
      </c>
      <c r="P321" t="n">
        <v>3.5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11.63</v>
      </c>
      <c r="W321" t="n">
        <v>244.13</v>
      </c>
      <c r="X321" t="n">
        <v>232.5</v>
      </c>
      <c r="Y321" t="n">
        <v>19</v>
      </c>
      <c r="Z321" t="n">
        <v>44.18</v>
      </c>
      <c r="AA321" t="n">
        <v>4.49</v>
      </c>
      <c r="AB321" t="n">
        <v>48.67</v>
      </c>
      <c r="AC321" t="n">
        <v>8.76</v>
      </c>
      <c r="AD321" t="n">
        <v>0</v>
      </c>
      <c r="AE321" t="n">
        <v>232.5</v>
      </c>
      <c r="AF321" t="n">
        <v>0</v>
      </c>
      <c r="AG321" t="n">
        <v>0</v>
      </c>
      <c r="AH321" t="n">
        <v>0.23</v>
      </c>
      <c r="AI321" t="n">
        <v>11.63</v>
      </c>
      <c r="AJ321" t="n">
        <v>0</v>
      </c>
      <c r="AK321" t="n">
        <v>20.62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69.29000000000001</v>
      </c>
      <c r="AV321" t="n">
        <v>0</v>
      </c>
      <c r="AW321" t="n">
        <v>174.84</v>
      </c>
      <c r="AX321" t="inlineStr">
        <is>
          <t>settled</t>
        </is>
      </c>
      <c r="AY321" t="inlineStr">
        <is>
          <t>2025-12-10 05:30:00</t>
        </is>
      </c>
      <c r="AZ321" t="inlineStr">
        <is>
          <t>CITIN25668288188</t>
        </is>
      </c>
      <c r="BA321" t="n">
        <v>0</v>
      </c>
      <c r="BB321" t="inlineStr">
        <is>
          <t>c6524ae3f972271b9608a99122d6be7515c6b3ed52837e890e5dbd0679b4412f</t>
        </is>
      </c>
    </row>
    <row r="322">
      <c r="A322" t="inlineStr">
        <is>
          <t>317</t>
        </is>
      </c>
      <c r="B322" t="inlineStr">
        <is>
          <t>7556929411</t>
        </is>
      </c>
      <c r="C322" t="inlineStr">
        <is>
          <t>2025-12-07 14:14:54</t>
        </is>
      </c>
      <c r="D322" t="inlineStr">
        <is>
          <t>49</t>
        </is>
      </c>
      <c r="E322" t="inlineStr">
        <is>
          <t>Sha Sha - Shandaar Shawarma</t>
        </is>
      </c>
      <c r="F322" t="inlineStr">
        <is>
          <t>18557902</t>
        </is>
      </c>
      <c r="G322" t="inlineStr">
        <is>
          <t>NA</t>
        </is>
      </c>
      <c r="H322" t="inlineStr">
        <is>
          <t>ONLINE</t>
        </is>
      </c>
      <c r="I322" t="inlineStr">
        <is>
          <t>DELIVERED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O2</t>
        </is>
      </c>
      <c r="N322" t="inlineStr">
        <is>
          <t>36</t>
        </is>
      </c>
      <c r="O322" t="n">
        <v>229</v>
      </c>
      <c r="P322" t="n">
        <v>3.5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11.63</v>
      </c>
      <c r="W322" t="n">
        <v>244.13</v>
      </c>
      <c r="X322" t="n">
        <v>232.5</v>
      </c>
      <c r="Y322" t="n">
        <v>19</v>
      </c>
      <c r="Z322" t="n">
        <v>44.18</v>
      </c>
      <c r="AA322" t="n">
        <v>4.49</v>
      </c>
      <c r="AB322" t="n">
        <v>48.67</v>
      </c>
      <c r="AC322" t="n">
        <v>8.76</v>
      </c>
      <c r="AD322" t="n">
        <v>0</v>
      </c>
      <c r="AE322" t="n">
        <v>232.5</v>
      </c>
      <c r="AF322" t="n">
        <v>0</v>
      </c>
      <c r="AG322" t="n">
        <v>0</v>
      </c>
      <c r="AH322" t="n">
        <v>0.23</v>
      </c>
      <c r="AI322" t="n">
        <v>11.63</v>
      </c>
      <c r="AJ322" t="n">
        <v>0</v>
      </c>
      <c r="AK322" t="n">
        <v>20.62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69.29000000000001</v>
      </c>
      <c r="AV322" t="n">
        <v>0</v>
      </c>
      <c r="AW322" t="n">
        <v>174.84</v>
      </c>
      <c r="AX322" t="inlineStr">
        <is>
          <t>settled</t>
        </is>
      </c>
      <c r="AY322" t="inlineStr">
        <is>
          <t>2025-12-10 05:30:00</t>
        </is>
      </c>
      <c r="AZ322" t="inlineStr">
        <is>
          <t>CITIN25668288188</t>
        </is>
      </c>
      <c r="BA322" t="n">
        <v>0</v>
      </c>
      <c r="BB322" t="inlineStr">
        <is>
          <t>5db1081aa5b2e98f36134066eaa27f42f3baaea9e4f370d3f05c91b5664c430c</t>
        </is>
      </c>
    </row>
    <row r="323">
      <c r="A323" t="inlineStr">
        <is>
          <t>318</t>
        </is>
      </c>
      <c r="B323" t="inlineStr">
        <is>
          <t>7556203027</t>
        </is>
      </c>
      <c r="C323" t="inlineStr">
        <is>
          <t>2025-12-07 14:40:48</t>
        </is>
      </c>
      <c r="D323" t="inlineStr">
        <is>
          <t>49</t>
        </is>
      </c>
      <c r="E323" t="inlineStr">
        <is>
          <t>Sha Sha - Shandaar Shawarma</t>
        </is>
      </c>
      <c r="F323" t="inlineStr">
        <is>
          <t>18557902</t>
        </is>
      </c>
      <c r="G323" t="inlineStr">
        <is>
          <t>30% off upto ₹75 (2025-06-25 - 2031-01-01)</t>
        </is>
      </c>
      <c r="H323" t="inlineStr">
        <is>
          <t>ONLINE</t>
        </is>
      </c>
      <c r="I323" t="inlineStr">
        <is>
          <t>DELIVERED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O2</t>
        </is>
      </c>
      <c r="N323" t="inlineStr">
        <is>
          <t>36</t>
        </is>
      </c>
      <c r="O323" t="n">
        <v>219</v>
      </c>
      <c r="P323" t="n">
        <v>3.5</v>
      </c>
      <c r="Q323" t="n">
        <v>0</v>
      </c>
      <c r="R323" t="n">
        <v>65.7</v>
      </c>
      <c r="S323" t="n">
        <v>0</v>
      </c>
      <c r="T323" t="n">
        <v>0</v>
      </c>
      <c r="U323" t="n">
        <v>0</v>
      </c>
      <c r="V323" t="n">
        <v>7.84</v>
      </c>
      <c r="W323" t="n">
        <v>164.64</v>
      </c>
      <c r="X323" t="n">
        <v>156.8</v>
      </c>
      <c r="Y323" t="n">
        <v>19</v>
      </c>
      <c r="Z323" t="n">
        <v>29.79</v>
      </c>
      <c r="AA323" t="n">
        <v>3.03</v>
      </c>
      <c r="AB323" t="n">
        <v>32.82</v>
      </c>
      <c r="AC323" t="n">
        <v>5.91</v>
      </c>
      <c r="AD323" t="n">
        <v>0</v>
      </c>
      <c r="AE323" t="n">
        <v>156.8</v>
      </c>
      <c r="AF323" t="n">
        <v>0</v>
      </c>
      <c r="AG323" t="n">
        <v>0</v>
      </c>
      <c r="AH323" t="n">
        <v>0.16</v>
      </c>
      <c r="AI323" t="n">
        <v>7.85</v>
      </c>
      <c r="AJ323" t="n">
        <v>-0.01</v>
      </c>
      <c r="AK323" t="n">
        <v>13.92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46.74</v>
      </c>
      <c r="AV323" t="n">
        <v>0</v>
      </c>
      <c r="AW323" t="n">
        <v>117.9</v>
      </c>
      <c r="AX323" t="inlineStr">
        <is>
          <t>settled</t>
        </is>
      </c>
      <c r="AY323" t="inlineStr">
        <is>
          <t>2025-12-10 05:30:00</t>
        </is>
      </c>
      <c r="AZ323" t="inlineStr">
        <is>
          <t>CITIN25668288188</t>
        </is>
      </c>
      <c r="BA323" t="n">
        <v>0</v>
      </c>
      <c r="BB323" t="inlineStr">
        <is>
          <t>bbae99c069f5a4a75d2a57f7e63747ee4c107267c3a7a0a27a9964f12c47f02f</t>
        </is>
      </c>
    </row>
    <row r="324">
      <c r="A324" t="inlineStr">
        <is>
          <t>319</t>
        </is>
      </c>
      <c r="B324" t="inlineStr">
        <is>
          <t>7546897777</t>
        </is>
      </c>
      <c r="C324" t="inlineStr">
        <is>
          <t>2025-12-07 15:41:42</t>
        </is>
      </c>
      <c r="D324" t="inlineStr">
        <is>
          <t>49</t>
        </is>
      </c>
      <c r="E324" t="inlineStr">
        <is>
          <t>Sha Sha - Shandaar Shawarma</t>
        </is>
      </c>
      <c r="F324" t="inlineStr">
        <is>
          <t>18557902</t>
        </is>
      </c>
      <c r="G324" t="inlineStr">
        <is>
          <t>30% off upto ₹75 (2025-06-25 - 2031-01-01)</t>
        </is>
      </c>
      <c r="H324" t="inlineStr">
        <is>
          <t>ONLINE</t>
        </is>
      </c>
      <c r="I324" t="inlineStr">
        <is>
          <t>DELIVERED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O2</t>
        </is>
      </c>
      <c r="N324" t="inlineStr">
        <is>
          <t>36</t>
        </is>
      </c>
      <c r="O324" t="n">
        <v>229</v>
      </c>
      <c r="P324" t="n">
        <v>3.5</v>
      </c>
      <c r="Q324" t="n">
        <v>0</v>
      </c>
      <c r="R324" t="n">
        <v>68.7</v>
      </c>
      <c r="S324" t="n">
        <v>0</v>
      </c>
      <c r="T324" t="n">
        <v>0</v>
      </c>
      <c r="U324" t="n">
        <v>0</v>
      </c>
      <c r="V324" t="n">
        <v>8.19</v>
      </c>
      <c r="W324" t="n">
        <v>171.99</v>
      </c>
      <c r="X324" t="n">
        <v>163.8</v>
      </c>
      <c r="Y324" t="n">
        <v>19</v>
      </c>
      <c r="Z324" t="n">
        <v>31.12</v>
      </c>
      <c r="AA324" t="n">
        <v>3.16</v>
      </c>
      <c r="AB324" t="n">
        <v>34.28</v>
      </c>
      <c r="AC324" t="n">
        <v>6.17</v>
      </c>
      <c r="AD324" t="n">
        <v>0</v>
      </c>
      <c r="AE324" t="n">
        <v>163.8</v>
      </c>
      <c r="AF324" t="n">
        <v>0</v>
      </c>
      <c r="AG324" t="n">
        <v>0</v>
      </c>
      <c r="AH324" t="n">
        <v>0.16</v>
      </c>
      <c r="AI324" t="n">
        <v>8.199999999999999</v>
      </c>
      <c r="AJ324" t="n">
        <v>-0.01</v>
      </c>
      <c r="AK324" t="n">
        <v>14.53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48.81</v>
      </c>
      <c r="AV324" t="n">
        <v>0</v>
      </c>
      <c r="AW324" t="n">
        <v>123.18</v>
      </c>
      <c r="AX324" t="inlineStr">
        <is>
          <t>settled</t>
        </is>
      </c>
      <c r="AY324" t="inlineStr">
        <is>
          <t>2025-12-10 05:30:00</t>
        </is>
      </c>
      <c r="AZ324" t="inlineStr">
        <is>
          <t>CITIN25668288188</t>
        </is>
      </c>
      <c r="BA324" t="n">
        <v>0</v>
      </c>
      <c r="BB324" t="inlineStr">
        <is>
          <t>ae4ea7d3a40af9abbf2d064b79aca12513bf919e074844ca05debe38fa841775</t>
        </is>
      </c>
    </row>
    <row r="325">
      <c r="A325" t="inlineStr">
        <is>
          <t>320</t>
        </is>
      </c>
      <c r="B325" t="inlineStr">
        <is>
          <t>7555182104</t>
        </is>
      </c>
      <c r="C325" t="inlineStr">
        <is>
          <t>2025-12-07 17:29:19</t>
        </is>
      </c>
      <c r="D325" t="inlineStr">
        <is>
          <t>49</t>
        </is>
      </c>
      <c r="E325" t="inlineStr">
        <is>
          <t>Sha Sha - Shandaar Shawarma</t>
        </is>
      </c>
      <c r="F325" t="inlineStr">
        <is>
          <t>18557902</t>
        </is>
      </c>
      <c r="G325" t="inlineStr">
        <is>
          <t>NA</t>
        </is>
      </c>
      <c r="H325" t="inlineStr">
        <is>
          <t>ONLINE</t>
        </is>
      </c>
      <c r="I325" t="inlineStr">
        <is>
          <t>DELIVERED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O2</t>
        </is>
      </c>
      <c r="N325" t="inlineStr">
        <is>
          <t>36</t>
        </is>
      </c>
      <c r="O325" t="n">
        <v>229</v>
      </c>
      <c r="P325" t="n">
        <v>3.5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11.63</v>
      </c>
      <c r="W325" t="n">
        <v>244.13</v>
      </c>
      <c r="X325" t="n">
        <v>232.5</v>
      </c>
      <c r="Y325" t="n">
        <v>19</v>
      </c>
      <c r="Z325" t="n">
        <v>44.18</v>
      </c>
      <c r="AA325" t="n">
        <v>4.49</v>
      </c>
      <c r="AB325" t="n">
        <v>48.67</v>
      </c>
      <c r="AC325" t="n">
        <v>8.76</v>
      </c>
      <c r="AD325" t="n">
        <v>0</v>
      </c>
      <c r="AE325" t="n">
        <v>232.5</v>
      </c>
      <c r="AF325" t="n">
        <v>0</v>
      </c>
      <c r="AG325" t="n">
        <v>0</v>
      </c>
      <c r="AH325" t="n">
        <v>0.23</v>
      </c>
      <c r="AI325" t="n">
        <v>11.63</v>
      </c>
      <c r="AJ325" t="n">
        <v>0</v>
      </c>
      <c r="AK325" t="n">
        <v>20.62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69.29000000000001</v>
      </c>
      <c r="AV325" t="n">
        <v>0</v>
      </c>
      <c r="AW325" t="n">
        <v>174.84</v>
      </c>
      <c r="AX325" t="inlineStr">
        <is>
          <t>settled</t>
        </is>
      </c>
      <c r="AY325" t="inlineStr">
        <is>
          <t>2025-12-10 05:30:00</t>
        </is>
      </c>
      <c r="AZ325" t="inlineStr">
        <is>
          <t>CITIN25668288188</t>
        </is>
      </c>
      <c r="BA325" t="n">
        <v>0</v>
      </c>
      <c r="BB325" t="inlineStr">
        <is>
          <t>97c8f9a23171538ab4e6b90e103c37a4f2c55258ccae9c3bbf0209d6fb4219d2</t>
        </is>
      </c>
    </row>
    <row r="326">
      <c r="A326" t="inlineStr">
        <is>
          <t>321</t>
        </is>
      </c>
      <c r="B326" t="inlineStr">
        <is>
          <t>7556543542</t>
        </is>
      </c>
      <c r="C326" t="inlineStr">
        <is>
          <t>2025-12-07 17:33:55</t>
        </is>
      </c>
      <c r="D326" t="inlineStr">
        <is>
          <t>49</t>
        </is>
      </c>
      <c r="E326" t="inlineStr">
        <is>
          <t>Sha Sha - Shandaar Shawarma</t>
        </is>
      </c>
      <c r="F326" t="inlineStr">
        <is>
          <t>18557902</t>
        </is>
      </c>
      <c r="G326" t="inlineStr">
        <is>
          <t>30% off upto ₹75 (2025-06-25 - 2031-01-01)</t>
        </is>
      </c>
      <c r="H326" t="inlineStr">
        <is>
          <t>ONLINE</t>
        </is>
      </c>
      <c r="I326" t="inlineStr">
        <is>
          <t>DELIVERED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O2</t>
        </is>
      </c>
      <c r="N326" t="inlineStr">
        <is>
          <t>36</t>
        </is>
      </c>
      <c r="O326" t="n">
        <v>268</v>
      </c>
      <c r="P326" t="n">
        <v>3.5</v>
      </c>
      <c r="Q326" t="n">
        <v>0</v>
      </c>
      <c r="R326" t="n">
        <v>75</v>
      </c>
      <c r="S326" t="n">
        <v>0</v>
      </c>
      <c r="T326" t="n">
        <v>0</v>
      </c>
      <c r="U326" t="n">
        <v>0</v>
      </c>
      <c r="V326" t="n">
        <v>9.83</v>
      </c>
      <c r="W326" t="n">
        <v>206.33</v>
      </c>
      <c r="X326" t="n">
        <v>196.5</v>
      </c>
      <c r="Y326" t="n">
        <v>19</v>
      </c>
      <c r="Z326" t="n">
        <v>37.34</v>
      </c>
      <c r="AA326" t="n">
        <v>3.8</v>
      </c>
      <c r="AB326" t="n">
        <v>41.14</v>
      </c>
      <c r="AC326" t="n">
        <v>7.4</v>
      </c>
      <c r="AD326" t="n">
        <v>0</v>
      </c>
      <c r="AE326" t="n">
        <v>196.5</v>
      </c>
      <c r="AF326" t="n">
        <v>0</v>
      </c>
      <c r="AG326" t="n">
        <v>0</v>
      </c>
      <c r="AH326" t="n">
        <v>0.2</v>
      </c>
      <c r="AI326" t="n">
        <v>9.83</v>
      </c>
      <c r="AJ326" t="n">
        <v>0</v>
      </c>
      <c r="AK326" t="n">
        <v>17.43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58.57</v>
      </c>
      <c r="AV326" t="n">
        <v>0</v>
      </c>
      <c r="AW326" t="n">
        <v>147.76</v>
      </c>
      <c r="AX326" t="inlineStr">
        <is>
          <t>settled</t>
        </is>
      </c>
      <c r="AY326" t="inlineStr">
        <is>
          <t>2025-12-10 05:30:00</t>
        </is>
      </c>
      <c r="AZ326" t="inlineStr">
        <is>
          <t>CITIN25668288188</t>
        </is>
      </c>
      <c r="BA326" t="n">
        <v>0</v>
      </c>
      <c r="BB326" t="inlineStr">
        <is>
          <t>7a811fe4e193ced585cad8ffc97ca2186d52e3afaaf18ff2d32ebdbda360a941</t>
        </is>
      </c>
    </row>
    <row r="327">
      <c r="A327" t="inlineStr">
        <is>
          <t>322</t>
        </is>
      </c>
      <c r="B327" t="inlineStr">
        <is>
          <t>7557111252</t>
        </is>
      </c>
      <c r="C327" t="inlineStr">
        <is>
          <t>2025-12-07 17:49:34</t>
        </is>
      </c>
      <c r="D327" t="inlineStr">
        <is>
          <t>49</t>
        </is>
      </c>
      <c r="E327" t="inlineStr">
        <is>
          <t>Sha Sha - Shandaar Shawarma</t>
        </is>
      </c>
      <c r="F327" t="inlineStr">
        <is>
          <t>18557902</t>
        </is>
      </c>
      <c r="G327" t="inlineStr">
        <is>
          <t>30% off upto ₹75 (2025-06-25 - 2031-01-01)</t>
        </is>
      </c>
      <c r="H327" t="inlineStr">
        <is>
          <t>ONLINE</t>
        </is>
      </c>
      <c r="I327" t="inlineStr">
        <is>
          <t>DELIVERED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O2</t>
        </is>
      </c>
      <c r="N327" t="inlineStr">
        <is>
          <t>36</t>
        </is>
      </c>
      <c r="O327" t="n">
        <v>219</v>
      </c>
      <c r="P327" t="n">
        <v>3.5</v>
      </c>
      <c r="Q327" t="n">
        <v>0</v>
      </c>
      <c r="R327" t="n">
        <v>65.7</v>
      </c>
      <c r="S327" t="n">
        <v>0</v>
      </c>
      <c r="T327" t="n">
        <v>0</v>
      </c>
      <c r="U327" t="n">
        <v>0</v>
      </c>
      <c r="V327" t="n">
        <v>7.84</v>
      </c>
      <c r="W327" t="n">
        <v>164.64</v>
      </c>
      <c r="X327" t="n">
        <v>156.8</v>
      </c>
      <c r="Y327" t="n">
        <v>19</v>
      </c>
      <c r="Z327" t="n">
        <v>29.79</v>
      </c>
      <c r="AA327" t="n">
        <v>3.03</v>
      </c>
      <c r="AB327" t="n">
        <v>32.82</v>
      </c>
      <c r="AC327" t="n">
        <v>5.91</v>
      </c>
      <c r="AD327" t="n">
        <v>0</v>
      </c>
      <c r="AE327" t="n">
        <v>156.8</v>
      </c>
      <c r="AF327" t="n">
        <v>0</v>
      </c>
      <c r="AG327" t="n">
        <v>0</v>
      </c>
      <c r="AH327" t="n">
        <v>0.16</v>
      </c>
      <c r="AI327" t="n">
        <v>7.85</v>
      </c>
      <c r="AJ327" t="n">
        <v>-0.01</v>
      </c>
      <c r="AK327" t="n">
        <v>13.92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46.74</v>
      </c>
      <c r="AV327" t="n">
        <v>0</v>
      </c>
      <c r="AW327" t="n">
        <v>117.9</v>
      </c>
      <c r="AX327" t="inlineStr">
        <is>
          <t>settled</t>
        </is>
      </c>
      <c r="AY327" t="inlineStr">
        <is>
          <t>2025-12-10 05:30:00</t>
        </is>
      </c>
      <c r="AZ327" t="inlineStr">
        <is>
          <t>CITIN25668288188</t>
        </is>
      </c>
      <c r="BA327" t="n">
        <v>0</v>
      </c>
      <c r="BB327" t="inlineStr">
        <is>
          <t>84915504c8a1483745cfaaa7c05cfee8adbbb731e2a0496e957f5f65f5839b49</t>
        </is>
      </c>
    </row>
    <row r="328">
      <c r="A328" t="inlineStr">
        <is>
          <t>323</t>
        </is>
      </c>
      <c r="B328" t="inlineStr">
        <is>
          <t>7558895295</t>
        </is>
      </c>
      <c r="C328" t="inlineStr">
        <is>
          <t>2025-12-07 17:53:19</t>
        </is>
      </c>
      <c r="D328" t="inlineStr">
        <is>
          <t>49</t>
        </is>
      </c>
      <c r="E328" t="inlineStr">
        <is>
          <t>Sha Sha - Shandaar Shawarma</t>
        </is>
      </c>
      <c r="F328" t="inlineStr">
        <is>
          <t>18557902</t>
        </is>
      </c>
      <c r="G328" t="inlineStr">
        <is>
          <t>NA</t>
        </is>
      </c>
      <c r="H328" t="inlineStr">
        <is>
          <t>ONLINE</t>
        </is>
      </c>
      <c r="I328" t="inlineStr">
        <is>
          <t>DELIVERED</t>
        </is>
      </c>
      <c r="J328" t="inlineStr">
        <is>
          <t>NA</t>
        </is>
      </c>
      <c r="K328" t="inlineStr">
        <is>
          <t>NA</t>
        </is>
      </c>
      <c r="L328" t="inlineStr">
        <is>
          <t>NA</t>
        </is>
      </c>
      <c r="M328" t="inlineStr">
        <is>
          <t>O2</t>
        </is>
      </c>
      <c r="N328" t="inlineStr">
        <is>
          <t>36</t>
        </is>
      </c>
      <c r="O328" t="n">
        <v>229</v>
      </c>
      <c r="P328" t="n">
        <v>3.5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11.63</v>
      </c>
      <c r="W328" t="n">
        <v>244.13</v>
      </c>
      <c r="X328" t="n">
        <v>232.5</v>
      </c>
      <c r="Y328" t="n">
        <v>19</v>
      </c>
      <c r="Z328" t="n">
        <v>44.18</v>
      </c>
      <c r="AA328" t="n">
        <v>4.49</v>
      </c>
      <c r="AB328" t="n">
        <v>48.67</v>
      </c>
      <c r="AC328" t="n">
        <v>8.76</v>
      </c>
      <c r="AD328" t="n">
        <v>0</v>
      </c>
      <c r="AE328" t="n">
        <v>232.5</v>
      </c>
      <c r="AF328" t="n">
        <v>0</v>
      </c>
      <c r="AG328" t="n">
        <v>0</v>
      </c>
      <c r="AH328" t="n">
        <v>0.23</v>
      </c>
      <c r="AI328" t="n">
        <v>11.63</v>
      </c>
      <c r="AJ328" t="n">
        <v>0</v>
      </c>
      <c r="AK328" t="n">
        <v>20.62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69.29000000000001</v>
      </c>
      <c r="AV328" t="n">
        <v>0</v>
      </c>
      <c r="AW328" t="n">
        <v>174.84</v>
      </c>
      <c r="AX328" t="inlineStr">
        <is>
          <t>settled</t>
        </is>
      </c>
      <c r="AY328" t="inlineStr">
        <is>
          <t>2025-12-10 05:30:00</t>
        </is>
      </c>
      <c r="AZ328" t="inlineStr">
        <is>
          <t>CITIN25668288188</t>
        </is>
      </c>
      <c r="BA328" t="n">
        <v>0</v>
      </c>
      <c r="BB328" t="inlineStr">
        <is>
          <t>1116b6c3c997ca840f5e5a154fbf46bdbcc608cd4c8f39ef2c6f044b6c5d0133</t>
        </is>
      </c>
    </row>
    <row r="329">
      <c r="A329" t="inlineStr">
        <is>
          <t>324</t>
        </is>
      </c>
      <c r="B329" t="inlineStr">
        <is>
          <t>7551134148</t>
        </is>
      </c>
      <c r="C329" t="inlineStr">
        <is>
          <t>2025-12-07 18:15:49</t>
        </is>
      </c>
      <c r="D329" t="inlineStr">
        <is>
          <t>49</t>
        </is>
      </c>
      <c r="E329" t="inlineStr">
        <is>
          <t>Sha Sha - Shandaar Shawarma</t>
        </is>
      </c>
      <c r="F329" t="inlineStr">
        <is>
          <t>18557902</t>
        </is>
      </c>
      <c r="G329" t="inlineStr">
        <is>
          <t>30% off upto ₹75 (2025-06-25 - 2031-01-01)</t>
        </is>
      </c>
      <c r="H329" t="inlineStr">
        <is>
          <t>ONLINE</t>
        </is>
      </c>
      <c r="I329" t="inlineStr">
        <is>
          <t>DELIVERED</t>
        </is>
      </c>
      <c r="J329" t="inlineStr">
        <is>
          <t>NA</t>
        </is>
      </c>
      <c r="K329" t="inlineStr">
        <is>
          <t>NA</t>
        </is>
      </c>
      <c r="L329" t="inlineStr">
        <is>
          <t>NA</t>
        </is>
      </c>
      <c r="M329" t="inlineStr">
        <is>
          <t>O2</t>
        </is>
      </c>
      <c r="N329" t="inlineStr">
        <is>
          <t>36</t>
        </is>
      </c>
      <c r="O329" t="n">
        <v>219</v>
      </c>
      <c r="P329" t="n">
        <v>3.5</v>
      </c>
      <c r="Q329" t="n">
        <v>0</v>
      </c>
      <c r="R329" t="n">
        <v>65.7</v>
      </c>
      <c r="S329" t="n">
        <v>0</v>
      </c>
      <c r="T329" t="n">
        <v>0</v>
      </c>
      <c r="U329" t="n">
        <v>0</v>
      </c>
      <c r="V329" t="n">
        <v>7.84</v>
      </c>
      <c r="W329" t="n">
        <v>164.64</v>
      </c>
      <c r="X329" t="n">
        <v>156.8</v>
      </c>
      <c r="Y329" t="n">
        <v>19</v>
      </c>
      <c r="Z329" t="n">
        <v>29.79</v>
      </c>
      <c r="AA329" t="n">
        <v>3.03</v>
      </c>
      <c r="AB329" t="n">
        <v>32.82</v>
      </c>
      <c r="AC329" t="n">
        <v>5.91</v>
      </c>
      <c r="AD329" t="n">
        <v>0</v>
      </c>
      <c r="AE329" t="n">
        <v>156.8</v>
      </c>
      <c r="AF329" t="n">
        <v>0</v>
      </c>
      <c r="AG329" t="n">
        <v>0</v>
      </c>
      <c r="AH329" t="n">
        <v>0.16</v>
      </c>
      <c r="AI329" t="n">
        <v>7.85</v>
      </c>
      <c r="AJ329" t="n">
        <v>-0.01</v>
      </c>
      <c r="AK329" t="n">
        <v>13.92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46.74</v>
      </c>
      <c r="AV329" t="n">
        <v>0</v>
      </c>
      <c r="AW329" t="n">
        <v>117.9</v>
      </c>
      <c r="AX329" t="inlineStr">
        <is>
          <t>settled</t>
        </is>
      </c>
      <c r="AY329" t="inlineStr">
        <is>
          <t>2025-12-10 05:30:00</t>
        </is>
      </c>
      <c r="AZ329" t="inlineStr">
        <is>
          <t>CITIN25668288188</t>
        </is>
      </c>
      <c r="BA329" t="n">
        <v>0</v>
      </c>
      <c r="BB329" t="inlineStr">
        <is>
          <t>82cc86a08168b4d8e9f90326fc633bcf3a8ba79b54af2c43b176e9e2e0d457af</t>
        </is>
      </c>
    </row>
    <row r="330">
      <c r="A330" t="inlineStr">
        <is>
          <t>325</t>
        </is>
      </c>
      <c r="B330" t="inlineStr">
        <is>
          <t>7553727851</t>
        </is>
      </c>
      <c r="C330" t="inlineStr">
        <is>
          <t>2025-12-07 18:17:17</t>
        </is>
      </c>
      <c r="D330" t="inlineStr">
        <is>
          <t>49</t>
        </is>
      </c>
      <c r="E330" t="inlineStr">
        <is>
          <t>Sha Sha - Shandaar Shawarma</t>
        </is>
      </c>
      <c r="F330" t="inlineStr">
        <is>
          <t>18557902</t>
        </is>
      </c>
      <c r="G330" t="inlineStr">
        <is>
          <t>30% off upto ₹75 (2025-06-25 - 2031-01-01)</t>
        </is>
      </c>
      <c r="H330" t="inlineStr">
        <is>
          <t>ONLINE</t>
        </is>
      </c>
      <c r="I330" t="inlineStr">
        <is>
          <t>DELIVERED</t>
        </is>
      </c>
      <c r="J330" t="inlineStr">
        <is>
          <t>NA</t>
        </is>
      </c>
      <c r="K330" t="inlineStr">
        <is>
          <t>NA</t>
        </is>
      </c>
      <c r="L330" t="inlineStr">
        <is>
          <t>NA</t>
        </is>
      </c>
      <c r="M330" t="inlineStr">
        <is>
          <t>O2</t>
        </is>
      </c>
      <c r="N330" t="inlineStr">
        <is>
          <t>36</t>
        </is>
      </c>
      <c r="O330" t="n">
        <v>268</v>
      </c>
      <c r="P330" t="n">
        <v>3.5</v>
      </c>
      <c r="Q330" t="n">
        <v>0</v>
      </c>
      <c r="R330" t="n">
        <v>75</v>
      </c>
      <c r="S330" t="n">
        <v>0</v>
      </c>
      <c r="T330" t="n">
        <v>0</v>
      </c>
      <c r="U330" t="n">
        <v>0</v>
      </c>
      <c r="V330" t="n">
        <v>9.83</v>
      </c>
      <c r="W330" t="n">
        <v>206.33</v>
      </c>
      <c r="X330" t="n">
        <v>196.5</v>
      </c>
      <c r="Y330" t="n">
        <v>19</v>
      </c>
      <c r="Z330" t="n">
        <v>37.34</v>
      </c>
      <c r="AA330" t="n">
        <v>3.8</v>
      </c>
      <c r="AB330" t="n">
        <v>41.14</v>
      </c>
      <c r="AC330" t="n">
        <v>7.4</v>
      </c>
      <c r="AD330" t="n">
        <v>0</v>
      </c>
      <c r="AE330" t="n">
        <v>196.5</v>
      </c>
      <c r="AF330" t="n">
        <v>0</v>
      </c>
      <c r="AG330" t="n">
        <v>0</v>
      </c>
      <c r="AH330" t="n">
        <v>0.2</v>
      </c>
      <c r="AI330" t="n">
        <v>9.83</v>
      </c>
      <c r="AJ330" t="n">
        <v>0</v>
      </c>
      <c r="AK330" t="n">
        <v>17.43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58.57</v>
      </c>
      <c r="AV330" t="n">
        <v>0</v>
      </c>
      <c r="AW330" t="n">
        <v>147.76</v>
      </c>
      <c r="AX330" t="inlineStr">
        <is>
          <t>settled</t>
        </is>
      </c>
      <c r="AY330" t="inlineStr">
        <is>
          <t>2025-12-10 05:30:00</t>
        </is>
      </c>
      <c r="AZ330" t="inlineStr">
        <is>
          <t>CITIN25668288188</t>
        </is>
      </c>
      <c r="BA330" t="n">
        <v>0</v>
      </c>
      <c r="BB330" t="inlineStr">
        <is>
          <t>c4004a19e6ef404e76800de9da4e2e68d784bc28ef4a2b3237e4c3ea91acf71c</t>
        </is>
      </c>
    </row>
    <row r="331">
      <c r="A331" t="inlineStr">
        <is>
          <t>326</t>
        </is>
      </c>
      <c r="B331" t="inlineStr">
        <is>
          <t>7558638146</t>
        </is>
      </c>
      <c r="C331" t="inlineStr">
        <is>
          <t>2025-12-07 18:20:30</t>
        </is>
      </c>
      <c r="D331" t="inlineStr">
        <is>
          <t>49</t>
        </is>
      </c>
      <c r="E331" t="inlineStr">
        <is>
          <t>Sha Sha - Shandaar Shawarma</t>
        </is>
      </c>
      <c r="F331" t="inlineStr">
        <is>
          <t>18557902</t>
        </is>
      </c>
      <c r="G331" t="inlineStr">
        <is>
          <t>NA</t>
        </is>
      </c>
      <c r="H331" t="inlineStr">
        <is>
          <t>ONLINE</t>
        </is>
      </c>
      <c r="I331" t="inlineStr">
        <is>
          <t>DELIVERED</t>
        </is>
      </c>
      <c r="J331" t="inlineStr">
        <is>
          <t>NA</t>
        </is>
      </c>
      <c r="K331" t="inlineStr">
        <is>
          <t>NA</t>
        </is>
      </c>
      <c r="L331" t="inlineStr">
        <is>
          <t>NA</t>
        </is>
      </c>
      <c r="M331" t="inlineStr">
        <is>
          <t>O2</t>
        </is>
      </c>
      <c r="N331" t="inlineStr">
        <is>
          <t>36</t>
        </is>
      </c>
      <c r="O331" t="n">
        <v>438</v>
      </c>
      <c r="P331" t="n">
        <v>3.5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22.08</v>
      </c>
      <c r="W331" t="n">
        <v>463.58</v>
      </c>
      <c r="X331" t="n">
        <v>441.5</v>
      </c>
      <c r="Y331" t="n">
        <v>19</v>
      </c>
      <c r="Z331" t="n">
        <v>83.88</v>
      </c>
      <c r="AA331" t="n">
        <v>8.529999999999999</v>
      </c>
      <c r="AB331" t="n">
        <v>92.41</v>
      </c>
      <c r="AC331" t="n">
        <v>16.64</v>
      </c>
      <c r="AD331" t="n">
        <v>0</v>
      </c>
      <c r="AE331" t="n">
        <v>441.5</v>
      </c>
      <c r="AF331" t="n">
        <v>0</v>
      </c>
      <c r="AG331" t="n">
        <v>0</v>
      </c>
      <c r="AH331" t="n">
        <v>0.44</v>
      </c>
      <c r="AI331" t="n">
        <v>22.08</v>
      </c>
      <c r="AJ331" t="n">
        <v>0</v>
      </c>
      <c r="AK331" t="n">
        <v>39.16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131.57</v>
      </c>
      <c r="AV331" t="n">
        <v>0</v>
      </c>
      <c r="AW331" t="n">
        <v>332.01</v>
      </c>
      <c r="AX331" t="inlineStr">
        <is>
          <t>settled</t>
        </is>
      </c>
      <c r="AY331" t="inlineStr">
        <is>
          <t>2025-12-10 05:30:00</t>
        </is>
      </c>
      <c r="AZ331" t="inlineStr">
        <is>
          <t>CITIN25668288188</t>
        </is>
      </c>
      <c r="BA331" t="n">
        <v>0</v>
      </c>
      <c r="BB331" t="inlineStr">
        <is>
          <t>24de97354e99ad19289fa3dbdd59547ec061bdf2a85d4de02fffc82e5f311c27</t>
        </is>
      </c>
    </row>
    <row r="332">
      <c r="A332" t="inlineStr">
        <is>
          <t>327</t>
        </is>
      </c>
      <c r="B332" t="inlineStr">
        <is>
          <t>7551619309</t>
        </is>
      </c>
      <c r="C332" t="inlineStr">
        <is>
          <t>2025-12-07 19:04:18</t>
        </is>
      </c>
      <c r="D332" t="inlineStr">
        <is>
          <t>49</t>
        </is>
      </c>
      <c r="E332" t="inlineStr">
        <is>
          <t>Sha Sha - Shandaar Shawarma</t>
        </is>
      </c>
      <c r="F332" t="inlineStr">
        <is>
          <t>18557902</t>
        </is>
      </c>
      <c r="G332" t="inlineStr">
        <is>
          <t>NA</t>
        </is>
      </c>
      <c r="H332" t="inlineStr">
        <is>
          <t>ONLINE</t>
        </is>
      </c>
      <c r="I332" t="inlineStr">
        <is>
          <t>DELIVERED</t>
        </is>
      </c>
      <c r="J332" t="inlineStr">
        <is>
          <t>NA</t>
        </is>
      </c>
      <c r="K332" t="inlineStr">
        <is>
          <t>NA</t>
        </is>
      </c>
      <c r="L332" t="inlineStr">
        <is>
          <t>NA</t>
        </is>
      </c>
      <c r="M332" t="inlineStr">
        <is>
          <t>O2</t>
        </is>
      </c>
      <c r="N332" t="inlineStr">
        <is>
          <t>36</t>
        </is>
      </c>
      <c r="O332" t="n">
        <v>229</v>
      </c>
      <c r="P332" t="n">
        <v>3.5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11.63</v>
      </c>
      <c r="W332" t="n">
        <v>244.13</v>
      </c>
      <c r="X332" t="n">
        <v>232.5</v>
      </c>
      <c r="Y332" t="n">
        <v>19</v>
      </c>
      <c r="Z332" t="n">
        <v>44.18</v>
      </c>
      <c r="AA332" t="n">
        <v>4.49</v>
      </c>
      <c r="AB332" t="n">
        <v>48.67</v>
      </c>
      <c r="AC332" t="n">
        <v>8.76</v>
      </c>
      <c r="AD332" t="n">
        <v>0</v>
      </c>
      <c r="AE332" t="n">
        <v>232.5</v>
      </c>
      <c r="AF332" t="n">
        <v>0</v>
      </c>
      <c r="AG332" t="n">
        <v>0</v>
      </c>
      <c r="AH332" t="n">
        <v>0.23</v>
      </c>
      <c r="AI332" t="n">
        <v>11.63</v>
      </c>
      <c r="AJ332" t="n">
        <v>0</v>
      </c>
      <c r="AK332" t="n">
        <v>20.62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69.29000000000001</v>
      </c>
      <c r="AV332" t="n">
        <v>0</v>
      </c>
      <c r="AW332" t="n">
        <v>174.84</v>
      </c>
      <c r="AX332" t="inlineStr">
        <is>
          <t>settled</t>
        </is>
      </c>
      <c r="AY332" t="inlineStr">
        <is>
          <t>2025-12-10 05:30:00</t>
        </is>
      </c>
      <c r="AZ332" t="inlineStr">
        <is>
          <t>CITIN25668288188</t>
        </is>
      </c>
      <c r="BA332" t="n">
        <v>0</v>
      </c>
      <c r="BB332" t="inlineStr">
        <is>
          <t>5b7112d47db0622e453c642d03bb7dec14f648688e0b25e155fdfb4aebbc0d20</t>
        </is>
      </c>
    </row>
    <row r="333">
      <c r="A333" t="inlineStr">
        <is>
          <t>328</t>
        </is>
      </c>
      <c r="B333" t="inlineStr">
        <is>
          <t>7558985243</t>
        </is>
      </c>
      <c r="C333" t="inlineStr">
        <is>
          <t>2025-12-07 19:50:08</t>
        </is>
      </c>
      <c r="D333" t="inlineStr">
        <is>
          <t>49</t>
        </is>
      </c>
      <c r="E333" t="inlineStr">
        <is>
          <t>Sha Sha - Shandaar Shawarma</t>
        </is>
      </c>
      <c r="F333" t="inlineStr">
        <is>
          <t>18557902</t>
        </is>
      </c>
      <c r="G333" t="inlineStr">
        <is>
          <t>30% off upto ₹75 (2025-06-25 - 2031-01-01)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NA</t>
        </is>
      </c>
      <c r="K333" t="inlineStr">
        <is>
          <t>NA</t>
        </is>
      </c>
      <c r="L333" t="inlineStr">
        <is>
          <t>NA</t>
        </is>
      </c>
      <c r="M333" t="inlineStr">
        <is>
          <t>O2</t>
        </is>
      </c>
      <c r="N333" t="inlineStr">
        <is>
          <t>36</t>
        </is>
      </c>
      <c r="O333" t="n">
        <v>229</v>
      </c>
      <c r="P333" t="n">
        <v>3.5</v>
      </c>
      <c r="Q333" t="n">
        <v>0</v>
      </c>
      <c r="R333" t="n">
        <v>68.7</v>
      </c>
      <c r="S333" t="n">
        <v>0</v>
      </c>
      <c r="T333" t="n">
        <v>0</v>
      </c>
      <c r="U333" t="n">
        <v>0</v>
      </c>
      <c r="V333" t="n">
        <v>8.19</v>
      </c>
      <c r="W333" t="n">
        <v>171.99</v>
      </c>
      <c r="X333" t="n">
        <v>163.8</v>
      </c>
      <c r="Y333" t="n">
        <v>19</v>
      </c>
      <c r="Z333" t="n">
        <v>31.12</v>
      </c>
      <c r="AA333" t="n">
        <v>3.16</v>
      </c>
      <c r="AB333" t="n">
        <v>34.28</v>
      </c>
      <c r="AC333" t="n">
        <v>6.17</v>
      </c>
      <c r="AD333" t="n">
        <v>0</v>
      </c>
      <c r="AE333" t="n">
        <v>163.8</v>
      </c>
      <c r="AF333" t="n">
        <v>0</v>
      </c>
      <c r="AG333" t="n">
        <v>0</v>
      </c>
      <c r="AH333" t="n">
        <v>0.16</v>
      </c>
      <c r="AI333" t="n">
        <v>8.199999999999999</v>
      </c>
      <c r="AJ333" t="n">
        <v>-0.01</v>
      </c>
      <c r="AK333" t="n">
        <v>14.53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48.81</v>
      </c>
      <c r="AV333" t="n">
        <v>0</v>
      </c>
      <c r="AW333" t="n">
        <v>123.18</v>
      </c>
      <c r="AX333" t="inlineStr">
        <is>
          <t>settled</t>
        </is>
      </c>
      <c r="AY333" t="inlineStr">
        <is>
          <t>2025-12-10 05:30:00</t>
        </is>
      </c>
      <c r="AZ333" t="inlineStr">
        <is>
          <t>CITIN25668288188</t>
        </is>
      </c>
      <c r="BA333" t="n">
        <v>0</v>
      </c>
      <c r="BB333" t="inlineStr">
        <is>
          <t>3083fdcd35cf5408a0af9172297b6416099a4920bd8d9298e9ac9af2990b665c</t>
        </is>
      </c>
    </row>
    <row r="334">
      <c r="A334" t="inlineStr">
        <is>
          <t>329</t>
        </is>
      </c>
      <c r="B334" t="inlineStr">
        <is>
          <t>7557674989</t>
        </is>
      </c>
      <c r="C334" t="inlineStr">
        <is>
          <t>2025-12-07 19:52:12</t>
        </is>
      </c>
      <c r="D334" t="inlineStr">
        <is>
          <t>49</t>
        </is>
      </c>
      <c r="E334" t="inlineStr">
        <is>
          <t>Sha Sha - Shandaar Shawarma</t>
        </is>
      </c>
      <c r="F334" t="inlineStr">
        <is>
          <t>18557902</t>
        </is>
      </c>
      <c r="G334" t="inlineStr">
        <is>
          <t>30% off upto ₹75 (2025-06-25 - 2031-01-01)</t>
        </is>
      </c>
      <c r="H334" t="inlineStr">
        <is>
          <t>ONLINE</t>
        </is>
      </c>
      <c r="I334" t="inlineStr">
        <is>
          <t>DELIVERED</t>
        </is>
      </c>
      <c r="J334" t="inlineStr">
        <is>
          <t>NA</t>
        </is>
      </c>
      <c r="K334" t="inlineStr">
        <is>
          <t>NA</t>
        </is>
      </c>
      <c r="L334" t="inlineStr">
        <is>
          <t>NA</t>
        </is>
      </c>
      <c r="M334" t="inlineStr">
        <is>
          <t>O2</t>
        </is>
      </c>
      <c r="N334" t="inlineStr">
        <is>
          <t>36</t>
        </is>
      </c>
      <c r="O334" t="n">
        <v>458</v>
      </c>
      <c r="P334" t="n">
        <v>3.5</v>
      </c>
      <c r="Q334" t="n">
        <v>0</v>
      </c>
      <c r="R334" t="n">
        <v>75</v>
      </c>
      <c r="S334" t="n">
        <v>0</v>
      </c>
      <c r="T334" t="n">
        <v>0</v>
      </c>
      <c r="U334" t="n">
        <v>0</v>
      </c>
      <c r="V334" t="n">
        <v>19.33</v>
      </c>
      <c r="W334" t="n">
        <v>405.83</v>
      </c>
      <c r="X334" t="n">
        <v>386.5</v>
      </c>
      <c r="Y334" t="n">
        <v>19</v>
      </c>
      <c r="Z334" t="n">
        <v>73.44</v>
      </c>
      <c r="AA334" t="n">
        <v>7.47</v>
      </c>
      <c r="AB334" t="n">
        <v>80.91</v>
      </c>
      <c r="AC334" t="n">
        <v>14.56</v>
      </c>
      <c r="AD334" t="n">
        <v>0</v>
      </c>
      <c r="AE334" t="n">
        <v>386.5</v>
      </c>
      <c r="AF334" t="n">
        <v>0</v>
      </c>
      <c r="AG334" t="n">
        <v>0</v>
      </c>
      <c r="AH334" t="n">
        <v>0.39</v>
      </c>
      <c r="AI334" t="n">
        <v>19.33</v>
      </c>
      <c r="AJ334" t="n">
        <v>0</v>
      </c>
      <c r="AK334" t="n">
        <v>34.28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115.19</v>
      </c>
      <c r="AV334" t="n">
        <v>0</v>
      </c>
      <c r="AW334" t="n">
        <v>290.64</v>
      </c>
      <c r="AX334" t="inlineStr">
        <is>
          <t>settled</t>
        </is>
      </c>
      <c r="AY334" t="inlineStr">
        <is>
          <t>2025-12-10 05:30:00</t>
        </is>
      </c>
      <c r="AZ334" t="inlineStr">
        <is>
          <t>CITIN25668288188</t>
        </is>
      </c>
      <c r="BA334" t="n">
        <v>0</v>
      </c>
      <c r="BB334" t="inlineStr">
        <is>
          <t>ab6d8ef3371428cefbd01caff7e3b5423b86a23d64764e30b04ecc17d5c9db15</t>
        </is>
      </c>
    </row>
    <row r="335">
      <c r="A335" t="inlineStr">
        <is>
          <t>330</t>
        </is>
      </c>
      <c r="B335" t="inlineStr">
        <is>
          <t>7546546921</t>
        </is>
      </c>
      <c r="C335" t="inlineStr">
        <is>
          <t>2025-12-07 19:59:33</t>
        </is>
      </c>
      <c r="D335" t="inlineStr">
        <is>
          <t>49</t>
        </is>
      </c>
      <c r="E335" t="inlineStr">
        <is>
          <t>Sha Sha - Shandaar Shawarma</t>
        </is>
      </c>
      <c r="F335" t="inlineStr">
        <is>
          <t>18557902</t>
        </is>
      </c>
      <c r="G335" t="inlineStr">
        <is>
          <t>NA</t>
        </is>
      </c>
      <c r="H335" t="inlineStr">
        <is>
          <t>ONLINE</t>
        </is>
      </c>
      <c r="I335" t="inlineStr">
        <is>
          <t>DELIVERED</t>
        </is>
      </c>
      <c r="J335" t="inlineStr">
        <is>
          <t>NA</t>
        </is>
      </c>
      <c r="K335" t="inlineStr">
        <is>
          <t>NA</t>
        </is>
      </c>
      <c r="L335" t="inlineStr">
        <is>
          <t>NA</t>
        </is>
      </c>
      <c r="M335" t="inlineStr">
        <is>
          <t>O2</t>
        </is>
      </c>
      <c r="N335" t="inlineStr">
        <is>
          <t>36</t>
        </is>
      </c>
      <c r="O335" t="n">
        <v>229</v>
      </c>
      <c r="P335" t="n">
        <v>3.5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11.63</v>
      </c>
      <c r="W335" t="n">
        <v>244.13</v>
      </c>
      <c r="X335" t="n">
        <v>232.5</v>
      </c>
      <c r="Y335" t="n">
        <v>19</v>
      </c>
      <c r="Z335" t="n">
        <v>44.18</v>
      </c>
      <c r="AA335" t="n">
        <v>4.49</v>
      </c>
      <c r="AB335" t="n">
        <v>48.67</v>
      </c>
      <c r="AC335" t="n">
        <v>8.76</v>
      </c>
      <c r="AD335" t="n">
        <v>0</v>
      </c>
      <c r="AE335" t="n">
        <v>232.5</v>
      </c>
      <c r="AF335" t="n">
        <v>0</v>
      </c>
      <c r="AG335" t="n">
        <v>0</v>
      </c>
      <c r="AH335" t="n">
        <v>0.23</v>
      </c>
      <c r="AI335" t="n">
        <v>11.63</v>
      </c>
      <c r="AJ335" t="n">
        <v>0</v>
      </c>
      <c r="AK335" t="n">
        <v>20.62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69.29000000000001</v>
      </c>
      <c r="AV335" t="n">
        <v>0</v>
      </c>
      <c r="AW335" t="n">
        <v>174.84</v>
      </c>
      <c r="AX335" t="inlineStr">
        <is>
          <t>settled</t>
        </is>
      </c>
      <c r="AY335" t="inlineStr">
        <is>
          <t>2025-12-10 05:30:00</t>
        </is>
      </c>
      <c r="AZ335" t="inlineStr">
        <is>
          <t>CITIN25668288188</t>
        </is>
      </c>
      <c r="BA335" t="n">
        <v>0</v>
      </c>
      <c r="BB335" t="inlineStr">
        <is>
          <t>a708de35e99abc46f2a80b2cc23ee24fc4d8d29985164f4c53cf65a7298c46d6</t>
        </is>
      </c>
    </row>
    <row r="336">
      <c r="A336" t="inlineStr">
        <is>
          <t>331</t>
        </is>
      </c>
      <c r="B336" t="inlineStr">
        <is>
          <t>7553540001</t>
        </is>
      </c>
      <c r="C336" t="inlineStr">
        <is>
          <t>2025-12-07 20:00:19</t>
        </is>
      </c>
      <c r="D336" t="inlineStr">
        <is>
          <t>49</t>
        </is>
      </c>
      <c r="E336" t="inlineStr">
        <is>
          <t>Sha Sha - Shandaar Shawarma</t>
        </is>
      </c>
      <c r="F336" t="inlineStr">
        <is>
          <t>18557902</t>
        </is>
      </c>
      <c r="G336" t="inlineStr">
        <is>
          <t>30% off upto ₹75 (2025-06-25 - 2031-01-01)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NA</t>
        </is>
      </c>
      <c r="K336" t="inlineStr">
        <is>
          <t>NA</t>
        </is>
      </c>
      <c r="L336" t="inlineStr">
        <is>
          <t>NA</t>
        </is>
      </c>
      <c r="M336" t="inlineStr">
        <is>
          <t>O2</t>
        </is>
      </c>
      <c r="N336" t="inlineStr">
        <is>
          <t>36</t>
        </is>
      </c>
      <c r="O336" t="n">
        <v>229</v>
      </c>
      <c r="P336" t="n">
        <v>3.5</v>
      </c>
      <c r="Q336" t="n">
        <v>0</v>
      </c>
      <c r="R336" t="n">
        <v>68.7</v>
      </c>
      <c r="S336" t="n">
        <v>0</v>
      </c>
      <c r="T336" t="n">
        <v>0</v>
      </c>
      <c r="U336" t="n">
        <v>0</v>
      </c>
      <c r="V336" t="n">
        <v>8.19</v>
      </c>
      <c r="W336" t="n">
        <v>171.99</v>
      </c>
      <c r="X336" t="n">
        <v>163.8</v>
      </c>
      <c r="Y336" t="n">
        <v>19</v>
      </c>
      <c r="Z336" t="n">
        <v>31.12</v>
      </c>
      <c r="AA336" t="n">
        <v>3.16</v>
      </c>
      <c r="AB336" t="n">
        <v>34.28</v>
      </c>
      <c r="AC336" t="n">
        <v>6.17</v>
      </c>
      <c r="AD336" t="n">
        <v>0</v>
      </c>
      <c r="AE336" t="n">
        <v>163.8</v>
      </c>
      <c r="AF336" t="n">
        <v>0</v>
      </c>
      <c r="AG336" t="n">
        <v>0</v>
      </c>
      <c r="AH336" t="n">
        <v>0.16</v>
      </c>
      <c r="AI336" t="n">
        <v>8.199999999999999</v>
      </c>
      <c r="AJ336" t="n">
        <v>-0.01</v>
      </c>
      <c r="AK336" t="n">
        <v>14.53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48.81</v>
      </c>
      <c r="AV336" t="n">
        <v>0</v>
      </c>
      <c r="AW336" t="n">
        <v>123.18</v>
      </c>
      <c r="AX336" t="inlineStr">
        <is>
          <t>settled</t>
        </is>
      </c>
      <c r="AY336" t="inlineStr">
        <is>
          <t>2025-12-10 05:30:00</t>
        </is>
      </c>
      <c r="AZ336" t="inlineStr">
        <is>
          <t>CITIN25668288188</t>
        </is>
      </c>
      <c r="BA336" t="n">
        <v>0</v>
      </c>
      <c r="BB336" t="inlineStr">
        <is>
          <t>3159cd8d0f5ff123a1cff3b35ddbdba173220e5ee8b2befa7b865ba91dc09da1</t>
        </is>
      </c>
    </row>
    <row r="337">
      <c r="A337" t="inlineStr">
        <is>
          <t>332</t>
        </is>
      </c>
      <c r="B337" t="inlineStr">
        <is>
          <t>7557542812</t>
        </is>
      </c>
      <c r="C337" t="inlineStr">
        <is>
          <t>2025-12-07 20:03:33</t>
        </is>
      </c>
      <c r="D337" t="inlineStr">
        <is>
          <t>49</t>
        </is>
      </c>
      <c r="E337" t="inlineStr">
        <is>
          <t>Sha Sha - Shandaar Shawarma</t>
        </is>
      </c>
      <c r="F337" t="inlineStr">
        <is>
          <t>18557902</t>
        </is>
      </c>
      <c r="G337" t="inlineStr">
        <is>
          <t>NA</t>
        </is>
      </c>
      <c r="H337" t="inlineStr">
        <is>
          <t>ONLINE</t>
        </is>
      </c>
      <c r="I337" t="inlineStr">
        <is>
          <t>DELIVERED</t>
        </is>
      </c>
      <c r="J337" t="inlineStr">
        <is>
          <t>NA</t>
        </is>
      </c>
      <c r="K337" t="inlineStr">
        <is>
          <t>NA</t>
        </is>
      </c>
      <c r="L337" t="inlineStr">
        <is>
          <t>NA</t>
        </is>
      </c>
      <c r="M337" t="inlineStr">
        <is>
          <t>O2</t>
        </is>
      </c>
      <c r="N337" t="inlineStr">
        <is>
          <t>36</t>
        </is>
      </c>
      <c r="O337" t="n">
        <v>229</v>
      </c>
      <c r="P337" t="n">
        <v>3.5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11.63</v>
      </c>
      <c r="W337" t="n">
        <v>244.13</v>
      </c>
      <c r="X337" t="n">
        <v>232.5</v>
      </c>
      <c r="Y337" t="n">
        <v>19</v>
      </c>
      <c r="Z337" t="n">
        <v>44.18</v>
      </c>
      <c r="AA337" t="n">
        <v>4.49</v>
      </c>
      <c r="AB337" t="n">
        <v>48.67</v>
      </c>
      <c r="AC337" t="n">
        <v>8.76</v>
      </c>
      <c r="AD337" t="n">
        <v>0</v>
      </c>
      <c r="AE337" t="n">
        <v>232.5</v>
      </c>
      <c r="AF337" t="n">
        <v>0</v>
      </c>
      <c r="AG337" t="n">
        <v>0</v>
      </c>
      <c r="AH337" t="n">
        <v>0.23</v>
      </c>
      <c r="AI337" t="n">
        <v>11.63</v>
      </c>
      <c r="AJ337" t="n">
        <v>0</v>
      </c>
      <c r="AK337" t="n">
        <v>20.62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69.29000000000001</v>
      </c>
      <c r="AV337" t="n">
        <v>0</v>
      </c>
      <c r="AW337" t="n">
        <v>174.84</v>
      </c>
      <c r="AX337" t="inlineStr">
        <is>
          <t>settled</t>
        </is>
      </c>
      <c r="AY337" t="inlineStr">
        <is>
          <t>2025-12-10 05:30:00</t>
        </is>
      </c>
      <c r="AZ337" t="inlineStr">
        <is>
          <t>CITIN25668288188</t>
        </is>
      </c>
      <c r="BA337" t="n">
        <v>0</v>
      </c>
      <c r="BB337" t="inlineStr">
        <is>
          <t>6a3fc0ea34fbc2d6f1e1bf22bcfd6ff2ee014ebbd0685eefd141761d79dc9483</t>
        </is>
      </c>
    </row>
    <row r="338">
      <c r="A338" t="inlineStr">
        <is>
          <t>333</t>
        </is>
      </c>
      <c r="B338" t="inlineStr">
        <is>
          <t>7552411074</t>
        </is>
      </c>
      <c r="C338" t="inlineStr">
        <is>
          <t>2025-12-07 20:09:14</t>
        </is>
      </c>
      <c r="D338" t="inlineStr">
        <is>
          <t>49</t>
        </is>
      </c>
      <c r="E338" t="inlineStr">
        <is>
          <t>Sha Sha - Shandaar Shawarma</t>
        </is>
      </c>
      <c r="F338" t="inlineStr">
        <is>
          <t>18557902</t>
        </is>
      </c>
      <c r="G338" t="inlineStr">
        <is>
          <t>NA</t>
        </is>
      </c>
      <c r="H338" t="inlineStr">
        <is>
          <t>ONLINE</t>
        </is>
      </c>
      <c r="I338" t="inlineStr">
        <is>
          <t>DELIVERED</t>
        </is>
      </c>
      <c r="J338" t="inlineStr">
        <is>
          <t>NA</t>
        </is>
      </c>
      <c r="K338" t="inlineStr">
        <is>
          <t>NA</t>
        </is>
      </c>
      <c r="L338" t="inlineStr">
        <is>
          <t>NA</t>
        </is>
      </c>
      <c r="M338" t="inlineStr">
        <is>
          <t>O2</t>
        </is>
      </c>
      <c r="N338" t="inlineStr">
        <is>
          <t>36</t>
        </is>
      </c>
      <c r="O338" t="n">
        <v>229</v>
      </c>
      <c r="P338" t="n">
        <v>3.5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11.63</v>
      </c>
      <c r="W338" t="n">
        <v>244.13</v>
      </c>
      <c r="X338" t="n">
        <v>232.5</v>
      </c>
      <c r="Y338" t="n">
        <v>19</v>
      </c>
      <c r="Z338" t="n">
        <v>44.18</v>
      </c>
      <c r="AA338" t="n">
        <v>4.49</v>
      </c>
      <c r="AB338" t="n">
        <v>48.67</v>
      </c>
      <c r="AC338" t="n">
        <v>8.76</v>
      </c>
      <c r="AD338" t="n">
        <v>0</v>
      </c>
      <c r="AE338" t="n">
        <v>232.5</v>
      </c>
      <c r="AF338" t="n">
        <v>0</v>
      </c>
      <c r="AG338" t="n">
        <v>0</v>
      </c>
      <c r="AH338" t="n">
        <v>0.23</v>
      </c>
      <c r="AI338" t="n">
        <v>11.63</v>
      </c>
      <c r="AJ338" t="n">
        <v>0</v>
      </c>
      <c r="AK338" t="n">
        <v>20.62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69.29000000000001</v>
      </c>
      <c r="AV338" t="n">
        <v>0</v>
      </c>
      <c r="AW338" t="n">
        <v>174.84</v>
      </c>
      <c r="AX338" t="inlineStr">
        <is>
          <t>settled</t>
        </is>
      </c>
      <c r="AY338" t="inlineStr">
        <is>
          <t>2025-12-10 05:30:00</t>
        </is>
      </c>
      <c r="AZ338" t="inlineStr">
        <is>
          <t>CITIN25668288188</t>
        </is>
      </c>
      <c r="BA338" t="n">
        <v>0</v>
      </c>
      <c r="BB338" t="inlineStr">
        <is>
          <t>f9927fffb68d8d1a8b49dfc04e2938ad26e63fe3d88369cfcc670e86a8aa1264</t>
        </is>
      </c>
    </row>
    <row r="339">
      <c r="A339" t="inlineStr">
        <is>
          <t>334</t>
        </is>
      </c>
      <c r="B339" t="inlineStr">
        <is>
          <t>7558219356</t>
        </is>
      </c>
      <c r="C339" t="inlineStr">
        <is>
          <t>2025-12-07 20:13:02</t>
        </is>
      </c>
      <c r="D339" t="inlineStr">
        <is>
          <t>49</t>
        </is>
      </c>
      <c r="E339" t="inlineStr">
        <is>
          <t>Sha Sha - Shandaar Shawarma</t>
        </is>
      </c>
      <c r="F339" t="inlineStr">
        <is>
          <t>18557902</t>
        </is>
      </c>
      <c r="G339" t="inlineStr">
        <is>
          <t>NA</t>
        </is>
      </c>
      <c r="H339" t="inlineStr">
        <is>
          <t>ONLINE</t>
        </is>
      </c>
      <c r="I339" t="inlineStr">
        <is>
          <t>DELIVERED</t>
        </is>
      </c>
      <c r="J339" t="inlineStr">
        <is>
          <t>NA</t>
        </is>
      </c>
      <c r="K339" t="inlineStr">
        <is>
          <t>NA</t>
        </is>
      </c>
      <c r="L339" t="inlineStr">
        <is>
          <t>NA</t>
        </is>
      </c>
      <c r="M339" t="inlineStr">
        <is>
          <t>O2</t>
        </is>
      </c>
      <c r="N339" t="inlineStr">
        <is>
          <t>36</t>
        </is>
      </c>
      <c r="O339" t="n">
        <v>229</v>
      </c>
      <c r="P339" t="n">
        <v>3.5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11.63</v>
      </c>
      <c r="W339" t="n">
        <v>244.13</v>
      </c>
      <c r="X339" t="n">
        <v>232.5</v>
      </c>
      <c r="Y339" t="n">
        <v>19</v>
      </c>
      <c r="Z339" t="n">
        <v>44.18</v>
      </c>
      <c r="AA339" t="n">
        <v>4.49</v>
      </c>
      <c r="AB339" t="n">
        <v>48.67</v>
      </c>
      <c r="AC339" t="n">
        <v>8.76</v>
      </c>
      <c r="AD339" t="n">
        <v>0</v>
      </c>
      <c r="AE339" t="n">
        <v>232.5</v>
      </c>
      <c r="AF339" t="n">
        <v>0</v>
      </c>
      <c r="AG339" t="n">
        <v>0</v>
      </c>
      <c r="AH339" t="n">
        <v>0.23</v>
      </c>
      <c r="AI339" t="n">
        <v>11.63</v>
      </c>
      <c r="AJ339" t="n">
        <v>0</v>
      </c>
      <c r="AK339" t="n">
        <v>20.62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69.29000000000001</v>
      </c>
      <c r="AV339" t="n">
        <v>0</v>
      </c>
      <c r="AW339" t="n">
        <v>174.84</v>
      </c>
      <c r="AX339" t="inlineStr">
        <is>
          <t>settled</t>
        </is>
      </c>
      <c r="AY339" t="inlineStr">
        <is>
          <t>2025-12-10 05:30:00</t>
        </is>
      </c>
      <c r="AZ339" t="inlineStr">
        <is>
          <t>CITIN25668288188</t>
        </is>
      </c>
      <c r="BA339" t="n">
        <v>0</v>
      </c>
      <c r="BB339" t="inlineStr">
        <is>
          <t>e58b616b4f8bc9cb9068637c0c7cb0d4149bd91d2e1fe300b6a5c963f2ee9254</t>
        </is>
      </c>
    </row>
    <row r="340">
      <c r="A340" t="inlineStr">
        <is>
          <t>335</t>
        </is>
      </c>
      <c r="B340" t="inlineStr">
        <is>
          <t>7554039716</t>
        </is>
      </c>
      <c r="C340" t="inlineStr">
        <is>
          <t>2025-12-07 20:16:10</t>
        </is>
      </c>
      <c r="D340" t="inlineStr">
        <is>
          <t>49</t>
        </is>
      </c>
      <c r="E340" t="inlineStr">
        <is>
          <t>Sha Sha - Shandaar Shawarma</t>
        </is>
      </c>
      <c r="F340" t="inlineStr">
        <is>
          <t>18557902</t>
        </is>
      </c>
      <c r="G340" t="inlineStr">
        <is>
          <t>NA</t>
        </is>
      </c>
      <c r="H340" t="inlineStr">
        <is>
          <t>ONLINE</t>
        </is>
      </c>
      <c r="I340" t="inlineStr">
        <is>
          <t>DELIVERED</t>
        </is>
      </c>
      <c r="J340" t="inlineStr">
        <is>
          <t>NA</t>
        </is>
      </c>
      <c r="K340" t="inlineStr">
        <is>
          <t>NA</t>
        </is>
      </c>
      <c r="L340" t="inlineStr">
        <is>
          <t>NA</t>
        </is>
      </c>
      <c r="M340" t="inlineStr">
        <is>
          <t>O2</t>
        </is>
      </c>
      <c r="N340" t="inlineStr">
        <is>
          <t>36</t>
        </is>
      </c>
      <c r="O340" t="n">
        <v>219</v>
      </c>
      <c r="P340" t="n">
        <v>3.5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11.13</v>
      </c>
      <c r="W340" t="n">
        <v>233.63</v>
      </c>
      <c r="X340" t="n">
        <v>222.5</v>
      </c>
      <c r="Y340" t="n">
        <v>19</v>
      </c>
      <c r="Z340" t="n">
        <v>42.28</v>
      </c>
      <c r="AA340" t="n">
        <v>4.3</v>
      </c>
      <c r="AB340" t="n">
        <v>46.58</v>
      </c>
      <c r="AC340" t="n">
        <v>8.380000000000001</v>
      </c>
      <c r="AD340" t="n">
        <v>0</v>
      </c>
      <c r="AE340" t="n">
        <v>222.5</v>
      </c>
      <c r="AF340" t="n">
        <v>0</v>
      </c>
      <c r="AG340" t="n">
        <v>0</v>
      </c>
      <c r="AH340" t="n">
        <v>0.22</v>
      </c>
      <c r="AI340" t="n">
        <v>11.13</v>
      </c>
      <c r="AJ340" t="n">
        <v>0</v>
      </c>
      <c r="AK340" t="n">
        <v>19.73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66.31</v>
      </c>
      <c r="AV340" t="n">
        <v>0</v>
      </c>
      <c r="AW340" t="n">
        <v>167.32</v>
      </c>
      <c r="AX340" t="inlineStr">
        <is>
          <t>settled</t>
        </is>
      </c>
      <c r="AY340" t="inlineStr">
        <is>
          <t>2025-12-10 05:30:00</t>
        </is>
      </c>
      <c r="AZ340" t="inlineStr">
        <is>
          <t>CITIN25668288188</t>
        </is>
      </c>
      <c r="BA340" t="n">
        <v>0</v>
      </c>
      <c r="BB340" t="inlineStr">
        <is>
          <t>f11c03fccc09486b86c098b2844af896dde44dd64f091d5df63df7c6723681f0</t>
        </is>
      </c>
    </row>
    <row r="341">
      <c r="A341" t="inlineStr">
        <is>
          <t>336</t>
        </is>
      </c>
      <c r="B341" t="inlineStr">
        <is>
          <t>7559108640</t>
        </is>
      </c>
      <c r="C341" t="inlineStr">
        <is>
          <t>2025-12-07 20:30:52</t>
        </is>
      </c>
      <c r="D341" t="inlineStr">
        <is>
          <t>49</t>
        </is>
      </c>
      <c r="E341" t="inlineStr">
        <is>
          <t>Sha Sha - Shandaar Shawarma</t>
        </is>
      </c>
      <c r="F341" t="inlineStr">
        <is>
          <t>18557902</t>
        </is>
      </c>
      <c r="G341" t="inlineStr">
        <is>
          <t>30% off upto ₹75 (2025-06-25 - 2031-01-01)</t>
        </is>
      </c>
      <c r="H341" t="inlineStr">
        <is>
          <t>ONLINE</t>
        </is>
      </c>
      <c r="I341" t="inlineStr">
        <is>
          <t>DELIVERED</t>
        </is>
      </c>
      <c r="J341" t="inlineStr">
        <is>
          <t>NA</t>
        </is>
      </c>
      <c r="K341" t="inlineStr">
        <is>
          <t>NA</t>
        </is>
      </c>
      <c r="L341" t="inlineStr">
        <is>
          <t>NA</t>
        </is>
      </c>
      <c r="M341" t="inlineStr">
        <is>
          <t>O2</t>
        </is>
      </c>
      <c r="N341" t="inlineStr">
        <is>
          <t>36</t>
        </is>
      </c>
      <c r="O341" t="n">
        <v>229</v>
      </c>
      <c r="P341" t="n">
        <v>3.5</v>
      </c>
      <c r="Q341" t="n">
        <v>0</v>
      </c>
      <c r="R341" t="n">
        <v>68.7</v>
      </c>
      <c r="S341" t="n">
        <v>0</v>
      </c>
      <c r="T341" t="n">
        <v>0</v>
      </c>
      <c r="U341" t="n">
        <v>0</v>
      </c>
      <c r="V341" t="n">
        <v>8.19</v>
      </c>
      <c r="W341" t="n">
        <v>171.99</v>
      </c>
      <c r="X341" t="n">
        <v>163.8</v>
      </c>
      <c r="Y341" t="n">
        <v>19</v>
      </c>
      <c r="Z341" t="n">
        <v>31.12</v>
      </c>
      <c r="AA341" t="n">
        <v>3.16</v>
      </c>
      <c r="AB341" t="n">
        <v>34.28</v>
      </c>
      <c r="AC341" t="n">
        <v>6.17</v>
      </c>
      <c r="AD341" t="n">
        <v>0</v>
      </c>
      <c r="AE341" t="n">
        <v>163.8</v>
      </c>
      <c r="AF341" t="n">
        <v>0</v>
      </c>
      <c r="AG341" t="n">
        <v>0</v>
      </c>
      <c r="AH341" t="n">
        <v>0.16</v>
      </c>
      <c r="AI341" t="n">
        <v>8.199999999999999</v>
      </c>
      <c r="AJ341" t="n">
        <v>-0.01</v>
      </c>
      <c r="AK341" t="n">
        <v>14.53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48.81</v>
      </c>
      <c r="AV341" t="n">
        <v>0</v>
      </c>
      <c r="AW341" t="n">
        <v>123.18</v>
      </c>
      <c r="AX341" t="inlineStr">
        <is>
          <t>settled</t>
        </is>
      </c>
      <c r="AY341" t="inlineStr">
        <is>
          <t>2025-12-10 05:30:00</t>
        </is>
      </c>
      <c r="AZ341" t="inlineStr">
        <is>
          <t>CITIN25668288188</t>
        </is>
      </c>
      <c r="BA341" t="n">
        <v>0</v>
      </c>
      <c r="BB341" t="inlineStr">
        <is>
          <t>57d702953a8d616d3bd7367ecd6e1171acb3ea149e8fa4bbf99c2678c6458225</t>
        </is>
      </c>
    </row>
    <row r="342">
      <c r="A342" t="inlineStr">
        <is>
          <t>337</t>
        </is>
      </c>
      <c r="B342" t="inlineStr">
        <is>
          <t>7549796860</t>
        </is>
      </c>
      <c r="C342" t="inlineStr">
        <is>
          <t>2025-12-07 20:55:19</t>
        </is>
      </c>
      <c r="D342" t="inlineStr">
        <is>
          <t>49</t>
        </is>
      </c>
      <c r="E342" t="inlineStr">
        <is>
          <t>Sha Sha - Shandaar Shawarma</t>
        </is>
      </c>
      <c r="F342" t="inlineStr">
        <is>
          <t>18557902</t>
        </is>
      </c>
      <c r="G342" t="inlineStr">
        <is>
          <t>30% off upto ₹75 (2025-06-25 - 2031-01-01)</t>
        </is>
      </c>
      <c r="H342" t="inlineStr">
        <is>
          <t>ONLINE</t>
        </is>
      </c>
      <c r="I342" t="inlineStr">
        <is>
          <t>DELIVERED</t>
        </is>
      </c>
      <c r="J342" t="inlineStr">
        <is>
          <t>NA</t>
        </is>
      </c>
      <c r="K342" t="inlineStr">
        <is>
          <t>NA</t>
        </is>
      </c>
      <c r="L342" t="inlineStr">
        <is>
          <t>NA</t>
        </is>
      </c>
      <c r="M342" t="inlineStr">
        <is>
          <t>O2</t>
        </is>
      </c>
      <c r="N342" t="inlineStr">
        <is>
          <t>36</t>
        </is>
      </c>
      <c r="O342" t="n">
        <v>219</v>
      </c>
      <c r="P342" t="n">
        <v>3.5</v>
      </c>
      <c r="Q342" t="n">
        <v>0</v>
      </c>
      <c r="R342" t="n">
        <v>65.7</v>
      </c>
      <c r="S342" t="n">
        <v>0</v>
      </c>
      <c r="T342" t="n">
        <v>0</v>
      </c>
      <c r="U342" t="n">
        <v>0</v>
      </c>
      <c r="V342" t="n">
        <v>7.84</v>
      </c>
      <c r="W342" t="n">
        <v>164.64</v>
      </c>
      <c r="X342" t="n">
        <v>156.8</v>
      </c>
      <c r="Y342" t="n">
        <v>19</v>
      </c>
      <c r="Z342" t="n">
        <v>29.79</v>
      </c>
      <c r="AA342" t="n">
        <v>3.03</v>
      </c>
      <c r="AB342" t="n">
        <v>32.82</v>
      </c>
      <c r="AC342" t="n">
        <v>5.91</v>
      </c>
      <c r="AD342" t="n">
        <v>0</v>
      </c>
      <c r="AE342" t="n">
        <v>156.8</v>
      </c>
      <c r="AF342" t="n">
        <v>0</v>
      </c>
      <c r="AG342" t="n">
        <v>0</v>
      </c>
      <c r="AH342" t="n">
        <v>0.16</v>
      </c>
      <c r="AI342" t="n">
        <v>7.85</v>
      </c>
      <c r="AJ342" t="n">
        <v>-0.01</v>
      </c>
      <c r="AK342" t="n">
        <v>13.92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46.74</v>
      </c>
      <c r="AV342" t="n">
        <v>0</v>
      </c>
      <c r="AW342" t="n">
        <v>117.9</v>
      </c>
      <c r="AX342" t="inlineStr">
        <is>
          <t>settled</t>
        </is>
      </c>
      <c r="AY342" t="inlineStr">
        <is>
          <t>2025-12-10 05:30:00</t>
        </is>
      </c>
      <c r="AZ342" t="inlineStr">
        <is>
          <t>CITIN25668288188</t>
        </is>
      </c>
      <c r="BA342" t="n">
        <v>0</v>
      </c>
      <c r="BB342" t="inlineStr">
        <is>
          <t>2e36baae71ca9f59e69dbc02192172adf6162d5826ab502e3a4c726772e1036d</t>
        </is>
      </c>
    </row>
    <row r="343">
      <c r="A343" t="inlineStr">
        <is>
          <t>338</t>
        </is>
      </c>
      <c r="B343" t="inlineStr">
        <is>
          <t>7558228421</t>
        </is>
      </c>
      <c r="C343" t="inlineStr">
        <is>
          <t>2025-12-07 20:58:00</t>
        </is>
      </c>
      <c r="D343" t="inlineStr">
        <is>
          <t>49</t>
        </is>
      </c>
      <c r="E343" t="inlineStr">
        <is>
          <t>Sha Sha - Shandaar Shawarma</t>
        </is>
      </c>
      <c r="F343" t="inlineStr">
        <is>
          <t>18557902</t>
        </is>
      </c>
      <c r="G343" t="inlineStr">
        <is>
          <t>30% off upto ₹75 (2025-06-25 - 2031-01-01)</t>
        </is>
      </c>
      <c r="H343" t="inlineStr">
        <is>
          <t>ONLINE</t>
        </is>
      </c>
      <c r="I343" t="inlineStr">
        <is>
          <t>DELIVERED</t>
        </is>
      </c>
      <c r="J343" t="inlineStr">
        <is>
          <t>NA</t>
        </is>
      </c>
      <c r="K343" t="inlineStr">
        <is>
          <t>NA</t>
        </is>
      </c>
      <c r="L343" t="inlineStr">
        <is>
          <t>NA</t>
        </is>
      </c>
      <c r="M343" t="inlineStr">
        <is>
          <t>O2</t>
        </is>
      </c>
      <c r="N343" t="inlineStr">
        <is>
          <t>36</t>
        </is>
      </c>
      <c r="O343" t="n">
        <v>229</v>
      </c>
      <c r="P343" t="n">
        <v>3.5</v>
      </c>
      <c r="Q343" t="n">
        <v>0</v>
      </c>
      <c r="R343" t="n">
        <v>68.7</v>
      </c>
      <c r="S343" t="n">
        <v>0</v>
      </c>
      <c r="T343" t="n">
        <v>0</v>
      </c>
      <c r="U343" t="n">
        <v>0</v>
      </c>
      <c r="V343" t="n">
        <v>8.19</v>
      </c>
      <c r="W343" t="n">
        <v>171.99</v>
      </c>
      <c r="X343" t="n">
        <v>163.8</v>
      </c>
      <c r="Y343" t="n">
        <v>19</v>
      </c>
      <c r="Z343" t="n">
        <v>31.12</v>
      </c>
      <c r="AA343" t="n">
        <v>3.16</v>
      </c>
      <c r="AB343" t="n">
        <v>34.28</v>
      </c>
      <c r="AC343" t="n">
        <v>6.17</v>
      </c>
      <c r="AD343" t="n">
        <v>0</v>
      </c>
      <c r="AE343" t="n">
        <v>163.8</v>
      </c>
      <c r="AF343" t="n">
        <v>0</v>
      </c>
      <c r="AG343" t="n">
        <v>0</v>
      </c>
      <c r="AH343" t="n">
        <v>0.16</v>
      </c>
      <c r="AI343" t="n">
        <v>8.199999999999999</v>
      </c>
      <c r="AJ343" t="n">
        <v>-0.01</v>
      </c>
      <c r="AK343" t="n">
        <v>14.53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48.81</v>
      </c>
      <c r="AV343" t="n">
        <v>0</v>
      </c>
      <c r="AW343" t="n">
        <v>123.18</v>
      </c>
      <c r="AX343" t="inlineStr">
        <is>
          <t>settled</t>
        </is>
      </c>
      <c r="AY343" t="inlineStr">
        <is>
          <t>2025-12-10 05:30:00</t>
        </is>
      </c>
      <c r="AZ343" t="inlineStr">
        <is>
          <t>CITIN25668288188</t>
        </is>
      </c>
      <c r="BA343" t="n">
        <v>0</v>
      </c>
      <c r="BB343" t="inlineStr">
        <is>
          <t>7d1480dd49c82fe74cf29ff18be471c542cd6f74e43da3675b76883f2c631fa3</t>
        </is>
      </c>
    </row>
    <row r="344">
      <c r="A344" t="inlineStr">
        <is>
          <t>339</t>
        </is>
      </c>
      <c r="B344" t="inlineStr">
        <is>
          <t>7551652593</t>
        </is>
      </c>
      <c r="C344" t="inlineStr">
        <is>
          <t>2025-12-07 21:14:36</t>
        </is>
      </c>
      <c r="D344" t="inlineStr">
        <is>
          <t>49</t>
        </is>
      </c>
      <c r="E344" t="inlineStr">
        <is>
          <t>Sha Sha - Shandaar Shawarma</t>
        </is>
      </c>
      <c r="F344" t="inlineStr">
        <is>
          <t>18557902</t>
        </is>
      </c>
      <c r="G344" t="inlineStr">
        <is>
          <t>30% off upto ₹75 (2025-06-25 - 2031-01-01)</t>
        </is>
      </c>
      <c r="H344" t="inlineStr">
        <is>
          <t>ONLINE</t>
        </is>
      </c>
      <c r="I344" t="inlineStr">
        <is>
          <t>DELIVERED</t>
        </is>
      </c>
      <c r="J344" t="inlineStr">
        <is>
          <t>NA</t>
        </is>
      </c>
      <c r="K344" t="inlineStr">
        <is>
          <t>NA</t>
        </is>
      </c>
      <c r="L344" t="inlineStr">
        <is>
          <t>NA</t>
        </is>
      </c>
      <c r="M344" t="inlineStr">
        <is>
          <t>O2</t>
        </is>
      </c>
      <c r="N344" t="inlineStr">
        <is>
          <t>36</t>
        </is>
      </c>
      <c r="O344" t="n">
        <v>229</v>
      </c>
      <c r="P344" t="n">
        <v>3.5</v>
      </c>
      <c r="Q344" t="n">
        <v>0</v>
      </c>
      <c r="R344" t="n">
        <v>68.7</v>
      </c>
      <c r="S344" t="n">
        <v>0</v>
      </c>
      <c r="T344" t="n">
        <v>0</v>
      </c>
      <c r="U344" t="n">
        <v>0</v>
      </c>
      <c r="V344" t="n">
        <v>8.19</v>
      </c>
      <c r="W344" t="n">
        <v>171.99</v>
      </c>
      <c r="X344" t="n">
        <v>163.8</v>
      </c>
      <c r="Y344" t="n">
        <v>19</v>
      </c>
      <c r="Z344" t="n">
        <v>31.12</v>
      </c>
      <c r="AA344" t="n">
        <v>3.16</v>
      </c>
      <c r="AB344" t="n">
        <v>34.28</v>
      </c>
      <c r="AC344" t="n">
        <v>6.17</v>
      </c>
      <c r="AD344" t="n">
        <v>0</v>
      </c>
      <c r="AE344" t="n">
        <v>163.8</v>
      </c>
      <c r="AF344" t="n">
        <v>0</v>
      </c>
      <c r="AG344" t="n">
        <v>0</v>
      </c>
      <c r="AH344" t="n">
        <v>0.16</v>
      </c>
      <c r="AI344" t="n">
        <v>8.199999999999999</v>
      </c>
      <c r="AJ344" t="n">
        <v>-0.01</v>
      </c>
      <c r="AK344" t="n">
        <v>14.53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48.81</v>
      </c>
      <c r="AV344" t="n">
        <v>0</v>
      </c>
      <c r="AW344" t="n">
        <v>123.18</v>
      </c>
      <c r="AX344" t="inlineStr">
        <is>
          <t>settled</t>
        </is>
      </c>
      <c r="AY344" t="inlineStr">
        <is>
          <t>2025-12-10 05:30:00</t>
        </is>
      </c>
      <c r="AZ344" t="inlineStr">
        <is>
          <t>CITIN25668288188</t>
        </is>
      </c>
      <c r="BA344" t="n">
        <v>0</v>
      </c>
      <c r="BB344" t="inlineStr">
        <is>
          <t>68600d28145cc06d4d98bab0ef8c4aec67c96fcee27065271f2773d52fcd773f</t>
        </is>
      </c>
    </row>
    <row r="345">
      <c r="A345" t="inlineStr">
        <is>
          <t>340</t>
        </is>
      </c>
      <c r="B345" t="inlineStr">
        <is>
          <t>7559624109</t>
        </is>
      </c>
      <c r="C345" t="inlineStr">
        <is>
          <t>2025-12-07 21:47:21</t>
        </is>
      </c>
      <c r="D345" t="inlineStr">
        <is>
          <t>49</t>
        </is>
      </c>
      <c r="E345" t="inlineStr">
        <is>
          <t>Sha Sha - Shandaar Shawarma</t>
        </is>
      </c>
      <c r="F345" t="inlineStr">
        <is>
          <t>18557902</t>
        </is>
      </c>
      <c r="G345" t="inlineStr">
        <is>
          <t>30% off upto ₹75 (2025-06-25 - 2031-01-01)</t>
        </is>
      </c>
      <c r="H345" t="inlineStr">
        <is>
          <t>ONLINE</t>
        </is>
      </c>
      <c r="I345" t="inlineStr">
        <is>
          <t>DELIVERED</t>
        </is>
      </c>
      <c r="J345" t="inlineStr">
        <is>
          <t>NA</t>
        </is>
      </c>
      <c r="K345" t="inlineStr">
        <is>
          <t>NA</t>
        </is>
      </c>
      <c r="L345" t="inlineStr">
        <is>
          <t>NA</t>
        </is>
      </c>
      <c r="M345" t="inlineStr">
        <is>
          <t>O2</t>
        </is>
      </c>
      <c r="N345" t="inlineStr">
        <is>
          <t>36</t>
        </is>
      </c>
      <c r="O345" t="n">
        <v>268</v>
      </c>
      <c r="P345" t="n">
        <v>3.5</v>
      </c>
      <c r="Q345" t="n">
        <v>0</v>
      </c>
      <c r="R345" t="n">
        <v>75</v>
      </c>
      <c r="S345" t="n">
        <v>0</v>
      </c>
      <c r="T345" t="n">
        <v>0</v>
      </c>
      <c r="U345" t="n">
        <v>0</v>
      </c>
      <c r="V345" t="n">
        <v>9.83</v>
      </c>
      <c r="W345" t="n">
        <v>206.33</v>
      </c>
      <c r="X345" t="n">
        <v>196.5</v>
      </c>
      <c r="Y345" t="n">
        <v>19</v>
      </c>
      <c r="Z345" t="n">
        <v>37.34</v>
      </c>
      <c r="AA345" t="n">
        <v>3.8</v>
      </c>
      <c r="AB345" t="n">
        <v>41.14</v>
      </c>
      <c r="AC345" t="n">
        <v>7.4</v>
      </c>
      <c r="AD345" t="n">
        <v>0</v>
      </c>
      <c r="AE345" t="n">
        <v>196.5</v>
      </c>
      <c r="AF345" t="n">
        <v>0</v>
      </c>
      <c r="AG345" t="n">
        <v>0</v>
      </c>
      <c r="AH345" t="n">
        <v>0.2</v>
      </c>
      <c r="AI345" t="n">
        <v>9.83</v>
      </c>
      <c r="AJ345" t="n">
        <v>0</v>
      </c>
      <c r="AK345" t="n">
        <v>17.43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58.57</v>
      </c>
      <c r="AV345" t="n">
        <v>0</v>
      </c>
      <c r="AW345" t="n">
        <v>147.76</v>
      </c>
      <c r="AX345" t="inlineStr">
        <is>
          <t>settled</t>
        </is>
      </c>
      <c r="AY345" t="inlineStr">
        <is>
          <t>2025-12-10 05:30:00</t>
        </is>
      </c>
      <c r="AZ345" t="inlineStr">
        <is>
          <t>CITIN25668288188</t>
        </is>
      </c>
      <c r="BA345" t="n">
        <v>0</v>
      </c>
      <c r="BB345" t="inlineStr">
        <is>
          <t>5efcab947ace93252aa1491800afeb8341241bcb121d45ea4f0eadf2ce16db0d</t>
        </is>
      </c>
    </row>
    <row r="346">
      <c r="A346" t="inlineStr">
        <is>
          <t>341</t>
        </is>
      </c>
      <c r="B346" t="inlineStr">
        <is>
          <t>7558741259</t>
        </is>
      </c>
      <c r="C346" t="inlineStr">
        <is>
          <t>2025-12-07 22:10:52</t>
        </is>
      </c>
      <c r="D346" t="inlineStr">
        <is>
          <t>49</t>
        </is>
      </c>
      <c r="E346" t="inlineStr">
        <is>
          <t>Sha Sha - Shandaar Shawarma</t>
        </is>
      </c>
      <c r="F346" t="inlineStr">
        <is>
          <t>18557902</t>
        </is>
      </c>
      <c r="G346" t="inlineStr">
        <is>
          <t>30% off upto ₹75 (2025-06-25 - 2031-01-01)</t>
        </is>
      </c>
      <c r="H346" t="inlineStr">
        <is>
          <t>ONLINE</t>
        </is>
      </c>
      <c r="I346" t="inlineStr">
        <is>
          <t>DELIVERED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O2</t>
        </is>
      </c>
      <c r="N346" t="inlineStr">
        <is>
          <t>36</t>
        </is>
      </c>
      <c r="O346" t="n">
        <v>458</v>
      </c>
      <c r="P346" t="n">
        <v>3.5</v>
      </c>
      <c r="Q346" t="n">
        <v>0</v>
      </c>
      <c r="R346" t="n">
        <v>75</v>
      </c>
      <c r="S346" t="n">
        <v>0</v>
      </c>
      <c r="T346" t="n">
        <v>0</v>
      </c>
      <c r="U346" t="n">
        <v>0</v>
      </c>
      <c r="V346" t="n">
        <v>19.33</v>
      </c>
      <c r="W346" t="n">
        <v>405.83</v>
      </c>
      <c r="X346" t="n">
        <v>386.5</v>
      </c>
      <c r="Y346" t="n">
        <v>19</v>
      </c>
      <c r="Z346" t="n">
        <v>73.44</v>
      </c>
      <c r="AA346" t="n">
        <v>7.47</v>
      </c>
      <c r="AB346" t="n">
        <v>80.91</v>
      </c>
      <c r="AC346" t="n">
        <v>14.56</v>
      </c>
      <c r="AD346" t="n">
        <v>0</v>
      </c>
      <c r="AE346" t="n">
        <v>386.5</v>
      </c>
      <c r="AF346" t="n">
        <v>0</v>
      </c>
      <c r="AG346" t="n">
        <v>0</v>
      </c>
      <c r="AH346" t="n">
        <v>0.39</v>
      </c>
      <c r="AI346" t="n">
        <v>19.33</v>
      </c>
      <c r="AJ346" t="n">
        <v>0</v>
      </c>
      <c r="AK346" t="n">
        <v>34.28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115.19</v>
      </c>
      <c r="AV346" t="n">
        <v>0</v>
      </c>
      <c r="AW346" t="n">
        <v>290.64</v>
      </c>
      <c r="AX346" t="inlineStr">
        <is>
          <t>settled</t>
        </is>
      </c>
      <c r="AY346" t="inlineStr">
        <is>
          <t>2025-12-10 05:30:00</t>
        </is>
      </c>
      <c r="AZ346" t="inlineStr">
        <is>
          <t>CITIN25668288188</t>
        </is>
      </c>
      <c r="BA346" t="n">
        <v>0</v>
      </c>
      <c r="BB346" t="inlineStr">
        <is>
          <t>312b78da24fdaa7002eb38c453d2fa695a04948005fe364381b1256bf32853cd</t>
        </is>
      </c>
    </row>
    <row r="347">
      <c r="A347" t="inlineStr">
        <is>
          <t>342</t>
        </is>
      </c>
      <c r="B347" t="inlineStr">
        <is>
          <t>7555139973</t>
        </is>
      </c>
      <c r="C347" t="inlineStr">
        <is>
          <t>2025-12-07 22:43:57</t>
        </is>
      </c>
      <c r="D347" t="inlineStr">
        <is>
          <t>49</t>
        </is>
      </c>
      <c r="E347" t="inlineStr">
        <is>
          <t>Sha Sha - Shandaar Shawarma</t>
        </is>
      </c>
      <c r="F347" t="inlineStr">
        <is>
          <t>18557902</t>
        </is>
      </c>
      <c r="G347" t="inlineStr">
        <is>
          <t>NA</t>
        </is>
      </c>
      <c r="H347" t="inlineStr">
        <is>
          <t>ONLINE</t>
        </is>
      </c>
      <c r="I347" t="inlineStr">
        <is>
          <t>DELIVERED</t>
        </is>
      </c>
      <c r="J347" t="inlineStr">
        <is>
          <t>NA</t>
        </is>
      </c>
      <c r="K347" t="inlineStr">
        <is>
          <t>NA</t>
        </is>
      </c>
      <c r="L347" t="inlineStr">
        <is>
          <t>NA</t>
        </is>
      </c>
      <c r="M347" t="inlineStr">
        <is>
          <t>O2</t>
        </is>
      </c>
      <c r="N347" t="inlineStr">
        <is>
          <t>36</t>
        </is>
      </c>
      <c r="O347" t="n">
        <v>229</v>
      </c>
      <c r="P347" t="n">
        <v>3.5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11.63</v>
      </c>
      <c r="W347" t="n">
        <v>244.13</v>
      </c>
      <c r="X347" t="n">
        <v>232.5</v>
      </c>
      <c r="Y347" t="n">
        <v>19</v>
      </c>
      <c r="Z347" t="n">
        <v>44.18</v>
      </c>
      <c r="AA347" t="n">
        <v>4.49</v>
      </c>
      <c r="AB347" t="n">
        <v>48.67</v>
      </c>
      <c r="AC347" t="n">
        <v>8.76</v>
      </c>
      <c r="AD347" t="n">
        <v>0</v>
      </c>
      <c r="AE347" t="n">
        <v>232.5</v>
      </c>
      <c r="AF347" t="n">
        <v>0</v>
      </c>
      <c r="AG347" t="n">
        <v>0</v>
      </c>
      <c r="AH347" t="n">
        <v>0.23</v>
      </c>
      <c r="AI347" t="n">
        <v>11.63</v>
      </c>
      <c r="AJ347" t="n">
        <v>0</v>
      </c>
      <c r="AK347" t="n">
        <v>20.62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69.29000000000001</v>
      </c>
      <c r="AV347" t="n">
        <v>0</v>
      </c>
      <c r="AW347" t="n">
        <v>174.84</v>
      </c>
      <c r="AX347" t="inlineStr">
        <is>
          <t>settled</t>
        </is>
      </c>
      <c r="AY347" t="inlineStr">
        <is>
          <t>2025-12-10 05:30:00</t>
        </is>
      </c>
      <c r="AZ347" t="inlineStr">
        <is>
          <t>CITIN25668288188</t>
        </is>
      </c>
      <c r="BA347" t="n">
        <v>0</v>
      </c>
      <c r="BB347" t="inlineStr">
        <is>
          <t>040975e05f5ddabec33e17d4e3fe27cee93588ebbc9bf512c46ba5cbd9be5910</t>
        </is>
      </c>
    </row>
    <row r="348">
      <c r="A348" t="inlineStr">
        <is>
          <t>343</t>
        </is>
      </c>
      <c r="B348" t="inlineStr">
        <is>
          <t>7558039058</t>
        </is>
      </c>
      <c r="C348" t="inlineStr">
        <is>
          <t>2025-12-07 22:47:42</t>
        </is>
      </c>
      <c r="D348" t="inlineStr">
        <is>
          <t>49</t>
        </is>
      </c>
      <c r="E348" t="inlineStr">
        <is>
          <t>Sha Sha - Shandaar Shawarma</t>
        </is>
      </c>
      <c r="F348" t="inlineStr">
        <is>
          <t>18557902</t>
        </is>
      </c>
      <c r="G348" t="inlineStr">
        <is>
          <t>NA</t>
        </is>
      </c>
      <c r="H348" t="inlineStr">
        <is>
          <t>ONLINE</t>
        </is>
      </c>
      <c r="I348" t="inlineStr">
        <is>
          <t>DELIVERED</t>
        </is>
      </c>
      <c r="J348" t="inlineStr">
        <is>
          <t>NA</t>
        </is>
      </c>
      <c r="K348" t="inlineStr">
        <is>
          <t>NA</t>
        </is>
      </c>
      <c r="L348" t="inlineStr">
        <is>
          <t>NA</t>
        </is>
      </c>
      <c r="M348" t="inlineStr">
        <is>
          <t>O2</t>
        </is>
      </c>
      <c r="N348" t="inlineStr">
        <is>
          <t>36</t>
        </is>
      </c>
      <c r="O348" t="n">
        <v>229</v>
      </c>
      <c r="P348" t="n">
        <v>3.5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11.63</v>
      </c>
      <c r="W348" t="n">
        <v>244.13</v>
      </c>
      <c r="X348" t="n">
        <v>232.5</v>
      </c>
      <c r="Y348" t="n">
        <v>19</v>
      </c>
      <c r="Z348" t="n">
        <v>44.18</v>
      </c>
      <c r="AA348" t="n">
        <v>4.49</v>
      </c>
      <c r="AB348" t="n">
        <v>48.67</v>
      </c>
      <c r="AC348" t="n">
        <v>8.76</v>
      </c>
      <c r="AD348" t="n">
        <v>0</v>
      </c>
      <c r="AE348" t="n">
        <v>232.5</v>
      </c>
      <c r="AF348" t="n">
        <v>0</v>
      </c>
      <c r="AG348" t="n">
        <v>0</v>
      </c>
      <c r="AH348" t="n">
        <v>0.23</v>
      </c>
      <c r="AI348" t="n">
        <v>11.63</v>
      </c>
      <c r="AJ348" t="n">
        <v>0</v>
      </c>
      <c r="AK348" t="n">
        <v>20.62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69.29000000000001</v>
      </c>
      <c r="AV348" t="n">
        <v>0</v>
      </c>
      <c r="AW348" t="n">
        <v>174.84</v>
      </c>
      <c r="AX348" t="inlineStr">
        <is>
          <t>settled</t>
        </is>
      </c>
      <c r="AY348" t="inlineStr">
        <is>
          <t>2025-12-10 05:30:00</t>
        </is>
      </c>
      <c r="AZ348" t="inlineStr">
        <is>
          <t>CITIN25668288188</t>
        </is>
      </c>
      <c r="BA348" t="n">
        <v>0</v>
      </c>
      <c r="BB348" t="inlineStr">
        <is>
          <t>61616f9d789b64e78695cd86fa93bc5d06532a6ce6b0a6a3b4e3706d20b3146f</t>
        </is>
      </c>
    </row>
    <row r="349">
      <c r="A349" t="inlineStr">
        <is>
          <t>344</t>
        </is>
      </c>
      <c r="B349" t="inlineStr">
        <is>
          <t>7559857895</t>
        </is>
      </c>
      <c r="C349" t="inlineStr">
        <is>
          <t>2025-12-07 23:11:00</t>
        </is>
      </c>
      <c r="D349" t="inlineStr">
        <is>
          <t>49</t>
        </is>
      </c>
      <c r="E349" t="inlineStr">
        <is>
          <t>Sha Sha - Shandaar Shawarma</t>
        </is>
      </c>
      <c r="F349" t="inlineStr">
        <is>
          <t>18557902</t>
        </is>
      </c>
      <c r="G349" t="inlineStr">
        <is>
          <t>30% off upto ₹75 (2025-06-25 - 2031-01-01)</t>
        </is>
      </c>
      <c r="H349" t="inlineStr">
        <is>
          <t>ONLINE</t>
        </is>
      </c>
      <c r="I349" t="inlineStr">
        <is>
          <t>DELIVERED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O2</t>
        </is>
      </c>
      <c r="N349" t="inlineStr">
        <is>
          <t>36</t>
        </is>
      </c>
      <c r="O349" t="n">
        <v>229</v>
      </c>
      <c r="P349" t="n">
        <v>3.5</v>
      </c>
      <c r="Q349" t="n">
        <v>0</v>
      </c>
      <c r="R349" t="n">
        <v>68.7</v>
      </c>
      <c r="S349" t="n">
        <v>0</v>
      </c>
      <c r="T349" t="n">
        <v>0</v>
      </c>
      <c r="U349" t="n">
        <v>0</v>
      </c>
      <c r="V349" t="n">
        <v>8.19</v>
      </c>
      <c r="W349" t="n">
        <v>171.99</v>
      </c>
      <c r="X349" t="n">
        <v>163.8</v>
      </c>
      <c r="Y349" t="n">
        <v>19</v>
      </c>
      <c r="Z349" t="n">
        <v>31.12</v>
      </c>
      <c r="AA349" t="n">
        <v>3.16</v>
      </c>
      <c r="AB349" t="n">
        <v>34.28</v>
      </c>
      <c r="AC349" t="n">
        <v>6.17</v>
      </c>
      <c r="AD349" t="n">
        <v>0</v>
      </c>
      <c r="AE349" t="n">
        <v>163.8</v>
      </c>
      <c r="AF349" t="n">
        <v>0</v>
      </c>
      <c r="AG349" t="n">
        <v>0</v>
      </c>
      <c r="AH349" t="n">
        <v>0.16</v>
      </c>
      <c r="AI349" t="n">
        <v>8.199999999999999</v>
      </c>
      <c r="AJ349" t="n">
        <v>-0.01</v>
      </c>
      <c r="AK349" t="n">
        <v>14.53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48.81</v>
      </c>
      <c r="AV349" t="n">
        <v>0</v>
      </c>
      <c r="AW349" t="n">
        <v>123.18</v>
      </c>
      <c r="AX349" t="inlineStr">
        <is>
          <t>settled</t>
        </is>
      </c>
      <c r="AY349" t="inlineStr">
        <is>
          <t>2025-12-10 05:30:00</t>
        </is>
      </c>
      <c r="AZ349" t="inlineStr">
        <is>
          <t>CITIN25668288188</t>
        </is>
      </c>
      <c r="BA349" t="n">
        <v>0</v>
      </c>
      <c r="BB349" t="inlineStr">
        <is>
          <t>9e6d81c74896b250fddc74f79a08d4c3d88c75c197e0f396d8e3988c75b89f8b</t>
        </is>
      </c>
    </row>
    <row r="350">
      <c r="A350" t="inlineStr">
        <is>
          <t>345</t>
        </is>
      </c>
      <c r="B350" t="inlineStr">
        <is>
          <t>7552801794</t>
        </is>
      </c>
      <c r="C350" t="inlineStr">
        <is>
          <t>2025-12-07 23:36:17</t>
        </is>
      </c>
      <c r="D350" t="inlineStr">
        <is>
          <t>49</t>
        </is>
      </c>
      <c r="E350" t="inlineStr">
        <is>
          <t>Sha Sha - Shandaar Shawarma</t>
        </is>
      </c>
      <c r="F350" t="inlineStr">
        <is>
          <t>18557902</t>
        </is>
      </c>
      <c r="G350" t="inlineStr">
        <is>
          <t>30% off upto ₹75 (2025-06-25 - 2031-01-01)</t>
        </is>
      </c>
      <c r="H350" t="inlineStr">
        <is>
          <t>ONLINE</t>
        </is>
      </c>
      <c r="I350" t="inlineStr">
        <is>
          <t>DELIVERED</t>
        </is>
      </c>
      <c r="J350" t="inlineStr">
        <is>
          <t>NA</t>
        </is>
      </c>
      <c r="K350" t="inlineStr">
        <is>
          <t>NA</t>
        </is>
      </c>
      <c r="L350" t="inlineStr">
        <is>
          <t>NA</t>
        </is>
      </c>
      <c r="M350" t="inlineStr">
        <is>
          <t>O2</t>
        </is>
      </c>
      <c r="N350" t="inlineStr">
        <is>
          <t>36</t>
        </is>
      </c>
      <c r="O350" t="n">
        <v>345</v>
      </c>
      <c r="P350" t="n">
        <v>3.5</v>
      </c>
      <c r="Q350" t="n">
        <v>0</v>
      </c>
      <c r="R350" t="n">
        <v>75</v>
      </c>
      <c r="S350" t="n">
        <v>0</v>
      </c>
      <c r="T350" t="n">
        <v>0</v>
      </c>
      <c r="U350" t="n">
        <v>0</v>
      </c>
      <c r="V350" t="n">
        <v>13.68</v>
      </c>
      <c r="W350" t="n">
        <v>287.18</v>
      </c>
      <c r="X350" t="n">
        <v>273.5</v>
      </c>
      <c r="Y350" t="n">
        <v>19</v>
      </c>
      <c r="Z350" t="n">
        <v>51.96</v>
      </c>
      <c r="AA350" t="n">
        <v>5.28</v>
      </c>
      <c r="AB350" t="n">
        <v>57.24</v>
      </c>
      <c r="AC350" t="n">
        <v>10.3</v>
      </c>
      <c r="AD350" t="n">
        <v>0</v>
      </c>
      <c r="AE350" t="n">
        <v>273.5</v>
      </c>
      <c r="AF350" t="n">
        <v>0</v>
      </c>
      <c r="AG350" t="n">
        <v>0</v>
      </c>
      <c r="AH350" t="n">
        <v>0.27</v>
      </c>
      <c r="AI350" t="n">
        <v>13.68</v>
      </c>
      <c r="AJ350" t="n">
        <v>0</v>
      </c>
      <c r="AK350" t="n">
        <v>24.25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81.48999999999999</v>
      </c>
      <c r="AV350" t="n">
        <v>0</v>
      </c>
      <c r="AW350" t="n">
        <v>205.69</v>
      </c>
      <c r="AX350" t="inlineStr">
        <is>
          <t>settled</t>
        </is>
      </c>
      <c r="AY350" t="inlineStr">
        <is>
          <t>2025-12-10 05:30:00</t>
        </is>
      </c>
      <c r="AZ350" t="inlineStr">
        <is>
          <t>CITIN25668288188</t>
        </is>
      </c>
      <c r="BA350" t="n">
        <v>0</v>
      </c>
      <c r="BB350" t="inlineStr">
        <is>
          <t>97b4133bde4eb0767e9ce68171387ff49f31d258169b1f78ae8f5981ef069b25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B349"/>
  <sheetViews>
    <sheetView workbookViewId="0">
      <selection activeCell="A1" sqref="A1"/>
    </sheetView>
  </sheetViews>
  <sheetFormatPr baseColWidth="8" defaultRowHeight="15"/>
  <sheetData>
    <row r="1">
      <c r="O1" t="n">
        <v>667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667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398.78</v>
      </c>
      <c r="AW1" t="n">
        <v>398.78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</row>
    <row r="2">
      <c r="O2" t="n">
        <v>98939</v>
      </c>
      <c r="P2" t="n">
        <v>1193.5</v>
      </c>
      <c r="Q2" t="n">
        <v>0</v>
      </c>
      <c r="R2" t="n">
        <v>17483.10000000005</v>
      </c>
      <c r="S2" t="n">
        <v>0</v>
      </c>
      <c r="T2" t="n">
        <v>0</v>
      </c>
      <c r="U2" t="n">
        <v>197.1</v>
      </c>
      <c r="V2" t="n">
        <v>4123.410000000013</v>
      </c>
      <c r="W2" t="n">
        <v>86575.71000000018</v>
      </c>
      <c r="X2" t="n">
        <v>82452.30000000021</v>
      </c>
      <c r="Y2" t="n">
        <v>6553.34</v>
      </c>
      <c r="Z2" t="n">
        <v>15799.22000000007</v>
      </c>
      <c r="AA2" t="n">
        <v>1592.430000000002</v>
      </c>
      <c r="AB2" t="n">
        <v>17391.64999999999</v>
      </c>
      <c r="AC2" t="n">
        <v>3130.460000000009</v>
      </c>
      <c r="AD2" t="n">
        <v>0</v>
      </c>
      <c r="AE2" t="n">
        <v>82452.30000000021</v>
      </c>
      <c r="AF2" t="n">
        <v>0</v>
      </c>
      <c r="AG2" t="n">
        <v>0</v>
      </c>
      <c r="AH2" t="n">
        <v>82.08999999999978</v>
      </c>
      <c r="AI2" t="n">
        <v>4125.239999999996</v>
      </c>
      <c r="AJ2" t="n">
        <v>-1.830000000000001</v>
      </c>
      <c r="AK2" t="n">
        <v>7337.789999999993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24729.44000000006</v>
      </c>
      <c r="AV2" t="n">
        <v>0</v>
      </c>
      <c r="AW2" t="n">
        <v>61846.26999999997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O3" t="n">
        <v>116748.02</v>
      </c>
      <c r="P3" t="n">
        <v>1408.33</v>
      </c>
      <c r="Q3" t="n">
        <v>0</v>
      </c>
      <c r="R3" t="n">
        <v>20630.05800000006</v>
      </c>
      <c r="S3" t="n">
        <v>0</v>
      </c>
      <c r="T3" t="n">
        <v>0</v>
      </c>
      <c r="U3" t="n">
        <v>232.578</v>
      </c>
      <c r="V3" t="n">
        <v>4865.623800000016</v>
      </c>
      <c r="W3" t="n">
        <v>102159.3378000002</v>
      </c>
      <c r="X3" t="n">
        <v>97293.71400000024</v>
      </c>
      <c r="Y3" t="n">
        <v>7732.9412</v>
      </c>
      <c r="Z3" t="n">
        <v>18643.07960000008</v>
      </c>
      <c r="AA3" t="n">
        <v>1879.067400000002</v>
      </c>
      <c r="AB3" t="n">
        <v>20522.14699999998</v>
      </c>
      <c r="AC3" t="n">
        <v>3693.942800000011</v>
      </c>
      <c r="AD3" t="n">
        <v>0</v>
      </c>
      <c r="AE3" t="n">
        <v>97293.71400000024</v>
      </c>
      <c r="AF3" t="n">
        <v>0</v>
      </c>
      <c r="AG3" t="n">
        <v>0</v>
      </c>
      <c r="AH3" t="n">
        <v>96.86619999999974</v>
      </c>
      <c r="AI3" t="n">
        <v>4867.783199999995</v>
      </c>
      <c r="AJ3" t="n">
        <v>-2.159400000000002</v>
      </c>
      <c r="AK3" t="n">
        <v>8658.59219999999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29180.73920000007</v>
      </c>
      <c r="AV3" t="n">
        <v>0</v>
      </c>
      <c r="AW3" t="n">
        <v>72978.59859999997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O4" t="n">
        <v>99606</v>
      </c>
      <c r="P4" t="n">
        <v>1193.5</v>
      </c>
      <c r="Q4" t="n">
        <v>0</v>
      </c>
      <c r="R4" t="n">
        <v>17483.10000000005</v>
      </c>
      <c r="S4" t="n">
        <v>0</v>
      </c>
      <c r="T4" t="n">
        <v>0</v>
      </c>
      <c r="U4" t="n">
        <v>197.1</v>
      </c>
      <c r="V4" t="n">
        <v>4123.410000000013</v>
      </c>
      <c r="W4" t="n">
        <v>87242.71000000018</v>
      </c>
      <c r="X4" t="n">
        <v>82452.30000000021</v>
      </c>
      <c r="Y4" t="n">
        <v>6553.34</v>
      </c>
      <c r="Z4" t="n">
        <v>15799.22000000007</v>
      </c>
      <c r="AA4" t="n">
        <v>1592.430000000002</v>
      </c>
      <c r="AB4" t="n">
        <v>17391.64999999999</v>
      </c>
      <c r="AC4" t="n">
        <v>3130.460000000009</v>
      </c>
      <c r="AD4" t="n">
        <v>0</v>
      </c>
      <c r="AE4" t="n">
        <v>82452.30000000021</v>
      </c>
      <c r="AF4" t="n">
        <v>0</v>
      </c>
      <c r="AG4" t="n">
        <v>0</v>
      </c>
      <c r="AH4" t="n">
        <v>82.08999999999978</v>
      </c>
      <c r="AI4" t="n">
        <v>4125.239999999996</v>
      </c>
      <c r="AJ4" t="n">
        <v>-1.830000000000001</v>
      </c>
      <c r="AK4" t="n">
        <v>7337.789999999993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24729.44000000006</v>
      </c>
      <c r="AV4" t="n">
        <v>398.78</v>
      </c>
      <c r="AW4" t="n">
        <v>62245.04999999997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[Promo]</t>
        </is>
      </c>
      <c r="S5" t="inlineStr">
        <is>
          <t>Restaurant Discount [BOGO, Freebies, Gold, Brand pack &amp; others]</t>
        </is>
      </c>
      <c r="T5" t="inlineStr">
        <is>
          <t xml:space="preserve">Brand pack subscription fee </t>
        </is>
      </c>
      <c r="U5" t="inlineStr">
        <is>
          <t xml:space="preserve">Delivery charge discount 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(excludes customer GST)
[(A) + (7) - (8) - (6) - (3)]</t>
        </is>
      </c>
      <c r="Y5" t="inlineStr">
        <is>
          <t>Service fees %</t>
        </is>
      </c>
      <c r="Z5" t="inlineStr">
        <is>
          <t>Service fee
[ (9) * (10) ]</t>
        </is>
      </c>
      <c r="AA5" t="inlineStr">
        <is>
          <t>Payment mechanism fee</t>
        </is>
      </c>
      <c r="AB5" t="inlineStr">
        <is>
          <t>Service fee &amp; payment mechanism fees
[(11) + (12)]</t>
        </is>
      </c>
      <c r="AC5" t="inlineStr">
        <is>
          <t>Taxes on service &amp; payment mechanism fees
(B) * 18%</t>
        </is>
      </c>
      <c r="AD5" t="inlineStr">
        <is>
          <t>Applicable amount for TCS</t>
        </is>
      </c>
      <c r="AE5" t="inlineStr">
        <is>
          <t>Applicable amount for 9(5)</t>
        </is>
      </c>
      <c r="AF5" t="inlineStr">
        <is>
          <t>Tax collected at source</t>
        </is>
      </c>
      <c r="AG5" t="inlineStr">
        <is>
          <t>TCS IGST amount</t>
        </is>
      </c>
      <c r="AH5" t="inlineStr">
        <is>
          <t>TDS 194O amount</t>
        </is>
      </c>
      <c r="AI5" t="inlineStr">
        <is>
          <t>GST paid by Zomato on behalf of restaurant - under section 9(5)</t>
        </is>
      </c>
      <c r="AJ5" t="inlineStr">
        <is>
          <t>GST to be paid by Restaurant partner to Govt.</t>
        </is>
      </c>
      <c r="AK5" t="inlineStr">
        <is>
          <t>Government charges
[(13) + (16) + (17) + (18) + (19)]</t>
        </is>
      </c>
      <c r="AL5" t="inlineStr">
        <is>
          <t>Customer Compensation/Recoupment</t>
        </is>
      </c>
      <c r="AM5" t="inlineStr">
        <is>
          <t>Delivery Charges Recovery</t>
        </is>
      </c>
      <c r="AN5" t="inlineStr">
        <is>
          <t>Amount received in cash (on self delivery orders)</t>
        </is>
      </c>
      <c r="AO5" t="inlineStr">
        <is>
          <t>Credit note/(Debit Note) adjustment</t>
        </is>
      </c>
      <c r="AP5" t="inlineStr">
        <is>
          <t>Promo recovery adjustment</t>
        </is>
      </c>
      <c r="AQ5" t="inlineStr">
        <is>
          <t>Extra Inventory Ads and Misc. (order level deduction)</t>
        </is>
      </c>
      <c r="AR5" t="inlineStr">
        <is>
          <t>Brand loyalty points redemption</t>
        </is>
      </c>
      <c r="AS5" t="inlineStr">
        <is>
          <t>Express Order Fee</t>
        </is>
      </c>
      <c r="AT5" t="inlineStr">
        <is>
          <t>Other order-level deductions
[(21) + (22) + (23) + (24) + (25) + (26) + (27) + (28)]</t>
        </is>
      </c>
      <c r="AU5" t="inlineStr">
        <is>
          <t>Net Deductions
(B) + (C) + (D)</t>
        </is>
      </c>
      <c r="AV5" t="inlineStr">
        <is>
          <t>Net Additions 
(cancellation refund for cancelled orders/Tip for Kitchen Staff for delivered orders)</t>
        </is>
      </c>
      <c r="AW5" t="inlineStr">
        <is>
          <t>Order level Payout
(A) - (E) + (F)</t>
        </is>
      </c>
      <c r="AX5" t="inlineStr">
        <is>
          <t>Settlement status</t>
        </is>
      </c>
      <c r="AY5" t="inlineStr">
        <is>
          <t>Settlement date</t>
        </is>
      </c>
      <c r="AZ5" t="inlineStr">
        <is>
          <t>Bank UTR</t>
        </is>
      </c>
      <c r="BA5" t="inlineStr">
        <is>
          <t>Unsettled Amount</t>
        </is>
      </c>
      <c r="BB5" t="inlineStr">
        <is>
          <t>Customer ID</t>
        </is>
      </c>
    </row>
    <row r="6">
      <c r="A6" t="inlineStr">
        <is>
          <t>346</t>
        </is>
      </c>
      <c r="B6" t="inlineStr">
        <is>
          <t>7556082492</t>
        </is>
      </c>
      <c r="C6" t="inlineStr">
        <is>
          <t>2025-12-08 00:04:08</t>
        </is>
      </c>
      <c r="D6" t="inlineStr">
        <is>
          <t>50</t>
        </is>
      </c>
      <c r="E6" t="inlineStr">
        <is>
          <t>Sha Sha - Shandaar Shawarma</t>
        </is>
      </c>
      <c r="F6" t="inlineStr">
        <is>
          <t>18557902</t>
        </is>
      </c>
      <c r="G6" t="inlineStr">
        <is>
          <t>30% off upto ₹75 (2025-06-25 - 2031-01-01)</t>
        </is>
      </c>
      <c r="H6" t="inlineStr">
        <is>
          <t>ONLINE</t>
        </is>
      </c>
      <c r="I6" t="inlineStr">
        <is>
          <t>CANCELLED</t>
        </is>
      </c>
      <c r="J6" t="inlineStr">
        <is>
          <t>100%</t>
        </is>
      </c>
      <c r="K6" t="inlineStr">
        <is>
          <t>Customer cancellation because they do not require order anymore</t>
        </is>
      </c>
      <c r="L6" t="inlineStr">
        <is>
          <t>Order picked up by rider</t>
        </is>
      </c>
      <c r="M6" t="inlineStr">
        <is>
          <t>O2</t>
        </is>
      </c>
      <c r="N6" t="inlineStr">
        <is>
          <t>NA</t>
        </is>
      </c>
      <c r="O6" t="n">
        <v>438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438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275.6</v>
      </c>
      <c r="AW6" t="n">
        <v>275.6</v>
      </c>
      <c r="AX6" t="inlineStr">
        <is>
          <t>settled</t>
        </is>
      </c>
      <c r="AY6" t="inlineStr">
        <is>
          <t>2025-12-17 05:30:00</t>
        </is>
      </c>
      <c r="AZ6" t="inlineStr">
        <is>
          <t>CITIN25671113204</t>
        </is>
      </c>
      <c r="BA6" t="n">
        <v>0</v>
      </c>
      <c r="BB6" t="inlineStr">
        <is>
          <t>NA</t>
        </is>
      </c>
    </row>
    <row r="7">
      <c r="A7" t="inlineStr">
        <is>
          <t>347</t>
        </is>
      </c>
      <c r="B7" t="inlineStr">
        <is>
          <t>7560132576</t>
        </is>
      </c>
      <c r="C7" t="inlineStr">
        <is>
          <t>2025-12-08 00:33:52</t>
        </is>
      </c>
      <c r="D7" t="inlineStr">
        <is>
          <t>50</t>
        </is>
      </c>
      <c r="E7" t="inlineStr">
        <is>
          <t>Sha Sha - Shandaar Shawarma</t>
        </is>
      </c>
      <c r="F7" t="inlineStr">
        <is>
          <t>18557902</t>
        </is>
      </c>
      <c r="G7" t="inlineStr">
        <is>
          <t>NA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36</t>
        </is>
      </c>
      <c r="O7" t="n">
        <v>584</v>
      </c>
      <c r="P7" t="n">
        <v>3.5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29.38</v>
      </c>
      <c r="W7" t="n">
        <v>616.88</v>
      </c>
      <c r="X7" t="n">
        <v>587.5</v>
      </c>
      <c r="Y7" t="n">
        <v>19</v>
      </c>
      <c r="Z7" t="n">
        <v>111.62</v>
      </c>
      <c r="AA7" t="n">
        <v>11.35</v>
      </c>
      <c r="AB7" t="n">
        <v>122.97</v>
      </c>
      <c r="AC7" t="n">
        <v>22.13</v>
      </c>
      <c r="AD7" t="n">
        <v>0</v>
      </c>
      <c r="AE7" t="n">
        <v>587.5</v>
      </c>
      <c r="AF7" t="n">
        <v>0</v>
      </c>
      <c r="AG7" t="n">
        <v>0</v>
      </c>
      <c r="AH7" t="n">
        <v>0.59</v>
      </c>
      <c r="AI7" t="n">
        <v>29.38</v>
      </c>
      <c r="AJ7" t="n">
        <v>0</v>
      </c>
      <c r="AK7" t="n">
        <v>52.1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175.07</v>
      </c>
      <c r="AV7" t="n">
        <v>0</v>
      </c>
      <c r="AW7" t="n">
        <v>441.81</v>
      </c>
      <c r="AX7" t="inlineStr">
        <is>
          <t>settled</t>
        </is>
      </c>
      <c r="AY7" t="inlineStr">
        <is>
          <t>2025-12-17 05:30:00</t>
        </is>
      </c>
      <c r="AZ7" t="inlineStr">
        <is>
          <t>CITIN25671113204</t>
        </is>
      </c>
      <c r="BA7" t="n">
        <v>0</v>
      </c>
      <c r="BB7" t="inlineStr">
        <is>
          <t>7b10bea75fb866894fe5984067f405026bfaa855061423ff4f1faabc6928ec68</t>
        </is>
      </c>
    </row>
    <row r="8">
      <c r="A8" t="inlineStr">
        <is>
          <t>348</t>
        </is>
      </c>
      <c r="B8" t="inlineStr">
        <is>
          <t>7560658992</t>
        </is>
      </c>
      <c r="C8" t="inlineStr">
        <is>
          <t>2025-12-08 00:39:57</t>
        </is>
      </c>
      <c r="D8" t="inlineStr">
        <is>
          <t>50</t>
        </is>
      </c>
      <c r="E8" t="inlineStr">
        <is>
          <t>Sha Sha - Shandaar Shawarma</t>
        </is>
      </c>
      <c r="F8" t="inlineStr">
        <is>
          <t>18557902</t>
        </is>
      </c>
      <c r="G8" t="inlineStr">
        <is>
          <t>30% off upto ₹75 (2025-06-25 - 2031-01-01)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36</t>
        </is>
      </c>
      <c r="O8" t="n">
        <v>219</v>
      </c>
      <c r="P8" t="n">
        <v>3.5</v>
      </c>
      <c r="Q8" t="n">
        <v>0</v>
      </c>
      <c r="R8" t="n">
        <v>65.7</v>
      </c>
      <c r="S8" t="n">
        <v>0</v>
      </c>
      <c r="T8" t="n">
        <v>0</v>
      </c>
      <c r="U8" t="n">
        <v>0</v>
      </c>
      <c r="V8" t="n">
        <v>7.84</v>
      </c>
      <c r="W8" t="n">
        <v>164.64</v>
      </c>
      <c r="X8" t="n">
        <v>156.8</v>
      </c>
      <c r="Y8" t="n">
        <v>19</v>
      </c>
      <c r="Z8" t="n">
        <v>29.79</v>
      </c>
      <c r="AA8" t="n">
        <v>3.03</v>
      </c>
      <c r="AB8" t="n">
        <v>32.82</v>
      </c>
      <c r="AC8" t="n">
        <v>5.91</v>
      </c>
      <c r="AD8" t="n">
        <v>0</v>
      </c>
      <c r="AE8" t="n">
        <v>156.8</v>
      </c>
      <c r="AF8" t="n">
        <v>0</v>
      </c>
      <c r="AG8" t="n">
        <v>0</v>
      </c>
      <c r="AH8" t="n">
        <v>0.16</v>
      </c>
      <c r="AI8" t="n">
        <v>7.85</v>
      </c>
      <c r="AJ8" t="n">
        <v>-0.01</v>
      </c>
      <c r="AK8" t="n">
        <v>13.92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46.74</v>
      </c>
      <c r="AV8" t="n">
        <v>0</v>
      </c>
      <c r="AW8" t="n">
        <v>117.9</v>
      </c>
      <c r="AX8" t="inlineStr">
        <is>
          <t>settled</t>
        </is>
      </c>
      <c r="AY8" t="inlineStr">
        <is>
          <t>2025-12-17 05:30:00</t>
        </is>
      </c>
      <c r="AZ8" t="inlineStr">
        <is>
          <t>CITIN25671113204</t>
        </is>
      </c>
      <c r="BA8" t="n">
        <v>0</v>
      </c>
      <c r="BB8" t="inlineStr">
        <is>
          <t>4fca2ec57d8ed1589c858b823ae6864d487a9ecb476064b919cc80188e494dea</t>
        </is>
      </c>
    </row>
    <row r="9">
      <c r="A9" t="inlineStr">
        <is>
          <t>349</t>
        </is>
      </c>
      <c r="B9" t="inlineStr">
        <is>
          <t>7556658647</t>
        </is>
      </c>
      <c r="C9" t="inlineStr">
        <is>
          <t>2025-12-08 00:46:08</t>
        </is>
      </c>
      <c r="D9" t="inlineStr">
        <is>
          <t>50</t>
        </is>
      </c>
      <c r="E9" t="inlineStr">
        <is>
          <t>Sha Sha - Shandaar Shawarma</t>
        </is>
      </c>
      <c r="F9" t="inlineStr">
        <is>
          <t>18557902</t>
        </is>
      </c>
      <c r="G9" t="inlineStr">
        <is>
          <t>NA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RELISTING</t>
        </is>
      </c>
      <c r="N9" t="inlineStr">
        <is>
          <t>36</t>
        </is>
      </c>
      <c r="O9" t="n">
        <v>438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197.1</v>
      </c>
      <c r="V9" t="n">
        <v>12.05</v>
      </c>
      <c r="W9" t="n">
        <v>252.95</v>
      </c>
      <c r="X9" t="n">
        <v>240.9</v>
      </c>
      <c r="Y9" t="n">
        <v>74.34</v>
      </c>
      <c r="Z9" t="n">
        <v>179.09</v>
      </c>
      <c r="AA9" t="n">
        <v>4.65</v>
      </c>
      <c r="AB9" t="n">
        <v>183.74</v>
      </c>
      <c r="AC9" t="n">
        <v>33.08</v>
      </c>
      <c r="AD9" t="n">
        <v>0</v>
      </c>
      <c r="AE9" t="n">
        <v>240.9</v>
      </c>
      <c r="AF9" t="n">
        <v>0</v>
      </c>
      <c r="AG9" t="n">
        <v>0</v>
      </c>
      <c r="AH9" t="n">
        <v>0.24</v>
      </c>
      <c r="AI9" t="n">
        <v>12.05</v>
      </c>
      <c r="AJ9" t="n">
        <v>0</v>
      </c>
      <c r="AK9" t="n">
        <v>45.37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229.11</v>
      </c>
      <c r="AV9" t="n">
        <v>0</v>
      </c>
      <c r="AW9" t="n">
        <v>23.84</v>
      </c>
      <c r="AX9" t="inlineStr">
        <is>
          <t>settled</t>
        </is>
      </c>
      <c r="AY9" t="inlineStr">
        <is>
          <t>2025-12-17 05:30:00</t>
        </is>
      </c>
      <c r="AZ9" t="inlineStr">
        <is>
          <t>CITIN25671113204</t>
        </is>
      </c>
      <c r="BA9" t="n">
        <v>0</v>
      </c>
      <c r="BB9" t="inlineStr">
        <is>
          <t>a791fe3bf339d52c2b1ce45adf11573f69cc8e548489862a776aa2b9bbfdaf35</t>
        </is>
      </c>
    </row>
    <row r="10">
      <c r="A10" t="inlineStr">
        <is>
          <t>350</t>
        </is>
      </c>
      <c r="B10" t="inlineStr">
        <is>
          <t>7546175253</t>
        </is>
      </c>
      <c r="C10" t="inlineStr">
        <is>
          <t>2025-12-08 00:48:29</t>
        </is>
      </c>
      <c r="D10" t="inlineStr">
        <is>
          <t>50</t>
        </is>
      </c>
      <c r="E10" t="inlineStr">
        <is>
          <t>Sha Sha - Shandaar Shawarma</t>
        </is>
      </c>
      <c r="F10" t="inlineStr">
        <is>
          <t>18557902</t>
        </is>
      </c>
      <c r="G10" t="inlineStr">
        <is>
          <t>NA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36</t>
        </is>
      </c>
      <c r="O10" t="n">
        <v>229</v>
      </c>
      <c r="P10" t="n">
        <v>3.5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11.63</v>
      </c>
      <c r="W10" t="n">
        <v>244.13</v>
      </c>
      <c r="X10" t="n">
        <v>232.5</v>
      </c>
      <c r="Y10" t="n">
        <v>19</v>
      </c>
      <c r="Z10" t="n">
        <v>44.18</v>
      </c>
      <c r="AA10" t="n">
        <v>4.49</v>
      </c>
      <c r="AB10" t="n">
        <v>48.67</v>
      </c>
      <c r="AC10" t="n">
        <v>8.76</v>
      </c>
      <c r="AD10" t="n">
        <v>0</v>
      </c>
      <c r="AE10" t="n">
        <v>232.5</v>
      </c>
      <c r="AF10" t="n">
        <v>0</v>
      </c>
      <c r="AG10" t="n">
        <v>0</v>
      </c>
      <c r="AH10" t="n">
        <v>0.23</v>
      </c>
      <c r="AI10" t="n">
        <v>11.63</v>
      </c>
      <c r="AJ10" t="n">
        <v>0</v>
      </c>
      <c r="AK10" t="n">
        <v>20.62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69.29000000000001</v>
      </c>
      <c r="AV10" t="n">
        <v>0</v>
      </c>
      <c r="AW10" t="n">
        <v>174.84</v>
      </c>
      <c r="AX10" t="inlineStr">
        <is>
          <t>settled</t>
        </is>
      </c>
      <c r="AY10" t="inlineStr">
        <is>
          <t>2025-12-17 05:30:00</t>
        </is>
      </c>
      <c r="AZ10" t="inlineStr">
        <is>
          <t>CITIN25671113204</t>
        </is>
      </c>
      <c r="BA10" t="n">
        <v>0</v>
      </c>
      <c r="BB10" t="inlineStr">
        <is>
          <t>dbfa5470f7ee44cad8b2e759129c93b51031c401a3a209593c35f6a6f2353a71</t>
        </is>
      </c>
    </row>
    <row r="11">
      <c r="A11" t="inlineStr">
        <is>
          <t>351</t>
        </is>
      </c>
      <c r="B11" t="inlineStr">
        <is>
          <t>7559932296</t>
        </is>
      </c>
      <c r="C11" t="inlineStr">
        <is>
          <t>2025-12-08 00:50:31</t>
        </is>
      </c>
      <c r="D11" t="inlineStr">
        <is>
          <t>50</t>
        </is>
      </c>
      <c r="E11" t="inlineStr">
        <is>
          <t>Sha Sha - Shandaar Shawarma</t>
        </is>
      </c>
      <c r="F11" t="inlineStr">
        <is>
          <t>18557902</t>
        </is>
      </c>
      <c r="G11" t="inlineStr">
        <is>
          <t>30% off upto ₹75 (2025-06-25 - 2031-01-01)</t>
        </is>
      </c>
      <c r="H11" t="inlineStr">
        <is>
          <t>ONLINE</t>
        </is>
      </c>
      <c r="I11" t="inlineStr">
        <is>
          <t>DELIVERED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O2</t>
        </is>
      </c>
      <c r="N11" t="inlineStr">
        <is>
          <t>36</t>
        </is>
      </c>
      <c r="O11" t="n">
        <v>229</v>
      </c>
      <c r="P11" t="n">
        <v>3.5</v>
      </c>
      <c r="Q11" t="n">
        <v>0</v>
      </c>
      <c r="R11" t="n">
        <v>68.7</v>
      </c>
      <c r="S11" t="n">
        <v>0</v>
      </c>
      <c r="T11" t="n">
        <v>0</v>
      </c>
      <c r="U11" t="n">
        <v>0</v>
      </c>
      <c r="V11" t="n">
        <v>8.19</v>
      </c>
      <c r="W11" t="n">
        <v>171.99</v>
      </c>
      <c r="X11" t="n">
        <v>163.8</v>
      </c>
      <c r="Y11" t="n">
        <v>19</v>
      </c>
      <c r="Z11" t="n">
        <v>31.12</v>
      </c>
      <c r="AA11" t="n">
        <v>3.16</v>
      </c>
      <c r="AB11" t="n">
        <v>34.28</v>
      </c>
      <c r="AC11" t="n">
        <v>6.17</v>
      </c>
      <c r="AD11" t="n">
        <v>0</v>
      </c>
      <c r="AE11" t="n">
        <v>163.8</v>
      </c>
      <c r="AF11" t="n">
        <v>0</v>
      </c>
      <c r="AG11" t="n">
        <v>0</v>
      </c>
      <c r="AH11" t="n">
        <v>0.16</v>
      </c>
      <c r="AI11" t="n">
        <v>8.199999999999999</v>
      </c>
      <c r="AJ11" t="n">
        <v>-0.01</v>
      </c>
      <c r="AK11" t="n">
        <v>14.53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48.81</v>
      </c>
      <c r="AV11" t="n">
        <v>0</v>
      </c>
      <c r="AW11" t="n">
        <v>123.18</v>
      </c>
      <c r="AX11" t="inlineStr">
        <is>
          <t>settled</t>
        </is>
      </c>
      <c r="AY11" t="inlineStr">
        <is>
          <t>2025-12-17 05:30:00</t>
        </is>
      </c>
      <c r="AZ11" t="inlineStr">
        <is>
          <t>CITIN25671113204</t>
        </is>
      </c>
      <c r="BA11" t="n">
        <v>0</v>
      </c>
      <c r="BB11" t="inlineStr">
        <is>
          <t>cced21294a761e8e520d3f723af908adf3bedcfdce1f6051f03037bf5aa364a8</t>
        </is>
      </c>
    </row>
    <row r="12">
      <c r="A12" t="inlineStr">
        <is>
          <t>352</t>
        </is>
      </c>
      <c r="B12" t="inlineStr">
        <is>
          <t>7558559359</t>
        </is>
      </c>
      <c r="C12" t="inlineStr">
        <is>
          <t>2025-12-08 00:54:05</t>
        </is>
      </c>
      <c r="D12" t="inlineStr">
        <is>
          <t>50</t>
        </is>
      </c>
      <c r="E12" t="inlineStr">
        <is>
          <t>Sha Sha - Shandaar Shawarma</t>
        </is>
      </c>
      <c r="F12" t="inlineStr">
        <is>
          <t>18557902</t>
        </is>
      </c>
      <c r="G12" t="inlineStr">
        <is>
          <t>NA</t>
        </is>
      </c>
      <c r="H12" t="inlineStr">
        <is>
          <t>ONLINE</t>
        </is>
      </c>
      <c r="I12" t="inlineStr">
        <is>
          <t>DELIVERED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O2</t>
        </is>
      </c>
      <c r="N12" t="inlineStr">
        <is>
          <t>36</t>
        </is>
      </c>
      <c r="O12" t="n">
        <v>229</v>
      </c>
      <c r="P12" t="n">
        <v>3.5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11.63</v>
      </c>
      <c r="W12" t="n">
        <v>244.13</v>
      </c>
      <c r="X12" t="n">
        <v>232.5</v>
      </c>
      <c r="Y12" t="n">
        <v>19</v>
      </c>
      <c r="Z12" t="n">
        <v>44.18</v>
      </c>
      <c r="AA12" t="n">
        <v>4.49</v>
      </c>
      <c r="AB12" t="n">
        <v>48.67</v>
      </c>
      <c r="AC12" t="n">
        <v>8.76</v>
      </c>
      <c r="AD12" t="n">
        <v>0</v>
      </c>
      <c r="AE12" t="n">
        <v>232.5</v>
      </c>
      <c r="AF12" t="n">
        <v>0</v>
      </c>
      <c r="AG12" t="n">
        <v>0</v>
      </c>
      <c r="AH12" t="n">
        <v>0.23</v>
      </c>
      <c r="AI12" t="n">
        <v>11.63</v>
      </c>
      <c r="AJ12" t="n">
        <v>0</v>
      </c>
      <c r="AK12" t="n">
        <v>20.62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69.29000000000001</v>
      </c>
      <c r="AV12" t="n">
        <v>0</v>
      </c>
      <c r="AW12" t="n">
        <v>174.84</v>
      </c>
      <c r="AX12" t="inlineStr">
        <is>
          <t>settled</t>
        </is>
      </c>
      <c r="AY12" t="inlineStr">
        <is>
          <t>2025-12-17 05:30:00</t>
        </is>
      </c>
      <c r="AZ12" t="inlineStr">
        <is>
          <t>CITIN25671113204</t>
        </is>
      </c>
      <c r="BA12" t="n">
        <v>0</v>
      </c>
      <c r="BB12" t="inlineStr">
        <is>
          <t>c209c9b0746dcd6f8b312a760d64666ff4674f55242acca903d5ea4920a45d3a</t>
        </is>
      </c>
    </row>
    <row r="13">
      <c r="A13" t="inlineStr">
        <is>
          <t>353</t>
        </is>
      </c>
      <c r="B13" t="inlineStr">
        <is>
          <t>7561177524</t>
        </is>
      </c>
      <c r="C13" t="inlineStr">
        <is>
          <t>2025-12-08 01:16:47</t>
        </is>
      </c>
      <c r="D13" t="inlineStr">
        <is>
          <t>50</t>
        </is>
      </c>
      <c r="E13" t="inlineStr">
        <is>
          <t>Sha Sha - Shandaar Shawarma</t>
        </is>
      </c>
      <c r="F13" t="inlineStr">
        <is>
          <t>18557902</t>
        </is>
      </c>
      <c r="G13" t="inlineStr">
        <is>
          <t>NA</t>
        </is>
      </c>
      <c r="H13" t="inlineStr">
        <is>
          <t>ONLINE</t>
        </is>
      </c>
      <c r="I13" t="inlineStr">
        <is>
          <t>DELIVERED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O2</t>
        </is>
      </c>
      <c r="N13" t="inlineStr">
        <is>
          <t>36</t>
        </is>
      </c>
      <c r="O13" t="n">
        <v>229</v>
      </c>
      <c r="P13" t="n">
        <v>3.5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11.63</v>
      </c>
      <c r="W13" t="n">
        <v>244.13</v>
      </c>
      <c r="X13" t="n">
        <v>232.5</v>
      </c>
      <c r="Y13" t="n">
        <v>19</v>
      </c>
      <c r="Z13" t="n">
        <v>44.18</v>
      </c>
      <c r="AA13" t="n">
        <v>4.49</v>
      </c>
      <c r="AB13" t="n">
        <v>48.67</v>
      </c>
      <c r="AC13" t="n">
        <v>8.76</v>
      </c>
      <c r="AD13" t="n">
        <v>0</v>
      </c>
      <c r="AE13" t="n">
        <v>232.5</v>
      </c>
      <c r="AF13" t="n">
        <v>0</v>
      </c>
      <c r="AG13" t="n">
        <v>0</v>
      </c>
      <c r="AH13" t="n">
        <v>0.23</v>
      </c>
      <c r="AI13" t="n">
        <v>11.63</v>
      </c>
      <c r="AJ13" t="n">
        <v>0</v>
      </c>
      <c r="AK13" t="n">
        <v>20.62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69.29000000000001</v>
      </c>
      <c r="AV13" t="n">
        <v>0</v>
      </c>
      <c r="AW13" t="n">
        <v>174.84</v>
      </c>
      <c r="AX13" t="inlineStr">
        <is>
          <t>settled</t>
        </is>
      </c>
      <c r="AY13" t="inlineStr">
        <is>
          <t>2025-12-17 05:30:00</t>
        </is>
      </c>
      <c r="AZ13" t="inlineStr">
        <is>
          <t>CITIN25671113204</t>
        </is>
      </c>
      <c r="BA13" t="n">
        <v>0</v>
      </c>
      <c r="BB13" t="inlineStr">
        <is>
          <t>6f50f06ce71dfc68133b8c94b871d26740019b5b19b1f5f7e668e511436cf3f7</t>
        </is>
      </c>
    </row>
    <row r="14">
      <c r="A14" t="inlineStr">
        <is>
          <t>354</t>
        </is>
      </c>
      <c r="B14" t="inlineStr">
        <is>
          <t>7555967751</t>
        </is>
      </c>
      <c r="C14" t="inlineStr">
        <is>
          <t>2025-12-08 01:22:39</t>
        </is>
      </c>
      <c r="D14" t="inlineStr">
        <is>
          <t>50</t>
        </is>
      </c>
      <c r="E14" t="inlineStr">
        <is>
          <t>Sha Sha - Shandaar Shawarma</t>
        </is>
      </c>
      <c r="F14" t="inlineStr">
        <is>
          <t>18557902</t>
        </is>
      </c>
      <c r="G14" t="inlineStr">
        <is>
          <t>30% off upto ₹75 (2025-06-25 - 2031-01-01)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36</t>
        </is>
      </c>
      <c r="O14" t="n">
        <v>229</v>
      </c>
      <c r="P14" t="n">
        <v>3.5</v>
      </c>
      <c r="Q14" t="n">
        <v>0</v>
      </c>
      <c r="R14" t="n">
        <v>68.7</v>
      </c>
      <c r="S14" t="n">
        <v>0</v>
      </c>
      <c r="T14" t="n">
        <v>0</v>
      </c>
      <c r="U14" t="n">
        <v>0</v>
      </c>
      <c r="V14" t="n">
        <v>8.19</v>
      </c>
      <c r="W14" t="n">
        <v>171.99</v>
      </c>
      <c r="X14" t="n">
        <v>163.8</v>
      </c>
      <c r="Y14" t="n">
        <v>19</v>
      </c>
      <c r="Z14" t="n">
        <v>31.12</v>
      </c>
      <c r="AA14" t="n">
        <v>3.16</v>
      </c>
      <c r="AB14" t="n">
        <v>34.28</v>
      </c>
      <c r="AC14" t="n">
        <v>6.17</v>
      </c>
      <c r="AD14" t="n">
        <v>0</v>
      </c>
      <c r="AE14" t="n">
        <v>163.8</v>
      </c>
      <c r="AF14" t="n">
        <v>0</v>
      </c>
      <c r="AG14" t="n">
        <v>0</v>
      </c>
      <c r="AH14" t="n">
        <v>0.16</v>
      </c>
      <c r="AI14" t="n">
        <v>8.199999999999999</v>
      </c>
      <c r="AJ14" t="n">
        <v>-0.01</v>
      </c>
      <c r="AK14" t="n">
        <v>14.53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48.81</v>
      </c>
      <c r="AV14" t="n">
        <v>0</v>
      </c>
      <c r="AW14" t="n">
        <v>123.18</v>
      </c>
      <c r="AX14" t="inlineStr">
        <is>
          <t>settled</t>
        </is>
      </c>
      <c r="AY14" t="inlineStr">
        <is>
          <t>2025-12-17 05:30:00</t>
        </is>
      </c>
      <c r="AZ14" t="inlineStr">
        <is>
          <t>CITIN25671113204</t>
        </is>
      </c>
      <c r="BA14" t="n">
        <v>0</v>
      </c>
      <c r="BB14" t="inlineStr">
        <is>
          <t>8a33ea1d632a0474a585dab42902dce8d7d1418959cb3a7aa7bd7e8610233f0c</t>
        </is>
      </c>
    </row>
    <row r="15">
      <c r="A15" t="inlineStr">
        <is>
          <t>355</t>
        </is>
      </c>
      <c r="B15" t="inlineStr">
        <is>
          <t>7556896494</t>
        </is>
      </c>
      <c r="C15" t="inlineStr">
        <is>
          <t>2025-12-08 01:40:47</t>
        </is>
      </c>
      <c r="D15" t="inlineStr">
        <is>
          <t>50</t>
        </is>
      </c>
      <c r="E15" t="inlineStr">
        <is>
          <t>Sha Sha - Shandaar Shawarma</t>
        </is>
      </c>
      <c r="F15" t="inlineStr">
        <is>
          <t>18557902</t>
        </is>
      </c>
      <c r="G15" t="inlineStr">
        <is>
          <t>NA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36</t>
        </is>
      </c>
      <c r="O15" t="n">
        <v>229</v>
      </c>
      <c r="P15" t="n">
        <v>3.5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11.63</v>
      </c>
      <c r="W15" t="n">
        <v>244.13</v>
      </c>
      <c r="X15" t="n">
        <v>232.5</v>
      </c>
      <c r="Y15" t="n">
        <v>19</v>
      </c>
      <c r="Z15" t="n">
        <v>44.18</v>
      </c>
      <c r="AA15" t="n">
        <v>4.49</v>
      </c>
      <c r="AB15" t="n">
        <v>48.67</v>
      </c>
      <c r="AC15" t="n">
        <v>8.76</v>
      </c>
      <c r="AD15" t="n">
        <v>0</v>
      </c>
      <c r="AE15" t="n">
        <v>232.5</v>
      </c>
      <c r="AF15" t="n">
        <v>0</v>
      </c>
      <c r="AG15" t="n">
        <v>0</v>
      </c>
      <c r="AH15" t="n">
        <v>0.23</v>
      </c>
      <c r="AI15" t="n">
        <v>11.63</v>
      </c>
      <c r="AJ15" t="n">
        <v>0</v>
      </c>
      <c r="AK15" t="n">
        <v>20.62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69.29000000000001</v>
      </c>
      <c r="AV15" t="n">
        <v>0</v>
      </c>
      <c r="AW15" t="n">
        <v>174.84</v>
      </c>
      <c r="AX15" t="inlineStr">
        <is>
          <t>settled</t>
        </is>
      </c>
      <c r="AY15" t="inlineStr">
        <is>
          <t>2025-12-17 05:30:00</t>
        </is>
      </c>
      <c r="AZ15" t="inlineStr">
        <is>
          <t>CITIN25671113204</t>
        </is>
      </c>
      <c r="BA15" t="n">
        <v>0</v>
      </c>
      <c r="BB15" t="inlineStr">
        <is>
          <t>85b84745d698a9cb2f27c8c6690d18b8b2e4e4f21bbaa9a2d74ae81c62f0b34b</t>
        </is>
      </c>
    </row>
    <row r="16">
      <c r="A16" t="inlineStr">
        <is>
          <t>356</t>
        </is>
      </c>
      <c r="B16" t="inlineStr">
        <is>
          <t>7561216624</t>
        </is>
      </c>
      <c r="C16" t="inlineStr">
        <is>
          <t>2025-12-08 01:41:40</t>
        </is>
      </c>
      <c r="D16" t="inlineStr">
        <is>
          <t>50</t>
        </is>
      </c>
      <c r="E16" t="inlineStr">
        <is>
          <t>Sha Sha - Shandaar Shawarma</t>
        </is>
      </c>
      <c r="F16" t="inlineStr">
        <is>
          <t>18557902</t>
        </is>
      </c>
      <c r="G16" t="inlineStr">
        <is>
          <t>30% off upto ₹75 (2025-06-25 - 2031-01-01)</t>
        </is>
      </c>
      <c r="H16" t="inlineStr">
        <is>
          <t>ONLINE</t>
        </is>
      </c>
      <c r="I16" t="inlineStr">
        <is>
          <t>CANCELLED</t>
        </is>
      </c>
      <c r="J16" t="inlineStr">
        <is>
          <t>100%</t>
        </is>
      </c>
      <c r="K16" t="inlineStr">
        <is>
          <t>Delivery partner cancellation</t>
        </is>
      </c>
      <c r="L16" t="inlineStr">
        <is>
          <t>Order picked up by rider</t>
        </is>
      </c>
      <c r="M16" t="inlineStr">
        <is>
          <t>O2</t>
        </is>
      </c>
      <c r="N16" t="inlineStr">
        <is>
          <t>NA</t>
        </is>
      </c>
      <c r="O16" t="n">
        <v>229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229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123.18</v>
      </c>
      <c r="AW16" t="n">
        <v>123.18</v>
      </c>
      <c r="AX16" t="inlineStr">
        <is>
          <t>settled</t>
        </is>
      </c>
      <c r="AY16" t="inlineStr">
        <is>
          <t>2025-12-17 05:30:00</t>
        </is>
      </c>
      <c r="AZ16" t="inlineStr">
        <is>
          <t>CITIN25671113204</t>
        </is>
      </c>
      <c r="BA16" t="n">
        <v>0</v>
      </c>
      <c r="BB16" t="inlineStr">
        <is>
          <t>NA</t>
        </is>
      </c>
    </row>
    <row r="17">
      <c r="A17" t="inlineStr">
        <is>
          <t>357</t>
        </is>
      </c>
      <c r="B17" t="inlineStr">
        <is>
          <t>7559484296</t>
        </is>
      </c>
      <c r="C17" t="inlineStr">
        <is>
          <t>2025-12-08 01:44:58</t>
        </is>
      </c>
      <c r="D17" t="inlineStr">
        <is>
          <t>50</t>
        </is>
      </c>
      <c r="E17" t="inlineStr">
        <is>
          <t>Sha Sha - Shandaar Shawarma</t>
        </is>
      </c>
      <c r="F17" t="inlineStr">
        <is>
          <t>18557902</t>
        </is>
      </c>
      <c r="G17" t="inlineStr">
        <is>
          <t>30% off upto ₹75 (2025-06-25 - 2031-01-01)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36</t>
        </is>
      </c>
      <c r="O17" t="n">
        <v>458</v>
      </c>
      <c r="P17" t="n">
        <v>3.5</v>
      </c>
      <c r="Q17" t="n">
        <v>0</v>
      </c>
      <c r="R17" t="n">
        <v>75</v>
      </c>
      <c r="S17" t="n">
        <v>0</v>
      </c>
      <c r="T17" t="n">
        <v>0</v>
      </c>
      <c r="U17" t="n">
        <v>0</v>
      </c>
      <c r="V17" t="n">
        <v>19.33</v>
      </c>
      <c r="W17" t="n">
        <v>405.83</v>
      </c>
      <c r="X17" t="n">
        <v>386.5</v>
      </c>
      <c r="Y17" t="n">
        <v>19</v>
      </c>
      <c r="Z17" t="n">
        <v>73.44</v>
      </c>
      <c r="AA17" t="n">
        <v>7.47</v>
      </c>
      <c r="AB17" t="n">
        <v>80.91</v>
      </c>
      <c r="AC17" t="n">
        <v>14.56</v>
      </c>
      <c r="AD17" t="n">
        <v>0</v>
      </c>
      <c r="AE17" t="n">
        <v>386.5</v>
      </c>
      <c r="AF17" t="n">
        <v>0</v>
      </c>
      <c r="AG17" t="n">
        <v>0</v>
      </c>
      <c r="AH17" t="n">
        <v>0.39</v>
      </c>
      <c r="AI17" t="n">
        <v>19.33</v>
      </c>
      <c r="AJ17" t="n">
        <v>0</v>
      </c>
      <c r="AK17" t="n">
        <v>34.28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115.19</v>
      </c>
      <c r="AV17" t="n">
        <v>0</v>
      </c>
      <c r="AW17" t="n">
        <v>290.64</v>
      </c>
      <c r="AX17" t="inlineStr">
        <is>
          <t>settled</t>
        </is>
      </c>
      <c r="AY17" t="inlineStr">
        <is>
          <t>2025-12-17 05:30:00</t>
        </is>
      </c>
      <c r="AZ17" t="inlineStr">
        <is>
          <t>CITIN25671113204</t>
        </is>
      </c>
      <c r="BA17" t="n">
        <v>0</v>
      </c>
      <c r="BB17" t="inlineStr">
        <is>
          <t>f33bc7a038d5ab2635591df874bba2a8ff12c5b20565add1789ffe65ed9bd3ad</t>
        </is>
      </c>
    </row>
    <row r="18">
      <c r="A18" t="inlineStr">
        <is>
          <t>358</t>
        </is>
      </c>
      <c r="B18" t="inlineStr">
        <is>
          <t>7555402550</t>
        </is>
      </c>
      <c r="C18" t="inlineStr">
        <is>
          <t>2025-12-08 02:00:44</t>
        </is>
      </c>
      <c r="D18" t="inlineStr">
        <is>
          <t>50</t>
        </is>
      </c>
      <c r="E18" t="inlineStr">
        <is>
          <t>Sha Sha - Shandaar Shawarma</t>
        </is>
      </c>
      <c r="F18" t="inlineStr">
        <is>
          <t>18557902</t>
        </is>
      </c>
      <c r="G18" t="inlineStr">
        <is>
          <t>30% off upto ₹75 (2025-06-25 - 2031-01-01)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36</t>
        </is>
      </c>
      <c r="O18" t="n">
        <v>229</v>
      </c>
      <c r="P18" t="n">
        <v>3.5</v>
      </c>
      <c r="Q18" t="n">
        <v>0</v>
      </c>
      <c r="R18" t="n">
        <v>68.7</v>
      </c>
      <c r="S18" t="n">
        <v>0</v>
      </c>
      <c r="T18" t="n">
        <v>0</v>
      </c>
      <c r="U18" t="n">
        <v>0</v>
      </c>
      <c r="V18" t="n">
        <v>8.19</v>
      </c>
      <c r="W18" t="n">
        <v>171.99</v>
      </c>
      <c r="X18" t="n">
        <v>163.8</v>
      </c>
      <c r="Y18" t="n">
        <v>19</v>
      </c>
      <c r="Z18" t="n">
        <v>31.12</v>
      </c>
      <c r="AA18" t="n">
        <v>3.16</v>
      </c>
      <c r="AB18" t="n">
        <v>34.28</v>
      </c>
      <c r="AC18" t="n">
        <v>6.17</v>
      </c>
      <c r="AD18" t="n">
        <v>0</v>
      </c>
      <c r="AE18" t="n">
        <v>163.8</v>
      </c>
      <c r="AF18" t="n">
        <v>0</v>
      </c>
      <c r="AG18" t="n">
        <v>0</v>
      </c>
      <c r="AH18" t="n">
        <v>0.16</v>
      </c>
      <c r="AI18" t="n">
        <v>8.199999999999999</v>
      </c>
      <c r="AJ18" t="n">
        <v>-0.01</v>
      </c>
      <c r="AK18" t="n">
        <v>14.53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48.81</v>
      </c>
      <c r="AV18" t="n">
        <v>0</v>
      </c>
      <c r="AW18" t="n">
        <v>123.18</v>
      </c>
      <c r="AX18" t="inlineStr">
        <is>
          <t>settled</t>
        </is>
      </c>
      <c r="AY18" t="inlineStr">
        <is>
          <t>2025-12-17 05:30:00</t>
        </is>
      </c>
      <c r="AZ18" t="inlineStr">
        <is>
          <t>CITIN25671113204</t>
        </is>
      </c>
      <c r="BA18" t="n">
        <v>0</v>
      </c>
      <c r="BB18" t="inlineStr">
        <is>
          <t>f59205a6412cd5d8fe633658ae0da95767dd06ef0e84e3115f815110c4b1996e</t>
        </is>
      </c>
    </row>
    <row r="19">
      <c r="A19" t="inlineStr">
        <is>
          <t>359</t>
        </is>
      </c>
      <c r="B19" t="inlineStr">
        <is>
          <t>7557947425</t>
        </is>
      </c>
      <c r="C19" t="inlineStr">
        <is>
          <t>2025-12-08 02:10:11</t>
        </is>
      </c>
      <c r="D19" t="inlineStr">
        <is>
          <t>50</t>
        </is>
      </c>
      <c r="E19" t="inlineStr">
        <is>
          <t>Sha Sha - Shandaar Shawarma</t>
        </is>
      </c>
      <c r="F19" t="inlineStr">
        <is>
          <t>18557902</t>
        </is>
      </c>
      <c r="G19" t="inlineStr">
        <is>
          <t>30% off upto ₹75 (2025-06-25 - 2031-01-01)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36</t>
        </is>
      </c>
      <c r="O19" t="n">
        <v>229</v>
      </c>
      <c r="P19" t="n">
        <v>3.5</v>
      </c>
      <c r="Q19" t="n">
        <v>0</v>
      </c>
      <c r="R19" t="n">
        <v>68.7</v>
      </c>
      <c r="S19" t="n">
        <v>0</v>
      </c>
      <c r="T19" t="n">
        <v>0</v>
      </c>
      <c r="U19" t="n">
        <v>0</v>
      </c>
      <c r="V19" t="n">
        <v>8.19</v>
      </c>
      <c r="W19" t="n">
        <v>171.99</v>
      </c>
      <c r="X19" t="n">
        <v>163.8</v>
      </c>
      <c r="Y19" t="n">
        <v>19</v>
      </c>
      <c r="Z19" t="n">
        <v>31.12</v>
      </c>
      <c r="AA19" t="n">
        <v>3.16</v>
      </c>
      <c r="AB19" t="n">
        <v>34.28</v>
      </c>
      <c r="AC19" t="n">
        <v>6.17</v>
      </c>
      <c r="AD19" t="n">
        <v>0</v>
      </c>
      <c r="AE19" t="n">
        <v>163.8</v>
      </c>
      <c r="AF19" t="n">
        <v>0</v>
      </c>
      <c r="AG19" t="n">
        <v>0</v>
      </c>
      <c r="AH19" t="n">
        <v>0.16</v>
      </c>
      <c r="AI19" t="n">
        <v>8.199999999999999</v>
      </c>
      <c r="AJ19" t="n">
        <v>-0.01</v>
      </c>
      <c r="AK19" t="n">
        <v>14.53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48.81</v>
      </c>
      <c r="AV19" t="n">
        <v>0</v>
      </c>
      <c r="AW19" t="n">
        <v>123.18</v>
      </c>
      <c r="AX19" t="inlineStr">
        <is>
          <t>settled</t>
        </is>
      </c>
      <c r="AY19" t="inlineStr">
        <is>
          <t>2025-12-17 05:30:00</t>
        </is>
      </c>
      <c r="AZ19" t="inlineStr">
        <is>
          <t>CITIN25671113204</t>
        </is>
      </c>
      <c r="BA19" t="n">
        <v>0</v>
      </c>
      <c r="BB19" t="inlineStr">
        <is>
          <t>30609c8495ef11b472a1e8aeae485b287214bea591e5486b360a6afaee30794c</t>
        </is>
      </c>
    </row>
    <row r="20">
      <c r="A20" t="inlineStr">
        <is>
          <t>360</t>
        </is>
      </c>
      <c r="B20" t="inlineStr">
        <is>
          <t>7558352514</t>
        </is>
      </c>
      <c r="C20" t="inlineStr">
        <is>
          <t>2025-12-08 02:28:01</t>
        </is>
      </c>
      <c r="D20" t="inlineStr">
        <is>
          <t>50</t>
        </is>
      </c>
      <c r="E20" t="inlineStr">
        <is>
          <t>Sha Sha - Shandaar Shawarma</t>
        </is>
      </c>
      <c r="F20" t="inlineStr">
        <is>
          <t>18557902</t>
        </is>
      </c>
      <c r="G20" t="inlineStr">
        <is>
          <t>30% off upto ₹75 (2025-06-25 - 2031-01-01)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36</t>
        </is>
      </c>
      <c r="O20" t="n">
        <v>219</v>
      </c>
      <c r="P20" t="n">
        <v>3.5</v>
      </c>
      <c r="Q20" t="n">
        <v>0</v>
      </c>
      <c r="R20" t="n">
        <v>65.7</v>
      </c>
      <c r="S20" t="n">
        <v>0</v>
      </c>
      <c r="T20" t="n">
        <v>0</v>
      </c>
      <c r="U20" t="n">
        <v>0</v>
      </c>
      <c r="V20" t="n">
        <v>7.84</v>
      </c>
      <c r="W20" t="n">
        <v>164.64</v>
      </c>
      <c r="X20" t="n">
        <v>156.8</v>
      </c>
      <c r="Y20" t="n">
        <v>19</v>
      </c>
      <c r="Z20" t="n">
        <v>29.79</v>
      </c>
      <c r="AA20" t="n">
        <v>3.03</v>
      </c>
      <c r="AB20" t="n">
        <v>32.82</v>
      </c>
      <c r="AC20" t="n">
        <v>5.91</v>
      </c>
      <c r="AD20" t="n">
        <v>0</v>
      </c>
      <c r="AE20" t="n">
        <v>156.8</v>
      </c>
      <c r="AF20" t="n">
        <v>0</v>
      </c>
      <c r="AG20" t="n">
        <v>0</v>
      </c>
      <c r="AH20" t="n">
        <v>0.16</v>
      </c>
      <c r="AI20" t="n">
        <v>7.85</v>
      </c>
      <c r="AJ20" t="n">
        <v>-0.01</v>
      </c>
      <c r="AK20" t="n">
        <v>13.92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46.74</v>
      </c>
      <c r="AV20" t="n">
        <v>0</v>
      </c>
      <c r="AW20" t="n">
        <v>117.9</v>
      </c>
      <c r="AX20" t="inlineStr">
        <is>
          <t>settled</t>
        </is>
      </c>
      <c r="AY20" t="inlineStr">
        <is>
          <t>2025-12-17 05:30:00</t>
        </is>
      </c>
      <c r="AZ20" t="inlineStr">
        <is>
          <t>CITIN25671113204</t>
        </is>
      </c>
      <c r="BA20" t="n">
        <v>0</v>
      </c>
      <c r="BB20" t="inlineStr">
        <is>
          <t>3a3d458954308337d358b5e52c525121936e748d097791131ff5cdbc2bb5c1cc</t>
        </is>
      </c>
    </row>
    <row r="21">
      <c r="A21" t="inlineStr">
        <is>
          <t>361</t>
        </is>
      </c>
      <c r="B21" t="inlineStr">
        <is>
          <t>7552505604</t>
        </is>
      </c>
      <c r="C21" t="inlineStr">
        <is>
          <t>2025-12-08 03:16:42</t>
        </is>
      </c>
      <c r="D21" t="inlineStr">
        <is>
          <t>50</t>
        </is>
      </c>
      <c r="E21" t="inlineStr">
        <is>
          <t>Sha Sha - Shandaar Shawarma</t>
        </is>
      </c>
      <c r="F21" t="inlineStr">
        <is>
          <t>18557902</t>
        </is>
      </c>
      <c r="G21" t="inlineStr">
        <is>
          <t>30% off upto ₹75 (2025-06-25 - 2031-01-01)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36</t>
        </is>
      </c>
      <c r="O21" t="n">
        <v>229</v>
      </c>
      <c r="P21" t="n">
        <v>3.5</v>
      </c>
      <c r="Q21" t="n">
        <v>0</v>
      </c>
      <c r="R21" t="n">
        <v>68.7</v>
      </c>
      <c r="S21" t="n">
        <v>0</v>
      </c>
      <c r="T21" t="n">
        <v>0</v>
      </c>
      <c r="U21" t="n">
        <v>0</v>
      </c>
      <c r="V21" t="n">
        <v>8.19</v>
      </c>
      <c r="W21" t="n">
        <v>171.99</v>
      </c>
      <c r="X21" t="n">
        <v>163.8</v>
      </c>
      <c r="Y21" t="n">
        <v>19</v>
      </c>
      <c r="Z21" t="n">
        <v>31.12</v>
      </c>
      <c r="AA21" t="n">
        <v>3.16</v>
      </c>
      <c r="AB21" t="n">
        <v>34.28</v>
      </c>
      <c r="AC21" t="n">
        <v>6.17</v>
      </c>
      <c r="AD21" t="n">
        <v>0</v>
      </c>
      <c r="AE21" t="n">
        <v>163.8</v>
      </c>
      <c r="AF21" t="n">
        <v>0</v>
      </c>
      <c r="AG21" t="n">
        <v>0</v>
      </c>
      <c r="AH21" t="n">
        <v>0.16</v>
      </c>
      <c r="AI21" t="n">
        <v>8.199999999999999</v>
      </c>
      <c r="AJ21" t="n">
        <v>-0.01</v>
      </c>
      <c r="AK21" t="n">
        <v>14.53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48.81</v>
      </c>
      <c r="AV21" t="n">
        <v>0</v>
      </c>
      <c r="AW21" t="n">
        <v>123.18</v>
      </c>
      <c r="AX21" t="inlineStr">
        <is>
          <t>settled</t>
        </is>
      </c>
      <c r="AY21" t="inlineStr">
        <is>
          <t>2025-12-17 05:30:00</t>
        </is>
      </c>
      <c r="AZ21" t="inlineStr">
        <is>
          <t>CITIN25671113204</t>
        </is>
      </c>
      <c r="BA21" t="n">
        <v>0</v>
      </c>
      <c r="BB21" t="inlineStr">
        <is>
          <t>72b1159ae4ac17768819fc6ee26d73f8e603452a3f662b85a40d86ed33f31a1e</t>
        </is>
      </c>
    </row>
    <row r="22">
      <c r="A22" t="inlineStr">
        <is>
          <t>362</t>
        </is>
      </c>
      <c r="B22" t="inlineStr">
        <is>
          <t>7558674422</t>
        </is>
      </c>
      <c r="C22" t="inlineStr">
        <is>
          <t>2025-12-08 03:23:37</t>
        </is>
      </c>
      <c r="D22" t="inlineStr">
        <is>
          <t>50</t>
        </is>
      </c>
      <c r="E22" t="inlineStr">
        <is>
          <t>Sha Sha - Shandaar Shawarma</t>
        </is>
      </c>
      <c r="F22" t="inlineStr">
        <is>
          <t>18557902</t>
        </is>
      </c>
      <c r="G22" t="inlineStr">
        <is>
          <t>NA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36</t>
        </is>
      </c>
      <c r="O22" t="n">
        <v>229</v>
      </c>
      <c r="P22" t="n">
        <v>3.5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11.63</v>
      </c>
      <c r="W22" t="n">
        <v>244.13</v>
      </c>
      <c r="X22" t="n">
        <v>232.5</v>
      </c>
      <c r="Y22" t="n">
        <v>19</v>
      </c>
      <c r="Z22" t="n">
        <v>44.18</v>
      </c>
      <c r="AA22" t="n">
        <v>4.49</v>
      </c>
      <c r="AB22" t="n">
        <v>48.67</v>
      </c>
      <c r="AC22" t="n">
        <v>8.76</v>
      </c>
      <c r="AD22" t="n">
        <v>0</v>
      </c>
      <c r="AE22" t="n">
        <v>232.5</v>
      </c>
      <c r="AF22" t="n">
        <v>0</v>
      </c>
      <c r="AG22" t="n">
        <v>0</v>
      </c>
      <c r="AH22" t="n">
        <v>0.23</v>
      </c>
      <c r="AI22" t="n">
        <v>11.63</v>
      </c>
      <c r="AJ22" t="n">
        <v>0</v>
      </c>
      <c r="AK22" t="n">
        <v>20.62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69.29000000000001</v>
      </c>
      <c r="AV22" t="n">
        <v>0</v>
      </c>
      <c r="AW22" t="n">
        <v>174.84</v>
      </c>
      <c r="AX22" t="inlineStr">
        <is>
          <t>settled</t>
        </is>
      </c>
      <c r="AY22" t="inlineStr">
        <is>
          <t>2025-12-17 05:30:00</t>
        </is>
      </c>
      <c r="AZ22" t="inlineStr">
        <is>
          <t>CITIN25671113204</t>
        </is>
      </c>
      <c r="BA22" t="n">
        <v>0</v>
      </c>
      <c r="BB22" t="inlineStr">
        <is>
          <t>1066951c72005641188579b76d82a0767e3c333694b31b32396130879e3c9a04</t>
        </is>
      </c>
    </row>
    <row r="23">
      <c r="A23" t="inlineStr">
        <is>
          <t>363</t>
        </is>
      </c>
      <c r="B23" t="inlineStr">
        <is>
          <t>7551229505</t>
        </is>
      </c>
      <c r="C23" t="inlineStr">
        <is>
          <t>2025-12-08 04:00:45</t>
        </is>
      </c>
      <c r="D23" t="inlineStr">
        <is>
          <t>50</t>
        </is>
      </c>
      <c r="E23" t="inlineStr">
        <is>
          <t>Sha Sha - Shandaar Shawarma</t>
        </is>
      </c>
      <c r="F23" t="inlineStr">
        <is>
          <t>18557902</t>
        </is>
      </c>
      <c r="G23" t="inlineStr">
        <is>
          <t>NA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36</t>
        </is>
      </c>
      <c r="O23" t="n">
        <v>229</v>
      </c>
      <c r="P23" t="n">
        <v>3.5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11.63</v>
      </c>
      <c r="W23" t="n">
        <v>244.13</v>
      </c>
      <c r="X23" t="n">
        <v>232.5</v>
      </c>
      <c r="Y23" t="n">
        <v>19</v>
      </c>
      <c r="Z23" t="n">
        <v>44.18</v>
      </c>
      <c r="AA23" t="n">
        <v>4.49</v>
      </c>
      <c r="AB23" t="n">
        <v>48.67</v>
      </c>
      <c r="AC23" t="n">
        <v>8.76</v>
      </c>
      <c r="AD23" t="n">
        <v>0</v>
      </c>
      <c r="AE23" t="n">
        <v>232.5</v>
      </c>
      <c r="AF23" t="n">
        <v>0</v>
      </c>
      <c r="AG23" t="n">
        <v>0</v>
      </c>
      <c r="AH23" t="n">
        <v>0.23</v>
      </c>
      <c r="AI23" t="n">
        <v>11.63</v>
      </c>
      <c r="AJ23" t="n">
        <v>0</v>
      </c>
      <c r="AK23" t="n">
        <v>20.62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69.29000000000001</v>
      </c>
      <c r="AV23" t="n">
        <v>0</v>
      </c>
      <c r="AW23" t="n">
        <v>174.84</v>
      </c>
      <c r="AX23" t="inlineStr">
        <is>
          <t>settled</t>
        </is>
      </c>
      <c r="AY23" t="inlineStr">
        <is>
          <t>2025-12-17 05:30:00</t>
        </is>
      </c>
      <c r="AZ23" t="inlineStr">
        <is>
          <t>CITIN25671113204</t>
        </is>
      </c>
      <c r="BA23" t="n">
        <v>0</v>
      </c>
      <c r="BB23" t="inlineStr">
        <is>
          <t>cc0b8134c9eb20bd58b344bc1e56a9bf916cdbeff9b0e73c5783980302613ab8</t>
        </is>
      </c>
    </row>
    <row r="24">
      <c r="A24" t="inlineStr">
        <is>
          <t>364</t>
        </is>
      </c>
      <c r="B24" t="inlineStr">
        <is>
          <t>7556909966</t>
        </is>
      </c>
      <c r="C24" t="inlineStr">
        <is>
          <t>2025-12-08 04:05:00</t>
        </is>
      </c>
      <c r="D24" t="inlineStr">
        <is>
          <t>50</t>
        </is>
      </c>
      <c r="E24" t="inlineStr">
        <is>
          <t>Sha Sha - Shandaar Shawarma</t>
        </is>
      </c>
      <c r="F24" t="inlineStr">
        <is>
          <t>18557902</t>
        </is>
      </c>
      <c r="G24" t="inlineStr">
        <is>
          <t>30% off upto ₹75 (2025-06-25 - 2031-01-01)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36</t>
        </is>
      </c>
      <c r="O24" t="n">
        <v>687</v>
      </c>
      <c r="P24" t="n">
        <v>3.5</v>
      </c>
      <c r="Q24" t="n">
        <v>0</v>
      </c>
      <c r="R24" t="n">
        <v>75</v>
      </c>
      <c r="S24" t="n">
        <v>0</v>
      </c>
      <c r="T24" t="n">
        <v>0</v>
      </c>
      <c r="U24" t="n">
        <v>0</v>
      </c>
      <c r="V24" t="n">
        <v>30.78</v>
      </c>
      <c r="W24" t="n">
        <v>646.28</v>
      </c>
      <c r="X24" t="n">
        <v>615.5</v>
      </c>
      <c r="Y24" t="n">
        <v>19</v>
      </c>
      <c r="Z24" t="n">
        <v>116.94</v>
      </c>
      <c r="AA24" t="n">
        <v>11.89</v>
      </c>
      <c r="AB24" t="n">
        <v>128.83</v>
      </c>
      <c r="AC24" t="n">
        <v>23.19</v>
      </c>
      <c r="AD24" t="n">
        <v>0</v>
      </c>
      <c r="AE24" t="n">
        <v>615.5</v>
      </c>
      <c r="AF24" t="n">
        <v>0</v>
      </c>
      <c r="AG24" t="n">
        <v>0</v>
      </c>
      <c r="AH24" t="n">
        <v>0.62</v>
      </c>
      <c r="AI24" t="n">
        <v>30.78</v>
      </c>
      <c r="AJ24" t="n">
        <v>0</v>
      </c>
      <c r="AK24" t="n">
        <v>54.59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183.42</v>
      </c>
      <c r="AV24" t="n">
        <v>0</v>
      </c>
      <c r="AW24" t="n">
        <v>462.86</v>
      </c>
      <c r="AX24" t="inlineStr">
        <is>
          <t>settled</t>
        </is>
      </c>
      <c r="AY24" t="inlineStr">
        <is>
          <t>2025-12-17 05:30:00</t>
        </is>
      </c>
      <c r="AZ24" t="inlineStr">
        <is>
          <t>CITIN25671113204</t>
        </is>
      </c>
      <c r="BA24" t="n">
        <v>0</v>
      </c>
      <c r="BB24" t="inlineStr">
        <is>
          <t>1bda754c2800e8492ea3dca9c9d187c091f49fcaa744447e5d317790d0bc0d9d</t>
        </is>
      </c>
    </row>
    <row r="25">
      <c r="A25" t="inlineStr">
        <is>
          <t>365</t>
        </is>
      </c>
      <c r="B25" t="inlineStr">
        <is>
          <t>7550320671</t>
        </is>
      </c>
      <c r="C25" t="inlineStr">
        <is>
          <t>2025-12-08 13:38:55</t>
        </is>
      </c>
      <c r="D25" t="inlineStr">
        <is>
          <t>50</t>
        </is>
      </c>
      <c r="E25" t="inlineStr">
        <is>
          <t>Sha Sha - Shandaar Shawarma</t>
        </is>
      </c>
      <c r="F25" t="inlineStr">
        <is>
          <t>18557902</t>
        </is>
      </c>
      <c r="G25" t="inlineStr">
        <is>
          <t>NA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36</t>
        </is>
      </c>
      <c r="O25" t="n">
        <v>289</v>
      </c>
      <c r="P25" t="n">
        <v>3.5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14.63</v>
      </c>
      <c r="W25" t="n">
        <v>307.13</v>
      </c>
      <c r="X25" t="n">
        <v>292.5</v>
      </c>
      <c r="Y25" t="n">
        <v>19</v>
      </c>
      <c r="Z25" t="n">
        <v>55.58</v>
      </c>
      <c r="AA25" t="n">
        <v>5.65</v>
      </c>
      <c r="AB25" t="n">
        <v>61.23</v>
      </c>
      <c r="AC25" t="n">
        <v>11.02</v>
      </c>
      <c r="AD25" t="n">
        <v>0</v>
      </c>
      <c r="AE25" t="n">
        <v>292.5</v>
      </c>
      <c r="AF25" t="n">
        <v>0</v>
      </c>
      <c r="AG25" t="n">
        <v>0</v>
      </c>
      <c r="AH25" t="n">
        <v>0.29</v>
      </c>
      <c r="AI25" t="n">
        <v>14.63</v>
      </c>
      <c r="AJ25" t="n">
        <v>0</v>
      </c>
      <c r="AK25" t="n">
        <v>25.94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87.17</v>
      </c>
      <c r="AV25" t="n">
        <v>0</v>
      </c>
      <c r="AW25" t="n">
        <v>219.96</v>
      </c>
      <c r="AX25" t="inlineStr">
        <is>
          <t>settled</t>
        </is>
      </c>
      <c r="AY25" t="inlineStr">
        <is>
          <t>2025-12-17 05:30:00</t>
        </is>
      </c>
      <c r="AZ25" t="inlineStr">
        <is>
          <t>CITIN25671113204</t>
        </is>
      </c>
      <c r="BA25" t="n">
        <v>0</v>
      </c>
      <c r="BB25" t="inlineStr">
        <is>
          <t>3fa199dfbb1529ff8daa3f6185680442e31a37ad6f1ae37d62839097996e74cb</t>
        </is>
      </c>
    </row>
    <row r="26">
      <c r="A26" t="inlineStr">
        <is>
          <t>366</t>
        </is>
      </c>
      <c r="B26" t="inlineStr">
        <is>
          <t>7556106390</t>
        </is>
      </c>
      <c r="C26" t="inlineStr">
        <is>
          <t>2025-12-08 13:47:52</t>
        </is>
      </c>
      <c r="D26" t="inlineStr">
        <is>
          <t>50</t>
        </is>
      </c>
      <c r="E26" t="inlineStr">
        <is>
          <t>Sha Sha - Shandaar Shawarma</t>
        </is>
      </c>
      <c r="F26" t="inlineStr">
        <is>
          <t>18557902</t>
        </is>
      </c>
      <c r="G26" t="inlineStr">
        <is>
          <t>30% off upto ₹75 (2025-06-25 - 2031-01-01)</t>
        </is>
      </c>
      <c r="H26" t="inlineStr">
        <is>
          <t>ONLINE</t>
        </is>
      </c>
      <c r="I26" t="inlineStr">
        <is>
          <t>DELIVERED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O2</t>
        </is>
      </c>
      <c r="N26" t="inlineStr">
        <is>
          <t>36</t>
        </is>
      </c>
      <c r="O26" t="n">
        <v>229</v>
      </c>
      <c r="P26" t="n">
        <v>3.5</v>
      </c>
      <c r="Q26" t="n">
        <v>0</v>
      </c>
      <c r="R26" t="n">
        <v>68.7</v>
      </c>
      <c r="S26" t="n">
        <v>0</v>
      </c>
      <c r="T26" t="n">
        <v>0</v>
      </c>
      <c r="U26" t="n">
        <v>0</v>
      </c>
      <c r="V26" t="n">
        <v>8.19</v>
      </c>
      <c r="W26" t="n">
        <v>171.99</v>
      </c>
      <c r="X26" t="n">
        <v>163.8</v>
      </c>
      <c r="Y26" t="n">
        <v>19</v>
      </c>
      <c r="Z26" t="n">
        <v>31.12</v>
      </c>
      <c r="AA26" t="n">
        <v>3.16</v>
      </c>
      <c r="AB26" t="n">
        <v>34.28</v>
      </c>
      <c r="AC26" t="n">
        <v>6.17</v>
      </c>
      <c r="AD26" t="n">
        <v>0</v>
      </c>
      <c r="AE26" t="n">
        <v>163.8</v>
      </c>
      <c r="AF26" t="n">
        <v>0</v>
      </c>
      <c r="AG26" t="n">
        <v>0</v>
      </c>
      <c r="AH26" t="n">
        <v>0.16</v>
      </c>
      <c r="AI26" t="n">
        <v>8.199999999999999</v>
      </c>
      <c r="AJ26" t="n">
        <v>-0.01</v>
      </c>
      <c r="AK26" t="n">
        <v>14.53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48.81</v>
      </c>
      <c r="AV26" t="n">
        <v>0</v>
      </c>
      <c r="AW26" t="n">
        <v>123.18</v>
      </c>
      <c r="AX26" t="inlineStr">
        <is>
          <t>settled</t>
        </is>
      </c>
      <c r="AY26" t="inlineStr">
        <is>
          <t>2025-12-17 05:30:00</t>
        </is>
      </c>
      <c r="AZ26" t="inlineStr">
        <is>
          <t>CITIN25671113204</t>
        </is>
      </c>
      <c r="BA26" t="n">
        <v>0</v>
      </c>
      <c r="BB26" t="inlineStr">
        <is>
          <t>d4bd5301bcd8ffac728817ba793c9c63ecb3ae8801d3a68ff0461d793b403b11</t>
        </is>
      </c>
    </row>
    <row r="27">
      <c r="A27" t="inlineStr">
        <is>
          <t>367</t>
        </is>
      </c>
      <c r="B27" t="inlineStr">
        <is>
          <t>7555672109</t>
        </is>
      </c>
      <c r="C27" t="inlineStr">
        <is>
          <t>2025-12-08 13:53:49</t>
        </is>
      </c>
      <c r="D27" t="inlineStr">
        <is>
          <t>50</t>
        </is>
      </c>
      <c r="E27" t="inlineStr">
        <is>
          <t>Sha Sha - Shandaar Shawarma</t>
        </is>
      </c>
      <c r="F27" t="inlineStr">
        <is>
          <t>18557902</t>
        </is>
      </c>
      <c r="G27" t="inlineStr">
        <is>
          <t>30% off upto ₹75 (2025-06-25 - 2031-01-01)</t>
        </is>
      </c>
      <c r="H27" t="inlineStr">
        <is>
          <t>ONLINE</t>
        </is>
      </c>
      <c r="I27" t="inlineStr">
        <is>
          <t>DELIVERED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O2</t>
        </is>
      </c>
      <c r="N27" t="inlineStr">
        <is>
          <t>36</t>
        </is>
      </c>
      <c r="O27" t="n">
        <v>458</v>
      </c>
      <c r="P27" t="n">
        <v>3.5</v>
      </c>
      <c r="Q27" t="n">
        <v>0</v>
      </c>
      <c r="R27" t="n">
        <v>75</v>
      </c>
      <c r="S27" t="n">
        <v>0</v>
      </c>
      <c r="T27" t="n">
        <v>0</v>
      </c>
      <c r="U27" t="n">
        <v>0</v>
      </c>
      <c r="V27" t="n">
        <v>19.33</v>
      </c>
      <c r="W27" t="n">
        <v>405.83</v>
      </c>
      <c r="X27" t="n">
        <v>386.5</v>
      </c>
      <c r="Y27" t="n">
        <v>19</v>
      </c>
      <c r="Z27" t="n">
        <v>73.44</v>
      </c>
      <c r="AA27" t="n">
        <v>7.47</v>
      </c>
      <c r="AB27" t="n">
        <v>80.91</v>
      </c>
      <c r="AC27" t="n">
        <v>14.56</v>
      </c>
      <c r="AD27" t="n">
        <v>0</v>
      </c>
      <c r="AE27" t="n">
        <v>386.5</v>
      </c>
      <c r="AF27" t="n">
        <v>0</v>
      </c>
      <c r="AG27" t="n">
        <v>0</v>
      </c>
      <c r="AH27" t="n">
        <v>0.39</v>
      </c>
      <c r="AI27" t="n">
        <v>19.33</v>
      </c>
      <c r="AJ27" t="n">
        <v>0</v>
      </c>
      <c r="AK27" t="n">
        <v>34.28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115.19</v>
      </c>
      <c r="AV27" t="n">
        <v>0</v>
      </c>
      <c r="AW27" t="n">
        <v>290.64</v>
      </c>
      <c r="AX27" t="inlineStr">
        <is>
          <t>settled</t>
        </is>
      </c>
      <c r="AY27" t="inlineStr">
        <is>
          <t>2025-12-17 05:30:00</t>
        </is>
      </c>
      <c r="AZ27" t="inlineStr">
        <is>
          <t>CITIN25671113204</t>
        </is>
      </c>
      <c r="BA27" t="n">
        <v>0</v>
      </c>
      <c r="BB27" t="inlineStr">
        <is>
          <t>131e75b7e3be313a635e65875521a11e5513c556130619e816be62379ce836e8</t>
        </is>
      </c>
    </row>
    <row r="28">
      <c r="A28" t="inlineStr">
        <is>
          <t>368</t>
        </is>
      </c>
      <c r="B28" t="inlineStr">
        <is>
          <t>7556327925</t>
        </is>
      </c>
      <c r="C28" t="inlineStr">
        <is>
          <t>2025-12-08 14:06:00</t>
        </is>
      </c>
      <c r="D28" t="inlineStr">
        <is>
          <t>50</t>
        </is>
      </c>
      <c r="E28" t="inlineStr">
        <is>
          <t>Sha Sha - Shandaar Shawarma</t>
        </is>
      </c>
      <c r="F28" t="inlineStr">
        <is>
          <t>18557902</t>
        </is>
      </c>
      <c r="G28" t="inlineStr">
        <is>
          <t>30% off upto ₹75 (2025-06-25 - 2031-01-01)</t>
        </is>
      </c>
      <c r="H28" t="inlineStr">
        <is>
          <t>ONLINE</t>
        </is>
      </c>
      <c r="I28" t="inlineStr">
        <is>
          <t>DELIVERED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O2</t>
        </is>
      </c>
      <c r="N28" t="inlineStr">
        <is>
          <t>36</t>
        </is>
      </c>
      <c r="O28" t="n">
        <v>229</v>
      </c>
      <c r="P28" t="n">
        <v>3.5</v>
      </c>
      <c r="Q28" t="n">
        <v>0</v>
      </c>
      <c r="R28" t="n">
        <v>68.7</v>
      </c>
      <c r="S28" t="n">
        <v>0</v>
      </c>
      <c r="T28" t="n">
        <v>0</v>
      </c>
      <c r="U28" t="n">
        <v>0</v>
      </c>
      <c r="V28" t="n">
        <v>8.19</v>
      </c>
      <c r="W28" t="n">
        <v>171.99</v>
      </c>
      <c r="X28" t="n">
        <v>163.8</v>
      </c>
      <c r="Y28" t="n">
        <v>19</v>
      </c>
      <c r="Z28" t="n">
        <v>31.12</v>
      </c>
      <c r="AA28" t="n">
        <v>3.16</v>
      </c>
      <c r="AB28" t="n">
        <v>34.28</v>
      </c>
      <c r="AC28" t="n">
        <v>6.17</v>
      </c>
      <c r="AD28" t="n">
        <v>0</v>
      </c>
      <c r="AE28" t="n">
        <v>163.8</v>
      </c>
      <c r="AF28" t="n">
        <v>0</v>
      </c>
      <c r="AG28" t="n">
        <v>0</v>
      </c>
      <c r="AH28" t="n">
        <v>0.16</v>
      </c>
      <c r="AI28" t="n">
        <v>8.199999999999999</v>
      </c>
      <c r="AJ28" t="n">
        <v>-0.01</v>
      </c>
      <c r="AK28" t="n">
        <v>14.53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48.81</v>
      </c>
      <c r="AV28" t="n">
        <v>0</v>
      </c>
      <c r="AW28" t="n">
        <v>123.18</v>
      </c>
      <c r="AX28" t="inlineStr">
        <is>
          <t>settled</t>
        </is>
      </c>
      <c r="AY28" t="inlineStr">
        <is>
          <t>2025-12-17 05:30:00</t>
        </is>
      </c>
      <c r="AZ28" t="inlineStr">
        <is>
          <t>CITIN25671113204</t>
        </is>
      </c>
      <c r="BA28" t="n">
        <v>0</v>
      </c>
      <c r="BB28" t="inlineStr">
        <is>
          <t>c4e109537b87085f482d918decb92bdce0d90b8632f46d3bf35194e01515be29</t>
        </is>
      </c>
    </row>
    <row r="29">
      <c r="A29" t="inlineStr">
        <is>
          <t>369</t>
        </is>
      </c>
      <c r="B29" t="inlineStr">
        <is>
          <t>7562083680</t>
        </is>
      </c>
      <c r="C29" t="inlineStr">
        <is>
          <t>2025-12-08 15:18:57</t>
        </is>
      </c>
      <c r="D29" t="inlineStr">
        <is>
          <t>50</t>
        </is>
      </c>
      <c r="E29" t="inlineStr">
        <is>
          <t>Sha Sha - Shandaar Shawarma</t>
        </is>
      </c>
      <c r="F29" t="inlineStr">
        <is>
          <t>18557902</t>
        </is>
      </c>
      <c r="G29" t="inlineStr">
        <is>
          <t>30% off upto ₹75 (2025-06-25 - 2031-01-01)</t>
        </is>
      </c>
      <c r="H29" t="inlineStr">
        <is>
          <t>ONLINE</t>
        </is>
      </c>
      <c r="I29" t="inlineStr">
        <is>
          <t>DELIVERED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O2</t>
        </is>
      </c>
      <c r="N29" t="inlineStr">
        <is>
          <t>36</t>
        </is>
      </c>
      <c r="O29" t="n">
        <v>219</v>
      </c>
      <c r="P29" t="n">
        <v>3.5</v>
      </c>
      <c r="Q29" t="n">
        <v>0</v>
      </c>
      <c r="R29" t="n">
        <v>65.7</v>
      </c>
      <c r="S29" t="n">
        <v>0</v>
      </c>
      <c r="T29" t="n">
        <v>0</v>
      </c>
      <c r="U29" t="n">
        <v>0</v>
      </c>
      <c r="V29" t="n">
        <v>7.84</v>
      </c>
      <c r="W29" t="n">
        <v>164.64</v>
      </c>
      <c r="X29" t="n">
        <v>156.8</v>
      </c>
      <c r="Y29" t="n">
        <v>19</v>
      </c>
      <c r="Z29" t="n">
        <v>29.79</v>
      </c>
      <c r="AA29" t="n">
        <v>3.03</v>
      </c>
      <c r="AB29" t="n">
        <v>32.82</v>
      </c>
      <c r="AC29" t="n">
        <v>5.91</v>
      </c>
      <c r="AD29" t="n">
        <v>0</v>
      </c>
      <c r="AE29" t="n">
        <v>156.8</v>
      </c>
      <c r="AF29" t="n">
        <v>0</v>
      </c>
      <c r="AG29" t="n">
        <v>0</v>
      </c>
      <c r="AH29" t="n">
        <v>0.16</v>
      </c>
      <c r="AI29" t="n">
        <v>7.85</v>
      </c>
      <c r="AJ29" t="n">
        <v>-0.01</v>
      </c>
      <c r="AK29" t="n">
        <v>13.92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46.74</v>
      </c>
      <c r="AV29" t="n">
        <v>0</v>
      </c>
      <c r="AW29" t="n">
        <v>117.9</v>
      </c>
      <c r="AX29" t="inlineStr">
        <is>
          <t>settled</t>
        </is>
      </c>
      <c r="AY29" t="inlineStr">
        <is>
          <t>2025-12-17 05:30:00</t>
        </is>
      </c>
      <c r="AZ29" t="inlineStr">
        <is>
          <t>CITIN25671113204</t>
        </is>
      </c>
      <c r="BA29" t="n">
        <v>0</v>
      </c>
      <c r="BB29" t="inlineStr">
        <is>
          <t>47f105e9cfaf98392ab86c045e2911f0e145f0c9f5cb34fca5ce5b0d9bad2a22</t>
        </is>
      </c>
    </row>
    <row r="30">
      <c r="A30" t="inlineStr">
        <is>
          <t>370</t>
        </is>
      </c>
      <c r="B30" t="inlineStr">
        <is>
          <t>7545537990</t>
        </is>
      </c>
      <c r="C30" t="inlineStr">
        <is>
          <t>2025-12-08 16:07:50</t>
        </is>
      </c>
      <c r="D30" t="inlineStr">
        <is>
          <t>50</t>
        </is>
      </c>
      <c r="E30" t="inlineStr">
        <is>
          <t>Sha Sha - Shandaar Shawarma</t>
        </is>
      </c>
      <c r="F30" t="inlineStr">
        <is>
          <t>18557902</t>
        </is>
      </c>
      <c r="G30" t="inlineStr">
        <is>
          <t>30% off upto ₹75 (2025-06-25 - 2031-01-01)</t>
        </is>
      </c>
      <c r="H30" t="inlineStr">
        <is>
          <t>ONLINE</t>
        </is>
      </c>
      <c r="I30" t="inlineStr">
        <is>
          <t>DELIVERED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O2</t>
        </is>
      </c>
      <c r="N30" t="inlineStr">
        <is>
          <t>36</t>
        </is>
      </c>
      <c r="O30" t="n">
        <v>229</v>
      </c>
      <c r="P30" t="n">
        <v>3.5</v>
      </c>
      <c r="Q30" t="n">
        <v>0</v>
      </c>
      <c r="R30" t="n">
        <v>68.7</v>
      </c>
      <c r="S30" t="n">
        <v>0</v>
      </c>
      <c r="T30" t="n">
        <v>0</v>
      </c>
      <c r="U30" t="n">
        <v>0</v>
      </c>
      <c r="V30" t="n">
        <v>8.19</v>
      </c>
      <c r="W30" t="n">
        <v>171.99</v>
      </c>
      <c r="X30" t="n">
        <v>163.8</v>
      </c>
      <c r="Y30" t="n">
        <v>19</v>
      </c>
      <c r="Z30" t="n">
        <v>31.12</v>
      </c>
      <c r="AA30" t="n">
        <v>3.16</v>
      </c>
      <c r="AB30" t="n">
        <v>34.28</v>
      </c>
      <c r="AC30" t="n">
        <v>6.17</v>
      </c>
      <c r="AD30" t="n">
        <v>0</v>
      </c>
      <c r="AE30" t="n">
        <v>163.8</v>
      </c>
      <c r="AF30" t="n">
        <v>0</v>
      </c>
      <c r="AG30" t="n">
        <v>0</v>
      </c>
      <c r="AH30" t="n">
        <v>0.16</v>
      </c>
      <c r="AI30" t="n">
        <v>8.199999999999999</v>
      </c>
      <c r="AJ30" t="n">
        <v>-0.01</v>
      </c>
      <c r="AK30" t="n">
        <v>14.53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48.81</v>
      </c>
      <c r="AV30" t="n">
        <v>0</v>
      </c>
      <c r="AW30" t="n">
        <v>123.18</v>
      </c>
      <c r="AX30" t="inlineStr">
        <is>
          <t>settled</t>
        </is>
      </c>
      <c r="AY30" t="inlineStr">
        <is>
          <t>2025-12-17 05:30:00</t>
        </is>
      </c>
      <c r="AZ30" t="inlineStr">
        <is>
          <t>CITIN25671113204</t>
        </is>
      </c>
      <c r="BA30" t="n">
        <v>0</v>
      </c>
      <c r="BB30" t="inlineStr">
        <is>
          <t>4a6c89fa798fad8f20fd74904ca92d0f0ab7afd783ff82f2c7517516ae20b6a3</t>
        </is>
      </c>
    </row>
    <row r="31">
      <c r="A31" t="inlineStr">
        <is>
          <t>371</t>
        </is>
      </c>
      <c r="B31" t="inlineStr">
        <is>
          <t>7553601955</t>
        </is>
      </c>
      <c r="C31" t="inlineStr">
        <is>
          <t>2025-12-08 16:21:36</t>
        </is>
      </c>
      <c r="D31" t="inlineStr">
        <is>
          <t>50</t>
        </is>
      </c>
      <c r="E31" t="inlineStr">
        <is>
          <t>Sha Sha - Shandaar Shawarma</t>
        </is>
      </c>
      <c r="F31" t="inlineStr">
        <is>
          <t>18557902</t>
        </is>
      </c>
      <c r="G31" t="inlineStr">
        <is>
          <t>30% off upto ₹75 (2025-06-25 - 2031-01-01)</t>
        </is>
      </c>
      <c r="H31" t="inlineStr">
        <is>
          <t>ONLINE</t>
        </is>
      </c>
      <c r="I31" t="inlineStr">
        <is>
          <t>DELIVERED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O2</t>
        </is>
      </c>
      <c r="N31" t="inlineStr">
        <is>
          <t>36</t>
        </is>
      </c>
      <c r="O31" t="n">
        <v>229</v>
      </c>
      <c r="P31" t="n">
        <v>3.5</v>
      </c>
      <c r="Q31" t="n">
        <v>0</v>
      </c>
      <c r="R31" t="n">
        <v>68.7</v>
      </c>
      <c r="S31" t="n">
        <v>0</v>
      </c>
      <c r="T31" t="n">
        <v>0</v>
      </c>
      <c r="U31" t="n">
        <v>0</v>
      </c>
      <c r="V31" t="n">
        <v>8.19</v>
      </c>
      <c r="W31" t="n">
        <v>171.99</v>
      </c>
      <c r="X31" t="n">
        <v>163.8</v>
      </c>
      <c r="Y31" t="n">
        <v>19</v>
      </c>
      <c r="Z31" t="n">
        <v>31.12</v>
      </c>
      <c r="AA31" t="n">
        <v>3.16</v>
      </c>
      <c r="AB31" t="n">
        <v>34.28</v>
      </c>
      <c r="AC31" t="n">
        <v>6.17</v>
      </c>
      <c r="AD31" t="n">
        <v>0</v>
      </c>
      <c r="AE31" t="n">
        <v>163.8</v>
      </c>
      <c r="AF31" t="n">
        <v>0</v>
      </c>
      <c r="AG31" t="n">
        <v>0</v>
      </c>
      <c r="AH31" t="n">
        <v>0.16</v>
      </c>
      <c r="AI31" t="n">
        <v>8.199999999999999</v>
      </c>
      <c r="AJ31" t="n">
        <v>-0.01</v>
      </c>
      <c r="AK31" t="n">
        <v>14.53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48.81</v>
      </c>
      <c r="AV31" t="n">
        <v>0</v>
      </c>
      <c r="AW31" t="n">
        <v>123.18</v>
      </c>
      <c r="AX31" t="inlineStr">
        <is>
          <t>settled</t>
        </is>
      </c>
      <c r="AY31" t="inlineStr">
        <is>
          <t>2025-12-17 05:30:00</t>
        </is>
      </c>
      <c r="AZ31" t="inlineStr">
        <is>
          <t>CITIN25671113204</t>
        </is>
      </c>
      <c r="BA31" t="n">
        <v>0</v>
      </c>
      <c r="BB31" t="inlineStr">
        <is>
          <t>0ed37a7c483b189a15a0c388a31ee1c43db9cb43bd72ed8d3a52c05328252ec7</t>
        </is>
      </c>
    </row>
    <row r="32">
      <c r="A32" t="inlineStr">
        <is>
          <t>372</t>
        </is>
      </c>
      <c r="B32" t="inlineStr">
        <is>
          <t>7558130764</t>
        </is>
      </c>
      <c r="C32" t="inlineStr">
        <is>
          <t>2025-12-08 17:05:59</t>
        </is>
      </c>
      <c r="D32" t="inlineStr">
        <is>
          <t>50</t>
        </is>
      </c>
      <c r="E32" t="inlineStr">
        <is>
          <t>Sha Sha - Shandaar Shawarma</t>
        </is>
      </c>
      <c r="F32" t="inlineStr">
        <is>
          <t>18557902</t>
        </is>
      </c>
      <c r="G32" t="inlineStr">
        <is>
          <t>30% off upto ₹75 (2025-06-25 - 2031-01-01)</t>
        </is>
      </c>
      <c r="H32" t="inlineStr">
        <is>
          <t>ONLINE</t>
        </is>
      </c>
      <c r="I32" t="inlineStr">
        <is>
          <t>DELIVERED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O2</t>
        </is>
      </c>
      <c r="N32" t="inlineStr">
        <is>
          <t>36</t>
        </is>
      </c>
      <c r="O32" t="n">
        <v>219</v>
      </c>
      <c r="P32" t="n">
        <v>3.5</v>
      </c>
      <c r="Q32" t="n">
        <v>0</v>
      </c>
      <c r="R32" t="n">
        <v>65.7</v>
      </c>
      <c r="S32" t="n">
        <v>0</v>
      </c>
      <c r="T32" t="n">
        <v>0</v>
      </c>
      <c r="U32" t="n">
        <v>0</v>
      </c>
      <c r="V32" t="n">
        <v>7.84</v>
      </c>
      <c r="W32" t="n">
        <v>164.64</v>
      </c>
      <c r="X32" t="n">
        <v>156.8</v>
      </c>
      <c r="Y32" t="n">
        <v>19</v>
      </c>
      <c r="Z32" t="n">
        <v>29.79</v>
      </c>
      <c r="AA32" t="n">
        <v>3.03</v>
      </c>
      <c r="AB32" t="n">
        <v>32.82</v>
      </c>
      <c r="AC32" t="n">
        <v>5.91</v>
      </c>
      <c r="AD32" t="n">
        <v>0</v>
      </c>
      <c r="AE32" t="n">
        <v>156.8</v>
      </c>
      <c r="AF32" t="n">
        <v>0</v>
      </c>
      <c r="AG32" t="n">
        <v>0</v>
      </c>
      <c r="AH32" t="n">
        <v>0.16</v>
      </c>
      <c r="AI32" t="n">
        <v>7.85</v>
      </c>
      <c r="AJ32" t="n">
        <v>-0.01</v>
      </c>
      <c r="AK32" t="n">
        <v>13.92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46.74</v>
      </c>
      <c r="AV32" t="n">
        <v>0</v>
      </c>
      <c r="AW32" t="n">
        <v>117.9</v>
      </c>
      <c r="AX32" t="inlineStr">
        <is>
          <t>settled</t>
        </is>
      </c>
      <c r="AY32" t="inlineStr">
        <is>
          <t>2025-12-17 05:30:00</t>
        </is>
      </c>
      <c r="AZ32" t="inlineStr">
        <is>
          <t>CITIN25671113204</t>
        </is>
      </c>
      <c r="BA32" t="n">
        <v>0</v>
      </c>
      <c r="BB32" t="inlineStr">
        <is>
          <t>dd41556967fc93fb500d60dc7c2d8757943eb87032ea2b1b2aeb65738d95c897</t>
        </is>
      </c>
    </row>
    <row r="33">
      <c r="A33" t="inlineStr">
        <is>
          <t>373</t>
        </is>
      </c>
      <c r="B33" t="inlineStr">
        <is>
          <t>7555292050</t>
        </is>
      </c>
      <c r="C33" t="inlineStr">
        <is>
          <t>2025-12-08 17:19:49</t>
        </is>
      </c>
      <c r="D33" t="inlineStr">
        <is>
          <t>50</t>
        </is>
      </c>
      <c r="E33" t="inlineStr">
        <is>
          <t>Sha Sha - Shandaar Shawarma</t>
        </is>
      </c>
      <c r="F33" t="inlineStr">
        <is>
          <t>18557902</t>
        </is>
      </c>
      <c r="G33" t="inlineStr">
        <is>
          <t>30% off upto ₹75 (2025-06-25 - 2031-01-01)</t>
        </is>
      </c>
      <c r="H33" t="inlineStr">
        <is>
          <t>ONLINE</t>
        </is>
      </c>
      <c r="I33" t="inlineStr">
        <is>
          <t>DELIVERED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O2</t>
        </is>
      </c>
      <c r="N33" t="inlineStr">
        <is>
          <t>36</t>
        </is>
      </c>
      <c r="O33" t="n">
        <v>438</v>
      </c>
      <c r="P33" t="n">
        <v>3.5</v>
      </c>
      <c r="Q33" t="n">
        <v>0</v>
      </c>
      <c r="R33" t="n">
        <v>75</v>
      </c>
      <c r="S33" t="n">
        <v>0</v>
      </c>
      <c r="T33" t="n">
        <v>0</v>
      </c>
      <c r="U33" t="n">
        <v>0</v>
      </c>
      <c r="V33" t="n">
        <v>18.33</v>
      </c>
      <c r="W33" t="n">
        <v>384.83</v>
      </c>
      <c r="X33" t="n">
        <v>366.5</v>
      </c>
      <c r="Y33" t="n">
        <v>19</v>
      </c>
      <c r="Z33" t="n">
        <v>69.64</v>
      </c>
      <c r="AA33" t="n">
        <v>7.08</v>
      </c>
      <c r="AB33" t="n">
        <v>76.72</v>
      </c>
      <c r="AC33" t="n">
        <v>13.81</v>
      </c>
      <c r="AD33" t="n">
        <v>0</v>
      </c>
      <c r="AE33" t="n">
        <v>366.5</v>
      </c>
      <c r="AF33" t="n">
        <v>0</v>
      </c>
      <c r="AG33" t="n">
        <v>0</v>
      </c>
      <c r="AH33" t="n">
        <v>0.37</v>
      </c>
      <c r="AI33" t="n">
        <v>18.33</v>
      </c>
      <c r="AJ33" t="n">
        <v>0</v>
      </c>
      <c r="AK33" t="n">
        <v>32.51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109.23</v>
      </c>
      <c r="AV33" t="n">
        <v>0</v>
      </c>
      <c r="AW33" t="n">
        <v>275.6</v>
      </c>
      <c r="AX33" t="inlineStr">
        <is>
          <t>settled</t>
        </is>
      </c>
      <c r="AY33" t="inlineStr">
        <is>
          <t>2025-12-17 05:30:00</t>
        </is>
      </c>
      <c r="AZ33" t="inlineStr">
        <is>
          <t>CITIN25671113204</t>
        </is>
      </c>
      <c r="BA33" t="n">
        <v>0</v>
      </c>
      <c r="BB33" t="inlineStr">
        <is>
          <t>d3ab7759566190bad9823e9232e192f7f94df13e60be29d5e8a0cc629d2b4e98</t>
        </is>
      </c>
    </row>
    <row r="34">
      <c r="A34" t="inlineStr">
        <is>
          <t>374</t>
        </is>
      </c>
      <c r="B34" t="inlineStr">
        <is>
          <t>7562295548</t>
        </is>
      </c>
      <c r="C34" t="inlineStr">
        <is>
          <t>2025-12-08 17:51:52</t>
        </is>
      </c>
      <c r="D34" t="inlineStr">
        <is>
          <t>50</t>
        </is>
      </c>
      <c r="E34" t="inlineStr">
        <is>
          <t>Sha Sha - Shandaar Shawarma</t>
        </is>
      </c>
      <c r="F34" t="inlineStr">
        <is>
          <t>18557902</t>
        </is>
      </c>
      <c r="G34" t="inlineStr">
        <is>
          <t>NA</t>
        </is>
      </c>
      <c r="H34" t="inlineStr">
        <is>
          <t>ONLINE</t>
        </is>
      </c>
      <c r="I34" t="inlineStr">
        <is>
          <t>DELIVERED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O2</t>
        </is>
      </c>
      <c r="N34" t="inlineStr">
        <is>
          <t>36</t>
        </is>
      </c>
      <c r="O34" t="n">
        <v>219</v>
      </c>
      <c r="P34" t="n">
        <v>3.5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11.13</v>
      </c>
      <c r="W34" t="n">
        <v>233.63</v>
      </c>
      <c r="X34" t="n">
        <v>222.5</v>
      </c>
      <c r="Y34" t="n">
        <v>19</v>
      </c>
      <c r="Z34" t="n">
        <v>42.28</v>
      </c>
      <c r="AA34" t="n">
        <v>4.3</v>
      </c>
      <c r="AB34" t="n">
        <v>46.58</v>
      </c>
      <c r="AC34" t="n">
        <v>8.380000000000001</v>
      </c>
      <c r="AD34" t="n">
        <v>0</v>
      </c>
      <c r="AE34" t="n">
        <v>222.5</v>
      </c>
      <c r="AF34" t="n">
        <v>0</v>
      </c>
      <c r="AG34" t="n">
        <v>0</v>
      </c>
      <c r="AH34" t="n">
        <v>0.22</v>
      </c>
      <c r="AI34" t="n">
        <v>11.13</v>
      </c>
      <c r="AJ34" t="n">
        <v>0</v>
      </c>
      <c r="AK34" t="n">
        <v>19.73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66.31</v>
      </c>
      <c r="AV34" t="n">
        <v>0</v>
      </c>
      <c r="AW34" t="n">
        <v>167.32</v>
      </c>
      <c r="AX34" t="inlineStr">
        <is>
          <t>settled</t>
        </is>
      </c>
      <c r="AY34" t="inlineStr">
        <is>
          <t>2025-12-17 05:30:00</t>
        </is>
      </c>
      <c r="AZ34" t="inlineStr">
        <is>
          <t>CITIN25671113204</t>
        </is>
      </c>
      <c r="BA34" t="n">
        <v>0</v>
      </c>
      <c r="BB34" t="inlineStr">
        <is>
          <t>918940d869889f0cd25b5a8cafb23eb692270178a156638686d754af2ca0dc69</t>
        </is>
      </c>
    </row>
    <row r="35">
      <c r="A35" t="inlineStr">
        <is>
          <t>375</t>
        </is>
      </c>
      <c r="B35" t="inlineStr">
        <is>
          <t>7553855932</t>
        </is>
      </c>
      <c r="C35" t="inlineStr">
        <is>
          <t>2025-12-08 18:52:21</t>
        </is>
      </c>
      <c r="D35" t="inlineStr">
        <is>
          <t>50</t>
        </is>
      </c>
      <c r="E35" t="inlineStr">
        <is>
          <t>Sha Sha - Shandaar Shawarma</t>
        </is>
      </c>
      <c r="F35" t="inlineStr">
        <is>
          <t>18557902</t>
        </is>
      </c>
      <c r="G35" t="inlineStr">
        <is>
          <t>NA</t>
        </is>
      </c>
      <c r="H35" t="inlineStr">
        <is>
          <t>ONLINE</t>
        </is>
      </c>
      <c r="I35" t="inlineStr">
        <is>
          <t>DELIVERED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O2</t>
        </is>
      </c>
      <c r="N35" t="inlineStr">
        <is>
          <t>36</t>
        </is>
      </c>
      <c r="O35" t="n">
        <v>219</v>
      </c>
      <c r="P35" t="n">
        <v>3.5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11.13</v>
      </c>
      <c r="W35" t="n">
        <v>233.63</v>
      </c>
      <c r="X35" t="n">
        <v>222.5</v>
      </c>
      <c r="Y35" t="n">
        <v>19</v>
      </c>
      <c r="Z35" t="n">
        <v>42.28</v>
      </c>
      <c r="AA35" t="n">
        <v>4.3</v>
      </c>
      <c r="AB35" t="n">
        <v>46.58</v>
      </c>
      <c r="AC35" t="n">
        <v>8.380000000000001</v>
      </c>
      <c r="AD35" t="n">
        <v>0</v>
      </c>
      <c r="AE35" t="n">
        <v>222.5</v>
      </c>
      <c r="AF35" t="n">
        <v>0</v>
      </c>
      <c r="AG35" t="n">
        <v>0</v>
      </c>
      <c r="AH35" t="n">
        <v>0.22</v>
      </c>
      <c r="AI35" t="n">
        <v>11.13</v>
      </c>
      <c r="AJ35" t="n">
        <v>0</v>
      </c>
      <c r="AK35" t="n">
        <v>19.73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66.31</v>
      </c>
      <c r="AV35" t="n">
        <v>0</v>
      </c>
      <c r="AW35" t="n">
        <v>167.32</v>
      </c>
      <c r="AX35" t="inlineStr">
        <is>
          <t>settled</t>
        </is>
      </c>
      <c r="AY35" t="inlineStr">
        <is>
          <t>2025-12-17 05:30:00</t>
        </is>
      </c>
      <c r="AZ35" t="inlineStr">
        <is>
          <t>CITIN25671113204</t>
        </is>
      </c>
      <c r="BA35" t="n">
        <v>0</v>
      </c>
      <c r="BB35" t="inlineStr">
        <is>
          <t>bfc2bf6ae13de40bd0da3820b47e074a6e7136d44cb2dcd41414a574726bfb74</t>
        </is>
      </c>
    </row>
    <row r="36">
      <c r="A36" t="inlineStr">
        <is>
          <t>376</t>
        </is>
      </c>
      <c r="B36" t="inlineStr">
        <is>
          <t>7562747674</t>
        </is>
      </c>
      <c r="C36" t="inlineStr">
        <is>
          <t>2025-12-08 19:20:34</t>
        </is>
      </c>
      <c r="D36" t="inlineStr">
        <is>
          <t>50</t>
        </is>
      </c>
      <c r="E36" t="inlineStr">
        <is>
          <t>Sha Sha - Shandaar Shawarma</t>
        </is>
      </c>
      <c r="F36" t="inlineStr">
        <is>
          <t>18557902</t>
        </is>
      </c>
      <c r="G36" t="inlineStr">
        <is>
          <t>30% off upto ₹75 (2025-06-25 - 2031-01-01)</t>
        </is>
      </c>
      <c r="H36" t="inlineStr">
        <is>
          <t>ONLINE</t>
        </is>
      </c>
      <c r="I36" t="inlineStr">
        <is>
          <t>DELIVERED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O2</t>
        </is>
      </c>
      <c r="N36" t="inlineStr">
        <is>
          <t>36</t>
        </is>
      </c>
      <c r="O36" t="n">
        <v>637</v>
      </c>
      <c r="P36" t="n">
        <v>3.5</v>
      </c>
      <c r="Q36" t="n">
        <v>0</v>
      </c>
      <c r="R36" t="n">
        <v>75</v>
      </c>
      <c r="S36" t="n">
        <v>0</v>
      </c>
      <c r="T36" t="n">
        <v>0</v>
      </c>
      <c r="U36" t="n">
        <v>0</v>
      </c>
      <c r="V36" t="n">
        <v>28.28</v>
      </c>
      <c r="W36" t="n">
        <v>593.78</v>
      </c>
      <c r="X36" t="n">
        <v>565.5</v>
      </c>
      <c r="Y36" t="n">
        <v>19</v>
      </c>
      <c r="Z36" t="n">
        <v>107.44</v>
      </c>
      <c r="AA36" t="n">
        <v>10.93</v>
      </c>
      <c r="AB36" t="n">
        <v>118.37</v>
      </c>
      <c r="AC36" t="n">
        <v>21.31</v>
      </c>
      <c r="AD36" t="n">
        <v>0</v>
      </c>
      <c r="AE36" t="n">
        <v>565.5</v>
      </c>
      <c r="AF36" t="n">
        <v>0</v>
      </c>
      <c r="AG36" t="n">
        <v>0</v>
      </c>
      <c r="AH36" t="n">
        <v>0.57</v>
      </c>
      <c r="AI36" t="n">
        <v>28.28</v>
      </c>
      <c r="AJ36" t="n">
        <v>0</v>
      </c>
      <c r="AK36" t="n">
        <v>50.16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168.53</v>
      </c>
      <c r="AV36" t="n">
        <v>0</v>
      </c>
      <c r="AW36" t="n">
        <v>425.25</v>
      </c>
      <c r="AX36" t="inlineStr">
        <is>
          <t>settled</t>
        </is>
      </c>
      <c r="AY36" t="inlineStr">
        <is>
          <t>2025-12-17 05:30:00</t>
        </is>
      </c>
      <c r="AZ36" t="inlineStr">
        <is>
          <t>CITIN25671113204</t>
        </is>
      </c>
      <c r="BA36" t="n">
        <v>0</v>
      </c>
      <c r="BB36" t="inlineStr">
        <is>
          <t>9d885754b22cc177527a3ce38d2bcf40e6c291a3bf455bef068992e9eab5265f</t>
        </is>
      </c>
    </row>
    <row r="37">
      <c r="A37" t="inlineStr">
        <is>
          <t>377</t>
        </is>
      </c>
      <c r="B37" t="inlineStr">
        <is>
          <t>7558494752</t>
        </is>
      </c>
      <c r="C37" t="inlineStr">
        <is>
          <t>2025-12-08 20:04:27</t>
        </is>
      </c>
      <c r="D37" t="inlineStr">
        <is>
          <t>50</t>
        </is>
      </c>
      <c r="E37" t="inlineStr">
        <is>
          <t>Sha Sha - Shandaar Shawarma</t>
        </is>
      </c>
      <c r="F37" t="inlineStr">
        <is>
          <t>18557902</t>
        </is>
      </c>
      <c r="G37" t="inlineStr">
        <is>
          <t>30% off upto ₹75 (2025-06-25 - 2031-01-01)</t>
        </is>
      </c>
      <c r="H37" t="inlineStr">
        <is>
          <t>ONLINE</t>
        </is>
      </c>
      <c r="I37" t="inlineStr">
        <is>
          <t>DELIVERED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O2</t>
        </is>
      </c>
      <c r="N37" t="inlineStr">
        <is>
          <t>36</t>
        </is>
      </c>
      <c r="O37" t="n">
        <v>219</v>
      </c>
      <c r="P37" t="n">
        <v>3.5</v>
      </c>
      <c r="Q37" t="n">
        <v>0</v>
      </c>
      <c r="R37" t="n">
        <v>65.7</v>
      </c>
      <c r="S37" t="n">
        <v>0</v>
      </c>
      <c r="T37" t="n">
        <v>0</v>
      </c>
      <c r="U37" t="n">
        <v>0</v>
      </c>
      <c r="V37" t="n">
        <v>7.84</v>
      </c>
      <c r="W37" t="n">
        <v>164.64</v>
      </c>
      <c r="X37" t="n">
        <v>156.8</v>
      </c>
      <c r="Y37" t="n">
        <v>19</v>
      </c>
      <c r="Z37" t="n">
        <v>29.79</v>
      </c>
      <c r="AA37" t="n">
        <v>3.03</v>
      </c>
      <c r="AB37" t="n">
        <v>32.82</v>
      </c>
      <c r="AC37" t="n">
        <v>5.91</v>
      </c>
      <c r="AD37" t="n">
        <v>0</v>
      </c>
      <c r="AE37" t="n">
        <v>156.8</v>
      </c>
      <c r="AF37" t="n">
        <v>0</v>
      </c>
      <c r="AG37" t="n">
        <v>0</v>
      </c>
      <c r="AH37" t="n">
        <v>0.16</v>
      </c>
      <c r="AI37" t="n">
        <v>7.85</v>
      </c>
      <c r="AJ37" t="n">
        <v>-0.01</v>
      </c>
      <c r="AK37" t="n">
        <v>13.92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46.74</v>
      </c>
      <c r="AV37" t="n">
        <v>0</v>
      </c>
      <c r="AW37" t="n">
        <v>117.9</v>
      </c>
      <c r="AX37" t="inlineStr">
        <is>
          <t>settled</t>
        </is>
      </c>
      <c r="AY37" t="inlineStr">
        <is>
          <t>2025-12-17 05:30:00</t>
        </is>
      </c>
      <c r="AZ37" t="inlineStr">
        <is>
          <t>CITIN25671113204</t>
        </is>
      </c>
      <c r="BA37" t="n">
        <v>0</v>
      </c>
      <c r="BB37" t="inlineStr">
        <is>
          <t>04fa2d85ae0bac53c305d505cb2593d9d057e89ffb9071bb2fb965476e1db447</t>
        </is>
      </c>
    </row>
    <row r="38">
      <c r="A38" t="inlineStr">
        <is>
          <t>378</t>
        </is>
      </c>
      <c r="B38" t="inlineStr">
        <is>
          <t>7557814668</t>
        </is>
      </c>
      <c r="C38" t="inlineStr">
        <is>
          <t>2025-12-08 20:25:56</t>
        </is>
      </c>
      <c r="D38" t="inlineStr">
        <is>
          <t>50</t>
        </is>
      </c>
      <c r="E38" t="inlineStr">
        <is>
          <t>Sha Sha - Shandaar Shawarma</t>
        </is>
      </c>
      <c r="F38" t="inlineStr">
        <is>
          <t>18557902</t>
        </is>
      </c>
      <c r="G38" t="inlineStr">
        <is>
          <t>30% off upto ₹75 (2025-06-25 - 2031-01-01)</t>
        </is>
      </c>
      <c r="H38" t="inlineStr">
        <is>
          <t>ONLINE</t>
        </is>
      </c>
      <c r="I38" t="inlineStr">
        <is>
          <t>DELIVERED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O2</t>
        </is>
      </c>
      <c r="N38" t="inlineStr">
        <is>
          <t>36</t>
        </is>
      </c>
      <c r="O38" t="n">
        <v>229</v>
      </c>
      <c r="P38" t="n">
        <v>3.5</v>
      </c>
      <c r="Q38" t="n">
        <v>0</v>
      </c>
      <c r="R38" t="n">
        <v>68.7</v>
      </c>
      <c r="S38" t="n">
        <v>0</v>
      </c>
      <c r="T38" t="n">
        <v>0</v>
      </c>
      <c r="U38" t="n">
        <v>0</v>
      </c>
      <c r="V38" t="n">
        <v>8.19</v>
      </c>
      <c r="W38" t="n">
        <v>171.99</v>
      </c>
      <c r="X38" t="n">
        <v>163.8</v>
      </c>
      <c r="Y38" t="n">
        <v>19</v>
      </c>
      <c r="Z38" t="n">
        <v>31.12</v>
      </c>
      <c r="AA38" t="n">
        <v>3.16</v>
      </c>
      <c r="AB38" t="n">
        <v>34.28</v>
      </c>
      <c r="AC38" t="n">
        <v>6.17</v>
      </c>
      <c r="AD38" t="n">
        <v>0</v>
      </c>
      <c r="AE38" t="n">
        <v>163.8</v>
      </c>
      <c r="AF38" t="n">
        <v>0</v>
      </c>
      <c r="AG38" t="n">
        <v>0</v>
      </c>
      <c r="AH38" t="n">
        <v>0.16</v>
      </c>
      <c r="AI38" t="n">
        <v>8.199999999999999</v>
      </c>
      <c r="AJ38" t="n">
        <v>-0.01</v>
      </c>
      <c r="AK38" t="n">
        <v>14.53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48.81</v>
      </c>
      <c r="AV38" t="n">
        <v>0</v>
      </c>
      <c r="AW38" t="n">
        <v>123.18</v>
      </c>
      <c r="AX38" t="inlineStr">
        <is>
          <t>settled</t>
        </is>
      </c>
      <c r="AY38" t="inlineStr">
        <is>
          <t>2025-12-17 05:30:00</t>
        </is>
      </c>
      <c r="AZ38" t="inlineStr">
        <is>
          <t>CITIN25671113204</t>
        </is>
      </c>
      <c r="BA38" t="n">
        <v>0</v>
      </c>
      <c r="BB38" t="inlineStr">
        <is>
          <t>58bb671014ca4c0d8091eda15b49508e0e9549b8126851d4666b687ea47052c0</t>
        </is>
      </c>
    </row>
    <row r="39">
      <c r="A39" t="inlineStr">
        <is>
          <t>379</t>
        </is>
      </c>
      <c r="B39" t="inlineStr">
        <is>
          <t>7562014998</t>
        </is>
      </c>
      <c r="C39" t="inlineStr">
        <is>
          <t>2025-12-08 20:57:50</t>
        </is>
      </c>
      <c r="D39" t="inlineStr">
        <is>
          <t>50</t>
        </is>
      </c>
      <c r="E39" t="inlineStr">
        <is>
          <t>Sha Sha - Shandaar Shawarma</t>
        </is>
      </c>
      <c r="F39" t="inlineStr">
        <is>
          <t>18557902</t>
        </is>
      </c>
      <c r="G39" t="inlineStr">
        <is>
          <t>NA</t>
        </is>
      </c>
      <c r="H39" t="inlineStr">
        <is>
          <t>ONLINE</t>
        </is>
      </c>
      <c r="I39" t="inlineStr">
        <is>
          <t>DELIVERED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O2</t>
        </is>
      </c>
      <c r="N39" t="inlineStr">
        <is>
          <t>36</t>
        </is>
      </c>
      <c r="O39" t="n">
        <v>229</v>
      </c>
      <c r="P39" t="n">
        <v>3.5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11.63</v>
      </c>
      <c r="W39" t="n">
        <v>244.13</v>
      </c>
      <c r="X39" t="n">
        <v>232.5</v>
      </c>
      <c r="Y39" t="n">
        <v>19</v>
      </c>
      <c r="Z39" t="n">
        <v>44.18</v>
      </c>
      <c r="AA39" t="n">
        <v>4.49</v>
      </c>
      <c r="AB39" t="n">
        <v>48.67</v>
      </c>
      <c r="AC39" t="n">
        <v>8.76</v>
      </c>
      <c r="AD39" t="n">
        <v>0</v>
      </c>
      <c r="AE39" t="n">
        <v>232.5</v>
      </c>
      <c r="AF39" t="n">
        <v>0</v>
      </c>
      <c r="AG39" t="n">
        <v>0</v>
      </c>
      <c r="AH39" t="n">
        <v>0.23</v>
      </c>
      <c r="AI39" t="n">
        <v>11.63</v>
      </c>
      <c r="AJ39" t="n">
        <v>0</v>
      </c>
      <c r="AK39" t="n">
        <v>20.62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69.29000000000001</v>
      </c>
      <c r="AV39" t="n">
        <v>0</v>
      </c>
      <c r="AW39" t="n">
        <v>174.84</v>
      </c>
      <c r="AX39" t="inlineStr">
        <is>
          <t>settled</t>
        </is>
      </c>
      <c r="AY39" t="inlineStr">
        <is>
          <t>2025-12-17 05:30:00</t>
        </is>
      </c>
      <c r="AZ39" t="inlineStr">
        <is>
          <t>CITIN25671113204</t>
        </is>
      </c>
      <c r="BA39" t="n">
        <v>0</v>
      </c>
      <c r="BB39" t="inlineStr">
        <is>
          <t>8f43b542ff0baecb3df8a132d94018b248ee2c4afeec043993ef531e7da8938c</t>
        </is>
      </c>
    </row>
    <row r="40">
      <c r="A40" t="inlineStr">
        <is>
          <t>380</t>
        </is>
      </c>
      <c r="B40" t="inlineStr">
        <is>
          <t>7560690136</t>
        </is>
      </c>
      <c r="C40" t="inlineStr">
        <is>
          <t>2025-12-08 21:14:36</t>
        </is>
      </c>
      <c r="D40" t="inlineStr">
        <is>
          <t>50</t>
        </is>
      </c>
      <c r="E40" t="inlineStr">
        <is>
          <t>Sha Sha - Shandaar Shawarma</t>
        </is>
      </c>
      <c r="F40" t="inlineStr">
        <is>
          <t>18557902</t>
        </is>
      </c>
      <c r="G40" t="inlineStr">
        <is>
          <t>30% off upto ₹75 (2025-06-25 - 2031-01-01)</t>
        </is>
      </c>
      <c r="H40" t="inlineStr">
        <is>
          <t>ONLINE</t>
        </is>
      </c>
      <c r="I40" t="inlineStr">
        <is>
          <t>DELIVERED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O2</t>
        </is>
      </c>
      <c r="N40" t="inlineStr">
        <is>
          <t>36</t>
        </is>
      </c>
      <c r="O40" t="n">
        <v>229</v>
      </c>
      <c r="P40" t="n">
        <v>3.5</v>
      </c>
      <c r="Q40" t="n">
        <v>0</v>
      </c>
      <c r="R40" t="n">
        <v>68.7</v>
      </c>
      <c r="S40" t="n">
        <v>0</v>
      </c>
      <c r="T40" t="n">
        <v>0</v>
      </c>
      <c r="U40" t="n">
        <v>0</v>
      </c>
      <c r="V40" t="n">
        <v>8.19</v>
      </c>
      <c r="W40" t="n">
        <v>171.99</v>
      </c>
      <c r="X40" t="n">
        <v>163.8</v>
      </c>
      <c r="Y40" t="n">
        <v>19</v>
      </c>
      <c r="Z40" t="n">
        <v>31.12</v>
      </c>
      <c r="AA40" t="n">
        <v>3.16</v>
      </c>
      <c r="AB40" t="n">
        <v>34.28</v>
      </c>
      <c r="AC40" t="n">
        <v>6.17</v>
      </c>
      <c r="AD40" t="n">
        <v>0</v>
      </c>
      <c r="AE40" t="n">
        <v>163.8</v>
      </c>
      <c r="AF40" t="n">
        <v>0</v>
      </c>
      <c r="AG40" t="n">
        <v>0</v>
      </c>
      <c r="AH40" t="n">
        <v>0.16</v>
      </c>
      <c r="AI40" t="n">
        <v>8.199999999999999</v>
      </c>
      <c r="AJ40" t="n">
        <v>-0.01</v>
      </c>
      <c r="AK40" t="n">
        <v>14.53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48.81</v>
      </c>
      <c r="AV40" t="n">
        <v>0</v>
      </c>
      <c r="AW40" t="n">
        <v>123.18</v>
      </c>
      <c r="AX40" t="inlineStr">
        <is>
          <t>settled</t>
        </is>
      </c>
      <c r="AY40" t="inlineStr">
        <is>
          <t>2025-12-17 05:30:00</t>
        </is>
      </c>
      <c r="AZ40" t="inlineStr">
        <is>
          <t>CITIN25671113204</t>
        </is>
      </c>
      <c r="BA40" t="n">
        <v>0</v>
      </c>
      <c r="BB40" t="inlineStr">
        <is>
          <t>947b856af6beae7e3fdc88858167b21df6b706bb522d95ee53e09aca07d6600e</t>
        </is>
      </c>
    </row>
    <row r="41">
      <c r="A41" t="inlineStr">
        <is>
          <t>381</t>
        </is>
      </c>
      <c r="B41" t="inlineStr">
        <is>
          <t>7563617537</t>
        </is>
      </c>
      <c r="C41" t="inlineStr">
        <is>
          <t>2025-12-08 21:17:56</t>
        </is>
      </c>
      <c r="D41" t="inlineStr">
        <is>
          <t>50</t>
        </is>
      </c>
      <c r="E41" t="inlineStr">
        <is>
          <t>Sha Sha - Shandaar Shawarma</t>
        </is>
      </c>
      <c r="F41" t="inlineStr">
        <is>
          <t>18557902</t>
        </is>
      </c>
      <c r="G41" t="inlineStr">
        <is>
          <t>30% off upto ₹75 (2025-06-25 - 2031-01-01)</t>
        </is>
      </c>
      <c r="H41" t="inlineStr">
        <is>
          <t>ONLINE</t>
        </is>
      </c>
      <c r="I41" t="inlineStr">
        <is>
          <t>DELIVERED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O2</t>
        </is>
      </c>
      <c r="N41" t="inlineStr">
        <is>
          <t>36</t>
        </is>
      </c>
      <c r="O41" t="n">
        <v>289</v>
      </c>
      <c r="P41" t="n">
        <v>3.5</v>
      </c>
      <c r="Q41" t="n">
        <v>0</v>
      </c>
      <c r="R41" t="n">
        <v>75</v>
      </c>
      <c r="S41" t="n">
        <v>0</v>
      </c>
      <c r="T41" t="n">
        <v>0</v>
      </c>
      <c r="U41" t="n">
        <v>0</v>
      </c>
      <c r="V41" t="n">
        <v>10.88</v>
      </c>
      <c r="W41" t="n">
        <v>228.38</v>
      </c>
      <c r="X41" t="n">
        <v>217.5</v>
      </c>
      <c r="Y41" t="n">
        <v>19</v>
      </c>
      <c r="Z41" t="n">
        <v>41.32</v>
      </c>
      <c r="AA41" t="n">
        <v>4.2</v>
      </c>
      <c r="AB41" t="n">
        <v>45.52</v>
      </c>
      <c r="AC41" t="n">
        <v>8.199999999999999</v>
      </c>
      <c r="AD41" t="n">
        <v>0</v>
      </c>
      <c r="AE41" t="n">
        <v>217.5</v>
      </c>
      <c r="AF41" t="n">
        <v>0</v>
      </c>
      <c r="AG41" t="n">
        <v>0</v>
      </c>
      <c r="AH41" t="n">
        <v>0.22</v>
      </c>
      <c r="AI41" t="n">
        <v>10.88</v>
      </c>
      <c r="AJ41" t="n">
        <v>0</v>
      </c>
      <c r="AK41" t="n">
        <v>19.3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64.81999999999999</v>
      </c>
      <c r="AV41" t="n">
        <v>0</v>
      </c>
      <c r="AW41" t="n">
        <v>163.56</v>
      </c>
      <c r="AX41" t="inlineStr">
        <is>
          <t>settled</t>
        </is>
      </c>
      <c r="AY41" t="inlineStr">
        <is>
          <t>2025-12-17 05:30:00</t>
        </is>
      </c>
      <c r="AZ41" t="inlineStr">
        <is>
          <t>CITIN25671113204</t>
        </is>
      </c>
      <c r="BA41" t="n">
        <v>0</v>
      </c>
      <c r="BB41" t="inlineStr">
        <is>
          <t>683096cdd59dfcee62cbeb1ae20175adbbae62ab5f00ce72767e11af17be732a</t>
        </is>
      </c>
    </row>
    <row r="42">
      <c r="A42" t="inlineStr">
        <is>
          <t>382</t>
        </is>
      </c>
      <c r="B42" t="inlineStr">
        <is>
          <t>7561889825</t>
        </is>
      </c>
      <c r="C42" t="inlineStr">
        <is>
          <t>2025-12-08 21:29:41</t>
        </is>
      </c>
      <c r="D42" t="inlineStr">
        <is>
          <t>50</t>
        </is>
      </c>
      <c r="E42" t="inlineStr">
        <is>
          <t>Sha Sha - Shandaar Shawarma</t>
        </is>
      </c>
      <c r="F42" t="inlineStr">
        <is>
          <t>18557902</t>
        </is>
      </c>
      <c r="G42" t="inlineStr">
        <is>
          <t>30% off upto ₹75 (2025-06-25 - 2031-01-01)</t>
        </is>
      </c>
      <c r="H42" t="inlineStr">
        <is>
          <t>ONLINE</t>
        </is>
      </c>
      <c r="I42" t="inlineStr">
        <is>
          <t>DELIVERED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O2</t>
        </is>
      </c>
      <c r="N42" t="inlineStr">
        <is>
          <t>36</t>
        </is>
      </c>
      <c r="O42" t="n">
        <v>229</v>
      </c>
      <c r="P42" t="n">
        <v>3.5</v>
      </c>
      <c r="Q42" t="n">
        <v>0</v>
      </c>
      <c r="R42" t="n">
        <v>68.7</v>
      </c>
      <c r="S42" t="n">
        <v>0</v>
      </c>
      <c r="T42" t="n">
        <v>0</v>
      </c>
      <c r="U42" t="n">
        <v>0</v>
      </c>
      <c r="V42" t="n">
        <v>8.19</v>
      </c>
      <c r="W42" t="n">
        <v>171.99</v>
      </c>
      <c r="X42" t="n">
        <v>163.8</v>
      </c>
      <c r="Y42" t="n">
        <v>19</v>
      </c>
      <c r="Z42" t="n">
        <v>31.12</v>
      </c>
      <c r="AA42" t="n">
        <v>3.16</v>
      </c>
      <c r="AB42" t="n">
        <v>34.28</v>
      </c>
      <c r="AC42" t="n">
        <v>6.17</v>
      </c>
      <c r="AD42" t="n">
        <v>0</v>
      </c>
      <c r="AE42" t="n">
        <v>163.8</v>
      </c>
      <c r="AF42" t="n">
        <v>0</v>
      </c>
      <c r="AG42" t="n">
        <v>0</v>
      </c>
      <c r="AH42" t="n">
        <v>0.16</v>
      </c>
      <c r="AI42" t="n">
        <v>8.199999999999999</v>
      </c>
      <c r="AJ42" t="n">
        <v>-0.01</v>
      </c>
      <c r="AK42" t="n">
        <v>14.53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48.81</v>
      </c>
      <c r="AV42" t="n">
        <v>0</v>
      </c>
      <c r="AW42" t="n">
        <v>123.18</v>
      </c>
      <c r="AX42" t="inlineStr">
        <is>
          <t>settled</t>
        </is>
      </c>
      <c r="AY42" t="inlineStr">
        <is>
          <t>2025-12-17 05:30:00</t>
        </is>
      </c>
      <c r="AZ42" t="inlineStr">
        <is>
          <t>CITIN25671113204</t>
        </is>
      </c>
      <c r="BA42" t="n">
        <v>0</v>
      </c>
      <c r="BB42" t="inlineStr">
        <is>
          <t>aa9b6737d881644f80c884b58ec48d39c7b0f4684f10010246d4c1412284ad37</t>
        </is>
      </c>
    </row>
    <row r="43">
      <c r="A43" t="inlineStr">
        <is>
          <t>383</t>
        </is>
      </c>
      <c r="B43" t="inlineStr">
        <is>
          <t>7563560558</t>
        </is>
      </c>
      <c r="C43" t="inlineStr">
        <is>
          <t>2025-12-08 21:41:40</t>
        </is>
      </c>
      <c r="D43" t="inlineStr">
        <is>
          <t>50</t>
        </is>
      </c>
      <c r="E43" t="inlineStr">
        <is>
          <t>Sha Sha - Shandaar Shawarma</t>
        </is>
      </c>
      <c r="F43" t="inlineStr">
        <is>
          <t>18557902</t>
        </is>
      </c>
      <c r="G43" t="inlineStr">
        <is>
          <t>30% off upto ₹75 (2025-06-25 - 2031-01-01)</t>
        </is>
      </c>
      <c r="H43" t="inlineStr">
        <is>
          <t>ONLINE</t>
        </is>
      </c>
      <c r="I43" t="inlineStr">
        <is>
          <t>DELIVERED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O2</t>
        </is>
      </c>
      <c r="N43" t="inlineStr">
        <is>
          <t>36</t>
        </is>
      </c>
      <c r="O43" t="n">
        <v>268</v>
      </c>
      <c r="P43" t="n">
        <v>3.5</v>
      </c>
      <c r="Q43" t="n">
        <v>0</v>
      </c>
      <c r="R43" t="n">
        <v>75</v>
      </c>
      <c r="S43" t="n">
        <v>0</v>
      </c>
      <c r="T43" t="n">
        <v>0</v>
      </c>
      <c r="U43" t="n">
        <v>0</v>
      </c>
      <c r="V43" t="n">
        <v>9.83</v>
      </c>
      <c r="W43" t="n">
        <v>206.33</v>
      </c>
      <c r="X43" t="n">
        <v>196.5</v>
      </c>
      <c r="Y43" t="n">
        <v>19</v>
      </c>
      <c r="Z43" t="n">
        <v>37.34</v>
      </c>
      <c r="AA43" t="n">
        <v>3.8</v>
      </c>
      <c r="AB43" t="n">
        <v>41.14</v>
      </c>
      <c r="AC43" t="n">
        <v>7.4</v>
      </c>
      <c r="AD43" t="n">
        <v>0</v>
      </c>
      <c r="AE43" t="n">
        <v>196.5</v>
      </c>
      <c r="AF43" t="n">
        <v>0</v>
      </c>
      <c r="AG43" t="n">
        <v>0</v>
      </c>
      <c r="AH43" t="n">
        <v>0.2</v>
      </c>
      <c r="AI43" t="n">
        <v>9.83</v>
      </c>
      <c r="AJ43" t="n">
        <v>0</v>
      </c>
      <c r="AK43" t="n">
        <v>17.43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58.57</v>
      </c>
      <c r="AV43" t="n">
        <v>0</v>
      </c>
      <c r="AW43" t="n">
        <v>147.76</v>
      </c>
      <c r="AX43" t="inlineStr">
        <is>
          <t>settled</t>
        </is>
      </c>
      <c r="AY43" t="inlineStr">
        <is>
          <t>2025-12-17 05:30:00</t>
        </is>
      </c>
      <c r="AZ43" t="inlineStr">
        <is>
          <t>CITIN25671113204</t>
        </is>
      </c>
      <c r="BA43" t="n">
        <v>0</v>
      </c>
      <c r="BB43" t="inlineStr">
        <is>
          <t>d6cefa842a2437ed1d9ab76aafc43ecd28b099987bbce5275b317b6c3401776a</t>
        </is>
      </c>
    </row>
    <row r="44">
      <c r="A44" t="inlineStr">
        <is>
          <t>384</t>
        </is>
      </c>
      <c r="B44" t="inlineStr">
        <is>
          <t>7558294157</t>
        </is>
      </c>
      <c r="C44" t="inlineStr">
        <is>
          <t>2025-12-08 21:53:18</t>
        </is>
      </c>
      <c r="D44" t="inlineStr">
        <is>
          <t>50</t>
        </is>
      </c>
      <c r="E44" t="inlineStr">
        <is>
          <t>Sha Sha - Shandaar Shawarma</t>
        </is>
      </c>
      <c r="F44" t="inlineStr">
        <is>
          <t>18557902</t>
        </is>
      </c>
      <c r="G44" t="inlineStr">
        <is>
          <t>30% off upto ₹75 (2025-06-25 - 2031-01-01)</t>
        </is>
      </c>
      <c r="H44" t="inlineStr">
        <is>
          <t>ONLINE</t>
        </is>
      </c>
      <c r="I44" t="inlineStr">
        <is>
          <t>DELIVERED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O2</t>
        </is>
      </c>
      <c r="N44" t="inlineStr">
        <is>
          <t>36</t>
        </is>
      </c>
      <c r="O44" t="n">
        <v>219</v>
      </c>
      <c r="P44" t="n">
        <v>3.5</v>
      </c>
      <c r="Q44" t="n">
        <v>0</v>
      </c>
      <c r="R44" t="n">
        <v>65.7</v>
      </c>
      <c r="S44" t="n">
        <v>0</v>
      </c>
      <c r="T44" t="n">
        <v>0</v>
      </c>
      <c r="U44" t="n">
        <v>0</v>
      </c>
      <c r="V44" t="n">
        <v>7.84</v>
      </c>
      <c r="W44" t="n">
        <v>164.64</v>
      </c>
      <c r="X44" t="n">
        <v>156.8</v>
      </c>
      <c r="Y44" t="n">
        <v>19</v>
      </c>
      <c r="Z44" t="n">
        <v>29.79</v>
      </c>
      <c r="AA44" t="n">
        <v>3.03</v>
      </c>
      <c r="AB44" t="n">
        <v>32.82</v>
      </c>
      <c r="AC44" t="n">
        <v>5.91</v>
      </c>
      <c r="AD44" t="n">
        <v>0</v>
      </c>
      <c r="AE44" t="n">
        <v>156.8</v>
      </c>
      <c r="AF44" t="n">
        <v>0</v>
      </c>
      <c r="AG44" t="n">
        <v>0</v>
      </c>
      <c r="AH44" t="n">
        <v>0.16</v>
      </c>
      <c r="AI44" t="n">
        <v>7.85</v>
      </c>
      <c r="AJ44" t="n">
        <v>-0.01</v>
      </c>
      <c r="AK44" t="n">
        <v>13.92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46.74</v>
      </c>
      <c r="AV44" t="n">
        <v>0</v>
      </c>
      <c r="AW44" t="n">
        <v>117.9</v>
      </c>
      <c r="AX44" t="inlineStr">
        <is>
          <t>settled</t>
        </is>
      </c>
      <c r="AY44" t="inlineStr">
        <is>
          <t>2025-12-17 05:30:00</t>
        </is>
      </c>
      <c r="AZ44" t="inlineStr">
        <is>
          <t>CITIN25671113204</t>
        </is>
      </c>
      <c r="BA44" t="n">
        <v>0</v>
      </c>
      <c r="BB44" t="inlineStr">
        <is>
          <t>3b7d4ba33cb1826f775859ad774319941695a7fe685f7ca2b83c93982f2440c5</t>
        </is>
      </c>
    </row>
    <row r="45">
      <c r="A45" t="inlineStr">
        <is>
          <t>385</t>
        </is>
      </c>
      <c r="B45" t="inlineStr">
        <is>
          <t>7559729290</t>
        </is>
      </c>
      <c r="C45" t="inlineStr">
        <is>
          <t>2025-12-08 21:57:49</t>
        </is>
      </c>
      <c r="D45" t="inlineStr">
        <is>
          <t>50</t>
        </is>
      </c>
      <c r="E45" t="inlineStr">
        <is>
          <t>Sha Sha - Shandaar Shawarma</t>
        </is>
      </c>
      <c r="F45" t="inlineStr">
        <is>
          <t>18557902</t>
        </is>
      </c>
      <c r="G45" t="inlineStr">
        <is>
          <t>NA</t>
        </is>
      </c>
      <c r="H45" t="inlineStr">
        <is>
          <t>ONLINE</t>
        </is>
      </c>
      <c r="I45" t="inlineStr">
        <is>
          <t>DELIVERED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O2</t>
        </is>
      </c>
      <c r="N45" t="inlineStr">
        <is>
          <t>36</t>
        </is>
      </c>
      <c r="O45" t="n">
        <v>219</v>
      </c>
      <c r="P45" t="n">
        <v>3.5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11.13</v>
      </c>
      <c r="W45" t="n">
        <v>233.63</v>
      </c>
      <c r="X45" t="n">
        <v>222.5</v>
      </c>
      <c r="Y45" t="n">
        <v>19</v>
      </c>
      <c r="Z45" t="n">
        <v>42.28</v>
      </c>
      <c r="AA45" t="n">
        <v>4.3</v>
      </c>
      <c r="AB45" t="n">
        <v>46.58</v>
      </c>
      <c r="AC45" t="n">
        <v>8.380000000000001</v>
      </c>
      <c r="AD45" t="n">
        <v>0</v>
      </c>
      <c r="AE45" t="n">
        <v>222.5</v>
      </c>
      <c r="AF45" t="n">
        <v>0</v>
      </c>
      <c r="AG45" t="n">
        <v>0</v>
      </c>
      <c r="AH45" t="n">
        <v>0.22</v>
      </c>
      <c r="AI45" t="n">
        <v>11.13</v>
      </c>
      <c r="AJ45" t="n">
        <v>0</v>
      </c>
      <c r="AK45" t="n">
        <v>19.73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66.31</v>
      </c>
      <c r="AV45" t="n">
        <v>0</v>
      </c>
      <c r="AW45" t="n">
        <v>167.32</v>
      </c>
      <c r="AX45" t="inlineStr">
        <is>
          <t>settled</t>
        </is>
      </c>
      <c r="AY45" t="inlineStr">
        <is>
          <t>2025-12-17 05:30:00</t>
        </is>
      </c>
      <c r="AZ45" t="inlineStr">
        <is>
          <t>CITIN25671113204</t>
        </is>
      </c>
      <c r="BA45" t="n">
        <v>0</v>
      </c>
      <c r="BB45" t="inlineStr">
        <is>
          <t>9fc2bf601168ccb95775f1cfa01af4e9382bd6ca41be4667c5af9e290fd24bca</t>
        </is>
      </c>
    </row>
    <row r="46">
      <c r="A46" t="inlineStr">
        <is>
          <t>386</t>
        </is>
      </c>
      <c r="B46" t="inlineStr">
        <is>
          <t>7564028788</t>
        </is>
      </c>
      <c r="C46" t="inlineStr">
        <is>
          <t>2025-12-08 22:20:57</t>
        </is>
      </c>
      <c r="D46" t="inlineStr">
        <is>
          <t>50</t>
        </is>
      </c>
      <c r="E46" t="inlineStr">
        <is>
          <t>Sha Sha - Shandaar Shawarma</t>
        </is>
      </c>
      <c r="F46" t="inlineStr">
        <is>
          <t>18557902</t>
        </is>
      </c>
      <c r="G46" t="inlineStr">
        <is>
          <t>NA</t>
        </is>
      </c>
      <c r="H46" t="inlineStr">
        <is>
          <t>ONLINE</t>
        </is>
      </c>
      <c r="I46" t="inlineStr">
        <is>
          <t>DELIVERED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O2</t>
        </is>
      </c>
      <c r="N46" t="inlineStr">
        <is>
          <t>36</t>
        </is>
      </c>
      <c r="O46" t="n">
        <v>229</v>
      </c>
      <c r="P46" t="n">
        <v>3.5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11.63</v>
      </c>
      <c r="W46" t="n">
        <v>244.13</v>
      </c>
      <c r="X46" t="n">
        <v>232.5</v>
      </c>
      <c r="Y46" t="n">
        <v>19</v>
      </c>
      <c r="Z46" t="n">
        <v>44.18</v>
      </c>
      <c r="AA46" t="n">
        <v>4.49</v>
      </c>
      <c r="AB46" t="n">
        <v>48.67</v>
      </c>
      <c r="AC46" t="n">
        <v>8.76</v>
      </c>
      <c r="AD46" t="n">
        <v>0</v>
      </c>
      <c r="AE46" t="n">
        <v>232.5</v>
      </c>
      <c r="AF46" t="n">
        <v>0</v>
      </c>
      <c r="AG46" t="n">
        <v>0</v>
      </c>
      <c r="AH46" t="n">
        <v>0.23</v>
      </c>
      <c r="AI46" t="n">
        <v>11.63</v>
      </c>
      <c r="AJ46" t="n">
        <v>0</v>
      </c>
      <c r="AK46" t="n">
        <v>20.62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69.29000000000001</v>
      </c>
      <c r="AV46" t="n">
        <v>0</v>
      </c>
      <c r="AW46" t="n">
        <v>174.84</v>
      </c>
      <c r="AX46" t="inlineStr">
        <is>
          <t>settled</t>
        </is>
      </c>
      <c r="AY46" t="inlineStr">
        <is>
          <t>2025-12-17 05:30:00</t>
        </is>
      </c>
      <c r="AZ46" t="inlineStr">
        <is>
          <t>CITIN25671113204</t>
        </is>
      </c>
      <c r="BA46" t="n">
        <v>0</v>
      </c>
      <c r="BB46" t="inlineStr">
        <is>
          <t>3ddf86a5fa91fafa5e1748aa152b32cf9786473be90ca7319e835c68c4158f6a</t>
        </is>
      </c>
    </row>
    <row r="47">
      <c r="A47" t="inlineStr">
        <is>
          <t>387</t>
        </is>
      </c>
      <c r="B47" t="inlineStr">
        <is>
          <t>7562154864</t>
        </is>
      </c>
      <c r="C47" t="inlineStr">
        <is>
          <t>2025-12-08 22:37:35</t>
        </is>
      </c>
      <c r="D47" t="inlineStr">
        <is>
          <t>50</t>
        </is>
      </c>
      <c r="E47" t="inlineStr">
        <is>
          <t>Sha Sha - Shandaar Shawarma</t>
        </is>
      </c>
      <c r="F47" t="inlineStr">
        <is>
          <t>18557902</t>
        </is>
      </c>
      <c r="G47" t="inlineStr">
        <is>
          <t>NA</t>
        </is>
      </c>
      <c r="H47" t="inlineStr">
        <is>
          <t>ONLINE</t>
        </is>
      </c>
      <c r="I47" t="inlineStr">
        <is>
          <t>DELIVERED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O2</t>
        </is>
      </c>
      <c r="N47" t="inlineStr">
        <is>
          <t>36</t>
        </is>
      </c>
      <c r="O47" t="n">
        <v>358</v>
      </c>
      <c r="P47" t="n">
        <v>3.5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18.08</v>
      </c>
      <c r="W47" t="n">
        <v>379.58</v>
      </c>
      <c r="X47" t="n">
        <v>361.5</v>
      </c>
      <c r="Y47" t="n">
        <v>19</v>
      </c>
      <c r="Z47" t="n">
        <v>68.68000000000001</v>
      </c>
      <c r="AA47" t="n">
        <v>6.98</v>
      </c>
      <c r="AB47" t="n">
        <v>75.66</v>
      </c>
      <c r="AC47" t="n">
        <v>13.62</v>
      </c>
      <c r="AD47" t="n">
        <v>0</v>
      </c>
      <c r="AE47" t="n">
        <v>361.5</v>
      </c>
      <c r="AF47" t="n">
        <v>0</v>
      </c>
      <c r="AG47" t="n">
        <v>0</v>
      </c>
      <c r="AH47" t="n">
        <v>0.36</v>
      </c>
      <c r="AI47" t="n">
        <v>18.08</v>
      </c>
      <c r="AJ47" t="n">
        <v>0</v>
      </c>
      <c r="AK47" t="n">
        <v>32.06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107.72</v>
      </c>
      <c r="AV47" t="n">
        <v>0</v>
      </c>
      <c r="AW47" t="n">
        <v>271.86</v>
      </c>
      <c r="AX47" t="inlineStr">
        <is>
          <t>settled</t>
        </is>
      </c>
      <c r="AY47" t="inlineStr">
        <is>
          <t>2025-12-17 05:30:00</t>
        </is>
      </c>
      <c r="AZ47" t="inlineStr">
        <is>
          <t>CITIN25671113204</t>
        </is>
      </c>
      <c r="BA47" t="n">
        <v>0</v>
      </c>
      <c r="BB47" t="inlineStr">
        <is>
          <t>f4d4a9839bcb1cc113829ff8cbeec8f6b687430e2e25eb8db713dfdf6d1b36c9</t>
        </is>
      </c>
    </row>
    <row r="48">
      <c r="A48" t="inlineStr">
        <is>
          <t>388</t>
        </is>
      </c>
      <c r="B48" t="inlineStr">
        <is>
          <t>7561050592</t>
        </is>
      </c>
      <c r="C48" t="inlineStr">
        <is>
          <t>2025-12-08 22:46:48</t>
        </is>
      </c>
      <c r="D48" t="inlineStr">
        <is>
          <t>50</t>
        </is>
      </c>
      <c r="E48" t="inlineStr">
        <is>
          <t>Sha Sha - Shandaar Shawarma</t>
        </is>
      </c>
      <c r="F48" t="inlineStr">
        <is>
          <t>18557902</t>
        </is>
      </c>
      <c r="G48" t="inlineStr">
        <is>
          <t>30% off upto ₹75 (2025-06-25 - 2031-01-01)</t>
        </is>
      </c>
      <c r="H48" t="inlineStr">
        <is>
          <t>ONLINE</t>
        </is>
      </c>
      <c r="I48" t="inlineStr">
        <is>
          <t>DELIVERED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O2</t>
        </is>
      </c>
      <c r="N48" t="inlineStr">
        <is>
          <t>36</t>
        </is>
      </c>
      <c r="O48" t="n">
        <v>219</v>
      </c>
      <c r="P48" t="n">
        <v>3.5</v>
      </c>
      <c r="Q48" t="n">
        <v>0</v>
      </c>
      <c r="R48" t="n">
        <v>65.7</v>
      </c>
      <c r="S48" t="n">
        <v>0</v>
      </c>
      <c r="T48" t="n">
        <v>0</v>
      </c>
      <c r="U48" t="n">
        <v>0</v>
      </c>
      <c r="V48" t="n">
        <v>7.84</v>
      </c>
      <c r="W48" t="n">
        <v>164.64</v>
      </c>
      <c r="X48" t="n">
        <v>156.8</v>
      </c>
      <c r="Y48" t="n">
        <v>19</v>
      </c>
      <c r="Z48" t="n">
        <v>29.79</v>
      </c>
      <c r="AA48" t="n">
        <v>3.03</v>
      </c>
      <c r="AB48" t="n">
        <v>32.82</v>
      </c>
      <c r="AC48" t="n">
        <v>5.91</v>
      </c>
      <c r="AD48" t="n">
        <v>0</v>
      </c>
      <c r="AE48" t="n">
        <v>156.8</v>
      </c>
      <c r="AF48" t="n">
        <v>0</v>
      </c>
      <c r="AG48" t="n">
        <v>0</v>
      </c>
      <c r="AH48" t="n">
        <v>0.16</v>
      </c>
      <c r="AI48" t="n">
        <v>7.85</v>
      </c>
      <c r="AJ48" t="n">
        <v>-0.01</v>
      </c>
      <c r="AK48" t="n">
        <v>13.92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46.74</v>
      </c>
      <c r="AV48" t="n">
        <v>0</v>
      </c>
      <c r="AW48" t="n">
        <v>117.9</v>
      </c>
      <c r="AX48" t="inlineStr">
        <is>
          <t>settled</t>
        </is>
      </c>
      <c r="AY48" t="inlineStr">
        <is>
          <t>2025-12-17 05:30:00</t>
        </is>
      </c>
      <c r="AZ48" t="inlineStr">
        <is>
          <t>CITIN25671113204</t>
        </is>
      </c>
      <c r="BA48" t="n">
        <v>0</v>
      </c>
      <c r="BB48" t="inlineStr">
        <is>
          <t>74abdc6da62938e0d33717b3d9a3da40a6e52a95c67c2a6012593eebce67c985</t>
        </is>
      </c>
    </row>
    <row r="49">
      <c r="A49" t="inlineStr">
        <is>
          <t>389</t>
        </is>
      </c>
      <c r="B49" t="inlineStr">
        <is>
          <t>7562474135</t>
        </is>
      </c>
      <c r="C49" t="inlineStr">
        <is>
          <t>2025-12-08 22:59:24</t>
        </is>
      </c>
      <c r="D49" t="inlineStr">
        <is>
          <t>50</t>
        </is>
      </c>
      <c r="E49" t="inlineStr">
        <is>
          <t>Sha Sha - Shandaar Shawarma</t>
        </is>
      </c>
      <c r="F49" t="inlineStr">
        <is>
          <t>18557902</t>
        </is>
      </c>
      <c r="G49" t="inlineStr">
        <is>
          <t>30% off upto ₹75 (2025-06-25 - 2031-01-01)</t>
        </is>
      </c>
      <c r="H49" t="inlineStr">
        <is>
          <t>ONLINE</t>
        </is>
      </c>
      <c r="I49" t="inlineStr">
        <is>
          <t>DELIVERED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O2</t>
        </is>
      </c>
      <c r="N49" t="inlineStr">
        <is>
          <t>36</t>
        </is>
      </c>
      <c r="O49" t="n">
        <v>229</v>
      </c>
      <c r="P49" t="n">
        <v>3.5</v>
      </c>
      <c r="Q49" t="n">
        <v>0</v>
      </c>
      <c r="R49" t="n">
        <v>68.7</v>
      </c>
      <c r="S49" t="n">
        <v>0</v>
      </c>
      <c r="T49" t="n">
        <v>0</v>
      </c>
      <c r="U49" t="n">
        <v>0</v>
      </c>
      <c r="V49" t="n">
        <v>8.19</v>
      </c>
      <c r="W49" t="n">
        <v>171.99</v>
      </c>
      <c r="X49" t="n">
        <v>163.8</v>
      </c>
      <c r="Y49" t="n">
        <v>19</v>
      </c>
      <c r="Z49" t="n">
        <v>31.12</v>
      </c>
      <c r="AA49" t="n">
        <v>3.16</v>
      </c>
      <c r="AB49" t="n">
        <v>34.28</v>
      </c>
      <c r="AC49" t="n">
        <v>6.17</v>
      </c>
      <c r="AD49" t="n">
        <v>0</v>
      </c>
      <c r="AE49" t="n">
        <v>163.8</v>
      </c>
      <c r="AF49" t="n">
        <v>0</v>
      </c>
      <c r="AG49" t="n">
        <v>0</v>
      </c>
      <c r="AH49" t="n">
        <v>0.16</v>
      </c>
      <c r="AI49" t="n">
        <v>8.199999999999999</v>
      </c>
      <c r="AJ49" t="n">
        <v>-0.01</v>
      </c>
      <c r="AK49" t="n">
        <v>14.53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48.81</v>
      </c>
      <c r="AV49" t="n">
        <v>0</v>
      </c>
      <c r="AW49" t="n">
        <v>123.18</v>
      </c>
      <c r="AX49" t="inlineStr">
        <is>
          <t>settled</t>
        </is>
      </c>
      <c r="AY49" t="inlineStr">
        <is>
          <t>2025-12-17 05:30:00</t>
        </is>
      </c>
      <c r="AZ49" t="inlineStr">
        <is>
          <t>CITIN25671113204</t>
        </is>
      </c>
      <c r="BA49" t="n">
        <v>0</v>
      </c>
      <c r="BB49" t="inlineStr">
        <is>
          <t>db3da269d66334b1f5fc51fe0e209deaafb30947ca7b07e6039c24323b7e3e8d</t>
        </is>
      </c>
    </row>
    <row r="50">
      <c r="A50" t="inlineStr">
        <is>
          <t>390</t>
        </is>
      </c>
      <c r="B50" t="inlineStr">
        <is>
          <t>7563107890</t>
        </is>
      </c>
      <c r="C50" t="inlineStr">
        <is>
          <t>2025-12-08 23:04:09</t>
        </is>
      </c>
      <c r="D50" t="inlineStr">
        <is>
          <t>50</t>
        </is>
      </c>
      <c r="E50" t="inlineStr">
        <is>
          <t>Sha Sha - Shandaar Shawarma</t>
        </is>
      </c>
      <c r="F50" t="inlineStr">
        <is>
          <t>18557902</t>
        </is>
      </c>
      <c r="G50" t="inlineStr">
        <is>
          <t>30% off upto ₹75 (2025-06-25 - 2031-01-01)</t>
        </is>
      </c>
      <c r="H50" t="inlineStr">
        <is>
          <t>ONLINE</t>
        </is>
      </c>
      <c r="I50" t="inlineStr">
        <is>
          <t>DELIVERED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O2</t>
        </is>
      </c>
      <c r="N50" t="inlineStr">
        <is>
          <t>36</t>
        </is>
      </c>
      <c r="O50" t="n">
        <v>355</v>
      </c>
      <c r="P50" t="n">
        <v>3.5</v>
      </c>
      <c r="Q50" t="n">
        <v>0</v>
      </c>
      <c r="R50" t="n">
        <v>75</v>
      </c>
      <c r="S50" t="n">
        <v>0</v>
      </c>
      <c r="T50" t="n">
        <v>0</v>
      </c>
      <c r="U50" t="n">
        <v>0</v>
      </c>
      <c r="V50" t="n">
        <v>14.18</v>
      </c>
      <c r="W50" t="n">
        <v>297.68</v>
      </c>
      <c r="X50" t="n">
        <v>283.5</v>
      </c>
      <c r="Y50" t="n">
        <v>19</v>
      </c>
      <c r="Z50" t="n">
        <v>53.86</v>
      </c>
      <c r="AA50" t="n">
        <v>5.48</v>
      </c>
      <c r="AB50" t="n">
        <v>59.34</v>
      </c>
      <c r="AC50" t="n">
        <v>10.68</v>
      </c>
      <c r="AD50" t="n">
        <v>0</v>
      </c>
      <c r="AE50" t="n">
        <v>283.5</v>
      </c>
      <c r="AF50" t="n">
        <v>0</v>
      </c>
      <c r="AG50" t="n">
        <v>0</v>
      </c>
      <c r="AH50" t="n">
        <v>0.28</v>
      </c>
      <c r="AI50" t="n">
        <v>14.18</v>
      </c>
      <c r="AJ50" t="n">
        <v>0</v>
      </c>
      <c r="AK50" t="n">
        <v>25.14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84.48</v>
      </c>
      <c r="AV50" t="n">
        <v>0</v>
      </c>
      <c r="AW50" t="n">
        <v>213.2</v>
      </c>
      <c r="AX50" t="inlineStr">
        <is>
          <t>settled</t>
        </is>
      </c>
      <c r="AY50" t="inlineStr">
        <is>
          <t>2025-12-17 05:30:00</t>
        </is>
      </c>
      <c r="AZ50" t="inlineStr">
        <is>
          <t>CITIN25671113204</t>
        </is>
      </c>
      <c r="BA50" t="n">
        <v>0</v>
      </c>
      <c r="BB50" t="inlineStr">
        <is>
          <t>d0862bfff2d7a32b95b1645eb2833d11c0218b5dd0ebffdcff998126316c86a1</t>
        </is>
      </c>
    </row>
    <row r="51">
      <c r="A51" t="inlineStr">
        <is>
          <t>391</t>
        </is>
      </c>
      <c r="B51" t="inlineStr">
        <is>
          <t>7563610062</t>
        </is>
      </c>
      <c r="C51" t="inlineStr">
        <is>
          <t>2025-12-08 23:39:00</t>
        </is>
      </c>
      <c r="D51" t="inlineStr">
        <is>
          <t>50</t>
        </is>
      </c>
      <c r="E51" t="inlineStr">
        <is>
          <t>Sha Sha - Shandaar Shawarma</t>
        </is>
      </c>
      <c r="F51" t="inlineStr">
        <is>
          <t>18557902</t>
        </is>
      </c>
      <c r="G51" t="inlineStr">
        <is>
          <t>30% off upto ₹75 (2025-06-25 - 2031-01-01)</t>
        </is>
      </c>
      <c r="H51" t="inlineStr">
        <is>
          <t>ONLINE</t>
        </is>
      </c>
      <c r="I51" t="inlineStr">
        <is>
          <t>DELIVERED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O2</t>
        </is>
      </c>
      <c r="N51" t="inlineStr">
        <is>
          <t>36</t>
        </is>
      </c>
      <c r="O51" t="n">
        <v>219</v>
      </c>
      <c r="P51" t="n">
        <v>3.5</v>
      </c>
      <c r="Q51" t="n">
        <v>0</v>
      </c>
      <c r="R51" t="n">
        <v>65.7</v>
      </c>
      <c r="S51" t="n">
        <v>0</v>
      </c>
      <c r="T51" t="n">
        <v>0</v>
      </c>
      <c r="U51" t="n">
        <v>0</v>
      </c>
      <c r="V51" t="n">
        <v>7.84</v>
      </c>
      <c r="W51" t="n">
        <v>164.64</v>
      </c>
      <c r="X51" t="n">
        <v>156.8</v>
      </c>
      <c r="Y51" t="n">
        <v>19</v>
      </c>
      <c r="Z51" t="n">
        <v>29.79</v>
      </c>
      <c r="AA51" t="n">
        <v>3.03</v>
      </c>
      <c r="AB51" t="n">
        <v>32.82</v>
      </c>
      <c r="AC51" t="n">
        <v>5.91</v>
      </c>
      <c r="AD51" t="n">
        <v>0</v>
      </c>
      <c r="AE51" t="n">
        <v>156.8</v>
      </c>
      <c r="AF51" t="n">
        <v>0</v>
      </c>
      <c r="AG51" t="n">
        <v>0</v>
      </c>
      <c r="AH51" t="n">
        <v>0.16</v>
      </c>
      <c r="AI51" t="n">
        <v>7.85</v>
      </c>
      <c r="AJ51" t="n">
        <v>-0.01</v>
      </c>
      <c r="AK51" t="n">
        <v>13.92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46.74</v>
      </c>
      <c r="AV51" t="n">
        <v>0</v>
      </c>
      <c r="AW51" t="n">
        <v>117.9</v>
      </c>
      <c r="AX51" t="inlineStr">
        <is>
          <t>settled</t>
        </is>
      </c>
      <c r="AY51" t="inlineStr">
        <is>
          <t>2025-12-17 05:30:00</t>
        </is>
      </c>
      <c r="AZ51" t="inlineStr">
        <is>
          <t>CITIN25671113204</t>
        </is>
      </c>
      <c r="BA51" t="n">
        <v>0</v>
      </c>
      <c r="BB51" t="inlineStr">
        <is>
          <t>98be30df42b4e442482e67a1b17b2eced3eeeddcec2871aa4add2b1bf17622f4</t>
        </is>
      </c>
    </row>
    <row r="52">
      <c r="A52" t="inlineStr">
        <is>
          <t>392</t>
        </is>
      </c>
      <c r="B52" t="inlineStr">
        <is>
          <t>7563059842</t>
        </is>
      </c>
      <c r="C52" t="inlineStr">
        <is>
          <t>2025-12-09 00:08:27</t>
        </is>
      </c>
      <c r="D52" t="inlineStr">
        <is>
          <t>50</t>
        </is>
      </c>
      <c r="E52" t="inlineStr">
        <is>
          <t>Sha Sha - Shandaar Shawarma</t>
        </is>
      </c>
      <c r="F52" t="inlineStr">
        <is>
          <t>18557902</t>
        </is>
      </c>
      <c r="G52" t="inlineStr">
        <is>
          <t>NA</t>
        </is>
      </c>
      <c r="H52" t="inlineStr">
        <is>
          <t>ONLINE</t>
        </is>
      </c>
      <c r="I52" t="inlineStr">
        <is>
          <t>DELIVERED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O2</t>
        </is>
      </c>
      <c r="N52" t="inlineStr">
        <is>
          <t>36</t>
        </is>
      </c>
      <c r="O52" t="n">
        <v>219</v>
      </c>
      <c r="P52" t="n">
        <v>3.5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11.13</v>
      </c>
      <c r="W52" t="n">
        <v>233.63</v>
      </c>
      <c r="X52" t="n">
        <v>222.5</v>
      </c>
      <c r="Y52" t="n">
        <v>19</v>
      </c>
      <c r="Z52" t="n">
        <v>42.28</v>
      </c>
      <c r="AA52" t="n">
        <v>4.3</v>
      </c>
      <c r="AB52" t="n">
        <v>46.58</v>
      </c>
      <c r="AC52" t="n">
        <v>8.380000000000001</v>
      </c>
      <c r="AD52" t="n">
        <v>0</v>
      </c>
      <c r="AE52" t="n">
        <v>222.5</v>
      </c>
      <c r="AF52" t="n">
        <v>0</v>
      </c>
      <c r="AG52" t="n">
        <v>0</v>
      </c>
      <c r="AH52" t="n">
        <v>0.22</v>
      </c>
      <c r="AI52" t="n">
        <v>11.13</v>
      </c>
      <c r="AJ52" t="n">
        <v>0</v>
      </c>
      <c r="AK52" t="n">
        <v>19.73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66.31</v>
      </c>
      <c r="AV52" t="n">
        <v>0</v>
      </c>
      <c r="AW52" t="n">
        <v>167.32</v>
      </c>
      <c r="AX52" t="inlineStr">
        <is>
          <t>settled</t>
        </is>
      </c>
      <c r="AY52" t="inlineStr">
        <is>
          <t>2025-12-17 05:30:00</t>
        </is>
      </c>
      <c r="AZ52" t="inlineStr">
        <is>
          <t>CITIN25671113204</t>
        </is>
      </c>
      <c r="BA52" t="n">
        <v>0</v>
      </c>
      <c r="BB52" t="inlineStr">
        <is>
          <t>770b4ed232f12e8cb39918d17c1800c6e60dded9c7ded6324203745f09ebac67</t>
        </is>
      </c>
    </row>
    <row r="53">
      <c r="A53" t="inlineStr">
        <is>
          <t>393</t>
        </is>
      </c>
      <c r="B53" t="inlineStr">
        <is>
          <t>7564140120</t>
        </is>
      </c>
      <c r="C53" t="inlineStr">
        <is>
          <t>2025-12-09 00:10:02</t>
        </is>
      </c>
      <c r="D53" t="inlineStr">
        <is>
          <t>50</t>
        </is>
      </c>
      <c r="E53" t="inlineStr">
        <is>
          <t>Sha Sha - Shandaar Shawarma</t>
        </is>
      </c>
      <c r="F53" t="inlineStr">
        <is>
          <t>18557902</t>
        </is>
      </c>
      <c r="G53" t="inlineStr">
        <is>
          <t>30% off upto ₹75 (2025-06-25 - 2031-01-01)</t>
        </is>
      </c>
      <c r="H53" t="inlineStr">
        <is>
          <t>ONLINE</t>
        </is>
      </c>
      <c r="I53" t="inlineStr">
        <is>
          <t>DELIVERED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O2</t>
        </is>
      </c>
      <c r="N53" t="inlineStr">
        <is>
          <t>36</t>
        </is>
      </c>
      <c r="O53" t="n">
        <v>229</v>
      </c>
      <c r="P53" t="n">
        <v>3.5</v>
      </c>
      <c r="Q53" t="n">
        <v>0</v>
      </c>
      <c r="R53" t="n">
        <v>68.7</v>
      </c>
      <c r="S53" t="n">
        <v>0</v>
      </c>
      <c r="T53" t="n">
        <v>0</v>
      </c>
      <c r="U53" t="n">
        <v>0</v>
      </c>
      <c r="V53" t="n">
        <v>8.19</v>
      </c>
      <c r="W53" t="n">
        <v>171.99</v>
      </c>
      <c r="X53" t="n">
        <v>163.8</v>
      </c>
      <c r="Y53" t="n">
        <v>19</v>
      </c>
      <c r="Z53" t="n">
        <v>31.12</v>
      </c>
      <c r="AA53" t="n">
        <v>3.16</v>
      </c>
      <c r="AB53" t="n">
        <v>34.28</v>
      </c>
      <c r="AC53" t="n">
        <v>6.17</v>
      </c>
      <c r="AD53" t="n">
        <v>0</v>
      </c>
      <c r="AE53" t="n">
        <v>163.8</v>
      </c>
      <c r="AF53" t="n">
        <v>0</v>
      </c>
      <c r="AG53" t="n">
        <v>0</v>
      </c>
      <c r="AH53" t="n">
        <v>0.16</v>
      </c>
      <c r="AI53" t="n">
        <v>8.199999999999999</v>
      </c>
      <c r="AJ53" t="n">
        <v>-0.01</v>
      </c>
      <c r="AK53" t="n">
        <v>14.53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48.81</v>
      </c>
      <c r="AV53" t="n">
        <v>0</v>
      </c>
      <c r="AW53" t="n">
        <v>123.18</v>
      </c>
      <c r="AX53" t="inlineStr">
        <is>
          <t>settled</t>
        </is>
      </c>
      <c r="AY53" t="inlineStr">
        <is>
          <t>2025-12-17 05:30:00</t>
        </is>
      </c>
      <c r="AZ53" t="inlineStr">
        <is>
          <t>CITIN25671113204</t>
        </is>
      </c>
      <c r="BA53" t="n">
        <v>0</v>
      </c>
      <c r="BB53" t="inlineStr">
        <is>
          <t>7fbc918ace8a36680f7238308e03194f38bf96fdec5a6e79a97cc4b76a783223</t>
        </is>
      </c>
    </row>
    <row r="54">
      <c r="A54" t="inlineStr">
        <is>
          <t>394</t>
        </is>
      </c>
      <c r="B54" t="inlineStr">
        <is>
          <t>7563770821</t>
        </is>
      </c>
      <c r="C54" t="inlineStr">
        <is>
          <t>2025-12-09 00:14:07</t>
        </is>
      </c>
      <c r="D54" t="inlineStr">
        <is>
          <t>50</t>
        </is>
      </c>
      <c r="E54" t="inlineStr">
        <is>
          <t>Sha Sha - Shandaar Shawarma</t>
        </is>
      </c>
      <c r="F54" t="inlineStr">
        <is>
          <t>18557902</t>
        </is>
      </c>
      <c r="G54" t="inlineStr">
        <is>
          <t>30% off upto ₹75 (2025-06-25 - 2031-01-01)</t>
        </is>
      </c>
      <c r="H54" t="inlineStr">
        <is>
          <t>ONLINE</t>
        </is>
      </c>
      <c r="I54" t="inlineStr">
        <is>
          <t>DELIVERED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O2</t>
        </is>
      </c>
      <c r="N54" t="inlineStr">
        <is>
          <t>36</t>
        </is>
      </c>
      <c r="O54" t="n">
        <v>229</v>
      </c>
      <c r="P54" t="n">
        <v>3.5</v>
      </c>
      <c r="Q54" t="n">
        <v>0</v>
      </c>
      <c r="R54" t="n">
        <v>68.7</v>
      </c>
      <c r="S54" t="n">
        <v>0</v>
      </c>
      <c r="T54" t="n">
        <v>0</v>
      </c>
      <c r="U54" t="n">
        <v>0</v>
      </c>
      <c r="V54" t="n">
        <v>8.19</v>
      </c>
      <c r="W54" t="n">
        <v>171.99</v>
      </c>
      <c r="X54" t="n">
        <v>163.8</v>
      </c>
      <c r="Y54" t="n">
        <v>19</v>
      </c>
      <c r="Z54" t="n">
        <v>31.12</v>
      </c>
      <c r="AA54" t="n">
        <v>3.16</v>
      </c>
      <c r="AB54" t="n">
        <v>34.28</v>
      </c>
      <c r="AC54" t="n">
        <v>6.17</v>
      </c>
      <c r="AD54" t="n">
        <v>0</v>
      </c>
      <c r="AE54" t="n">
        <v>163.8</v>
      </c>
      <c r="AF54" t="n">
        <v>0</v>
      </c>
      <c r="AG54" t="n">
        <v>0</v>
      </c>
      <c r="AH54" t="n">
        <v>0.16</v>
      </c>
      <c r="AI54" t="n">
        <v>8.199999999999999</v>
      </c>
      <c r="AJ54" t="n">
        <v>-0.01</v>
      </c>
      <c r="AK54" t="n">
        <v>14.53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48.81</v>
      </c>
      <c r="AV54" t="n">
        <v>0</v>
      </c>
      <c r="AW54" t="n">
        <v>123.18</v>
      </c>
      <c r="AX54" t="inlineStr">
        <is>
          <t>settled</t>
        </is>
      </c>
      <c r="AY54" t="inlineStr">
        <is>
          <t>2025-12-17 05:30:00</t>
        </is>
      </c>
      <c r="AZ54" t="inlineStr">
        <is>
          <t>CITIN25671113204</t>
        </is>
      </c>
      <c r="BA54" t="n">
        <v>0</v>
      </c>
      <c r="BB54" t="inlineStr">
        <is>
          <t>3f143a620b2f0de0f75f5adb74b028c0742378832303d0613bea6cf76159a635</t>
        </is>
      </c>
    </row>
    <row r="55">
      <c r="A55" t="inlineStr">
        <is>
          <t>395</t>
        </is>
      </c>
      <c r="B55" t="inlineStr">
        <is>
          <t>7562973798</t>
        </is>
      </c>
      <c r="C55" t="inlineStr">
        <is>
          <t>2025-12-09 00:20:09</t>
        </is>
      </c>
      <c r="D55" t="inlineStr">
        <is>
          <t>50</t>
        </is>
      </c>
      <c r="E55" t="inlineStr">
        <is>
          <t>Sha Sha - Shandaar Shawarma</t>
        </is>
      </c>
      <c r="F55" t="inlineStr">
        <is>
          <t>18557902</t>
        </is>
      </c>
      <c r="G55" t="inlineStr">
        <is>
          <t>NA</t>
        </is>
      </c>
      <c r="H55" t="inlineStr">
        <is>
          <t>ONLINE</t>
        </is>
      </c>
      <c r="I55" t="inlineStr">
        <is>
          <t>DELIVERED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O2</t>
        </is>
      </c>
      <c r="N55" t="inlineStr">
        <is>
          <t>36</t>
        </is>
      </c>
      <c r="O55" t="n">
        <v>229</v>
      </c>
      <c r="P55" t="n">
        <v>3.5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11.63</v>
      </c>
      <c r="W55" t="n">
        <v>244.13</v>
      </c>
      <c r="X55" t="n">
        <v>232.5</v>
      </c>
      <c r="Y55" t="n">
        <v>19</v>
      </c>
      <c r="Z55" t="n">
        <v>44.18</v>
      </c>
      <c r="AA55" t="n">
        <v>4.49</v>
      </c>
      <c r="AB55" t="n">
        <v>48.67</v>
      </c>
      <c r="AC55" t="n">
        <v>8.76</v>
      </c>
      <c r="AD55" t="n">
        <v>0</v>
      </c>
      <c r="AE55" t="n">
        <v>232.5</v>
      </c>
      <c r="AF55" t="n">
        <v>0</v>
      </c>
      <c r="AG55" t="n">
        <v>0</v>
      </c>
      <c r="AH55" t="n">
        <v>0.23</v>
      </c>
      <c r="AI55" t="n">
        <v>11.63</v>
      </c>
      <c r="AJ55" t="n">
        <v>0</v>
      </c>
      <c r="AK55" t="n">
        <v>20.62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69.29000000000001</v>
      </c>
      <c r="AV55" t="n">
        <v>0</v>
      </c>
      <c r="AW55" t="n">
        <v>174.84</v>
      </c>
      <c r="AX55" t="inlineStr">
        <is>
          <t>settled</t>
        </is>
      </c>
      <c r="AY55" t="inlineStr">
        <is>
          <t>2025-12-17 05:30:00</t>
        </is>
      </c>
      <c r="AZ55" t="inlineStr">
        <is>
          <t>CITIN25671113204</t>
        </is>
      </c>
      <c r="BA55" t="n">
        <v>0</v>
      </c>
      <c r="BB55" t="inlineStr">
        <is>
          <t>7c59f504585c9cf8a4bb027147941c765c1eac78e9ab4806ec0c90296630df03</t>
        </is>
      </c>
    </row>
    <row r="56">
      <c r="A56" t="inlineStr">
        <is>
          <t>396</t>
        </is>
      </c>
      <c r="B56" t="inlineStr">
        <is>
          <t>7560935524</t>
        </is>
      </c>
      <c r="C56" t="inlineStr">
        <is>
          <t>2025-12-09 01:06:18</t>
        </is>
      </c>
      <c r="D56" t="inlineStr">
        <is>
          <t>50</t>
        </is>
      </c>
      <c r="E56" t="inlineStr">
        <is>
          <t>Sha Sha - Shandaar Shawarma</t>
        </is>
      </c>
      <c r="F56" t="inlineStr">
        <is>
          <t>18557902</t>
        </is>
      </c>
      <c r="G56" t="inlineStr">
        <is>
          <t>30% off upto ₹75 (2025-06-25 - 2031-01-01)</t>
        </is>
      </c>
      <c r="H56" t="inlineStr">
        <is>
          <t>ONLINE</t>
        </is>
      </c>
      <c r="I56" t="inlineStr">
        <is>
          <t>DELIVERED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O2</t>
        </is>
      </c>
      <c r="N56" t="inlineStr">
        <is>
          <t>36</t>
        </is>
      </c>
      <c r="O56" t="n">
        <v>458</v>
      </c>
      <c r="P56" t="n">
        <v>3.5</v>
      </c>
      <c r="Q56" t="n">
        <v>0</v>
      </c>
      <c r="R56" t="n">
        <v>75</v>
      </c>
      <c r="S56" t="n">
        <v>0</v>
      </c>
      <c r="T56" t="n">
        <v>0</v>
      </c>
      <c r="U56" t="n">
        <v>0</v>
      </c>
      <c r="V56" t="n">
        <v>19.33</v>
      </c>
      <c r="W56" t="n">
        <v>405.83</v>
      </c>
      <c r="X56" t="n">
        <v>386.5</v>
      </c>
      <c r="Y56" t="n">
        <v>19</v>
      </c>
      <c r="Z56" t="n">
        <v>73.44</v>
      </c>
      <c r="AA56" t="n">
        <v>7.47</v>
      </c>
      <c r="AB56" t="n">
        <v>80.91</v>
      </c>
      <c r="AC56" t="n">
        <v>14.56</v>
      </c>
      <c r="AD56" t="n">
        <v>0</v>
      </c>
      <c r="AE56" t="n">
        <v>386.5</v>
      </c>
      <c r="AF56" t="n">
        <v>0</v>
      </c>
      <c r="AG56" t="n">
        <v>0</v>
      </c>
      <c r="AH56" t="n">
        <v>0.39</v>
      </c>
      <c r="AI56" t="n">
        <v>19.33</v>
      </c>
      <c r="AJ56" t="n">
        <v>0</v>
      </c>
      <c r="AK56" t="n">
        <v>34.28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115.19</v>
      </c>
      <c r="AV56" t="n">
        <v>0</v>
      </c>
      <c r="AW56" t="n">
        <v>290.64</v>
      </c>
      <c r="AX56" t="inlineStr">
        <is>
          <t>settled</t>
        </is>
      </c>
      <c r="AY56" t="inlineStr">
        <is>
          <t>2025-12-17 05:30:00</t>
        </is>
      </c>
      <c r="AZ56" t="inlineStr">
        <is>
          <t>CITIN25671113204</t>
        </is>
      </c>
      <c r="BA56" t="n">
        <v>0</v>
      </c>
      <c r="BB56" t="inlineStr">
        <is>
          <t>f8f4ec5d6a400c6f56db6743b8187f2a11926909ee2ff7edfdded721e1f9c016</t>
        </is>
      </c>
    </row>
    <row r="57">
      <c r="A57" t="inlineStr">
        <is>
          <t>397</t>
        </is>
      </c>
      <c r="B57" t="inlineStr">
        <is>
          <t>7562449879</t>
        </is>
      </c>
      <c r="C57" t="inlineStr">
        <is>
          <t>2025-12-09 01:06:44</t>
        </is>
      </c>
      <c r="D57" t="inlineStr">
        <is>
          <t>50</t>
        </is>
      </c>
      <c r="E57" t="inlineStr">
        <is>
          <t>Sha Sha - Shandaar Shawarma</t>
        </is>
      </c>
      <c r="F57" t="inlineStr">
        <is>
          <t>18557902</t>
        </is>
      </c>
      <c r="G57" t="inlineStr">
        <is>
          <t>NA</t>
        </is>
      </c>
      <c r="H57" t="inlineStr">
        <is>
          <t>ONLINE</t>
        </is>
      </c>
      <c r="I57" t="inlineStr">
        <is>
          <t>DELIVERED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O2</t>
        </is>
      </c>
      <c r="N57" t="inlineStr">
        <is>
          <t>36</t>
        </is>
      </c>
      <c r="O57" t="n">
        <v>219</v>
      </c>
      <c r="P57" t="n">
        <v>3.5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11.13</v>
      </c>
      <c r="W57" t="n">
        <v>233.63</v>
      </c>
      <c r="X57" t="n">
        <v>222.5</v>
      </c>
      <c r="Y57" t="n">
        <v>19</v>
      </c>
      <c r="Z57" t="n">
        <v>42.28</v>
      </c>
      <c r="AA57" t="n">
        <v>4.3</v>
      </c>
      <c r="AB57" t="n">
        <v>46.58</v>
      </c>
      <c r="AC57" t="n">
        <v>8.380000000000001</v>
      </c>
      <c r="AD57" t="n">
        <v>0</v>
      </c>
      <c r="AE57" t="n">
        <v>222.5</v>
      </c>
      <c r="AF57" t="n">
        <v>0</v>
      </c>
      <c r="AG57" t="n">
        <v>0</v>
      </c>
      <c r="AH57" t="n">
        <v>0.22</v>
      </c>
      <c r="AI57" t="n">
        <v>11.13</v>
      </c>
      <c r="AJ57" t="n">
        <v>0</v>
      </c>
      <c r="AK57" t="n">
        <v>19.73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66.31</v>
      </c>
      <c r="AV57" t="n">
        <v>0</v>
      </c>
      <c r="AW57" t="n">
        <v>167.32</v>
      </c>
      <c r="AX57" t="inlineStr">
        <is>
          <t>settled</t>
        </is>
      </c>
      <c r="AY57" t="inlineStr">
        <is>
          <t>2025-12-17 05:30:00</t>
        </is>
      </c>
      <c r="AZ57" t="inlineStr">
        <is>
          <t>CITIN25671113204</t>
        </is>
      </c>
      <c r="BA57" t="n">
        <v>0</v>
      </c>
      <c r="BB57" t="inlineStr">
        <is>
          <t>eb50bedbd8614ef8d56627d5757115ee5ff9bc54ee679f138a2ec0be0fda1a1a</t>
        </is>
      </c>
    </row>
    <row r="58">
      <c r="A58" t="inlineStr">
        <is>
          <t>398</t>
        </is>
      </c>
      <c r="B58" t="inlineStr">
        <is>
          <t>7559810371</t>
        </is>
      </c>
      <c r="C58" t="inlineStr">
        <is>
          <t>2025-12-09 01:10:03</t>
        </is>
      </c>
      <c r="D58" t="inlineStr">
        <is>
          <t>50</t>
        </is>
      </c>
      <c r="E58" t="inlineStr">
        <is>
          <t>Sha Sha - Shandaar Shawarma</t>
        </is>
      </c>
      <c r="F58" t="inlineStr">
        <is>
          <t>18557902</t>
        </is>
      </c>
      <c r="G58" t="inlineStr">
        <is>
          <t>30% off upto ₹75 (2025-06-25 - 2031-01-01)</t>
        </is>
      </c>
      <c r="H58" t="inlineStr">
        <is>
          <t>ONLINE</t>
        </is>
      </c>
      <c r="I58" t="inlineStr">
        <is>
          <t>DELIVERED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O2</t>
        </is>
      </c>
      <c r="N58" t="inlineStr">
        <is>
          <t>36</t>
        </is>
      </c>
      <c r="O58" t="n">
        <v>229</v>
      </c>
      <c r="P58" t="n">
        <v>3.5</v>
      </c>
      <c r="Q58" t="n">
        <v>0</v>
      </c>
      <c r="R58" t="n">
        <v>68.7</v>
      </c>
      <c r="S58" t="n">
        <v>0</v>
      </c>
      <c r="T58" t="n">
        <v>0</v>
      </c>
      <c r="U58" t="n">
        <v>0</v>
      </c>
      <c r="V58" t="n">
        <v>8.19</v>
      </c>
      <c r="W58" t="n">
        <v>171.99</v>
      </c>
      <c r="X58" t="n">
        <v>163.8</v>
      </c>
      <c r="Y58" t="n">
        <v>19</v>
      </c>
      <c r="Z58" t="n">
        <v>31.12</v>
      </c>
      <c r="AA58" t="n">
        <v>3.16</v>
      </c>
      <c r="AB58" t="n">
        <v>34.28</v>
      </c>
      <c r="AC58" t="n">
        <v>6.17</v>
      </c>
      <c r="AD58" t="n">
        <v>0</v>
      </c>
      <c r="AE58" t="n">
        <v>163.8</v>
      </c>
      <c r="AF58" t="n">
        <v>0</v>
      </c>
      <c r="AG58" t="n">
        <v>0</v>
      </c>
      <c r="AH58" t="n">
        <v>0.16</v>
      </c>
      <c r="AI58" t="n">
        <v>8.199999999999999</v>
      </c>
      <c r="AJ58" t="n">
        <v>-0.01</v>
      </c>
      <c r="AK58" t="n">
        <v>14.53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48.81</v>
      </c>
      <c r="AV58" t="n">
        <v>0</v>
      </c>
      <c r="AW58" t="n">
        <v>123.18</v>
      </c>
      <c r="AX58" t="inlineStr">
        <is>
          <t>settled</t>
        </is>
      </c>
      <c r="AY58" t="inlineStr">
        <is>
          <t>2025-12-17 05:30:00</t>
        </is>
      </c>
      <c r="AZ58" t="inlineStr">
        <is>
          <t>CITIN25671113204</t>
        </is>
      </c>
      <c r="BA58" t="n">
        <v>0</v>
      </c>
      <c r="BB58" t="inlineStr">
        <is>
          <t>f9927fffb68d8d1a8b49dfc04e2938ad26e63fe3d88369cfcc670e86a8aa1264</t>
        </is>
      </c>
    </row>
    <row r="59">
      <c r="A59" t="inlineStr">
        <is>
          <t>399</t>
        </is>
      </c>
      <c r="B59" t="inlineStr">
        <is>
          <t>7559246606</t>
        </is>
      </c>
      <c r="C59" t="inlineStr">
        <is>
          <t>2025-12-09 01:11:30</t>
        </is>
      </c>
      <c r="D59" t="inlineStr">
        <is>
          <t>50</t>
        </is>
      </c>
      <c r="E59" t="inlineStr">
        <is>
          <t>Sha Sha - Shandaar Shawarma</t>
        </is>
      </c>
      <c r="F59" t="inlineStr">
        <is>
          <t>18557902</t>
        </is>
      </c>
      <c r="G59" t="inlineStr">
        <is>
          <t>30% off upto ₹75 (2025-06-25 - 2031-01-01)</t>
        </is>
      </c>
      <c r="H59" t="inlineStr">
        <is>
          <t>ONLINE</t>
        </is>
      </c>
      <c r="I59" t="inlineStr">
        <is>
          <t>DELIVERED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O2</t>
        </is>
      </c>
      <c r="N59" t="inlineStr">
        <is>
          <t>36</t>
        </is>
      </c>
      <c r="O59" t="n">
        <v>229</v>
      </c>
      <c r="P59" t="n">
        <v>3.5</v>
      </c>
      <c r="Q59" t="n">
        <v>0</v>
      </c>
      <c r="R59" t="n">
        <v>68.7</v>
      </c>
      <c r="S59" t="n">
        <v>0</v>
      </c>
      <c r="T59" t="n">
        <v>0</v>
      </c>
      <c r="U59" t="n">
        <v>0</v>
      </c>
      <c r="V59" t="n">
        <v>8.19</v>
      </c>
      <c r="W59" t="n">
        <v>171.99</v>
      </c>
      <c r="X59" t="n">
        <v>163.8</v>
      </c>
      <c r="Y59" t="n">
        <v>19</v>
      </c>
      <c r="Z59" t="n">
        <v>31.12</v>
      </c>
      <c r="AA59" t="n">
        <v>3.16</v>
      </c>
      <c r="AB59" t="n">
        <v>34.28</v>
      </c>
      <c r="AC59" t="n">
        <v>6.17</v>
      </c>
      <c r="AD59" t="n">
        <v>0</v>
      </c>
      <c r="AE59" t="n">
        <v>163.8</v>
      </c>
      <c r="AF59" t="n">
        <v>0</v>
      </c>
      <c r="AG59" t="n">
        <v>0</v>
      </c>
      <c r="AH59" t="n">
        <v>0.16</v>
      </c>
      <c r="AI59" t="n">
        <v>8.199999999999999</v>
      </c>
      <c r="AJ59" t="n">
        <v>-0.01</v>
      </c>
      <c r="AK59" t="n">
        <v>14.53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48.81</v>
      </c>
      <c r="AV59" t="n">
        <v>0</v>
      </c>
      <c r="AW59" t="n">
        <v>123.18</v>
      </c>
      <c r="AX59" t="inlineStr">
        <is>
          <t>settled</t>
        </is>
      </c>
      <c r="AY59" t="inlineStr">
        <is>
          <t>2025-12-17 05:30:00</t>
        </is>
      </c>
      <c r="AZ59" t="inlineStr">
        <is>
          <t>CITIN25671113204</t>
        </is>
      </c>
      <c r="BA59" t="n">
        <v>0</v>
      </c>
      <c r="BB59" t="inlineStr">
        <is>
          <t>7c8cbfea930366c25e02d67d3a727d2b3733652692dc24b5c7d279e7add6afa0</t>
        </is>
      </c>
    </row>
    <row r="60">
      <c r="A60" t="inlineStr">
        <is>
          <t>400</t>
        </is>
      </c>
      <c r="B60" t="inlineStr">
        <is>
          <t>7564155316</t>
        </is>
      </c>
      <c r="C60" t="inlineStr">
        <is>
          <t>2025-12-09 01:14:57</t>
        </is>
      </c>
      <c r="D60" t="inlineStr">
        <is>
          <t>50</t>
        </is>
      </c>
      <c r="E60" t="inlineStr">
        <is>
          <t>Sha Sha - Shandaar Shawarma</t>
        </is>
      </c>
      <c r="F60" t="inlineStr">
        <is>
          <t>18557902</t>
        </is>
      </c>
      <c r="G60" t="inlineStr">
        <is>
          <t>30% off upto ₹75 (2025-06-25 - 2031-01-01)</t>
        </is>
      </c>
      <c r="H60" t="inlineStr">
        <is>
          <t>ONLINE</t>
        </is>
      </c>
      <c r="I60" t="inlineStr">
        <is>
          <t>DELIVERED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O2</t>
        </is>
      </c>
      <c r="N60" t="inlineStr">
        <is>
          <t>36</t>
        </is>
      </c>
      <c r="O60" t="n">
        <v>229</v>
      </c>
      <c r="P60" t="n">
        <v>3.5</v>
      </c>
      <c r="Q60" t="n">
        <v>0</v>
      </c>
      <c r="R60" t="n">
        <v>68.7</v>
      </c>
      <c r="S60" t="n">
        <v>0</v>
      </c>
      <c r="T60" t="n">
        <v>0</v>
      </c>
      <c r="U60" t="n">
        <v>0</v>
      </c>
      <c r="V60" t="n">
        <v>8.19</v>
      </c>
      <c r="W60" t="n">
        <v>171.99</v>
      </c>
      <c r="X60" t="n">
        <v>163.8</v>
      </c>
      <c r="Y60" t="n">
        <v>19</v>
      </c>
      <c r="Z60" t="n">
        <v>31.12</v>
      </c>
      <c r="AA60" t="n">
        <v>3.16</v>
      </c>
      <c r="AB60" t="n">
        <v>34.28</v>
      </c>
      <c r="AC60" t="n">
        <v>6.17</v>
      </c>
      <c r="AD60" t="n">
        <v>0</v>
      </c>
      <c r="AE60" t="n">
        <v>163.8</v>
      </c>
      <c r="AF60" t="n">
        <v>0</v>
      </c>
      <c r="AG60" t="n">
        <v>0</v>
      </c>
      <c r="AH60" t="n">
        <v>0.16</v>
      </c>
      <c r="AI60" t="n">
        <v>8.199999999999999</v>
      </c>
      <c r="AJ60" t="n">
        <v>-0.01</v>
      </c>
      <c r="AK60" t="n">
        <v>14.53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48.81</v>
      </c>
      <c r="AV60" t="n">
        <v>0</v>
      </c>
      <c r="AW60" t="n">
        <v>123.18</v>
      </c>
      <c r="AX60" t="inlineStr">
        <is>
          <t>settled</t>
        </is>
      </c>
      <c r="AY60" t="inlineStr">
        <is>
          <t>2025-12-17 05:30:00</t>
        </is>
      </c>
      <c r="AZ60" t="inlineStr">
        <is>
          <t>CITIN25671113204</t>
        </is>
      </c>
      <c r="BA60" t="n">
        <v>0</v>
      </c>
      <c r="BB60" t="inlineStr">
        <is>
          <t>80af17eedc5721dc36dda13160c95325ad01c4e286986af068d1ba771893c782</t>
        </is>
      </c>
    </row>
    <row r="61">
      <c r="A61" t="inlineStr">
        <is>
          <t>401</t>
        </is>
      </c>
      <c r="B61" t="inlineStr">
        <is>
          <t>7563134935</t>
        </is>
      </c>
      <c r="C61" t="inlineStr">
        <is>
          <t>2025-12-09 01:22:28</t>
        </is>
      </c>
      <c r="D61" t="inlineStr">
        <is>
          <t>50</t>
        </is>
      </c>
      <c r="E61" t="inlineStr">
        <is>
          <t>Sha Sha - Shandaar Shawarma</t>
        </is>
      </c>
      <c r="F61" t="inlineStr">
        <is>
          <t>18557902</t>
        </is>
      </c>
      <c r="G61" t="inlineStr">
        <is>
          <t>30% off upto ₹75 (2025-06-25 - 2031-01-01)</t>
        </is>
      </c>
      <c r="H61" t="inlineStr">
        <is>
          <t>ONLINE</t>
        </is>
      </c>
      <c r="I61" t="inlineStr">
        <is>
          <t>DELIVERED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O2</t>
        </is>
      </c>
      <c r="N61" t="inlineStr">
        <is>
          <t>36</t>
        </is>
      </c>
      <c r="O61" t="n">
        <v>229</v>
      </c>
      <c r="P61" t="n">
        <v>3.5</v>
      </c>
      <c r="Q61" t="n">
        <v>0</v>
      </c>
      <c r="R61" t="n">
        <v>68.7</v>
      </c>
      <c r="S61" t="n">
        <v>0</v>
      </c>
      <c r="T61" t="n">
        <v>0</v>
      </c>
      <c r="U61" t="n">
        <v>0</v>
      </c>
      <c r="V61" t="n">
        <v>8.19</v>
      </c>
      <c r="W61" t="n">
        <v>171.99</v>
      </c>
      <c r="X61" t="n">
        <v>163.8</v>
      </c>
      <c r="Y61" t="n">
        <v>19</v>
      </c>
      <c r="Z61" t="n">
        <v>31.12</v>
      </c>
      <c r="AA61" t="n">
        <v>3.16</v>
      </c>
      <c r="AB61" t="n">
        <v>34.28</v>
      </c>
      <c r="AC61" t="n">
        <v>6.17</v>
      </c>
      <c r="AD61" t="n">
        <v>0</v>
      </c>
      <c r="AE61" t="n">
        <v>163.8</v>
      </c>
      <c r="AF61" t="n">
        <v>0</v>
      </c>
      <c r="AG61" t="n">
        <v>0</v>
      </c>
      <c r="AH61" t="n">
        <v>0.16</v>
      </c>
      <c r="AI61" t="n">
        <v>8.199999999999999</v>
      </c>
      <c r="AJ61" t="n">
        <v>-0.01</v>
      </c>
      <c r="AK61" t="n">
        <v>14.53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48.81</v>
      </c>
      <c r="AV61" t="n">
        <v>0</v>
      </c>
      <c r="AW61" t="n">
        <v>123.18</v>
      </c>
      <c r="AX61" t="inlineStr">
        <is>
          <t>settled</t>
        </is>
      </c>
      <c r="AY61" t="inlineStr">
        <is>
          <t>2025-12-17 05:30:00</t>
        </is>
      </c>
      <c r="AZ61" t="inlineStr">
        <is>
          <t>CITIN25671113204</t>
        </is>
      </c>
      <c r="BA61" t="n">
        <v>0</v>
      </c>
      <c r="BB61" t="inlineStr">
        <is>
          <t>c01ebedb87b3de138456d4b02dbcac8e4f9c1c865f0332b2d5f1d24569f3566d</t>
        </is>
      </c>
    </row>
    <row r="62">
      <c r="A62" t="inlineStr">
        <is>
          <t>402</t>
        </is>
      </c>
      <c r="B62" t="inlineStr">
        <is>
          <t>7560464400</t>
        </is>
      </c>
      <c r="C62" t="inlineStr">
        <is>
          <t>2025-12-09 01:33:29</t>
        </is>
      </c>
      <c r="D62" t="inlineStr">
        <is>
          <t>50</t>
        </is>
      </c>
      <c r="E62" t="inlineStr">
        <is>
          <t>Sha Sha - Shandaar Shawarma</t>
        </is>
      </c>
      <c r="F62" t="inlineStr">
        <is>
          <t>18557902</t>
        </is>
      </c>
      <c r="G62" t="inlineStr">
        <is>
          <t>30% off upto ₹75 (2025-06-25 - 2031-01-01)</t>
        </is>
      </c>
      <c r="H62" t="inlineStr">
        <is>
          <t>ONLINE</t>
        </is>
      </c>
      <c r="I62" t="inlineStr">
        <is>
          <t>DELIVERED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O2</t>
        </is>
      </c>
      <c r="N62" t="inlineStr">
        <is>
          <t>36</t>
        </is>
      </c>
      <c r="O62" t="n">
        <v>687</v>
      </c>
      <c r="P62" t="n">
        <v>3.5</v>
      </c>
      <c r="Q62" t="n">
        <v>0</v>
      </c>
      <c r="R62" t="n">
        <v>75</v>
      </c>
      <c r="S62" t="n">
        <v>0</v>
      </c>
      <c r="T62" t="n">
        <v>0</v>
      </c>
      <c r="U62" t="n">
        <v>0</v>
      </c>
      <c r="V62" t="n">
        <v>30.78</v>
      </c>
      <c r="W62" t="n">
        <v>646.28</v>
      </c>
      <c r="X62" t="n">
        <v>615.5</v>
      </c>
      <c r="Y62" t="n">
        <v>19</v>
      </c>
      <c r="Z62" t="n">
        <v>116.94</v>
      </c>
      <c r="AA62" t="n">
        <v>11.89</v>
      </c>
      <c r="AB62" t="n">
        <v>128.83</v>
      </c>
      <c r="AC62" t="n">
        <v>23.19</v>
      </c>
      <c r="AD62" t="n">
        <v>0</v>
      </c>
      <c r="AE62" t="n">
        <v>615.5</v>
      </c>
      <c r="AF62" t="n">
        <v>0</v>
      </c>
      <c r="AG62" t="n">
        <v>0</v>
      </c>
      <c r="AH62" t="n">
        <v>0.62</v>
      </c>
      <c r="AI62" t="n">
        <v>30.78</v>
      </c>
      <c r="AJ62" t="n">
        <v>0</v>
      </c>
      <c r="AK62" t="n">
        <v>54.59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183.42</v>
      </c>
      <c r="AV62" t="n">
        <v>0</v>
      </c>
      <c r="AW62" t="n">
        <v>462.86</v>
      </c>
      <c r="AX62" t="inlineStr">
        <is>
          <t>settled</t>
        </is>
      </c>
      <c r="AY62" t="inlineStr">
        <is>
          <t>2025-12-17 05:30:00</t>
        </is>
      </c>
      <c r="AZ62" t="inlineStr">
        <is>
          <t>CITIN25671113204</t>
        </is>
      </c>
      <c r="BA62" t="n">
        <v>0</v>
      </c>
      <c r="BB62" t="inlineStr">
        <is>
          <t>b8e0d3830b8c1743c40a0744188c61bcb34bbfcd04a7ce889baeb21fb4772963</t>
        </is>
      </c>
    </row>
    <row r="63">
      <c r="A63" t="inlineStr">
        <is>
          <t>403</t>
        </is>
      </c>
      <c r="B63" t="inlineStr">
        <is>
          <t>7557418377</t>
        </is>
      </c>
      <c r="C63" t="inlineStr">
        <is>
          <t>2025-12-09 02:07:21</t>
        </is>
      </c>
      <c r="D63" t="inlineStr">
        <is>
          <t>50</t>
        </is>
      </c>
      <c r="E63" t="inlineStr">
        <is>
          <t>Sha Sha - Shandaar Shawarma</t>
        </is>
      </c>
      <c r="F63" t="inlineStr">
        <is>
          <t>18557902</t>
        </is>
      </c>
      <c r="G63" t="inlineStr">
        <is>
          <t>30% off upto ₹75 (2025-06-25 - 2031-01-01)</t>
        </is>
      </c>
      <c r="H63" t="inlineStr">
        <is>
          <t>ONLINE</t>
        </is>
      </c>
      <c r="I63" t="inlineStr">
        <is>
          <t>DELIVERED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O2</t>
        </is>
      </c>
      <c r="N63" t="inlineStr">
        <is>
          <t>36</t>
        </is>
      </c>
      <c r="O63" t="n">
        <v>458</v>
      </c>
      <c r="P63" t="n">
        <v>3.5</v>
      </c>
      <c r="Q63" t="n">
        <v>0</v>
      </c>
      <c r="R63" t="n">
        <v>75</v>
      </c>
      <c r="S63" t="n">
        <v>0</v>
      </c>
      <c r="T63" t="n">
        <v>0</v>
      </c>
      <c r="U63" t="n">
        <v>0</v>
      </c>
      <c r="V63" t="n">
        <v>19.33</v>
      </c>
      <c r="W63" t="n">
        <v>405.83</v>
      </c>
      <c r="X63" t="n">
        <v>386.5</v>
      </c>
      <c r="Y63" t="n">
        <v>19</v>
      </c>
      <c r="Z63" t="n">
        <v>73.44</v>
      </c>
      <c r="AA63" t="n">
        <v>7.47</v>
      </c>
      <c r="AB63" t="n">
        <v>80.91</v>
      </c>
      <c r="AC63" t="n">
        <v>14.56</v>
      </c>
      <c r="AD63" t="n">
        <v>0</v>
      </c>
      <c r="AE63" t="n">
        <v>386.5</v>
      </c>
      <c r="AF63" t="n">
        <v>0</v>
      </c>
      <c r="AG63" t="n">
        <v>0</v>
      </c>
      <c r="AH63" t="n">
        <v>0.39</v>
      </c>
      <c r="AI63" t="n">
        <v>19.33</v>
      </c>
      <c r="AJ63" t="n">
        <v>0</v>
      </c>
      <c r="AK63" t="n">
        <v>34.28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115.19</v>
      </c>
      <c r="AV63" t="n">
        <v>0</v>
      </c>
      <c r="AW63" t="n">
        <v>290.64</v>
      </c>
      <c r="AX63" t="inlineStr">
        <is>
          <t>settled</t>
        </is>
      </c>
      <c r="AY63" t="inlineStr">
        <is>
          <t>2025-12-17 05:30:00</t>
        </is>
      </c>
      <c r="AZ63" t="inlineStr">
        <is>
          <t>CITIN25671113204</t>
        </is>
      </c>
      <c r="BA63" t="n">
        <v>0</v>
      </c>
      <c r="BB63" t="inlineStr">
        <is>
          <t>3c515e96660c7ab49e89507033d14fe6c9b6bd7cfabffe9ca71bf9fcc48ce398</t>
        </is>
      </c>
    </row>
    <row r="64">
      <c r="A64" t="inlineStr">
        <is>
          <t>404</t>
        </is>
      </c>
      <c r="B64" t="inlineStr">
        <is>
          <t>7558585123</t>
        </is>
      </c>
      <c r="C64" t="inlineStr">
        <is>
          <t>2025-12-09 02:19:15</t>
        </is>
      </c>
      <c r="D64" t="inlineStr">
        <is>
          <t>50</t>
        </is>
      </c>
      <c r="E64" t="inlineStr">
        <is>
          <t>Sha Sha - Shandaar Shawarma</t>
        </is>
      </c>
      <c r="F64" t="inlineStr">
        <is>
          <t>18557902</t>
        </is>
      </c>
      <c r="G64" t="inlineStr">
        <is>
          <t>30% off upto ₹75 (2025-06-25 - 2031-01-01)</t>
        </is>
      </c>
      <c r="H64" t="inlineStr">
        <is>
          <t>ONLINE</t>
        </is>
      </c>
      <c r="I64" t="inlineStr">
        <is>
          <t>DELIVERED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O2</t>
        </is>
      </c>
      <c r="N64" t="inlineStr">
        <is>
          <t>36</t>
        </is>
      </c>
      <c r="O64" t="n">
        <v>229</v>
      </c>
      <c r="P64" t="n">
        <v>3.5</v>
      </c>
      <c r="Q64" t="n">
        <v>0</v>
      </c>
      <c r="R64" t="n">
        <v>68.7</v>
      </c>
      <c r="S64" t="n">
        <v>0</v>
      </c>
      <c r="T64" t="n">
        <v>0</v>
      </c>
      <c r="U64" t="n">
        <v>0</v>
      </c>
      <c r="V64" t="n">
        <v>8.19</v>
      </c>
      <c r="W64" t="n">
        <v>171.99</v>
      </c>
      <c r="X64" t="n">
        <v>163.8</v>
      </c>
      <c r="Y64" t="n">
        <v>19</v>
      </c>
      <c r="Z64" t="n">
        <v>31.12</v>
      </c>
      <c r="AA64" t="n">
        <v>3.16</v>
      </c>
      <c r="AB64" t="n">
        <v>34.28</v>
      </c>
      <c r="AC64" t="n">
        <v>6.17</v>
      </c>
      <c r="AD64" t="n">
        <v>0</v>
      </c>
      <c r="AE64" t="n">
        <v>163.8</v>
      </c>
      <c r="AF64" t="n">
        <v>0</v>
      </c>
      <c r="AG64" t="n">
        <v>0</v>
      </c>
      <c r="AH64" t="n">
        <v>0.16</v>
      </c>
      <c r="AI64" t="n">
        <v>8.199999999999999</v>
      </c>
      <c r="AJ64" t="n">
        <v>-0.01</v>
      </c>
      <c r="AK64" t="n">
        <v>14.53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48.81</v>
      </c>
      <c r="AV64" t="n">
        <v>0</v>
      </c>
      <c r="AW64" t="n">
        <v>123.18</v>
      </c>
      <c r="AX64" t="inlineStr">
        <is>
          <t>settled</t>
        </is>
      </c>
      <c r="AY64" t="inlineStr">
        <is>
          <t>2025-12-17 05:30:00</t>
        </is>
      </c>
      <c r="AZ64" t="inlineStr">
        <is>
          <t>CITIN25671113204</t>
        </is>
      </c>
      <c r="BA64" t="n">
        <v>0</v>
      </c>
      <c r="BB64" t="inlineStr">
        <is>
          <t>a4fc402911ccc3a30d9d43744f0bde6403be6223dcbb1ed82a242aaa9108eb9e</t>
        </is>
      </c>
    </row>
    <row r="65">
      <c r="A65" t="inlineStr">
        <is>
          <t>405</t>
        </is>
      </c>
      <c r="B65" t="inlineStr">
        <is>
          <t>7560615234</t>
        </is>
      </c>
      <c r="C65" t="inlineStr">
        <is>
          <t>2025-12-09 02:26:40</t>
        </is>
      </c>
      <c r="D65" t="inlineStr">
        <is>
          <t>50</t>
        </is>
      </c>
      <c r="E65" t="inlineStr">
        <is>
          <t>Sha Sha - Shandaar Shawarma</t>
        </is>
      </c>
      <c r="F65" t="inlineStr">
        <is>
          <t>18557902</t>
        </is>
      </c>
      <c r="G65" t="inlineStr">
        <is>
          <t>30% off upto ₹75 (2025-06-25 - 2031-01-01)</t>
        </is>
      </c>
      <c r="H65" t="inlineStr">
        <is>
          <t>ONLINE</t>
        </is>
      </c>
      <c r="I65" t="inlineStr">
        <is>
          <t>DELIVERED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O2</t>
        </is>
      </c>
      <c r="N65" t="inlineStr">
        <is>
          <t>36</t>
        </is>
      </c>
      <c r="O65" t="n">
        <v>219</v>
      </c>
      <c r="P65" t="n">
        <v>3.5</v>
      </c>
      <c r="Q65" t="n">
        <v>0</v>
      </c>
      <c r="R65" t="n">
        <v>65.7</v>
      </c>
      <c r="S65" t="n">
        <v>0</v>
      </c>
      <c r="T65" t="n">
        <v>0</v>
      </c>
      <c r="U65" t="n">
        <v>0</v>
      </c>
      <c r="V65" t="n">
        <v>7.84</v>
      </c>
      <c r="W65" t="n">
        <v>164.64</v>
      </c>
      <c r="X65" t="n">
        <v>156.8</v>
      </c>
      <c r="Y65" t="n">
        <v>19</v>
      </c>
      <c r="Z65" t="n">
        <v>29.79</v>
      </c>
      <c r="AA65" t="n">
        <v>3.03</v>
      </c>
      <c r="AB65" t="n">
        <v>32.82</v>
      </c>
      <c r="AC65" t="n">
        <v>5.91</v>
      </c>
      <c r="AD65" t="n">
        <v>0</v>
      </c>
      <c r="AE65" t="n">
        <v>156.8</v>
      </c>
      <c r="AF65" t="n">
        <v>0</v>
      </c>
      <c r="AG65" t="n">
        <v>0</v>
      </c>
      <c r="AH65" t="n">
        <v>0.16</v>
      </c>
      <c r="AI65" t="n">
        <v>7.85</v>
      </c>
      <c r="AJ65" t="n">
        <v>-0.01</v>
      </c>
      <c r="AK65" t="n">
        <v>13.92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46.74</v>
      </c>
      <c r="AV65" t="n">
        <v>0</v>
      </c>
      <c r="AW65" t="n">
        <v>117.9</v>
      </c>
      <c r="AX65" t="inlineStr">
        <is>
          <t>settled</t>
        </is>
      </c>
      <c r="AY65" t="inlineStr">
        <is>
          <t>2025-12-17 05:30:00</t>
        </is>
      </c>
      <c r="AZ65" t="inlineStr">
        <is>
          <t>CITIN25671113204</t>
        </is>
      </c>
      <c r="BA65" t="n">
        <v>0</v>
      </c>
      <c r="BB65" t="inlineStr">
        <is>
          <t>6394ff8fece12a13597bcb1320dc2c1d4d1e695b3dd1bb4b3658e26f3563cf67</t>
        </is>
      </c>
    </row>
    <row r="66">
      <c r="A66" t="inlineStr">
        <is>
          <t>406</t>
        </is>
      </c>
      <c r="B66" t="inlineStr">
        <is>
          <t>7560648504</t>
        </is>
      </c>
      <c r="C66" t="inlineStr">
        <is>
          <t>2025-12-09 03:36:06</t>
        </is>
      </c>
      <c r="D66" t="inlineStr">
        <is>
          <t>50</t>
        </is>
      </c>
      <c r="E66" t="inlineStr">
        <is>
          <t>Sha Sha - Shandaar Shawarma</t>
        </is>
      </c>
      <c r="F66" t="inlineStr">
        <is>
          <t>18557902</t>
        </is>
      </c>
      <c r="G66" t="inlineStr">
        <is>
          <t>30% off upto ₹75 (2025-06-25 - 2031-01-01)</t>
        </is>
      </c>
      <c r="H66" t="inlineStr">
        <is>
          <t>ONLINE</t>
        </is>
      </c>
      <c r="I66" t="inlineStr">
        <is>
          <t>DELIVERED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O2</t>
        </is>
      </c>
      <c r="N66" t="inlineStr">
        <is>
          <t>36</t>
        </is>
      </c>
      <c r="O66" t="n">
        <v>229</v>
      </c>
      <c r="P66" t="n">
        <v>3.5</v>
      </c>
      <c r="Q66" t="n">
        <v>0</v>
      </c>
      <c r="R66" t="n">
        <v>68.7</v>
      </c>
      <c r="S66" t="n">
        <v>0</v>
      </c>
      <c r="T66" t="n">
        <v>0</v>
      </c>
      <c r="U66" t="n">
        <v>0</v>
      </c>
      <c r="V66" t="n">
        <v>8.19</v>
      </c>
      <c r="W66" t="n">
        <v>171.99</v>
      </c>
      <c r="X66" t="n">
        <v>163.8</v>
      </c>
      <c r="Y66" t="n">
        <v>19</v>
      </c>
      <c r="Z66" t="n">
        <v>31.12</v>
      </c>
      <c r="AA66" t="n">
        <v>3.16</v>
      </c>
      <c r="AB66" t="n">
        <v>34.28</v>
      </c>
      <c r="AC66" t="n">
        <v>6.17</v>
      </c>
      <c r="AD66" t="n">
        <v>0</v>
      </c>
      <c r="AE66" t="n">
        <v>163.8</v>
      </c>
      <c r="AF66" t="n">
        <v>0</v>
      </c>
      <c r="AG66" t="n">
        <v>0</v>
      </c>
      <c r="AH66" t="n">
        <v>0.16</v>
      </c>
      <c r="AI66" t="n">
        <v>8.199999999999999</v>
      </c>
      <c r="AJ66" t="n">
        <v>-0.01</v>
      </c>
      <c r="AK66" t="n">
        <v>14.53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48.81</v>
      </c>
      <c r="AV66" t="n">
        <v>0</v>
      </c>
      <c r="AW66" t="n">
        <v>123.18</v>
      </c>
      <c r="AX66" t="inlineStr">
        <is>
          <t>settled</t>
        </is>
      </c>
      <c r="AY66" t="inlineStr">
        <is>
          <t>2025-12-17 05:30:00</t>
        </is>
      </c>
      <c r="AZ66" t="inlineStr">
        <is>
          <t>CITIN25671113204</t>
        </is>
      </c>
      <c r="BA66" t="n">
        <v>0</v>
      </c>
      <c r="BB66" t="inlineStr">
        <is>
          <t>ff2b4f9cf2a82f82743b5062039b4f67eac3be7715c1e94efc56061ab259fdaa</t>
        </is>
      </c>
    </row>
    <row r="67">
      <c r="A67" t="inlineStr">
        <is>
          <t>407</t>
        </is>
      </c>
      <c r="B67" t="inlineStr">
        <is>
          <t>7551991596</t>
        </is>
      </c>
      <c r="C67" t="inlineStr">
        <is>
          <t>2025-12-09 04:08:48</t>
        </is>
      </c>
      <c r="D67" t="inlineStr">
        <is>
          <t>50</t>
        </is>
      </c>
      <c r="E67" t="inlineStr">
        <is>
          <t>Sha Sha - Shandaar Shawarma</t>
        </is>
      </c>
      <c r="F67" t="inlineStr">
        <is>
          <t>18557902</t>
        </is>
      </c>
      <c r="G67" t="inlineStr">
        <is>
          <t>30% off upto ₹75 (2025-06-25 - 2031-01-01)</t>
        </is>
      </c>
      <c r="H67" t="inlineStr">
        <is>
          <t>ONLINE</t>
        </is>
      </c>
      <c r="I67" t="inlineStr">
        <is>
          <t>DELIVERED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O2</t>
        </is>
      </c>
      <c r="N67" t="inlineStr">
        <is>
          <t>36</t>
        </is>
      </c>
      <c r="O67" t="n">
        <v>567</v>
      </c>
      <c r="P67" t="n">
        <v>3.5</v>
      </c>
      <c r="Q67" t="n">
        <v>0</v>
      </c>
      <c r="R67" t="n">
        <v>75</v>
      </c>
      <c r="S67" t="n">
        <v>0</v>
      </c>
      <c r="T67" t="n">
        <v>0</v>
      </c>
      <c r="U67" t="n">
        <v>0</v>
      </c>
      <c r="V67" t="n">
        <v>24.78</v>
      </c>
      <c r="W67" t="n">
        <v>520.28</v>
      </c>
      <c r="X67" t="n">
        <v>495.5</v>
      </c>
      <c r="Y67" t="n">
        <v>19</v>
      </c>
      <c r="Z67" t="n">
        <v>94.14</v>
      </c>
      <c r="AA67" t="n">
        <v>9.57</v>
      </c>
      <c r="AB67" t="n">
        <v>103.71</v>
      </c>
      <c r="AC67" t="n">
        <v>18.67</v>
      </c>
      <c r="AD67" t="n">
        <v>0</v>
      </c>
      <c r="AE67" t="n">
        <v>495.5</v>
      </c>
      <c r="AF67" t="n">
        <v>0</v>
      </c>
      <c r="AG67" t="n">
        <v>0</v>
      </c>
      <c r="AH67" t="n">
        <v>0.5</v>
      </c>
      <c r="AI67" t="n">
        <v>24.78</v>
      </c>
      <c r="AJ67" t="n">
        <v>0</v>
      </c>
      <c r="AK67" t="n">
        <v>43.95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147.66</v>
      </c>
      <c r="AV67" t="n">
        <v>0</v>
      </c>
      <c r="AW67" t="n">
        <v>372.62</v>
      </c>
      <c r="AX67" t="inlineStr">
        <is>
          <t>settled</t>
        </is>
      </c>
      <c r="AY67" t="inlineStr">
        <is>
          <t>2025-12-17 05:30:00</t>
        </is>
      </c>
      <c r="AZ67" t="inlineStr">
        <is>
          <t>CITIN25671113204</t>
        </is>
      </c>
      <c r="BA67" t="n">
        <v>0</v>
      </c>
      <c r="BB67" t="inlineStr">
        <is>
          <t>09c94de4bd5d6c5e5f4242b079e5bcf5bf9e73710149cba11ace5573d28842d6</t>
        </is>
      </c>
    </row>
    <row r="68">
      <c r="A68" t="inlineStr">
        <is>
          <t>408</t>
        </is>
      </c>
      <c r="B68" t="inlineStr">
        <is>
          <t>7563741183</t>
        </is>
      </c>
      <c r="C68" t="inlineStr">
        <is>
          <t>2025-12-09 04:42:12</t>
        </is>
      </c>
      <c r="D68" t="inlineStr">
        <is>
          <t>50</t>
        </is>
      </c>
      <c r="E68" t="inlineStr">
        <is>
          <t>Sha Sha - Shandaar Shawarma</t>
        </is>
      </c>
      <c r="F68" t="inlineStr">
        <is>
          <t>18557902</t>
        </is>
      </c>
      <c r="G68" t="inlineStr">
        <is>
          <t>30% off upto ₹75 (2025-06-25 - 2031-01-01)</t>
        </is>
      </c>
      <c r="H68" t="inlineStr">
        <is>
          <t>ONLINE</t>
        </is>
      </c>
      <c r="I68" t="inlineStr">
        <is>
          <t>DELIVERED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O2</t>
        </is>
      </c>
      <c r="N68" t="inlineStr">
        <is>
          <t>36</t>
        </is>
      </c>
      <c r="O68" t="n">
        <v>229</v>
      </c>
      <c r="P68" t="n">
        <v>3.5</v>
      </c>
      <c r="Q68" t="n">
        <v>0</v>
      </c>
      <c r="R68" t="n">
        <v>68.7</v>
      </c>
      <c r="S68" t="n">
        <v>0</v>
      </c>
      <c r="T68" t="n">
        <v>0</v>
      </c>
      <c r="U68" t="n">
        <v>0</v>
      </c>
      <c r="V68" t="n">
        <v>8.19</v>
      </c>
      <c r="W68" t="n">
        <v>171.99</v>
      </c>
      <c r="X68" t="n">
        <v>163.8</v>
      </c>
      <c r="Y68" t="n">
        <v>19</v>
      </c>
      <c r="Z68" t="n">
        <v>31.12</v>
      </c>
      <c r="AA68" t="n">
        <v>3.16</v>
      </c>
      <c r="AB68" t="n">
        <v>34.28</v>
      </c>
      <c r="AC68" t="n">
        <v>6.17</v>
      </c>
      <c r="AD68" t="n">
        <v>0</v>
      </c>
      <c r="AE68" t="n">
        <v>163.8</v>
      </c>
      <c r="AF68" t="n">
        <v>0</v>
      </c>
      <c r="AG68" t="n">
        <v>0</v>
      </c>
      <c r="AH68" t="n">
        <v>0.16</v>
      </c>
      <c r="AI68" t="n">
        <v>8.199999999999999</v>
      </c>
      <c r="AJ68" t="n">
        <v>-0.01</v>
      </c>
      <c r="AK68" t="n">
        <v>14.53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48.81</v>
      </c>
      <c r="AV68" t="n">
        <v>0</v>
      </c>
      <c r="AW68" t="n">
        <v>123.18</v>
      </c>
      <c r="AX68" t="inlineStr">
        <is>
          <t>settled</t>
        </is>
      </c>
      <c r="AY68" t="inlineStr">
        <is>
          <t>2025-12-17 05:30:00</t>
        </is>
      </c>
      <c r="AZ68" t="inlineStr">
        <is>
          <t>CITIN25671113204</t>
        </is>
      </c>
      <c r="BA68" t="n">
        <v>0</v>
      </c>
      <c r="BB68" t="inlineStr">
        <is>
          <t>ff2b4f9cf2a82f82743b5062039b4f67eac3be7715c1e94efc56061ab259fdaa</t>
        </is>
      </c>
    </row>
    <row r="69">
      <c r="A69" t="inlineStr">
        <is>
          <t>409</t>
        </is>
      </c>
      <c r="B69" t="inlineStr">
        <is>
          <t>7558831500</t>
        </is>
      </c>
      <c r="C69" t="inlineStr">
        <is>
          <t>2025-12-09 04:46:09</t>
        </is>
      </c>
      <c r="D69" t="inlineStr">
        <is>
          <t>50</t>
        </is>
      </c>
      <c r="E69" t="inlineStr">
        <is>
          <t>Sha Sha - Shandaar Shawarma</t>
        </is>
      </c>
      <c r="F69" t="inlineStr">
        <is>
          <t>18557902</t>
        </is>
      </c>
      <c r="G69" t="inlineStr">
        <is>
          <t>30% off upto ₹75 (2025-06-25 - 2031-01-01)</t>
        </is>
      </c>
      <c r="H69" t="inlineStr">
        <is>
          <t>ONLINE</t>
        </is>
      </c>
      <c r="I69" t="inlineStr">
        <is>
          <t>DELIVERED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O2</t>
        </is>
      </c>
      <c r="N69" t="inlineStr">
        <is>
          <t>36</t>
        </is>
      </c>
      <c r="O69" t="n">
        <v>229</v>
      </c>
      <c r="P69" t="n">
        <v>3.5</v>
      </c>
      <c r="Q69" t="n">
        <v>0</v>
      </c>
      <c r="R69" t="n">
        <v>68.7</v>
      </c>
      <c r="S69" t="n">
        <v>0</v>
      </c>
      <c r="T69" t="n">
        <v>0</v>
      </c>
      <c r="U69" t="n">
        <v>0</v>
      </c>
      <c r="V69" t="n">
        <v>8.19</v>
      </c>
      <c r="W69" t="n">
        <v>171.99</v>
      </c>
      <c r="X69" t="n">
        <v>163.8</v>
      </c>
      <c r="Y69" t="n">
        <v>19</v>
      </c>
      <c r="Z69" t="n">
        <v>31.12</v>
      </c>
      <c r="AA69" t="n">
        <v>3.16</v>
      </c>
      <c r="AB69" t="n">
        <v>34.28</v>
      </c>
      <c r="AC69" t="n">
        <v>6.17</v>
      </c>
      <c r="AD69" t="n">
        <v>0</v>
      </c>
      <c r="AE69" t="n">
        <v>163.8</v>
      </c>
      <c r="AF69" t="n">
        <v>0</v>
      </c>
      <c r="AG69" t="n">
        <v>0</v>
      </c>
      <c r="AH69" t="n">
        <v>0.16</v>
      </c>
      <c r="AI69" t="n">
        <v>8.199999999999999</v>
      </c>
      <c r="AJ69" t="n">
        <v>-0.01</v>
      </c>
      <c r="AK69" t="n">
        <v>14.53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48.81</v>
      </c>
      <c r="AV69" t="n">
        <v>0</v>
      </c>
      <c r="AW69" t="n">
        <v>123.18</v>
      </c>
      <c r="AX69" t="inlineStr">
        <is>
          <t>settled</t>
        </is>
      </c>
      <c r="AY69" t="inlineStr">
        <is>
          <t>2025-12-17 05:30:00</t>
        </is>
      </c>
      <c r="AZ69" t="inlineStr">
        <is>
          <t>CITIN25671113204</t>
        </is>
      </c>
      <c r="BA69" t="n">
        <v>0</v>
      </c>
      <c r="BB69" t="inlineStr">
        <is>
          <t>37ccb937179f63680b4db9461ab16966f5da6a26cf0192883c0ed798a7d349ee</t>
        </is>
      </c>
    </row>
    <row r="70">
      <c r="A70" t="inlineStr">
        <is>
          <t>410</t>
        </is>
      </c>
      <c r="B70" t="inlineStr">
        <is>
          <t>7563540836</t>
        </is>
      </c>
      <c r="C70" t="inlineStr">
        <is>
          <t>2025-12-09 09:31:03</t>
        </is>
      </c>
      <c r="D70" t="inlineStr">
        <is>
          <t>50</t>
        </is>
      </c>
      <c r="E70" t="inlineStr">
        <is>
          <t>Sha Sha - Shandaar Shawarma</t>
        </is>
      </c>
      <c r="F70" t="inlineStr">
        <is>
          <t>18557902</t>
        </is>
      </c>
      <c r="G70" t="inlineStr">
        <is>
          <t>30% off upto ₹75 (2025-06-25 - 2031-01-01)</t>
        </is>
      </c>
      <c r="H70" t="inlineStr">
        <is>
          <t>ONLINE</t>
        </is>
      </c>
      <c r="I70" t="inlineStr">
        <is>
          <t>DELIVERED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O2</t>
        </is>
      </c>
      <c r="N70" t="inlineStr">
        <is>
          <t>36</t>
        </is>
      </c>
      <c r="O70" t="n">
        <v>219</v>
      </c>
      <c r="P70" t="n">
        <v>3.5</v>
      </c>
      <c r="Q70" t="n">
        <v>0</v>
      </c>
      <c r="R70" t="n">
        <v>65.7</v>
      </c>
      <c r="S70" t="n">
        <v>0</v>
      </c>
      <c r="T70" t="n">
        <v>0</v>
      </c>
      <c r="U70" t="n">
        <v>0</v>
      </c>
      <c r="V70" t="n">
        <v>7.84</v>
      </c>
      <c r="W70" t="n">
        <v>164.64</v>
      </c>
      <c r="X70" t="n">
        <v>156.8</v>
      </c>
      <c r="Y70" t="n">
        <v>19</v>
      </c>
      <c r="Z70" t="n">
        <v>29.79</v>
      </c>
      <c r="AA70" t="n">
        <v>3.03</v>
      </c>
      <c r="AB70" t="n">
        <v>32.82</v>
      </c>
      <c r="AC70" t="n">
        <v>5.91</v>
      </c>
      <c r="AD70" t="n">
        <v>0</v>
      </c>
      <c r="AE70" t="n">
        <v>156.8</v>
      </c>
      <c r="AF70" t="n">
        <v>0</v>
      </c>
      <c r="AG70" t="n">
        <v>0</v>
      </c>
      <c r="AH70" t="n">
        <v>0.16</v>
      </c>
      <c r="AI70" t="n">
        <v>7.85</v>
      </c>
      <c r="AJ70" t="n">
        <v>-0.01</v>
      </c>
      <c r="AK70" t="n">
        <v>13.92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46.74</v>
      </c>
      <c r="AV70" t="n">
        <v>0</v>
      </c>
      <c r="AW70" t="n">
        <v>117.9</v>
      </c>
      <c r="AX70" t="inlineStr">
        <is>
          <t>settled</t>
        </is>
      </c>
      <c r="AY70" t="inlineStr">
        <is>
          <t>2025-12-17 05:30:00</t>
        </is>
      </c>
      <c r="AZ70" t="inlineStr">
        <is>
          <t>CITIN25671113204</t>
        </is>
      </c>
      <c r="BA70" t="n">
        <v>0</v>
      </c>
      <c r="BB70" t="inlineStr">
        <is>
          <t>90eddd220d79fd68ae79a2fa78894689a8fe4ee3343820fb48c15e6da9b0ef54</t>
        </is>
      </c>
    </row>
    <row r="71">
      <c r="A71" t="inlineStr">
        <is>
          <t>411</t>
        </is>
      </c>
      <c r="B71" t="inlineStr">
        <is>
          <t>7564464910</t>
        </is>
      </c>
      <c r="C71" t="inlineStr">
        <is>
          <t>2025-12-09 13:37:09</t>
        </is>
      </c>
      <c r="D71" t="inlineStr">
        <is>
          <t>50</t>
        </is>
      </c>
      <c r="E71" t="inlineStr">
        <is>
          <t>Sha Sha - Shandaar Shawarma</t>
        </is>
      </c>
      <c r="F71" t="inlineStr">
        <is>
          <t>18557902</t>
        </is>
      </c>
      <c r="G71" t="inlineStr">
        <is>
          <t>NA</t>
        </is>
      </c>
      <c r="H71" t="inlineStr">
        <is>
          <t>ONLINE</t>
        </is>
      </c>
      <c r="I71" t="inlineStr">
        <is>
          <t>DELIVERED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O2</t>
        </is>
      </c>
      <c r="N71" t="inlineStr">
        <is>
          <t>36</t>
        </is>
      </c>
      <c r="O71" t="n">
        <v>229</v>
      </c>
      <c r="P71" t="n">
        <v>3.5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11.63</v>
      </c>
      <c r="W71" t="n">
        <v>244.13</v>
      </c>
      <c r="X71" t="n">
        <v>232.5</v>
      </c>
      <c r="Y71" t="n">
        <v>19</v>
      </c>
      <c r="Z71" t="n">
        <v>44.18</v>
      </c>
      <c r="AA71" t="n">
        <v>4.49</v>
      </c>
      <c r="AB71" t="n">
        <v>48.67</v>
      </c>
      <c r="AC71" t="n">
        <v>8.76</v>
      </c>
      <c r="AD71" t="n">
        <v>0</v>
      </c>
      <c r="AE71" t="n">
        <v>232.5</v>
      </c>
      <c r="AF71" t="n">
        <v>0</v>
      </c>
      <c r="AG71" t="n">
        <v>0</v>
      </c>
      <c r="AH71" t="n">
        <v>0.23</v>
      </c>
      <c r="AI71" t="n">
        <v>11.63</v>
      </c>
      <c r="AJ71" t="n">
        <v>0</v>
      </c>
      <c r="AK71" t="n">
        <v>20.62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69.29000000000001</v>
      </c>
      <c r="AV71" t="n">
        <v>0</v>
      </c>
      <c r="AW71" t="n">
        <v>174.84</v>
      </c>
      <c r="AX71" t="inlineStr">
        <is>
          <t>settled</t>
        </is>
      </c>
      <c r="AY71" t="inlineStr">
        <is>
          <t>2025-12-17 05:30:00</t>
        </is>
      </c>
      <c r="AZ71" t="inlineStr">
        <is>
          <t>CITIN25671113204</t>
        </is>
      </c>
      <c r="BA71" t="n">
        <v>0</v>
      </c>
      <c r="BB71" t="inlineStr">
        <is>
          <t>fec8e7e53d9efab16b9ddc07e1adc7c82a64d62bb72a6fbce07520a0196f66db</t>
        </is>
      </c>
    </row>
    <row r="72">
      <c r="A72" t="inlineStr">
        <is>
          <t>412</t>
        </is>
      </c>
      <c r="B72" t="inlineStr">
        <is>
          <t>7560316011</t>
        </is>
      </c>
      <c r="C72" t="inlineStr">
        <is>
          <t>2025-12-09 13:52:50</t>
        </is>
      </c>
      <c r="D72" t="inlineStr">
        <is>
          <t>50</t>
        </is>
      </c>
      <c r="E72" t="inlineStr">
        <is>
          <t>Sha Sha - Shandaar Shawarma</t>
        </is>
      </c>
      <c r="F72" t="inlineStr">
        <is>
          <t>18557902</t>
        </is>
      </c>
      <c r="G72" t="inlineStr">
        <is>
          <t>30% off upto ₹75 (2025-06-25 - 2031-01-01)</t>
        </is>
      </c>
      <c r="H72" t="inlineStr">
        <is>
          <t>ONLINE</t>
        </is>
      </c>
      <c r="I72" t="inlineStr">
        <is>
          <t>DELIVERED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O2</t>
        </is>
      </c>
      <c r="N72" t="inlineStr">
        <is>
          <t>36</t>
        </is>
      </c>
      <c r="O72" t="n">
        <v>219</v>
      </c>
      <c r="P72" t="n">
        <v>3.5</v>
      </c>
      <c r="Q72" t="n">
        <v>0</v>
      </c>
      <c r="R72" t="n">
        <v>65.7</v>
      </c>
      <c r="S72" t="n">
        <v>0</v>
      </c>
      <c r="T72" t="n">
        <v>0</v>
      </c>
      <c r="U72" t="n">
        <v>0</v>
      </c>
      <c r="V72" t="n">
        <v>7.84</v>
      </c>
      <c r="W72" t="n">
        <v>164.64</v>
      </c>
      <c r="X72" t="n">
        <v>156.8</v>
      </c>
      <c r="Y72" t="n">
        <v>19</v>
      </c>
      <c r="Z72" t="n">
        <v>29.79</v>
      </c>
      <c r="AA72" t="n">
        <v>3.03</v>
      </c>
      <c r="AB72" t="n">
        <v>32.82</v>
      </c>
      <c r="AC72" t="n">
        <v>5.91</v>
      </c>
      <c r="AD72" t="n">
        <v>0</v>
      </c>
      <c r="AE72" t="n">
        <v>156.8</v>
      </c>
      <c r="AF72" t="n">
        <v>0</v>
      </c>
      <c r="AG72" t="n">
        <v>0</v>
      </c>
      <c r="AH72" t="n">
        <v>0.16</v>
      </c>
      <c r="AI72" t="n">
        <v>7.85</v>
      </c>
      <c r="AJ72" t="n">
        <v>-0.01</v>
      </c>
      <c r="AK72" t="n">
        <v>13.92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46.74</v>
      </c>
      <c r="AV72" t="n">
        <v>0</v>
      </c>
      <c r="AW72" t="n">
        <v>117.9</v>
      </c>
      <c r="AX72" t="inlineStr">
        <is>
          <t>settled</t>
        </is>
      </c>
      <c r="AY72" t="inlineStr">
        <is>
          <t>2025-12-17 05:30:00</t>
        </is>
      </c>
      <c r="AZ72" t="inlineStr">
        <is>
          <t>CITIN25671113204</t>
        </is>
      </c>
      <c r="BA72" t="n">
        <v>0</v>
      </c>
      <c r="BB72" t="inlineStr">
        <is>
          <t>365f1d88805b84b3d913c9b78b84900f735e37359894a3d66db0eae1d38d8acc</t>
        </is>
      </c>
    </row>
    <row r="73">
      <c r="A73" t="inlineStr">
        <is>
          <t>413</t>
        </is>
      </c>
      <c r="B73" t="inlineStr">
        <is>
          <t>7564766595</t>
        </is>
      </c>
      <c r="C73" t="inlineStr">
        <is>
          <t>2025-12-09 14:05:55</t>
        </is>
      </c>
      <c r="D73" t="inlineStr">
        <is>
          <t>50</t>
        </is>
      </c>
      <c r="E73" t="inlineStr">
        <is>
          <t>Sha Sha - Shandaar Shawarma</t>
        </is>
      </c>
      <c r="F73" t="inlineStr">
        <is>
          <t>18557902</t>
        </is>
      </c>
      <c r="G73" t="inlineStr">
        <is>
          <t>NA</t>
        </is>
      </c>
      <c r="H73" t="inlineStr">
        <is>
          <t>ONLINE</t>
        </is>
      </c>
      <c r="I73" t="inlineStr">
        <is>
          <t>DELIVERED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O2</t>
        </is>
      </c>
      <c r="N73" t="inlineStr">
        <is>
          <t>36</t>
        </is>
      </c>
      <c r="O73" t="n">
        <v>229</v>
      </c>
      <c r="P73" t="n">
        <v>3.5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11.63</v>
      </c>
      <c r="W73" t="n">
        <v>244.13</v>
      </c>
      <c r="X73" t="n">
        <v>232.5</v>
      </c>
      <c r="Y73" t="n">
        <v>19</v>
      </c>
      <c r="Z73" t="n">
        <v>44.18</v>
      </c>
      <c r="AA73" t="n">
        <v>4.49</v>
      </c>
      <c r="AB73" t="n">
        <v>48.67</v>
      </c>
      <c r="AC73" t="n">
        <v>8.76</v>
      </c>
      <c r="AD73" t="n">
        <v>0</v>
      </c>
      <c r="AE73" t="n">
        <v>232.5</v>
      </c>
      <c r="AF73" t="n">
        <v>0</v>
      </c>
      <c r="AG73" t="n">
        <v>0</v>
      </c>
      <c r="AH73" t="n">
        <v>0.23</v>
      </c>
      <c r="AI73" t="n">
        <v>11.63</v>
      </c>
      <c r="AJ73" t="n">
        <v>0</v>
      </c>
      <c r="AK73" t="n">
        <v>20.62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69.29000000000001</v>
      </c>
      <c r="AV73" t="n">
        <v>0</v>
      </c>
      <c r="AW73" t="n">
        <v>174.84</v>
      </c>
      <c r="AX73" t="inlineStr">
        <is>
          <t>settled</t>
        </is>
      </c>
      <c r="AY73" t="inlineStr">
        <is>
          <t>2025-12-17 05:30:00</t>
        </is>
      </c>
      <c r="AZ73" t="inlineStr">
        <is>
          <t>CITIN25671113204</t>
        </is>
      </c>
      <c r="BA73" t="n">
        <v>0</v>
      </c>
      <c r="BB73" t="inlineStr">
        <is>
          <t>e86e9c36fd685c37105f8d0e8d50a782d0ca87c2bcf74ae1a0cb893604e077d2</t>
        </is>
      </c>
    </row>
    <row r="74">
      <c r="A74" t="inlineStr">
        <is>
          <t>414</t>
        </is>
      </c>
      <c r="B74" t="inlineStr">
        <is>
          <t>7563261285</t>
        </is>
      </c>
      <c r="C74" t="inlineStr">
        <is>
          <t>2025-12-09 14:56:20</t>
        </is>
      </c>
      <c r="D74" t="inlineStr">
        <is>
          <t>50</t>
        </is>
      </c>
      <c r="E74" t="inlineStr">
        <is>
          <t>Sha Sha - Shandaar Shawarma</t>
        </is>
      </c>
      <c r="F74" t="inlineStr">
        <is>
          <t>18557902</t>
        </is>
      </c>
      <c r="G74" t="inlineStr">
        <is>
          <t>30% off upto ₹75 (2025-06-25 - 2031-01-01)</t>
        </is>
      </c>
      <c r="H74" t="inlineStr">
        <is>
          <t>ONLINE</t>
        </is>
      </c>
      <c r="I74" t="inlineStr">
        <is>
          <t>DELIVERED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O2</t>
        </is>
      </c>
      <c r="N74" t="inlineStr">
        <is>
          <t>36</t>
        </is>
      </c>
      <c r="O74" t="n">
        <v>458</v>
      </c>
      <c r="P74" t="n">
        <v>3.5</v>
      </c>
      <c r="Q74" t="n">
        <v>0</v>
      </c>
      <c r="R74" t="n">
        <v>75</v>
      </c>
      <c r="S74" t="n">
        <v>0</v>
      </c>
      <c r="T74" t="n">
        <v>0</v>
      </c>
      <c r="U74" t="n">
        <v>0</v>
      </c>
      <c r="V74" t="n">
        <v>19.33</v>
      </c>
      <c r="W74" t="n">
        <v>405.83</v>
      </c>
      <c r="X74" t="n">
        <v>386.5</v>
      </c>
      <c r="Y74" t="n">
        <v>19</v>
      </c>
      <c r="Z74" t="n">
        <v>73.44</v>
      </c>
      <c r="AA74" t="n">
        <v>7.47</v>
      </c>
      <c r="AB74" t="n">
        <v>80.91</v>
      </c>
      <c r="AC74" t="n">
        <v>14.56</v>
      </c>
      <c r="AD74" t="n">
        <v>0</v>
      </c>
      <c r="AE74" t="n">
        <v>386.5</v>
      </c>
      <c r="AF74" t="n">
        <v>0</v>
      </c>
      <c r="AG74" t="n">
        <v>0</v>
      </c>
      <c r="AH74" t="n">
        <v>0.39</v>
      </c>
      <c r="AI74" t="n">
        <v>19.33</v>
      </c>
      <c r="AJ74" t="n">
        <v>0</v>
      </c>
      <c r="AK74" t="n">
        <v>34.28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115.19</v>
      </c>
      <c r="AV74" t="n">
        <v>0</v>
      </c>
      <c r="AW74" t="n">
        <v>290.64</v>
      </c>
      <c r="AX74" t="inlineStr">
        <is>
          <t>settled</t>
        </is>
      </c>
      <c r="AY74" t="inlineStr">
        <is>
          <t>2025-12-17 05:30:00</t>
        </is>
      </c>
      <c r="AZ74" t="inlineStr">
        <is>
          <t>CITIN25671113204</t>
        </is>
      </c>
      <c r="BA74" t="n">
        <v>0</v>
      </c>
      <c r="BB74" t="inlineStr">
        <is>
          <t>44cacf6568dc5e66ee95b9bffd12d10e1a8978d8329abee2fb936863aa6211ea</t>
        </is>
      </c>
    </row>
    <row r="75">
      <c r="A75" t="inlineStr">
        <is>
          <t>415</t>
        </is>
      </c>
      <c r="B75" t="inlineStr">
        <is>
          <t>7563308560</t>
        </is>
      </c>
      <c r="C75" t="inlineStr">
        <is>
          <t>2025-12-09 15:47:56</t>
        </is>
      </c>
      <c r="D75" t="inlineStr">
        <is>
          <t>50</t>
        </is>
      </c>
      <c r="E75" t="inlineStr">
        <is>
          <t>Sha Sha - Shandaar Shawarma</t>
        </is>
      </c>
      <c r="F75" t="inlineStr">
        <is>
          <t>18557902</t>
        </is>
      </c>
      <c r="G75" t="inlineStr">
        <is>
          <t>30% off upto ₹75 (2025-06-25 - 2031-01-01)</t>
        </is>
      </c>
      <c r="H75" t="inlineStr">
        <is>
          <t>ONLINE</t>
        </is>
      </c>
      <c r="I75" t="inlineStr">
        <is>
          <t>DELIVERED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O2</t>
        </is>
      </c>
      <c r="N75" t="inlineStr">
        <is>
          <t>36</t>
        </is>
      </c>
      <c r="O75" t="n">
        <v>229</v>
      </c>
      <c r="P75" t="n">
        <v>3.5</v>
      </c>
      <c r="Q75" t="n">
        <v>0</v>
      </c>
      <c r="R75" t="n">
        <v>68.7</v>
      </c>
      <c r="S75" t="n">
        <v>0</v>
      </c>
      <c r="T75" t="n">
        <v>0</v>
      </c>
      <c r="U75" t="n">
        <v>0</v>
      </c>
      <c r="V75" t="n">
        <v>8.19</v>
      </c>
      <c r="W75" t="n">
        <v>171.99</v>
      </c>
      <c r="X75" t="n">
        <v>163.8</v>
      </c>
      <c r="Y75" t="n">
        <v>19</v>
      </c>
      <c r="Z75" t="n">
        <v>31.12</v>
      </c>
      <c r="AA75" t="n">
        <v>3.16</v>
      </c>
      <c r="AB75" t="n">
        <v>34.28</v>
      </c>
      <c r="AC75" t="n">
        <v>6.17</v>
      </c>
      <c r="AD75" t="n">
        <v>0</v>
      </c>
      <c r="AE75" t="n">
        <v>163.8</v>
      </c>
      <c r="AF75" t="n">
        <v>0</v>
      </c>
      <c r="AG75" t="n">
        <v>0</v>
      </c>
      <c r="AH75" t="n">
        <v>0.16</v>
      </c>
      <c r="AI75" t="n">
        <v>8.199999999999999</v>
      </c>
      <c r="AJ75" t="n">
        <v>-0.01</v>
      </c>
      <c r="AK75" t="n">
        <v>14.53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48.81</v>
      </c>
      <c r="AV75" t="n">
        <v>0</v>
      </c>
      <c r="AW75" t="n">
        <v>123.18</v>
      </c>
      <c r="AX75" t="inlineStr">
        <is>
          <t>settled</t>
        </is>
      </c>
      <c r="AY75" t="inlineStr">
        <is>
          <t>2025-12-17 05:30:00</t>
        </is>
      </c>
      <c r="AZ75" t="inlineStr">
        <is>
          <t>CITIN25671113204</t>
        </is>
      </c>
      <c r="BA75" t="n">
        <v>0</v>
      </c>
      <c r="BB75" t="inlineStr">
        <is>
          <t>4a82054af2453f06a28ec6a929f033f9ffc0bda4a1b360035ebf4ca53f61bd97</t>
        </is>
      </c>
    </row>
    <row r="76">
      <c r="A76" t="inlineStr">
        <is>
          <t>416</t>
        </is>
      </c>
      <c r="B76" t="inlineStr">
        <is>
          <t>7563084922</t>
        </is>
      </c>
      <c r="C76" t="inlineStr">
        <is>
          <t>2025-12-09 16:19:48</t>
        </is>
      </c>
      <c r="D76" t="inlineStr">
        <is>
          <t>50</t>
        </is>
      </c>
      <c r="E76" t="inlineStr">
        <is>
          <t>Sha Sha - Shandaar Shawarma</t>
        </is>
      </c>
      <c r="F76" t="inlineStr">
        <is>
          <t>18557902</t>
        </is>
      </c>
      <c r="G76" t="inlineStr">
        <is>
          <t>30% off upto ₹75 (2025-06-25 - 2031-01-01)</t>
        </is>
      </c>
      <c r="H76" t="inlineStr">
        <is>
          <t>ONLINE</t>
        </is>
      </c>
      <c r="I76" t="inlineStr">
        <is>
          <t>DELIVERED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O2</t>
        </is>
      </c>
      <c r="N76" t="inlineStr">
        <is>
          <t>36</t>
        </is>
      </c>
      <c r="O76" t="n">
        <v>458</v>
      </c>
      <c r="P76" t="n">
        <v>3.5</v>
      </c>
      <c r="Q76" t="n">
        <v>0</v>
      </c>
      <c r="R76" t="n">
        <v>75</v>
      </c>
      <c r="S76" t="n">
        <v>0</v>
      </c>
      <c r="T76" t="n">
        <v>0</v>
      </c>
      <c r="U76" t="n">
        <v>0</v>
      </c>
      <c r="V76" t="n">
        <v>19.33</v>
      </c>
      <c r="W76" t="n">
        <v>405.83</v>
      </c>
      <c r="X76" t="n">
        <v>386.5</v>
      </c>
      <c r="Y76" t="n">
        <v>19</v>
      </c>
      <c r="Z76" t="n">
        <v>73.44</v>
      </c>
      <c r="AA76" t="n">
        <v>7.47</v>
      </c>
      <c r="AB76" t="n">
        <v>80.91</v>
      </c>
      <c r="AC76" t="n">
        <v>14.56</v>
      </c>
      <c r="AD76" t="n">
        <v>0</v>
      </c>
      <c r="AE76" t="n">
        <v>386.5</v>
      </c>
      <c r="AF76" t="n">
        <v>0</v>
      </c>
      <c r="AG76" t="n">
        <v>0</v>
      </c>
      <c r="AH76" t="n">
        <v>0.39</v>
      </c>
      <c r="AI76" t="n">
        <v>19.33</v>
      </c>
      <c r="AJ76" t="n">
        <v>0</v>
      </c>
      <c r="AK76" t="n">
        <v>34.28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115.19</v>
      </c>
      <c r="AV76" t="n">
        <v>0</v>
      </c>
      <c r="AW76" t="n">
        <v>290.64</v>
      </c>
      <c r="AX76" t="inlineStr">
        <is>
          <t>settled</t>
        </is>
      </c>
      <c r="AY76" t="inlineStr">
        <is>
          <t>2025-12-17 05:30:00</t>
        </is>
      </c>
      <c r="AZ76" t="inlineStr">
        <is>
          <t>CITIN25671113204</t>
        </is>
      </c>
      <c r="BA76" t="n">
        <v>0</v>
      </c>
      <c r="BB76" t="inlineStr">
        <is>
          <t>f2be8bb17aa982339848b8731668d83564521fb397ff9f65aad5cfa202b48ea4</t>
        </is>
      </c>
    </row>
    <row r="77">
      <c r="A77" t="inlineStr">
        <is>
          <t>417</t>
        </is>
      </c>
      <c r="B77" t="inlineStr">
        <is>
          <t>7562865743</t>
        </is>
      </c>
      <c r="C77" t="inlineStr">
        <is>
          <t>2025-12-09 16:58:08</t>
        </is>
      </c>
      <c r="D77" t="inlineStr">
        <is>
          <t>50</t>
        </is>
      </c>
      <c r="E77" t="inlineStr">
        <is>
          <t>Sha Sha - Shandaar Shawarma</t>
        </is>
      </c>
      <c r="F77" t="inlineStr">
        <is>
          <t>18557902</t>
        </is>
      </c>
      <c r="G77" t="inlineStr">
        <is>
          <t>30% off upto ₹75 (2025-06-25 - 2031-01-01)</t>
        </is>
      </c>
      <c r="H77" t="inlineStr">
        <is>
          <t>ONLINE</t>
        </is>
      </c>
      <c r="I77" t="inlineStr">
        <is>
          <t>DELIVERED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O2</t>
        </is>
      </c>
      <c r="N77" t="inlineStr">
        <is>
          <t>36</t>
        </is>
      </c>
      <c r="O77" t="n">
        <v>199</v>
      </c>
      <c r="P77" t="n">
        <v>3.5</v>
      </c>
      <c r="Q77" t="n">
        <v>0</v>
      </c>
      <c r="R77" t="n">
        <v>59.7</v>
      </c>
      <c r="S77" t="n">
        <v>0</v>
      </c>
      <c r="T77" t="n">
        <v>0</v>
      </c>
      <c r="U77" t="n">
        <v>0</v>
      </c>
      <c r="V77" t="n">
        <v>7.14</v>
      </c>
      <c r="W77" t="n">
        <v>149.94</v>
      </c>
      <c r="X77" t="n">
        <v>142.8</v>
      </c>
      <c r="Y77" t="n">
        <v>19</v>
      </c>
      <c r="Z77" t="n">
        <v>27.13</v>
      </c>
      <c r="AA77" t="n">
        <v>2.76</v>
      </c>
      <c r="AB77" t="n">
        <v>29.89</v>
      </c>
      <c r="AC77" t="n">
        <v>5.38</v>
      </c>
      <c r="AD77" t="n">
        <v>0</v>
      </c>
      <c r="AE77" t="n">
        <v>142.8</v>
      </c>
      <c r="AF77" t="n">
        <v>0</v>
      </c>
      <c r="AG77" t="n">
        <v>0</v>
      </c>
      <c r="AH77" t="n">
        <v>0.14</v>
      </c>
      <c r="AI77" t="n">
        <v>7.15</v>
      </c>
      <c r="AJ77" t="n">
        <v>-0.01</v>
      </c>
      <c r="AK77" t="n">
        <v>12.67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42.56</v>
      </c>
      <c r="AV77" t="n">
        <v>0</v>
      </c>
      <c r="AW77" t="n">
        <v>107.38</v>
      </c>
      <c r="AX77" t="inlineStr">
        <is>
          <t>settled</t>
        </is>
      </c>
      <c r="AY77" t="inlineStr">
        <is>
          <t>2025-12-17 05:30:00</t>
        </is>
      </c>
      <c r="AZ77" t="inlineStr">
        <is>
          <t>CITIN25671113204</t>
        </is>
      </c>
      <c r="BA77" t="n">
        <v>0</v>
      </c>
      <c r="BB77" t="inlineStr">
        <is>
          <t>26c33a1aaadd53fe20f74d4d41459630ff6bd27838b27f9704ad3821d47a8d65</t>
        </is>
      </c>
    </row>
    <row r="78">
      <c r="A78" t="inlineStr">
        <is>
          <t>418</t>
        </is>
      </c>
      <c r="B78" t="inlineStr">
        <is>
          <t>7555572819</t>
        </is>
      </c>
      <c r="C78" t="inlineStr">
        <is>
          <t>2025-12-09 17:42:36</t>
        </is>
      </c>
      <c r="D78" t="inlineStr">
        <is>
          <t>50</t>
        </is>
      </c>
      <c r="E78" t="inlineStr">
        <is>
          <t>Sha Sha - Shandaar Shawarma</t>
        </is>
      </c>
      <c r="F78" t="inlineStr">
        <is>
          <t>18557902</t>
        </is>
      </c>
      <c r="G78" t="inlineStr">
        <is>
          <t>30% off upto ₹75 (2025-06-25 - 2031-01-01)</t>
        </is>
      </c>
      <c r="H78" t="inlineStr">
        <is>
          <t>ONLINE</t>
        </is>
      </c>
      <c r="I78" t="inlineStr">
        <is>
          <t>DELIVERED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O2</t>
        </is>
      </c>
      <c r="N78" t="inlineStr">
        <is>
          <t>36</t>
        </is>
      </c>
      <c r="O78" t="n">
        <v>458</v>
      </c>
      <c r="P78" t="n">
        <v>3.5</v>
      </c>
      <c r="Q78" t="n">
        <v>0</v>
      </c>
      <c r="R78" t="n">
        <v>75</v>
      </c>
      <c r="S78" t="n">
        <v>0</v>
      </c>
      <c r="T78" t="n">
        <v>0</v>
      </c>
      <c r="U78" t="n">
        <v>0</v>
      </c>
      <c r="V78" t="n">
        <v>19.33</v>
      </c>
      <c r="W78" t="n">
        <v>405.83</v>
      </c>
      <c r="X78" t="n">
        <v>386.5</v>
      </c>
      <c r="Y78" t="n">
        <v>19</v>
      </c>
      <c r="Z78" t="n">
        <v>73.44</v>
      </c>
      <c r="AA78" t="n">
        <v>7.47</v>
      </c>
      <c r="AB78" t="n">
        <v>80.91</v>
      </c>
      <c r="AC78" t="n">
        <v>14.56</v>
      </c>
      <c r="AD78" t="n">
        <v>0</v>
      </c>
      <c r="AE78" t="n">
        <v>386.5</v>
      </c>
      <c r="AF78" t="n">
        <v>0</v>
      </c>
      <c r="AG78" t="n">
        <v>0</v>
      </c>
      <c r="AH78" t="n">
        <v>0.39</v>
      </c>
      <c r="AI78" t="n">
        <v>19.33</v>
      </c>
      <c r="AJ78" t="n">
        <v>0</v>
      </c>
      <c r="AK78" t="n">
        <v>34.28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115.19</v>
      </c>
      <c r="AV78" t="n">
        <v>0</v>
      </c>
      <c r="AW78" t="n">
        <v>290.64</v>
      </c>
      <c r="AX78" t="inlineStr">
        <is>
          <t>settled</t>
        </is>
      </c>
      <c r="AY78" t="inlineStr">
        <is>
          <t>2025-12-17 05:30:00</t>
        </is>
      </c>
      <c r="AZ78" t="inlineStr">
        <is>
          <t>CITIN25671113204</t>
        </is>
      </c>
      <c r="BA78" t="n">
        <v>0</v>
      </c>
      <c r="BB78" t="inlineStr">
        <is>
          <t>7d9d3c316ae0694595c104b4348daa0be6e142e1ccac5c4f001bcaf7018cc5cc</t>
        </is>
      </c>
    </row>
    <row r="79">
      <c r="A79" t="inlineStr">
        <is>
          <t>419</t>
        </is>
      </c>
      <c r="B79" t="inlineStr">
        <is>
          <t>7551773917</t>
        </is>
      </c>
      <c r="C79" t="inlineStr">
        <is>
          <t>2025-12-09 18:06:47</t>
        </is>
      </c>
      <c r="D79" t="inlineStr">
        <is>
          <t>50</t>
        </is>
      </c>
      <c r="E79" t="inlineStr">
        <is>
          <t>Sha Sha - Shandaar Shawarma</t>
        </is>
      </c>
      <c r="F79" t="inlineStr">
        <is>
          <t>18557902</t>
        </is>
      </c>
      <c r="G79" t="inlineStr">
        <is>
          <t>NA</t>
        </is>
      </c>
      <c r="H79" t="inlineStr">
        <is>
          <t>ONLINE</t>
        </is>
      </c>
      <c r="I79" t="inlineStr">
        <is>
          <t>DELIVERED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O2</t>
        </is>
      </c>
      <c r="N79" t="inlineStr">
        <is>
          <t>36</t>
        </is>
      </c>
      <c r="O79" t="n">
        <v>229</v>
      </c>
      <c r="P79" t="n">
        <v>3.5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11.63</v>
      </c>
      <c r="W79" t="n">
        <v>244.13</v>
      </c>
      <c r="X79" t="n">
        <v>232.5</v>
      </c>
      <c r="Y79" t="n">
        <v>19</v>
      </c>
      <c r="Z79" t="n">
        <v>44.18</v>
      </c>
      <c r="AA79" t="n">
        <v>4.49</v>
      </c>
      <c r="AB79" t="n">
        <v>48.67</v>
      </c>
      <c r="AC79" t="n">
        <v>8.76</v>
      </c>
      <c r="AD79" t="n">
        <v>0</v>
      </c>
      <c r="AE79" t="n">
        <v>232.5</v>
      </c>
      <c r="AF79" t="n">
        <v>0</v>
      </c>
      <c r="AG79" t="n">
        <v>0</v>
      </c>
      <c r="AH79" t="n">
        <v>0.23</v>
      </c>
      <c r="AI79" t="n">
        <v>11.63</v>
      </c>
      <c r="AJ79" t="n">
        <v>0</v>
      </c>
      <c r="AK79" t="n">
        <v>20.62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69.29000000000001</v>
      </c>
      <c r="AV79" t="n">
        <v>0</v>
      </c>
      <c r="AW79" t="n">
        <v>174.84</v>
      </c>
      <c r="AX79" t="inlineStr">
        <is>
          <t>settled</t>
        </is>
      </c>
      <c r="AY79" t="inlineStr">
        <is>
          <t>2025-12-17 05:30:00</t>
        </is>
      </c>
      <c r="AZ79" t="inlineStr">
        <is>
          <t>CITIN25671113204</t>
        </is>
      </c>
      <c r="BA79" t="n">
        <v>0</v>
      </c>
      <c r="BB79" t="inlineStr">
        <is>
          <t>d4269c4f5d87228fb28eba4491b812d57e177f227a923a7e82e688a2d25897d1</t>
        </is>
      </c>
    </row>
    <row r="80">
      <c r="A80" t="inlineStr">
        <is>
          <t>420</t>
        </is>
      </c>
      <c r="B80" t="inlineStr">
        <is>
          <t>7559877661</t>
        </is>
      </c>
      <c r="C80" t="inlineStr">
        <is>
          <t>2025-12-09 18:28:53</t>
        </is>
      </c>
      <c r="D80" t="inlineStr">
        <is>
          <t>50</t>
        </is>
      </c>
      <c r="E80" t="inlineStr">
        <is>
          <t>Sha Sha - Shandaar Shawarma</t>
        </is>
      </c>
      <c r="F80" t="inlineStr">
        <is>
          <t>18557902</t>
        </is>
      </c>
      <c r="G80" t="inlineStr">
        <is>
          <t>NA</t>
        </is>
      </c>
      <c r="H80" t="inlineStr">
        <is>
          <t>ONLINE</t>
        </is>
      </c>
      <c r="I80" t="inlineStr">
        <is>
          <t>DELIVERED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O2</t>
        </is>
      </c>
      <c r="N80" t="inlineStr">
        <is>
          <t>36</t>
        </is>
      </c>
      <c r="O80" t="n">
        <v>219</v>
      </c>
      <c r="P80" t="n">
        <v>3.5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11.13</v>
      </c>
      <c r="W80" t="n">
        <v>233.63</v>
      </c>
      <c r="X80" t="n">
        <v>222.5</v>
      </c>
      <c r="Y80" t="n">
        <v>19</v>
      </c>
      <c r="Z80" t="n">
        <v>42.28</v>
      </c>
      <c r="AA80" t="n">
        <v>4.3</v>
      </c>
      <c r="AB80" t="n">
        <v>46.58</v>
      </c>
      <c r="AC80" t="n">
        <v>8.380000000000001</v>
      </c>
      <c r="AD80" t="n">
        <v>0</v>
      </c>
      <c r="AE80" t="n">
        <v>222.5</v>
      </c>
      <c r="AF80" t="n">
        <v>0</v>
      </c>
      <c r="AG80" t="n">
        <v>0</v>
      </c>
      <c r="AH80" t="n">
        <v>0.22</v>
      </c>
      <c r="AI80" t="n">
        <v>11.13</v>
      </c>
      <c r="AJ80" t="n">
        <v>0</v>
      </c>
      <c r="AK80" t="n">
        <v>19.73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66.31</v>
      </c>
      <c r="AV80" t="n">
        <v>0</v>
      </c>
      <c r="AW80" t="n">
        <v>167.32</v>
      </c>
      <c r="AX80" t="inlineStr">
        <is>
          <t>settled</t>
        </is>
      </c>
      <c r="AY80" t="inlineStr">
        <is>
          <t>2025-12-17 05:30:00</t>
        </is>
      </c>
      <c r="AZ80" t="inlineStr">
        <is>
          <t>CITIN25671113204</t>
        </is>
      </c>
      <c r="BA80" t="n">
        <v>0</v>
      </c>
      <c r="BB80" t="inlineStr">
        <is>
          <t>4fa56d5fd74ece16e4d7b2eabcf2a2286165cc5edfdff5ab130e4f9798209811</t>
        </is>
      </c>
    </row>
    <row r="81">
      <c r="A81" t="inlineStr">
        <is>
          <t>421</t>
        </is>
      </c>
      <c r="B81" t="inlineStr">
        <is>
          <t>7561948181</t>
        </is>
      </c>
      <c r="C81" t="inlineStr">
        <is>
          <t>2025-12-09 18:45:32</t>
        </is>
      </c>
      <c r="D81" t="inlineStr">
        <is>
          <t>50</t>
        </is>
      </c>
      <c r="E81" t="inlineStr">
        <is>
          <t>Sha Sha - Shandaar Shawarma</t>
        </is>
      </c>
      <c r="F81" t="inlineStr">
        <is>
          <t>18557902</t>
        </is>
      </c>
      <c r="G81" t="inlineStr">
        <is>
          <t>30% off upto ₹75 (2025-06-25 - 2031-01-01)</t>
        </is>
      </c>
      <c r="H81" t="inlineStr">
        <is>
          <t>ONLINE</t>
        </is>
      </c>
      <c r="I81" t="inlineStr">
        <is>
          <t>DELIVERED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O2</t>
        </is>
      </c>
      <c r="N81" t="inlineStr">
        <is>
          <t>36</t>
        </is>
      </c>
      <c r="O81" t="n">
        <v>229</v>
      </c>
      <c r="P81" t="n">
        <v>3.5</v>
      </c>
      <c r="Q81" t="n">
        <v>0</v>
      </c>
      <c r="R81" t="n">
        <v>68.7</v>
      </c>
      <c r="S81" t="n">
        <v>0</v>
      </c>
      <c r="T81" t="n">
        <v>0</v>
      </c>
      <c r="U81" t="n">
        <v>0</v>
      </c>
      <c r="V81" t="n">
        <v>8.19</v>
      </c>
      <c r="W81" t="n">
        <v>171.99</v>
      </c>
      <c r="X81" t="n">
        <v>163.8</v>
      </c>
      <c r="Y81" t="n">
        <v>19</v>
      </c>
      <c r="Z81" t="n">
        <v>31.12</v>
      </c>
      <c r="AA81" t="n">
        <v>3.16</v>
      </c>
      <c r="AB81" t="n">
        <v>34.28</v>
      </c>
      <c r="AC81" t="n">
        <v>6.17</v>
      </c>
      <c r="AD81" t="n">
        <v>0</v>
      </c>
      <c r="AE81" t="n">
        <v>163.8</v>
      </c>
      <c r="AF81" t="n">
        <v>0</v>
      </c>
      <c r="AG81" t="n">
        <v>0</v>
      </c>
      <c r="AH81" t="n">
        <v>0.16</v>
      </c>
      <c r="AI81" t="n">
        <v>8.199999999999999</v>
      </c>
      <c r="AJ81" t="n">
        <v>-0.01</v>
      </c>
      <c r="AK81" t="n">
        <v>14.53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48.81</v>
      </c>
      <c r="AV81" t="n">
        <v>0</v>
      </c>
      <c r="AW81" t="n">
        <v>123.18</v>
      </c>
      <c r="AX81" t="inlineStr">
        <is>
          <t>settled</t>
        </is>
      </c>
      <c r="AY81" t="inlineStr">
        <is>
          <t>2025-12-17 05:30:00</t>
        </is>
      </c>
      <c r="AZ81" t="inlineStr">
        <is>
          <t>CITIN25671113204</t>
        </is>
      </c>
      <c r="BA81" t="n">
        <v>0</v>
      </c>
      <c r="BB81" t="inlineStr">
        <is>
          <t>18bc1f1e563cfcf3375dfef91583e368e7b7f362be7fb6af6e930da87e0bed06</t>
        </is>
      </c>
    </row>
    <row r="82">
      <c r="A82" t="inlineStr">
        <is>
          <t>422</t>
        </is>
      </c>
      <c r="B82" t="inlineStr">
        <is>
          <t>7564761183</t>
        </is>
      </c>
      <c r="C82" t="inlineStr">
        <is>
          <t>2025-12-09 19:47:30</t>
        </is>
      </c>
      <c r="D82" t="inlineStr">
        <is>
          <t>50</t>
        </is>
      </c>
      <c r="E82" t="inlineStr">
        <is>
          <t>Sha Sha - Shandaar Shawarma</t>
        </is>
      </c>
      <c r="F82" t="inlineStr">
        <is>
          <t>18557902</t>
        </is>
      </c>
      <c r="G82" t="inlineStr">
        <is>
          <t>30% off upto ₹75 (2025-06-25 - 2031-01-01)</t>
        </is>
      </c>
      <c r="H82" t="inlineStr">
        <is>
          <t>ONLINE</t>
        </is>
      </c>
      <c r="I82" t="inlineStr">
        <is>
          <t>DELIVERED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O2</t>
        </is>
      </c>
      <c r="N82" t="inlineStr">
        <is>
          <t>36</t>
        </is>
      </c>
      <c r="O82" t="n">
        <v>229</v>
      </c>
      <c r="P82" t="n">
        <v>3.5</v>
      </c>
      <c r="Q82" t="n">
        <v>0</v>
      </c>
      <c r="R82" t="n">
        <v>68.7</v>
      </c>
      <c r="S82" t="n">
        <v>0</v>
      </c>
      <c r="T82" t="n">
        <v>0</v>
      </c>
      <c r="U82" t="n">
        <v>0</v>
      </c>
      <c r="V82" t="n">
        <v>8.19</v>
      </c>
      <c r="W82" t="n">
        <v>171.99</v>
      </c>
      <c r="X82" t="n">
        <v>163.8</v>
      </c>
      <c r="Y82" t="n">
        <v>19</v>
      </c>
      <c r="Z82" t="n">
        <v>31.12</v>
      </c>
      <c r="AA82" t="n">
        <v>3.16</v>
      </c>
      <c r="AB82" t="n">
        <v>34.28</v>
      </c>
      <c r="AC82" t="n">
        <v>6.17</v>
      </c>
      <c r="AD82" t="n">
        <v>0</v>
      </c>
      <c r="AE82" t="n">
        <v>163.8</v>
      </c>
      <c r="AF82" t="n">
        <v>0</v>
      </c>
      <c r="AG82" t="n">
        <v>0</v>
      </c>
      <c r="AH82" t="n">
        <v>0.16</v>
      </c>
      <c r="AI82" t="n">
        <v>8.199999999999999</v>
      </c>
      <c r="AJ82" t="n">
        <v>-0.01</v>
      </c>
      <c r="AK82" t="n">
        <v>14.53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48.81</v>
      </c>
      <c r="AV82" t="n">
        <v>0</v>
      </c>
      <c r="AW82" t="n">
        <v>123.18</v>
      </c>
      <c r="AX82" t="inlineStr">
        <is>
          <t>settled</t>
        </is>
      </c>
      <c r="AY82" t="inlineStr">
        <is>
          <t>2025-12-17 05:30:00</t>
        </is>
      </c>
      <c r="AZ82" t="inlineStr">
        <is>
          <t>CITIN25671113204</t>
        </is>
      </c>
      <c r="BA82" t="n">
        <v>0</v>
      </c>
      <c r="BB82" t="inlineStr">
        <is>
          <t>2cdacf5dc8da5894a770e5a9b65ddabaa1cfcdf4e29818a0bcaebc09f684e34a</t>
        </is>
      </c>
    </row>
    <row r="83">
      <c r="A83" t="inlineStr">
        <is>
          <t>423</t>
        </is>
      </c>
      <c r="B83" t="inlineStr">
        <is>
          <t>7561173674</t>
        </is>
      </c>
      <c r="C83" t="inlineStr">
        <is>
          <t>2025-12-09 19:55:02</t>
        </is>
      </c>
      <c r="D83" t="inlineStr">
        <is>
          <t>50</t>
        </is>
      </c>
      <c r="E83" t="inlineStr">
        <is>
          <t>Sha Sha - Shandaar Shawarma</t>
        </is>
      </c>
      <c r="F83" t="inlineStr">
        <is>
          <t>18557902</t>
        </is>
      </c>
      <c r="G83" t="inlineStr">
        <is>
          <t>30% off upto ₹75 (2025-06-25 - 2031-01-01)</t>
        </is>
      </c>
      <c r="H83" t="inlineStr">
        <is>
          <t>ONLINE</t>
        </is>
      </c>
      <c r="I83" t="inlineStr">
        <is>
          <t>DELIVERED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O2</t>
        </is>
      </c>
      <c r="N83" t="inlineStr">
        <is>
          <t>36</t>
        </is>
      </c>
      <c r="O83" t="n">
        <v>438</v>
      </c>
      <c r="P83" t="n">
        <v>3.5</v>
      </c>
      <c r="Q83" t="n">
        <v>0</v>
      </c>
      <c r="R83" t="n">
        <v>75</v>
      </c>
      <c r="S83" t="n">
        <v>0</v>
      </c>
      <c r="T83" t="n">
        <v>0</v>
      </c>
      <c r="U83" t="n">
        <v>0</v>
      </c>
      <c r="V83" t="n">
        <v>18.33</v>
      </c>
      <c r="W83" t="n">
        <v>384.83</v>
      </c>
      <c r="X83" t="n">
        <v>366.5</v>
      </c>
      <c r="Y83" t="n">
        <v>19</v>
      </c>
      <c r="Z83" t="n">
        <v>69.64</v>
      </c>
      <c r="AA83" t="n">
        <v>7.08</v>
      </c>
      <c r="AB83" t="n">
        <v>76.72</v>
      </c>
      <c r="AC83" t="n">
        <v>13.81</v>
      </c>
      <c r="AD83" t="n">
        <v>0</v>
      </c>
      <c r="AE83" t="n">
        <v>366.5</v>
      </c>
      <c r="AF83" t="n">
        <v>0</v>
      </c>
      <c r="AG83" t="n">
        <v>0</v>
      </c>
      <c r="AH83" t="n">
        <v>0.37</v>
      </c>
      <c r="AI83" t="n">
        <v>18.33</v>
      </c>
      <c r="AJ83" t="n">
        <v>0</v>
      </c>
      <c r="AK83" t="n">
        <v>32.51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109.23</v>
      </c>
      <c r="AV83" t="n">
        <v>0</v>
      </c>
      <c r="AW83" t="n">
        <v>275.6</v>
      </c>
      <c r="AX83" t="inlineStr">
        <is>
          <t>settled</t>
        </is>
      </c>
      <c r="AY83" t="inlineStr">
        <is>
          <t>2025-12-17 05:30:00</t>
        </is>
      </c>
      <c r="AZ83" t="inlineStr">
        <is>
          <t>CITIN25671113204</t>
        </is>
      </c>
      <c r="BA83" t="n">
        <v>0</v>
      </c>
      <c r="BB83" t="inlineStr">
        <is>
          <t>774c3d7e59b47fe34091e7caaa355f0ee6885d61180b7a56122a577729510f0a</t>
        </is>
      </c>
    </row>
    <row r="84">
      <c r="A84" t="inlineStr">
        <is>
          <t>424</t>
        </is>
      </c>
      <c r="B84" t="inlineStr">
        <is>
          <t>7560580763</t>
        </is>
      </c>
      <c r="C84" t="inlineStr">
        <is>
          <t>2025-12-09 20:00:28</t>
        </is>
      </c>
      <c r="D84" t="inlineStr">
        <is>
          <t>50</t>
        </is>
      </c>
      <c r="E84" t="inlineStr">
        <is>
          <t>Sha Sha - Shandaar Shawarma</t>
        </is>
      </c>
      <c r="F84" t="inlineStr">
        <is>
          <t>18557902</t>
        </is>
      </c>
      <c r="G84" t="inlineStr">
        <is>
          <t>NA</t>
        </is>
      </c>
      <c r="H84" t="inlineStr">
        <is>
          <t>ONLINE</t>
        </is>
      </c>
      <c r="I84" t="inlineStr">
        <is>
          <t>DELIVERED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O2</t>
        </is>
      </c>
      <c r="N84" t="inlineStr">
        <is>
          <t>36</t>
        </is>
      </c>
      <c r="O84" t="n">
        <v>355</v>
      </c>
      <c r="P84" t="n">
        <v>3.5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17.93</v>
      </c>
      <c r="W84" t="n">
        <v>376.43</v>
      </c>
      <c r="X84" t="n">
        <v>358.5</v>
      </c>
      <c r="Y84" t="n">
        <v>19</v>
      </c>
      <c r="Z84" t="n">
        <v>68.12</v>
      </c>
      <c r="AA84" t="n">
        <v>6.93</v>
      </c>
      <c r="AB84" t="n">
        <v>75.05</v>
      </c>
      <c r="AC84" t="n">
        <v>13.51</v>
      </c>
      <c r="AD84" t="n">
        <v>0</v>
      </c>
      <c r="AE84" t="n">
        <v>358.5</v>
      </c>
      <c r="AF84" t="n">
        <v>0</v>
      </c>
      <c r="AG84" t="n">
        <v>0</v>
      </c>
      <c r="AH84" t="n">
        <v>0.36</v>
      </c>
      <c r="AI84" t="n">
        <v>17.93</v>
      </c>
      <c r="AJ84" t="n">
        <v>0</v>
      </c>
      <c r="AK84" t="n">
        <v>31.8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106.85</v>
      </c>
      <c r="AV84" t="n">
        <v>0</v>
      </c>
      <c r="AW84" t="n">
        <v>269.58</v>
      </c>
      <c r="AX84" t="inlineStr">
        <is>
          <t>settled</t>
        </is>
      </c>
      <c r="AY84" t="inlineStr">
        <is>
          <t>2025-12-17 05:30:00</t>
        </is>
      </c>
      <c r="AZ84" t="inlineStr">
        <is>
          <t>CITIN25671113204</t>
        </is>
      </c>
      <c r="BA84" t="n">
        <v>0</v>
      </c>
      <c r="BB84" t="inlineStr">
        <is>
          <t>a97da2d54dcb97c467fb71f3f99921a333d56ce7b641906b45ba15cfac6279bb</t>
        </is>
      </c>
    </row>
    <row r="85">
      <c r="A85" t="inlineStr">
        <is>
          <t>425</t>
        </is>
      </c>
      <c r="B85" t="inlineStr">
        <is>
          <t>7564684293</t>
        </is>
      </c>
      <c r="C85" t="inlineStr">
        <is>
          <t>2025-12-09 20:16:24</t>
        </is>
      </c>
      <c r="D85" t="inlineStr">
        <is>
          <t>50</t>
        </is>
      </c>
      <c r="E85" t="inlineStr">
        <is>
          <t>Sha Sha - Shandaar Shawarma</t>
        </is>
      </c>
      <c r="F85" t="inlineStr">
        <is>
          <t>18557902</t>
        </is>
      </c>
      <c r="G85" t="inlineStr">
        <is>
          <t>NA</t>
        </is>
      </c>
      <c r="H85" t="inlineStr">
        <is>
          <t>ONLINE</t>
        </is>
      </c>
      <c r="I85" t="inlineStr">
        <is>
          <t>DELIVERED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O2</t>
        </is>
      </c>
      <c r="N85" t="inlineStr">
        <is>
          <t>36</t>
        </is>
      </c>
      <c r="O85" t="n">
        <v>229</v>
      </c>
      <c r="P85" t="n">
        <v>3.5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11.63</v>
      </c>
      <c r="W85" t="n">
        <v>244.13</v>
      </c>
      <c r="X85" t="n">
        <v>232.5</v>
      </c>
      <c r="Y85" t="n">
        <v>19</v>
      </c>
      <c r="Z85" t="n">
        <v>44.18</v>
      </c>
      <c r="AA85" t="n">
        <v>4.49</v>
      </c>
      <c r="AB85" t="n">
        <v>48.67</v>
      </c>
      <c r="AC85" t="n">
        <v>8.76</v>
      </c>
      <c r="AD85" t="n">
        <v>0</v>
      </c>
      <c r="AE85" t="n">
        <v>232.5</v>
      </c>
      <c r="AF85" t="n">
        <v>0</v>
      </c>
      <c r="AG85" t="n">
        <v>0</v>
      </c>
      <c r="AH85" t="n">
        <v>0.23</v>
      </c>
      <c r="AI85" t="n">
        <v>11.63</v>
      </c>
      <c r="AJ85" t="n">
        <v>0</v>
      </c>
      <c r="AK85" t="n">
        <v>20.62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69.29000000000001</v>
      </c>
      <c r="AV85" t="n">
        <v>0</v>
      </c>
      <c r="AW85" t="n">
        <v>174.84</v>
      </c>
      <c r="AX85" t="inlineStr">
        <is>
          <t>settled</t>
        </is>
      </c>
      <c r="AY85" t="inlineStr">
        <is>
          <t>2025-12-17 05:30:00</t>
        </is>
      </c>
      <c r="AZ85" t="inlineStr">
        <is>
          <t>CITIN25671113204</t>
        </is>
      </c>
      <c r="BA85" t="n">
        <v>0</v>
      </c>
      <c r="BB85" t="inlineStr">
        <is>
          <t>0c0d5773c0194ccf2ac7e3ed19b778579033fe3aca046c9b2f77310f503b06fa</t>
        </is>
      </c>
    </row>
    <row r="86">
      <c r="A86" t="inlineStr">
        <is>
          <t>426</t>
        </is>
      </c>
      <c r="B86" t="inlineStr">
        <is>
          <t>7562434073</t>
        </is>
      </c>
      <c r="C86" t="inlineStr">
        <is>
          <t>2025-12-09 20:27:02</t>
        </is>
      </c>
      <c r="D86" t="inlineStr">
        <is>
          <t>50</t>
        </is>
      </c>
      <c r="E86" t="inlineStr">
        <is>
          <t>Sha Sha - Shandaar Shawarma</t>
        </is>
      </c>
      <c r="F86" t="inlineStr">
        <is>
          <t>18557902</t>
        </is>
      </c>
      <c r="G86" t="inlineStr">
        <is>
          <t>NA</t>
        </is>
      </c>
      <c r="H86" t="inlineStr">
        <is>
          <t>ONLINE</t>
        </is>
      </c>
      <c r="I86" t="inlineStr">
        <is>
          <t>DELIVERED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O2</t>
        </is>
      </c>
      <c r="N86" t="inlineStr">
        <is>
          <t>36</t>
        </is>
      </c>
      <c r="O86" t="n">
        <v>229</v>
      </c>
      <c r="P86" t="n">
        <v>3.5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11.63</v>
      </c>
      <c r="W86" t="n">
        <v>244.13</v>
      </c>
      <c r="X86" t="n">
        <v>232.5</v>
      </c>
      <c r="Y86" t="n">
        <v>19</v>
      </c>
      <c r="Z86" t="n">
        <v>44.18</v>
      </c>
      <c r="AA86" t="n">
        <v>4.49</v>
      </c>
      <c r="AB86" t="n">
        <v>48.67</v>
      </c>
      <c r="AC86" t="n">
        <v>8.76</v>
      </c>
      <c r="AD86" t="n">
        <v>0</v>
      </c>
      <c r="AE86" t="n">
        <v>232.5</v>
      </c>
      <c r="AF86" t="n">
        <v>0</v>
      </c>
      <c r="AG86" t="n">
        <v>0</v>
      </c>
      <c r="AH86" t="n">
        <v>0.23</v>
      </c>
      <c r="AI86" t="n">
        <v>11.63</v>
      </c>
      <c r="AJ86" t="n">
        <v>0</v>
      </c>
      <c r="AK86" t="n">
        <v>20.62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69.29000000000001</v>
      </c>
      <c r="AV86" t="n">
        <v>0</v>
      </c>
      <c r="AW86" t="n">
        <v>174.84</v>
      </c>
      <c r="AX86" t="inlineStr">
        <is>
          <t>settled</t>
        </is>
      </c>
      <c r="AY86" t="inlineStr">
        <is>
          <t>2025-12-17 05:30:00</t>
        </is>
      </c>
      <c r="AZ86" t="inlineStr">
        <is>
          <t>CITIN25671113204</t>
        </is>
      </c>
      <c r="BA86" t="n">
        <v>0</v>
      </c>
      <c r="BB86" t="inlineStr">
        <is>
          <t>fe57a2e7160e6589e420d12c4fe21e205df46c91dfa5d551c767bf93521389ed</t>
        </is>
      </c>
    </row>
    <row r="87">
      <c r="A87" t="inlineStr">
        <is>
          <t>427</t>
        </is>
      </c>
      <c r="B87" t="inlineStr">
        <is>
          <t>7566326001</t>
        </is>
      </c>
      <c r="C87" t="inlineStr">
        <is>
          <t>2025-12-09 20:42:35</t>
        </is>
      </c>
      <c r="D87" t="inlineStr">
        <is>
          <t>50</t>
        </is>
      </c>
      <c r="E87" t="inlineStr">
        <is>
          <t>Sha Sha - Shandaar Shawarma</t>
        </is>
      </c>
      <c r="F87" t="inlineStr">
        <is>
          <t>18557902</t>
        </is>
      </c>
      <c r="G87" t="inlineStr">
        <is>
          <t>30% off upto ₹75 (2025-06-25 - 2031-01-01)</t>
        </is>
      </c>
      <c r="H87" t="inlineStr">
        <is>
          <t>ONLINE</t>
        </is>
      </c>
      <c r="I87" t="inlineStr">
        <is>
          <t>DELIVERED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O2</t>
        </is>
      </c>
      <c r="N87" t="inlineStr">
        <is>
          <t>36</t>
        </is>
      </c>
      <c r="O87" t="n">
        <v>368</v>
      </c>
      <c r="P87" t="n">
        <v>3.5</v>
      </c>
      <c r="Q87" t="n">
        <v>0</v>
      </c>
      <c r="R87" t="n">
        <v>75</v>
      </c>
      <c r="S87" t="n">
        <v>0</v>
      </c>
      <c r="T87" t="n">
        <v>0</v>
      </c>
      <c r="U87" t="n">
        <v>0</v>
      </c>
      <c r="V87" t="n">
        <v>14.83</v>
      </c>
      <c r="W87" t="n">
        <v>311.33</v>
      </c>
      <c r="X87" t="n">
        <v>296.5</v>
      </c>
      <c r="Y87" t="n">
        <v>19</v>
      </c>
      <c r="Z87" t="n">
        <v>56.34</v>
      </c>
      <c r="AA87" t="n">
        <v>5.73</v>
      </c>
      <c r="AB87" t="n">
        <v>62.07</v>
      </c>
      <c r="AC87" t="n">
        <v>11.17</v>
      </c>
      <c r="AD87" t="n">
        <v>0</v>
      </c>
      <c r="AE87" t="n">
        <v>296.5</v>
      </c>
      <c r="AF87" t="n">
        <v>0</v>
      </c>
      <c r="AG87" t="n">
        <v>0</v>
      </c>
      <c r="AH87" t="n">
        <v>0.3</v>
      </c>
      <c r="AI87" t="n">
        <v>14.83</v>
      </c>
      <c r="AJ87" t="n">
        <v>0</v>
      </c>
      <c r="AK87" t="n">
        <v>26.3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88.37</v>
      </c>
      <c r="AV87" t="n">
        <v>0</v>
      </c>
      <c r="AW87" t="n">
        <v>222.96</v>
      </c>
      <c r="AX87" t="inlineStr">
        <is>
          <t>settled</t>
        </is>
      </c>
      <c r="AY87" t="inlineStr">
        <is>
          <t>2025-12-17 05:30:00</t>
        </is>
      </c>
      <c r="AZ87" t="inlineStr">
        <is>
          <t>CITIN25671113204</t>
        </is>
      </c>
      <c r="BA87" t="n">
        <v>0</v>
      </c>
      <c r="BB87" t="inlineStr">
        <is>
          <t>19c169837356dda29ad2098f97811adc3df979375d0883a8c58c45f35caaeeae</t>
        </is>
      </c>
    </row>
    <row r="88">
      <c r="A88" t="inlineStr">
        <is>
          <t>428</t>
        </is>
      </c>
      <c r="B88" t="inlineStr">
        <is>
          <t>7566655309</t>
        </is>
      </c>
      <c r="C88" t="inlineStr">
        <is>
          <t>2025-12-09 20:55:14</t>
        </is>
      </c>
      <c r="D88" t="inlineStr">
        <is>
          <t>50</t>
        </is>
      </c>
      <c r="E88" t="inlineStr">
        <is>
          <t>Sha Sha - Shandaar Shawarma</t>
        </is>
      </c>
      <c r="F88" t="inlineStr">
        <is>
          <t>18557902</t>
        </is>
      </c>
      <c r="G88" t="inlineStr">
        <is>
          <t>30% off upto ₹75 (2025-06-25 - 2031-01-01)</t>
        </is>
      </c>
      <c r="H88" t="inlineStr">
        <is>
          <t>ONLINE</t>
        </is>
      </c>
      <c r="I88" t="inlineStr">
        <is>
          <t>DELIVERED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O2</t>
        </is>
      </c>
      <c r="N88" t="inlineStr">
        <is>
          <t>36</t>
        </is>
      </c>
      <c r="O88" t="n">
        <v>229</v>
      </c>
      <c r="P88" t="n">
        <v>3.5</v>
      </c>
      <c r="Q88" t="n">
        <v>0</v>
      </c>
      <c r="R88" t="n">
        <v>68.7</v>
      </c>
      <c r="S88" t="n">
        <v>0</v>
      </c>
      <c r="T88" t="n">
        <v>0</v>
      </c>
      <c r="U88" t="n">
        <v>0</v>
      </c>
      <c r="V88" t="n">
        <v>8.19</v>
      </c>
      <c r="W88" t="n">
        <v>171.99</v>
      </c>
      <c r="X88" t="n">
        <v>163.8</v>
      </c>
      <c r="Y88" t="n">
        <v>19</v>
      </c>
      <c r="Z88" t="n">
        <v>31.12</v>
      </c>
      <c r="AA88" t="n">
        <v>3.16</v>
      </c>
      <c r="AB88" t="n">
        <v>34.28</v>
      </c>
      <c r="AC88" t="n">
        <v>6.17</v>
      </c>
      <c r="AD88" t="n">
        <v>0</v>
      </c>
      <c r="AE88" t="n">
        <v>163.8</v>
      </c>
      <c r="AF88" t="n">
        <v>0</v>
      </c>
      <c r="AG88" t="n">
        <v>0</v>
      </c>
      <c r="AH88" t="n">
        <v>0.16</v>
      </c>
      <c r="AI88" t="n">
        <v>8.199999999999999</v>
      </c>
      <c r="AJ88" t="n">
        <v>-0.01</v>
      </c>
      <c r="AK88" t="n">
        <v>14.53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48.81</v>
      </c>
      <c r="AV88" t="n">
        <v>0</v>
      </c>
      <c r="AW88" t="n">
        <v>123.18</v>
      </c>
      <c r="AX88" t="inlineStr">
        <is>
          <t>settled</t>
        </is>
      </c>
      <c r="AY88" t="inlineStr">
        <is>
          <t>2025-12-17 05:30:00</t>
        </is>
      </c>
      <c r="AZ88" t="inlineStr">
        <is>
          <t>CITIN25671113204</t>
        </is>
      </c>
      <c r="BA88" t="n">
        <v>0</v>
      </c>
      <c r="BB88" t="inlineStr">
        <is>
          <t>34081c632a23e12531d9d62510adae3974ceafecf289e27005e637cca0b75868</t>
        </is>
      </c>
    </row>
    <row r="89">
      <c r="A89" t="inlineStr">
        <is>
          <t>429</t>
        </is>
      </c>
      <c r="B89" t="inlineStr">
        <is>
          <t>7536734199</t>
        </is>
      </c>
      <c r="C89" t="inlineStr">
        <is>
          <t>2025-12-09 21:00:33</t>
        </is>
      </c>
      <c r="D89" t="inlineStr">
        <is>
          <t>50</t>
        </is>
      </c>
      <c r="E89" t="inlineStr">
        <is>
          <t>Sha Sha - Shandaar Shawarma</t>
        </is>
      </c>
      <c r="F89" t="inlineStr">
        <is>
          <t>18557902</t>
        </is>
      </c>
      <c r="G89" t="inlineStr">
        <is>
          <t>30% off upto ₹75 (2025-06-25 - 2031-01-01)</t>
        </is>
      </c>
      <c r="H89" t="inlineStr">
        <is>
          <t>ONLINE</t>
        </is>
      </c>
      <c r="I89" t="inlineStr">
        <is>
          <t>DELIVERED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O2</t>
        </is>
      </c>
      <c r="N89" t="inlineStr">
        <is>
          <t>36</t>
        </is>
      </c>
      <c r="O89" t="n">
        <v>229</v>
      </c>
      <c r="P89" t="n">
        <v>3.5</v>
      </c>
      <c r="Q89" t="n">
        <v>0</v>
      </c>
      <c r="R89" t="n">
        <v>68.7</v>
      </c>
      <c r="S89" t="n">
        <v>0</v>
      </c>
      <c r="T89" t="n">
        <v>0</v>
      </c>
      <c r="U89" t="n">
        <v>0</v>
      </c>
      <c r="V89" t="n">
        <v>8.19</v>
      </c>
      <c r="W89" t="n">
        <v>171.99</v>
      </c>
      <c r="X89" t="n">
        <v>163.8</v>
      </c>
      <c r="Y89" t="n">
        <v>19</v>
      </c>
      <c r="Z89" t="n">
        <v>31.12</v>
      </c>
      <c r="AA89" t="n">
        <v>3.16</v>
      </c>
      <c r="AB89" t="n">
        <v>34.28</v>
      </c>
      <c r="AC89" t="n">
        <v>6.17</v>
      </c>
      <c r="AD89" t="n">
        <v>0</v>
      </c>
      <c r="AE89" t="n">
        <v>163.8</v>
      </c>
      <c r="AF89" t="n">
        <v>0</v>
      </c>
      <c r="AG89" t="n">
        <v>0</v>
      </c>
      <c r="AH89" t="n">
        <v>0.16</v>
      </c>
      <c r="AI89" t="n">
        <v>8.199999999999999</v>
      </c>
      <c r="AJ89" t="n">
        <v>-0.01</v>
      </c>
      <c r="AK89" t="n">
        <v>14.53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48.81</v>
      </c>
      <c r="AV89" t="n">
        <v>0</v>
      </c>
      <c r="AW89" t="n">
        <v>123.18</v>
      </c>
      <c r="AX89" t="inlineStr">
        <is>
          <t>settled</t>
        </is>
      </c>
      <c r="AY89" t="inlineStr">
        <is>
          <t>2025-12-17 05:30:00</t>
        </is>
      </c>
      <c r="AZ89" t="inlineStr">
        <is>
          <t>CITIN25671113204</t>
        </is>
      </c>
      <c r="BA89" t="n">
        <v>0</v>
      </c>
      <c r="BB89" t="inlineStr">
        <is>
          <t>d6b2e1feb795e076106bc0175367dfafaf72fbeab4b09b77b24cb01cc2ee1fe2</t>
        </is>
      </c>
    </row>
    <row r="90">
      <c r="A90" t="inlineStr">
        <is>
          <t>430</t>
        </is>
      </c>
      <c r="B90" t="inlineStr">
        <is>
          <t>7543955848</t>
        </is>
      </c>
      <c r="C90" t="inlineStr">
        <is>
          <t>2025-12-09 21:03:35</t>
        </is>
      </c>
      <c r="D90" t="inlineStr">
        <is>
          <t>50</t>
        </is>
      </c>
      <c r="E90" t="inlineStr">
        <is>
          <t>Sha Sha - Shandaar Shawarma</t>
        </is>
      </c>
      <c r="F90" t="inlineStr">
        <is>
          <t>18557902</t>
        </is>
      </c>
      <c r="G90" t="inlineStr">
        <is>
          <t>30% off upto ₹75 (2025-06-25 - 2031-01-01)</t>
        </is>
      </c>
      <c r="H90" t="inlineStr">
        <is>
          <t>ONLINE</t>
        </is>
      </c>
      <c r="I90" t="inlineStr">
        <is>
          <t>DELIVERED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O2</t>
        </is>
      </c>
      <c r="N90" t="inlineStr">
        <is>
          <t>36</t>
        </is>
      </c>
      <c r="O90" t="n">
        <v>229</v>
      </c>
      <c r="P90" t="n">
        <v>3.5</v>
      </c>
      <c r="Q90" t="n">
        <v>0</v>
      </c>
      <c r="R90" t="n">
        <v>68.7</v>
      </c>
      <c r="S90" t="n">
        <v>0</v>
      </c>
      <c r="T90" t="n">
        <v>0</v>
      </c>
      <c r="U90" t="n">
        <v>0</v>
      </c>
      <c r="V90" t="n">
        <v>8.19</v>
      </c>
      <c r="W90" t="n">
        <v>171.99</v>
      </c>
      <c r="X90" t="n">
        <v>163.8</v>
      </c>
      <c r="Y90" t="n">
        <v>19</v>
      </c>
      <c r="Z90" t="n">
        <v>31.12</v>
      </c>
      <c r="AA90" t="n">
        <v>3.16</v>
      </c>
      <c r="AB90" t="n">
        <v>34.28</v>
      </c>
      <c r="AC90" t="n">
        <v>6.17</v>
      </c>
      <c r="AD90" t="n">
        <v>0</v>
      </c>
      <c r="AE90" t="n">
        <v>163.8</v>
      </c>
      <c r="AF90" t="n">
        <v>0</v>
      </c>
      <c r="AG90" t="n">
        <v>0</v>
      </c>
      <c r="AH90" t="n">
        <v>0.16</v>
      </c>
      <c r="AI90" t="n">
        <v>8.199999999999999</v>
      </c>
      <c r="AJ90" t="n">
        <v>-0.01</v>
      </c>
      <c r="AK90" t="n">
        <v>14.53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48.81</v>
      </c>
      <c r="AV90" t="n">
        <v>0</v>
      </c>
      <c r="AW90" t="n">
        <v>123.18</v>
      </c>
      <c r="AX90" t="inlineStr">
        <is>
          <t>settled</t>
        </is>
      </c>
      <c r="AY90" t="inlineStr">
        <is>
          <t>2025-12-17 05:30:00</t>
        </is>
      </c>
      <c r="AZ90" t="inlineStr">
        <is>
          <t>CITIN25671113204</t>
        </is>
      </c>
      <c r="BA90" t="n">
        <v>0</v>
      </c>
      <c r="BB90" t="inlineStr">
        <is>
          <t>06bf8b7f0a69f52f4b5dea635df8e770419fc1eb332994e23ed6f461c188ae72</t>
        </is>
      </c>
    </row>
    <row r="91">
      <c r="A91" t="inlineStr">
        <is>
          <t>431</t>
        </is>
      </c>
      <c r="B91" t="inlineStr">
        <is>
          <t>7562542550</t>
        </is>
      </c>
      <c r="C91" t="inlineStr">
        <is>
          <t>2025-12-09 21:32:25</t>
        </is>
      </c>
      <c r="D91" t="inlineStr">
        <is>
          <t>50</t>
        </is>
      </c>
      <c r="E91" t="inlineStr">
        <is>
          <t>Sha Sha - Shandaar Shawarma</t>
        </is>
      </c>
      <c r="F91" t="inlineStr">
        <is>
          <t>18557902</t>
        </is>
      </c>
      <c r="G91" t="inlineStr">
        <is>
          <t>NA</t>
        </is>
      </c>
      <c r="H91" t="inlineStr">
        <is>
          <t>ONLINE</t>
        </is>
      </c>
      <c r="I91" t="inlineStr">
        <is>
          <t>DELIVERED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O2</t>
        </is>
      </c>
      <c r="N91" t="inlineStr">
        <is>
          <t>36</t>
        </is>
      </c>
      <c r="O91" t="n">
        <v>775</v>
      </c>
      <c r="P91" t="n">
        <v>3.5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38.93</v>
      </c>
      <c r="W91" t="n">
        <v>817.4299999999999</v>
      </c>
      <c r="X91" t="n">
        <v>778.5</v>
      </c>
      <c r="Y91" t="n">
        <v>19</v>
      </c>
      <c r="Z91" t="n">
        <v>147.92</v>
      </c>
      <c r="AA91" t="n">
        <v>15.04</v>
      </c>
      <c r="AB91" t="n">
        <v>162.96</v>
      </c>
      <c r="AC91" t="n">
        <v>29.34</v>
      </c>
      <c r="AD91" t="n">
        <v>0</v>
      </c>
      <c r="AE91" t="n">
        <v>778.5</v>
      </c>
      <c r="AF91" t="n">
        <v>0</v>
      </c>
      <c r="AG91" t="n">
        <v>0</v>
      </c>
      <c r="AH91" t="n">
        <v>0.78</v>
      </c>
      <c r="AI91" t="n">
        <v>38.93</v>
      </c>
      <c r="AJ91" t="n">
        <v>0</v>
      </c>
      <c r="AK91" t="n">
        <v>69.05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232.01</v>
      </c>
      <c r="AV91" t="n">
        <v>0</v>
      </c>
      <c r="AW91" t="n">
        <v>585.42</v>
      </c>
      <c r="AX91" t="inlineStr">
        <is>
          <t>settled</t>
        </is>
      </c>
      <c r="AY91" t="inlineStr">
        <is>
          <t>2025-12-17 05:30:00</t>
        </is>
      </c>
      <c r="AZ91" t="inlineStr">
        <is>
          <t>CITIN25671113204</t>
        </is>
      </c>
      <c r="BA91" t="n">
        <v>0</v>
      </c>
      <c r="BB91" t="inlineStr">
        <is>
          <t>fce24a5f7e58d40e23ace9bd791e6c149c02babe3e28d4b21d678cd262fd874f</t>
        </is>
      </c>
    </row>
    <row r="92">
      <c r="A92" t="inlineStr">
        <is>
          <t>432</t>
        </is>
      </c>
      <c r="B92" t="inlineStr">
        <is>
          <t>7558648772</t>
        </is>
      </c>
      <c r="C92" t="inlineStr">
        <is>
          <t>2025-12-09 21:34:53</t>
        </is>
      </c>
      <c r="D92" t="inlineStr">
        <is>
          <t>50</t>
        </is>
      </c>
      <c r="E92" t="inlineStr">
        <is>
          <t>Sha Sha - Shandaar Shawarma</t>
        </is>
      </c>
      <c r="F92" t="inlineStr">
        <is>
          <t>18557902</t>
        </is>
      </c>
      <c r="G92" t="inlineStr">
        <is>
          <t>30% off upto ₹75 (2025-06-25 - 2031-01-01)</t>
        </is>
      </c>
      <c r="H92" t="inlineStr">
        <is>
          <t>ONLINE</t>
        </is>
      </c>
      <c r="I92" t="inlineStr">
        <is>
          <t>DELIVERED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O2</t>
        </is>
      </c>
      <c r="N92" t="inlineStr">
        <is>
          <t>36</t>
        </is>
      </c>
      <c r="O92" t="n">
        <v>229</v>
      </c>
      <c r="P92" t="n">
        <v>3.5</v>
      </c>
      <c r="Q92" t="n">
        <v>0</v>
      </c>
      <c r="R92" t="n">
        <v>68.7</v>
      </c>
      <c r="S92" t="n">
        <v>0</v>
      </c>
      <c r="T92" t="n">
        <v>0</v>
      </c>
      <c r="U92" t="n">
        <v>0</v>
      </c>
      <c r="V92" t="n">
        <v>8.19</v>
      </c>
      <c r="W92" t="n">
        <v>171.99</v>
      </c>
      <c r="X92" t="n">
        <v>163.8</v>
      </c>
      <c r="Y92" t="n">
        <v>19</v>
      </c>
      <c r="Z92" t="n">
        <v>31.12</v>
      </c>
      <c r="AA92" t="n">
        <v>3.16</v>
      </c>
      <c r="AB92" t="n">
        <v>34.28</v>
      </c>
      <c r="AC92" t="n">
        <v>6.17</v>
      </c>
      <c r="AD92" t="n">
        <v>0</v>
      </c>
      <c r="AE92" t="n">
        <v>163.8</v>
      </c>
      <c r="AF92" t="n">
        <v>0</v>
      </c>
      <c r="AG92" t="n">
        <v>0</v>
      </c>
      <c r="AH92" t="n">
        <v>0.16</v>
      </c>
      <c r="AI92" t="n">
        <v>8.199999999999999</v>
      </c>
      <c r="AJ92" t="n">
        <v>-0.01</v>
      </c>
      <c r="AK92" t="n">
        <v>14.53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48.81</v>
      </c>
      <c r="AV92" t="n">
        <v>0</v>
      </c>
      <c r="AW92" t="n">
        <v>123.18</v>
      </c>
      <c r="AX92" t="inlineStr">
        <is>
          <t>settled</t>
        </is>
      </c>
      <c r="AY92" t="inlineStr">
        <is>
          <t>2025-12-17 05:30:00</t>
        </is>
      </c>
      <c r="AZ92" t="inlineStr">
        <is>
          <t>CITIN25671113204</t>
        </is>
      </c>
      <c r="BA92" t="n">
        <v>0</v>
      </c>
      <c r="BB92" t="inlineStr">
        <is>
          <t>a0cd585c3b6adaf5a9b42a277a88ad5c550076283382e4e1b1f3e23f9c2bdb0e</t>
        </is>
      </c>
    </row>
    <row r="93">
      <c r="A93" t="inlineStr">
        <is>
          <t>433</t>
        </is>
      </c>
      <c r="B93" t="inlineStr">
        <is>
          <t>7564409590</t>
        </is>
      </c>
      <c r="C93" t="inlineStr">
        <is>
          <t>2025-12-09 21:38:59</t>
        </is>
      </c>
      <c r="D93" t="inlineStr">
        <is>
          <t>50</t>
        </is>
      </c>
      <c r="E93" t="inlineStr">
        <is>
          <t>Sha Sha - Shandaar Shawarma</t>
        </is>
      </c>
      <c r="F93" t="inlineStr">
        <is>
          <t>18557902</t>
        </is>
      </c>
      <c r="G93" t="inlineStr">
        <is>
          <t>30% off upto ₹75 (2025-06-25 - 2031-01-01)</t>
        </is>
      </c>
      <c r="H93" t="inlineStr">
        <is>
          <t>ONLINE</t>
        </is>
      </c>
      <c r="I93" t="inlineStr">
        <is>
          <t>DELIVERED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O2</t>
        </is>
      </c>
      <c r="N93" t="inlineStr">
        <is>
          <t>36</t>
        </is>
      </c>
      <c r="O93" t="n">
        <v>219</v>
      </c>
      <c r="P93" t="n">
        <v>3.5</v>
      </c>
      <c r="Q93" t="n">
        <v>0</v>
      </c>
      <c r="R93" t="n">
        <v>65.7</v>
      </c>
      <c r="S93" t="n">
        <v>0</v>
      </c>
      <c r="T93" t="n">
        <v>0</v>
      </c>
      <c r="U93" t="n">
        <v>0</v>
      </c>
      <c r="V93" t="n">
        <v>7.84</v>
      </c>
      <c r="W93" t="n">
        <v>164.64</v>
      </c>
      <c r="X93" t="n">
        <v>156.8</v>
      </c>
      <c r="Y93" t="n">
        <v>19</v>
      </c>
      <c r="Z93" t="n">
        <v>29.79</v>
      </c>
      <c r="AA93" t="n">
        <v>3.03</v>
      </c>
      <c r="AB93" t="n">
        <v>32.82</v>
      </c>
      <c r="AC93" t="n">
        <v>5.91</v>
      </c>
      <c r="AD93" t="n">
        <v>0</v>
      </c>
      <c r="AE93" t="n">
        <v>156.8</v>
      </c>
      <c r="AF93" t="n">
        <v>0</v>
      </c>
      <c r="AG93" t="n">
        <v>0</v>
      </c>
      <c r="AH93" t="n">
        <v>0.16</v>
      </c>
      <c r="AI93" t="n">
        <v>7.85</v>
      </c>
      <c r="AJ93" t="n">
        <v>-0.01</v>
      </c>
      <c r="AK93" t="n">
        <v>13.92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46.74</v>
      </c>
      <c r="AV93" t="n">
        <v>0</v>
      </c>
      <c r="AW93" t="n">
        <v>117.9</v>
      </c>
      <c r="AX93" t="inlineStr">
        <is>
          <t>settled</t>
        </is>
      </c>
      <c r="AY93" t="inlineStr">
        <is>
          <t>2025-12-17 05:30:00</t>
        </is>
      </c>
      <c r="AZ93" t="inlineStr">
        <is>
          <t>CITIN25671113204</t>
        </is>
      </c>
      <c r="BA93" t="n">
        <v>0</v>
      </c>
      <c r="BB93" t="inlineStr">
        <is>
          <t>7b74dfc45fd12bab0def0241029ab1fbeb0029ec244dd7eb1c0a11306ef371b9</t>
        </is>
      </c>
    </row>
    <row r="94">
      <c r="A94" t="inlineStr">
        <is>
          <t>434</t>
        </is>
      </c>
      <c r="B94" t="inlineStr">
        <is>
          <t>7564598149</t>
        </is>
      </c>
      <c r="C94" t="inlineStr">
        <is>
          <t>2025-12-09 22:20:41</t>
        </is>
      </c>
      <c r="D94" t="inlineStr">
        <is>
          <t>50</t>
        </is>
      </c>
      <c r="E94" t="inlineStr">
        <is>
          <t>Sha Sha - Shandaar Shawarma</t>
        </is>
      </c>
      <c r="F94" t="inlineStr">
        <is>
          <t>18557902</t>
        </is>
      </c>
      <c r="G94" t="inlineStr">
        <is>
          <t>30% off upto ₹75 (2025-06-25 - 2031-01-01)</t>
        </is>
      </c>
      <c r="H94" t="inlineStr">
        <is>
          <t>ONLINE</t>
        </is>
      </c>
      <c r="I94" t="inlineStr">
        <is>
          <t>DELIVERED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O2</t>
        </is>
      </c>
      <c r="N94" t="inlineStr">
        <is>
          <t>36</t>
        </is>
      </c>
      <c r="O94" t="n">
        <v>229</v>
      </c>
      <c r="P94" t="n">
        <v>3.5</v>
      </c>
      <c r="Q94" t="n">
        <v>0</v>
      </c>
      <c r="R94" t="n">
        <v>68.7</v>
      </c>
      <c r="S94" t="n">
        <v>0</v>
      </c>
      <c r="T94" t="n">
        <v>0</v>
      </c>
      <c r="U94" t="n">
        <v>0</v>
      </c>
      <c r="V94" t="n">
        <v>8.19</v>
      </c>
      <c r="W94" t="n">
        <v>171.99</v>
      </c>
      <c r="X94" t="n">
        <v>163.8</v>
      </c>
      <c r="Y94" t="n">
        <v>19</v>
      </c>
      <c r="Z94" t="n">
        <v>31.12</v>
      </c>
      <c r="AA94" t="n">
        <v>3.16</v>
      </c>
      <c r="AB94" t="n">
        <v>34.28</v>
      </c>
      <c r="AC94" t="n">
        <v>6.17</v>
      </c>
      <c r="AD94" t="n">
        <v>0</v>
      </c>
      <c r="AE94" t="n">
        <v>163.8</v>
      </c>
      <c r="AF94" t="n">
        <v>0</v>
      </c>
      <c r="AG94" t="n">
        <v>0</v>
      </c>
      <c r="AH94" t="n">
        <v>0.16</v>
      </c>
      <c r="AI94" t="n">
        <v>8.199999999999999</v>
      </c>
      <c r="AJ94" t="n">
        <v>-0.01</v>
      </c>
      <c r="AK94" t="n">
        <v>14.53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48.81</v>
      </c>
      <c r="AV94" t="n">
        <v>0</v>
      </c>
      <c r="AW94" t="n">
        <v>123.18</v>
      </c>
      <c r="AX94" t="inlineStr">
        <is>
          <t>settled</t>
        </is>
      </c>
      <c r="AY94" t="inlineStr">
        <is>
          <t>2025-12-17 05:30:00</t>
        </is>
      </c>
      <c r="AZ94" t="inlineStr">
        <is>
          <t>CITIN25671113204</t>
        </is>
      </c>
      <c r="BA94" t="n">
        <v>0</v>
      </c>
      <c r="BB94" t="inlineStr">
        <is>
          <t>6ee1ffa6718db9cacd790bcd2e67e5f985e1a956477352fbf0aa992d860d93a0</t>
        </is>
      </c>
    </row>
    <row r="95">
      <c r="A95" t="inlineStr">
        <is>
          <t>435</t>
        </is>
      </c>
      <c r="B95" t="inlineStr">
        <is>
          <t>7565263913</t>
        </is>
      </c>
      <c r="C95" t="inlineStr">
        <is>
          <t>2025-12-09 22:26:31</t>
        </is>
      </c>
      <c r="D95" t="inlineStr">
        <is>
          <t>50</t>
        </is>
      </c>
      <c r="E95" t="inlineStr">
        <is>
          <t>Sha Sha - Shandaar Shawarma</t>
        </is>
      </c>
      <c r="F95" t="inlineStr">
        <is>
          <t>18557902</t>
        </is>
      </c>
      <c r="G95" t="inlineStr">
        <is>
          <t>30% off upto ₹75 (2025-06-25 - 2031-01-01)</t>
        </is>
      </c>
      <c r="H95" t="inlineStr">
        <is>
          <t>ONLINE</t>
        </is>
      </c>
      <c r="I95" t="inlineStr">
        <is>
          <t>DELIVERED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O2</t>
        </is>
      </c>
      <c r="N95" t="inlineStr">
        <is>
          <t>36</t>
        </is>
      </c>
      <c r="O95" t="n">
        <v>229</v>
      </c>
      <c r="P95" t="n">
        <v>3.5</v>
      </c>
      <c r="Q95" t="n">
        <v>0</v>
      </c>
      <c r="R95" t="n">
        <v>68.7</v>
      </c>
      <c r="S95" t="n">
        <v>0</v>
      </c>
      <c r="T95" t="n">
        <v>0</v>
      </c>
      <c r="U95" t="n">
        <v>0</v>
      </c>
      <c r="V95" t="n">
        <v>8.19</v>
      </c>
      <c r="W95" t="n">
        <v>171.99</v>
      </c>
      <c r="X95" t="n">
        <v>163.8</v>
      </c>
      <c r="Y95" t="n">
        <v>19</v>
      </c>
      <c r="Z95" t="n">
        <v>31.12</v>
      </c>
      <c r="AA95" t="n">
        <v>3.16</v>
      </c>
      <c r="AB95" t="n">
        <v>34.28</v>
      </c>
      <c r="AC95" t="n">
        <v>6.17</v>
      </c>
      <c r="AD95" t="n">
        <v>0</v>
      </c>
      <c r="AE95" t="n">
        <v>163.8</v>
      </c>
      <c r="AF95" t="n">
        <v>0</v>
      </c>
      <c r="AG95" t="n">
        <v>0</v>
      </c>
      <c r="AH95" t="n">
        <v>0.16</v>
      </c>
      <c r="AI95" t="n">
        <v>8.199999999999999</v>
      </c>
      <c r="AJ95" t="n">
        <v>-0.01</v>
      </c>
      <c r="AK95" t="n">
        <v>14.53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48.81</v>
      </c>
      <c r="AV95" t="n">
        <v>0</v>
      </c>
      <c r="AW95" t="n">
        <v>123.18</v>
      </c>
      <c r="AX95" t="inlineStr">
        <is>
          <t>settled</t>
        </is>
      </c>
      <c r="AY95" t="inlineStr">
        <is>
          <t>2025-12-17 05:30:00</t>
        </is>
      </c>
      <c r="AZ95" t="inlineStr">
        <is>
          <t>CITIN25671113204</t>
        </is>
      </c>
      <c r="BA95" t="n">
        <v>0</v>
      </c>
      <c r="BB95" t="inlineStr">
        <is>
          <t>5e83ff6861fc074959214439c9f514a2a0299be8146ed8367b1c2b5450928e64</t>
        </is>
      </c>
    </row>
    <row r="96">
      <c r="A96" t="inlineStr">
        <is>
          <t>436</t>
        </is>
      </c>
      <c r="B96" t="inlineStr">
        <is>
          <t>7566258126</t>
        </is>
      </c>
      <c r="C96" t="inlineStr">
        <is>
          <t>2025-12-09 22:51:12</t>
        </is>
      </c>
      <c r="D96" t="inlineStr">
        <is>
          <t>50</t>
        </is>
      </c>
      <c r="E96" t="inlineStr">
        <is>
          <t>Sha Sha - Shandaar Shawarma</t>
        </is>
      </c>
      <c r="F96" t="inlineStr">
        <is>
          <t>18557902</t>
        </is>
      </c>
      <c r="G96" t="inlineStr">
        <is>
          <t>NA</t>
        </is>
      </c>
      <c r="H96" t="inlineStr">
        <is>
          <t>ONLINE</t>
        </is>
      </c>
      <c r="I96" t="inlineStr">
        <is>
          <t>DELIVERED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O2</t>
        </is>
      </c>
      <c r="N96" t="inlineStr">
        <is>
          <t>36</t>
        </is>
      </c>
      <c r="O96" t="n">
        <v>229</v>
      </c>
      <c r="P96" t="n">
        <v>3.5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11.63</v>
      </c>
      <c r="W96" t="n">
        <v>244.13</v>
      </c>
      <c r="X96" t="n">
        <v>232.5</v>
      </c>
      <c r="Y96" t="n">
        <v>19</v>
      </c>
      <c r="Z96" t="n">
        <v>44.18</v>
      </c>
      <c r="AA96" t="n">
        <v>4.49</v>
      </c>
      <c r="AB96" t="n">
        <v>48.67</v>
      </c>
      <c r="AC96" t="n">
        <v>8.76</v>
      </c>
      <c r="AD96" t="n">
        <v>0</v>
      </c>
      <c r="AE96" t="n">
        <v>232.5</v>
      </c>
      <c r="AF96" t="n">
        <v>0</v>
      </c>
      <c r="AG96" t="n">
        <v>0</v>
      </c>
      <c r="AH96" t="n">
        <v>0.23</v>
      </c>
      <c r="AI96" t="n">
        <v>11.63</v>
      </c>
      <c r="AJ96" t="n">
        <v>0</v>
      </c>
      <c r="AK96" t="n">
        <v>20.62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69.29000000000001</v>
      </c>
      <c r="AV96" t="n">
        <v>0</v>
      </c>
      <c r="AW96" t="n">
        <v>174.84</v>
      </c>
      <c r="AX96" t="inlineStr">
        <is>
          <t>settled</t>
        </is>
      </c>
      <c r="AY96" t="inlineStr">
        <is>
          <t>2025-12-17 05:30:00</t>
        </is>
      </c>
      <c r="AZ96" t="inlineStr">
        <is>
          <t>CITIN25671113204</t>
        </is>
      </c>
      <c r="BA96" t="n">
        <v>0</v>
      </c>
      <c r="BB96" t="inlineStr">
        <is>
          <t>21033e2ebedbe304dd2dde434593c8ff738d1318a8968d07635ae94e4c558b76</t>
        </is>
      </c>
    </row>
    <row r="97">
      <c r="A97" t="inlineStr">
        <is>
          <t>437</t>
        </is>
      </c>
      <c r="B97" t="inlineStr">
        <is>
          <t>7550558144</t>
        </is>
      </c>
      <c r="C97" t="inlineStr">
        <is>
          <t>2025-12-09 22:58:11</t>
        </is>
      </c>
      <c r="D97" t="inlineStr">
        <is>
          <t>50</t>
        </is>
      </c>
      <c r="E97" t="inlineStr">
        <is>
          <t>Sha Sha - Shandaar Shawarma</t>
        </is>
      </c>
      <c r="F97" t="inlineStr">
        <is>
          <t>18557902</t>
        </is>
      </c>
      <c r="G97" t="inlineStr">
        <is>
          <t>30% off upto ₹75 (2025-06-25 - 2031-01-01)</t>
        </is>
      </c>
      <c r="H97" t="inlineStr">
        <is>
          <t>ONLINE</t>
        </is>
      </c>
      <c r="I97" t="inlineStr">
        <is>
          <t>DELIVERED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O2</t>
        </is>
      </c>
      <c r="N97" t="inlineStr">
        <is>
          <t>36</t>
        </is>
      </c>
      <c r="O97" t="n">
        <v>199</v>
      </c>
      <c r="P97" t="n">
        <v>3.5</v>
      </c>
      <c r="Q97" t="n">
        <v>0</v>
      </c>
      <c r="R97" t="n">
        <v>59.7</v>
      </c>
      <c r="S97" t="n">
        <v>0</v>
      </c>
      <c r="T97" t="n">
        <v>0</v>
      </c>
      <c r="U97" t="n">
        <v>0</v>
      </c>
      <c r="V97" t="n">
        <v>7.14</v>
      </c>
      <c r="W97" t="n">
        <v>149.94</v>
      </c>
      <c r="X97" t="n">
        <v>142.8</v>
      </c>
      <c r="Y97" t="n">
        <v>19</v>
      </c>
      <c r="Z97" t="n">
        <v>27.13</v>
      </c>
      <c r="AA97" t="n">
        <v>2.76</v>
      </c>
      <c r="AB97" t="n">
        <v>29.89</v>
      </c>
      <c r="AC97" t="n">
        <v>5.38</v>
      </c>
      <c r="AD97" t="n">
        <v>0</v>
      </c>
      <c r="AE97" t="n">
        <v>142.8</v>
      </c>
      <c r="AF97" t="n">
        <v>0</v>
      </c>
      <c r="AG97" t="n">
        <v>0</v>
      </c>
      <c r="AH97" t="n">
        <v>0.14</v>
      </c>
      <c r="AI97" t="n">
        <v>7.15</v>
      </c>
      <c r="AJ97" t="n">
        <v>-0.01</v>
      </c>
      <c r="AK97" t="n">
        <v>12.67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42.56</v>
      </c>
      <c r="AV97" t="n">
        <v>0</v>
      </c>
      <c r="AW97" t="n">
        <v>107.38</v>
      </c>
      <c r="AX97" t="inlineStr">
        <is>
          <t>settled</t>
        </is>
      </c>
      <c r="AY97" t="inlineStr">
        <is>
          <t>2025-12-17 05:30:00</t>
        </is>
      </c>
      <c r="AZ97" t="inlineStr">
        <is>
          <t>CITIN25671113204</t>
        </is>
      </c>
      <c r="BA97" t="n">
        <v>0</v>
      </c>
      <c r="BB97" t="inlineStr">
        <is>
          <t>d33038d9c670e7ba822857692355b3e9e586fb6ce9ea90f25a0d025c339772ed</t>
        </is>
      </c>
    </row>
    <row r="98">
      <c r="A98" t="inlineStr">
        <is>
          <t>438</t>
        </is>
      </c>
      <c r="B98" t="inlineStr">
        <is>
          <t>7567209625</t>
        </is>
      </c>
      <c r="C98" t="inlineStr">
        <is>
          <t>2025-12-09 23:03:53</t>
        </is>
      </c>
      <c r="D98" t="inlineStr">
        <is>
          <t>50</t>
        </is>
      </c>
      <c r="E98" t="inlineStr">
        <is>
          <t>Sha Sha - Shandaar Shawarma</t>
        </is>
      </c>
      <c r="F98" t="inlineStr">
        <is>
          <t>18557902</t>
        </is>
      </c>
      <c r="G98" t="inlineStr">
        <is>
          <t>30% off upto ₹75 (2025-06-25 - 2031-01-01)</t>
        </is>
      </c>
      <c r="H98" t="inlineStr">
        <is>
          <t>ONLINE</t>
        </is>
      </c>
      <c r="I98" t="inlineStr">
        <is>
          <t>DELIVERED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O2</t>
        </is>
      </c>
      <c r="N98" t="inlineStr">
        <is>
          <t>36</t>
        </is>
      </c>
      <c r="O98" t="n">
        <v>229</v>
      </c>
      <c r="P98" t="n">
        <v>3.5</v>
      </c>
      <c r="Q98" t="n">
        <v>0</v>
      </c>
      <c r="R98" t="n">
        <v>68.7</v>
      </c>
      <c r="S98" t="n">
        <v>0</v>
      </c>
      <c r="T98" t="n">
        <v>0</v>
      </c>
      <c r="U98" t="n">
        <v>0</v>
      </c>
      <c r="V98" t="n">
        <v>8.19</v>
      </c>
      <c r="W98" t="n">
        <v>171.99</v>
      </c>
      <c r="X98" t="n">
        <v>163.8</v>
      </c>
      <c r="Y98" t="n">
        <v>19</v>
      </c>
      <c r="Z98" t="n">
        <v>31.12</v>
      </c>
      <c r="AA98" t="n">
        <v>3.16</v>
      </c>
      <c r="AB98" t="n">
        <v>34.28</v>
      </c>
      <c r="AC98" t="n">
        <v>6.17</v>
      </c>
      <c r="AD98" t="n">
        <v>0</v>
      </c>
      <c r="AE98" t="n">
        <v>163.8</v>
      </c>
      <c r="AF98" t="n">
        <v>0</v>
      </c>
      <c r="AG98" t="n">
        <v>0</v>
      </c>
      <c r="AH98" t="n">
        <v>0.16</v>
      </c>
      <c r="AI98" t="n">
        <v>8.199999999999999</v>
      </c>
      <c r="AJ98" t="n">
        <v>-0.01</v>
      </c>
      <c r="AK98" t="n">
        <v>14.53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48.81</v>
      </c>
      <c r="AV98" t="n">
        <v>0</v>
      </c>
      <c r="AW98" t="n">
        <v>123.18</v>
      </c>
      <c r="AX98" t="inlineStr">
        <is>
          <t>settled</t>
        </is>
      </c>
      <c r="AY98" t="inlineStr">
        <is>
          <t>2025-12-17 05:30:00</t>
        </is>
      </c>
      <c r="AZ98" t="inlineStr">
        <is>
          <t>CITIN25671113204</t>
        </is>
      </c>
      <c r="BA98" t="n">
        <v>0</v>
      </c>
      <c r="BB98" t="inlineStr">
        <is>
          <t>086eb64a4406da57842778c6082a9230b85bb5b57da53f1130965a0162a57f1d</t>
        </is>
      </c>
    </row>
    <row r="99">
      <c r="A99" t="inlineStr">
        <is>
          <t>439</t>
        </is>
      </c>
      <c r="B99" t="inlineStr">
        <is>
          <t>7559434706</t>
        </is>
      </c>
      <c r="C99" t="inlineStr">
        <is>
          <t>2025-12-09 23:35:20</t>
        </is>
      </c>
      <c r="D99" t="inlineStr">
        <is>
          <t>50</t>
        </is>
      </c>
      <c r="E99" t="inlineStr">
        <is>
          <t>Sha Sha - Shandaar Shawarma</t>
        </is>
      </c>
      <c r="F99" t="inlineStr">
        <is>
          <t>18557902</t>
        </is>
      </c>
      <c r="G99" t="inlineStr">
        <is>
          <t>30% off upto ₹75 (2025-06-25 - 2031-01-01)</t>
        </is>
      </c>
      <c r="H99" t="inlineStr">
        <is>
          <t>ONLINE</t>
        </is>
      </c>
      <c r="I99" t="inlineStr">
        <is>
          <t>DELIVERED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O2</t>
        </is>
      </c>
      <c r="N99" t="inlineStr">
        <is>
          <t>36</t>
        </is>
      </c>
      <c r="O99" t="n">
        <v>229</v>
      </c>
      <c r="P99" t="n">
        <v>3.5</v>
      </c>
      <c r="Q99" t="n">
        <v>0</v>
      </c>
      <c r="R99" t="n">
        <v>68.7</v>
      </c>
      <c r="S99" t="n">
        <v>0</v>
      </c>
      <c r="T99" t="n">
        <v>0</v>
      </c>
      <c r="U99" t="n">
        <v>0</v>
      </c>
      <c r="V99" t="n">
        <v>8.19</v>
      </c>
      <c r="W99" t="n">
        <v>171.99</v>
      </c>
      <c r="X99" t="n">
        <v>163.8</v>
      </c>
      <c r="Y99" t="n">
        <v>19</v>
      </c>
      <c r="Z99" t="n">
        <v>31.12</v>
      </c>
      <c r="AA99" t="n">
        <v>3.16</v>
      </c>
      <c r="AB99" t="n">
        <v>34.28</v>
      </c>
      <c r="AC99" t="n">
        <v>6.17</v>
      </c>
      <c r="AD99" t="n">
        <v>0</v>
      </c>
      <c r="AE99" t="n">
        <v>163.8</v>
      </c>
      <c r="AF99" t="n">
        <v>0</v>
      </c>
      <c r="AG99" t="n">
        <v>0</v>
      </c>
      <c r="AH99" t="n">
        <v>0.16</v>
      </c>
      <c r="AI99" t="n">
        <v>8.199999999999999</v>
      </c>
      <c r="AJ99" t="n">
        <v>-0.01</v>
      </c>
      <c r="AK99" t="n">
        <v>14.53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48.81</v>
      </c>
      <c r="AV99" t="n">
        <v>0</v>
      </c>
      <c r="AW99" t="n">
        <v>123.18</v>
      </c>
      <c r="AX99" t="inlineStr">
        <is>
          <t>settled</t>
        </is>
      </c>
      <c r="AY99" t="inlineStr">
        <is>
          <t>2025-12-17 05:30:00</t>
        </is>
      </c>
      <c r="AZ99" t="inlineStr">
        <is>
          <t>CITIN25671113204</t>
        </is>
      </c>
      <c r="BA99" t="n">
        <v>0</v>
      </c>
      <c r="BB99" t="inlineStr">
        <is>
          <t>ff2b4f9cf2a82f82743b5062039b4f67eac3be7715c1e94efc56061ab259fdaa</t>
        </is>
      </c>
    </row>
    <row r="100">
      <c r="A100" t="inlineStr">
        <is>
          <t>440</t>
        </is>
      </c>
      <c r="B100" t="inlineStr">
        <is>
          <t>7566243231</t>
        </is>
      </c>
      <c r="C100" t="inlineStr">
        <is>
          <t>2025-12-09 23:44:12</t>
        </is>
      </c>
      <c r="D100" t="inlineStr">
        <is>
          <t>50</t>
        </is>
      </c>
      <c r="E100" t="inlineStr">
        <is>
          <t>Sha Sha - Shandaar Shawarma</t>
        </is>
      </c>
      <c r="F100" t="inlineStr">
        <is>
          <t>18557902</t>
        </is>
      </c>
      <c r="G100" t="inlineStr">
        <is>
          <t>30% off upto ₹75 (2025-06-25 - 2031-01-01)</t>
        </is>
      </c>
      <c r="H100" t="inlineStr">
        <is>
          <t>ONLINE</t>
        </is>
      </c>
      <c r="I100" t="inlineStr">
        <is>
          <t>DELIVERED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O2</t>
        </is>
      </c>
      <c r="N100" t="inlineStr">
        <is>
          <t>36</t>
        </is>
      </c>
      <c r="O100" t="n">
        <v>229</v>
      </c>
      <c r="P100" t="n">
        <v>3.5</v>
      </c>
      <c r="Q100" t="n">
        <v>0</v>
      </c>
      <c r="R100" t="n">
        <v>68.7</v>
      </c>
      <c r="S100" t="n">
        <v>0</v>
      </c>
      <c r="T100" t="n">
        <v>0</v>
      </c>
      <c r="U100" t="n">
        <v>0</v>
      </c>
      <c r="V100" t="n">
        <v>8.19</v>
      </c>
      <c r="W100" t="n">
        <v>171.99</v>
      </c>
      <c r="X100" t="n">
        <v>163.8</v>
      </c>
      <c r="Y100" t="n">
        <v>19</v>
      </c>
      <c r="Z100" t="n">
        <v>31.12</v>
      </c>
      <c r="AA100" t="n">
        <v>3.16</v>
      </c>
      <c r="AB100" t="n">
        <v>34.28</v>
      </c>
      <c r="AC100" t="n">
        <v>6.17</v>
      </c>
      <c r="AD100" t="n">
        <v>0</v>
      </c>
      <c r="AE100" t="n">
        <v>163.8</v>
      </c>
      <c r="AF100" t="n">
        <v>0</v>
      </c>
      <c r="AG100" t="n">
        <v>0</v>
      </c>
      <c r="AH100" t="n">
        <v>0.16</v>
      </c>
      <c r="AI100" t="n">
        <v>8.199999999999999</v>
      </c>
      <c r="AJ100" t="n">
        <v>-0.01</v>
      </c>
      <c r="AK100" t="n">
        <v>14.53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48.81</v>
      </c>
      <c r="AV100" t="n">
        <v>0</v>
      </c>
      <c r="AW100" t="n">
        <v>123.18</v>
      </c>
      <c r="AX100" t="inlineStr">
        <is>
          <t>settled</t>
        </is>
      </c>
      <c r="AY100" t="inlineStr">
        <is>
          <t>2025-12-17 05:30:00</t>
        </is>
      </c>
      <c r="AZ100" t="inlineStr">
        <is>
          <t>CITIN25671113204</t>
        </is>
      </c>
      <c r="BA100" t="n">
        <v>0</v>
      </c>
      <c r="BB100" t="inlineStr">
        <is>
          <t>b7e561c2d81603492c77ee43a358e4b199041054c3b73d62cd0e7cd69c049674</t>
        </is>
      </c>
    </row>
    <row r="101">
      <c r="A101" t="inlineStr">
        <is>
          <t>441</t>
        </is>
      </c>
      <c r="B101" t="inlineStr">
        <is>
          <t>7565211633</t>
        </is>
      </c>
      <c r="C101" t="inlineStr">
        <is>
          <t>2025-12-09 23:47:55</t>
        </is>
      </c>
      <c r="D101" t="inlineStr">
        <is>
          <t>50</t>
        </is>
      </c>
      <c r="E101" t="inlineStr">
        <is>
          <t>Sha Sha - Shandaar Shawarma</t>
        </is>
      </c>
      <c r="F101" t="inlineStr">
        <is>
          <t>18557902</t>
        </is>
      </c>
      <c r="G101" t="inlineStr">
        <is>
          <t>30% off upto ₹75 (2025-06-25 - 2031-01-01)</t>
        </is>
      </c>
      <c r="H101" t="inlineStr">
        <is>
          <t>ONLINE</t>
        </is>
      </c>
      <c r="I101" t="inlineStr">
        <is>
          <t>DELIVERED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O2</t>
        </is>
      </c>
      <c r="N101" t="inlineStr">
        <is>
          <t>36</t>
        </is>
      </c>
      <c r="O101" t="n">
        <v>229</v>
      </c>
      <c r="P101" t="n">
        <v>3.5</v>
      </c>
      <c r="Q101" t="n">
        <v>0</v>
      </c>
      <c r="R101" t="n">
        <v>68.7</v>
      </c>
      <c r="S101" t="n">
        <v>0</v>
      </c>
      <c r="T101" t="n">
        <v>0</v>
      </c>
      <c r="U101" t="n">
        <v>0</v>
      </c>
      <c r="V101" t="n">
        <v>8.19</v>
      </c>
      <c r="W101" t="n">
        <v>171.99</v>
      </c>
      <c r="X101" t="n">
        <v>163.8</v>
      </c>
      <c r="Y101" t="n">
        <v>19</v>
      </c>
      <c r="Z101" t="n">
        <v>31.12</v>
      </c>
      <c r="AA101" t="n">
        <v>3.16</v>
      </c>
      <c r="AB101" t="n">
        <v>34.28</v>
      </c>
      <c r="AC101" t="n">
        <v>6.17</v>
      </c>
      <c r="AD101" t="n">
        <v>0</v>
      </c>
      <c r="AE101" t="n">
        <v>163.8</v>
      </c>
      <c r="AF101" t="n">
        <v>0</v>
      </c>
      <c r="AG101" t="n">
        <v>0</v>
      </c>
      <c r="AH101" t="n">
        <v>0.16</v>
      </c>
      <c r="AI101" t="n">
        <v>8.199999999999999</v>
      </c>
      <c r="AJ101" t="n">
        <v>-0.01</v>
      </c>
      <c r="AK101" t="n">
        <v>14.53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48.81</v>
      </c>
      <c r="AV101" t="n">
        <v>0</v>
      </c>
      <c r="AW101" t="n">
        <v>123.18</v>
      </c>
      <c r="AX101" t="inlineStr">
        <is>
          <t>settled</t>
        </is>
      </c>
      <c r="AY101" t="inlineStr">
        <is>
          <t>2025-12-17 05:30:00</t>
        </is>
      </c>
      <c r="AZ101" t="inlineStr">
        <is>
          <t>CITIN25671113204</t>
        </is>
      </c>
      <c r="BA101" t="n">
        <v>0</v>
      </c>
      <c r="BB101" t="inlineStr">
        <is>
          <t>549072622e22d73eef1b5e639691fa0f38f926b6a2cb77a6e57754548ba95818</t>
        </is>
      </c>
    </row>
    <row r="102">
      <c r="A102" t="inlineStr">
        <is>
          <t>442</t>
        </is>
      </c>
      <c r="B102" t="inlineStr">
        <is>
          <t>7565569290</t>
        </is>
      </c>
      <c r="C102" t="inlineStr">
        <is>
          <t>2025-12-09 23:55:33</t>
        </is>
      </c>
      <c r="D102" t="inlineStr">
        <is>
          <t>50</t>
        </is>
      </c>
      <c r="E102" t="inlineStr">
        <is>
          <t>Sha Sha - Shandaar Shawarma</t>
        </is>
      </c>
      <c r="F102" t="inlineStr">
        <is>
          <t>18557902</t>
        </is>
      </c>
      <c r="G102" t="inlineStr">
        <is>
          <t>30% off upto ₹75 (2025-06-25 - 2031-01-01)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O2</t>
        </is>
      </c>
      <c r="N102" t="inlineStr">
        <is>
          <t>36</t>
        </is>
      </c>
      <c r="O102" t="n">
        <v>229</v>
      </c>
      <c r="P102" t="n">
        <v>3.5</v>
      </c>
      <c r="Q102" t="n">
        <v>0</v>
      </c>
      <c r="R102" t="n">
        <v>68.7</v>
      </c>
      <c r="S102" t="n">
        <v>0</v>
      </c>
      <c r="T102" t="n">
        <v>0</v>
      </c>
      <c r="U102" t="n">
        <v>0</v>
      </c>
      <c r="V102" t="n">
        <v>8.19</v>
      </c>
      <c r="W102" t="n">
        <v>171.99</v>
      </c>
      <c r="X102" t="n">
        <v>163.8</v>
      </c>
      <c r="Y102" t="n">
        <v>19</v>
      </c>
      <c r="Z102" t="n">
        <v>31.12</v>
      </c>
      <c r="AA102" t="n">
        <v>3.16</v>
      </c>
      <c r="AB102" t="n">
        <v>34.28</v>
      </c>
      <c r="AC102" t="n">
        <v>6.17</v>
      </c>
      <c r="AD102" t="n">
        <v>0</v>
      </c>
      <c r="AE102" t="n">
        <v>163.8</v>
      </c>
      <c r="AF102" t="n">
        <v>0</v>
      </c>
      <c r="AG102" t="n">
        <v>0</v>
      </c>
      <c r="AH102" t="n">
        <v>0.16</v>
      </c>
      <c r="AI102" t="n">
        <v>8.199999999999999</v>
      </c>
      <c r="AJ102" t="n">
        <v>-0.01</v>
      </c>
      <c r="AK102" t="n">
        <v>14.53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48.81</v>
      </c>
      <c r="AV102" t="n">
        <v>0</v>
      </c>
      <c r="AW102" t="n">
        <v>123.18</v>
      </c>
      <c r="AX102" t="inlineStr">
        <is>
          <t>settled</t>
        </is>
      </c>
      <c r="AY102" t="inlineStr">
        <is>
          <t>2025-12-17 05:30:00</t>
        </is>
      </c>
      <c r="AZ102" t="inlineStr">
        <is>
          <t>CITIN25671113204</t>
        </is>
      </c>
      <c r="BA102" t="n">
        <v>0</v>
      </c>
      <c r="BB102" t="inlineStr">
        <is>
          <t>e706b9a5424ae638089a5b75e71f56a131b0d525f0b32f66e8760a321e11d665</t>
        </is>
      </c>
    </row>
    <row r="103">
      <c r="A103" t="inlineStr">
        <is>
          <t>443</t>
        </is>
      </c>
      <c r="B103" t="inlineStr">
        <is>
          <t>7560796852</t>
        </is>
      </c>
      <c r="C103" t="inlineStr">
        <is>
          <t>2025-12-09 23:59:24</t>
        </is>
      </c>
      <c r="D103" t="inlineStr">
        <is>
          <t>50</t>
        </is>
      </c>
      <c r="E103" t="inlineStr">
        <is>
          <t>Sha Sha - Shandaar Shawarma</t>
        </is>
      </c>
      <c r="F103" t="inlineStr">
        <is>
          <t>18557902</t>
        </is>
      </c>
      <c r="G103" t="inlineStr">
        <is>
          <t>30% off upto ₹75 (2025-06-25 - 2031-01-01)</t>
        </is>
      </c>
      <c r="H103" t="inlineStr">
        <is>
          <t>ONLINE</t>
        </is>
      </c>
      <c r="I103" t="inlineStr">
        <is>
          <t>DELIVERED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O2</t>
        </is>
      </c>
      <c r="N103" t="inlineStr">
        <is>
          <t>36</t>
        </is>
      </c>
      <c r="O103" t="n">
        <v>229</v>
      </c>
      <c r="P103" t="n">
        <v>3.5</v>
      </c>
      <c r="Q103" t="n">
        <v>0</v>
      </c>
      <c r="R103" t="n">
        <v>68.7</v>
      </c>
      <c r="S103" t="n">
        <v>0</v>
      </c>
      <c r="T103" t="n">
        <v>0</v>
      </c>
      <c r="U103" t="n">
        <v>0</v>
      </c>
      <c r="V103" t="n">
        <v>8.19</v>
      </c>
      <c r="W103" t="n">
        <v>171.99</v>
      </c>
      <c r="X103" t="n">
        <v>163.8</v>
      </c>
      <c r="Y103" t="n">
        <v>19</v>
      </c>
      <c r="Z103" t="n">
        <v>31.12</v>
      </c>
      <c r="AA103" t="n">
        <v>3.16</v>
      </c>
      <c r="AB103" t="n">
        <v>34.28</v>
      </c>
      <c r="AC103" t="n">
        <v>6.17</v>
      </c>
      <c r="AD103" t="n">
        <v>0</v>
      </c>
      <c r="AE103" t="n">
        <v>163.8</v>
      </c>
      <c r="AF103" t="n">
        <v>0</v>
      </c>
      <c r="AG103" t="n">
        <v>0</v>
      </c>
      <c r="AH103" t="n">
        <v>0.16</v>
      </c>
      <c r="AI103" t="n">
        <v>8.199999999999999</v>
      </c>
      <c r="AJ103" t="n">
        <v>-0.01</v>
      </c>
      <c r="AK103" t="n">
        <v>14.53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48.81</v>
      </c>
      <c r="AV103" t="n">
        <v>0</v>
      </c>
      <c r="AW103" t="n">
        <v>123.18</v>
      </c>
      <c r="AX103" t="inlineStr">
        <is>
          <t>settled</t>
        </is>
      </c>
      <c r="AY103" t="inlineStr">
        <is>
          <t>2025-12-17 05:30:00</t>
        </is>
      </c>
      <c r="AZ103" t="inlineStr">
        <is>
          <t>CITIN25671113204</t>
        </is>
      </c>
      <c r="BA103" t="n">
        <v>0</v>
      </c>
      <c r="BB103" t="inlineStr">
        <is>
          <t>0f1826b6d3cb4885c573bde9e0528ffcd0dade25c163021204ea56cc6c0cc44a</t>
        </is>
      </c>
    </row>
    <row r="104">
      <c r="A104" t="inlineStr">
        <is>
          <t>444</t>
        </is>
      </c>
      <c r="B104" t="inlineStr">
        <is>
          <t>7565358669</t>
        </is>
      </c>
      <c r="C104" t="inlineStr">
        <is>
          <t>2025-12-10 00:10:45</t>
        </is>
      </c>
      <c r="D104" t="inlineStr">
        <is>
          <t>50</t>
        </is>
      </c>
      <c r="E104" t="inlineStr">
        <is>
          <t>Sha Sha - Shandaar Shawarma</t>
        </is>
      </c>
      <c r="F104" t="inlineStr">
        <is>
          <t>18557902</t>
        </is>
      </c>
      <c r="G104" t="inlineStr">
        <is>
          <t>30% off upto ₹75 (2025-06-25 - 2031-01-01)</t>
        </is>
      </c>
      <c r="H104" t="inlineStr">
        <is>
          <t>ONLINE</t>
        </is>
      </c>
      <c r="I104" t="inlineStr">
        <is>
          <t>DELIVERED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O2</t>
        </is>
      </c>
      <c r="N104" t="inlineStr">
        <is>
          <t>36</t>
        </is>
      </c>
      <c r="O104" t="n">
        <v>229</v>
      </c>
      <c r="P104" t="n">
        <v>3.5</v>
      </c>
      <c r="Q104" t="n">
        <v>0</v>
      </c>
      <c r="R104" t="n">
        <v>68.7</v>
      </c>
      <c r="S104" t="n">
        <v>0</v>
      </c>
      <c r="T104" t="n">
        <v>0</v>
      </c>
      <c r="U104" t="n">
        <v>0</v>
      </c>
      <c r="V104" t="n">
        <v>8.19</v>
      </c>
      <c r="W104" t="n">
        <v>171.99</v>
      </c>
      <c r="X104" t="n">
        <v>163.8</v>
      </c>
      <c r="Y104" t="n">
        <v>19</v>
      </c>
      <c r="Z104" t="n">
        <v>31.12</v>
      </c>
      <c r="AA104" t="n">
        <v>3.16</v>
      </c>
      <c r="AB104" t="n">
        <v>34.28</v>
      </c>
      <c r="AC104" t="n">
        <v>6.17</v>
      </c>
      <c r="AD104" t="n">
        <v>0</v>
      </c>
      <c r="AE104" t="n">
        <v>163.8</v>
      </c>
      <c r="AF104" t="n">
        <v>0</v>
      </c>
      <c r="AG104" t="n">
        <v>0</v>
      </c>
      <c r="AH104" t="n">
        <v>0.16</v>
      </c>
      <c r="AI104" t="n">
        <v>8.199999999999999</v>
      </c>
      <c r="AJ104" t="n">
        <v>-0.01</v>
      </c>
      <c r="AK104" t="n">
        <v>14.53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48.81</v>
      </c>
      <c r="AV104" t="n">
        <v>0</v>
      </c>
      <c r="AW104" t="n">
        <v>123.18</v>
      </c>
      <c r="AX104" t="inlineStr">
        <is>
          <t>settled</t>
        </is>
      </c>
      <c r="AY104" t="inlineStr">
        <is>
          <t>2025-12-17 05:30:00</t>
        </is>
      </c>
      <c r="AZ104" t="inlineStr">
        <is>
          <t>CITIN25671113204</t>
        </is>
      </c>
      <c r="BA104" t="n">
        <v>0</v>
      </c>
      <c r="BB104" t="inlineStr">
        <is>
          <t>06f2158d4ca55e75446ce7b13802e35a4c5ff222ffc221d880cbf65dbb706c22</t>
        </is>
      </c>
    </row>
    <row r="105">
      <c r="A105" t="inlineStr">
        <is>
          <t>445</t>
        </is>
      </c>
      <c r="B105" t="inlineStr">
        <is>
          <t>7563518967</t>
        </is>
      </c>
      <c r="C105" t="inlineStr">
        <is>
          <t>2025-12-10 00:17:17</t>
        </is>
      </c>
      <c r="D105" t="inlineStr">
        <is>
          <t>50</t>
        </is>
      </c>
      <c r="E105" t="inlineStr">
        <is>
          <t>Sha Sha - Shandaar Shawarma</t>
        </is>
      </c>
      <c r="F105" t="inlineStr">
        <is>
          <t>18557902</t>
        </is>
      </c>
      <c r="G105" t="inlineStr">
        <is>
          <t>30% off upto ₹75 (2025-06-25 - 2031-01-01)</t>
        </is>
      </c>
      <c r="H105" t="inlineStr">
        <is>
          <t>ONLINE</t>
        </is>
      </c>
      <c r="I105" t="inlineStr">
        <is>
          <t>DELIVERED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O2</t>
        </is>
      </c>
      <c r="N105" t="inlineStr">
        <is>
          <t>36</t>
        </is>
      </c>
      <c r="O105" t="n">
        <v>229</v>
      </c>
      <c r="P105" t="n">
        <v>3.5</v>
      </c>
      <c r="Q105" t="n">
        <v>0</v>
      </c>
      <c r="R105" t="n">
        <v>68.7</v>
      </c>
      <c r="S105" t="n">
        <v>0</v>
      </c>
      <c r="T105" t="n">
        <v>0</v>
      </c>
      <c r="U105" t="n">
        <v>0</v>
      </c>
      <c r="V105" t="n">
        <v>8.19</v>
      </c>
      <c r="W105" t="n">
        <v>171.99</v>
      </c>
      <c r="X105" t="n">
        <v>163.8</v>
      </c>
      <c r="Y105" t="n">
        <v>19</v>
      </c>
      <c r="Z105" t="n">
        <v>31.12</v>
      </c>
      <c r="AA105" t="n">
        <v>3.16</v>
      </c>
      <c r="AB105" t="n">
        <v>34.28</v>
      </c>
      <c r="AC105" t="n">
        <v>6.17</v>
      </c>
      <c r="AD105" t="n">
        <v>0</v>
      </c>
      <c r="AE105" t="n">
        <v>163.8</v>
      </c>
      <c r="AF105" t="n">
        <v>0</v>
      </c>
      <c r="AG105" t="n">
        <v>0</v>
      </c>
      <c r="AH105" t="n">
        <v>0.16</v>
      </c>
      <c r="AI105" t="n">
        <v>8.199999999999999</v>
      </c>
      <c r="AJ105" t="n">
        <v>-0.01</v>
      </c>
      <c r="AK105" t="n">
        <v>14.53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48.81</v>
      </c>
      <c r="AV105" t="n">
        <v>0</v>
      </c>
      <c r="AW105" t="n">
        <v>123.18</v>
      </c>
      <c r="AX105" t="inlineStr">
        <is>
          <t>settled</t>
        </is>
      </c>
      <c r="AY105" t="inlineStr">
        <is>
          <t>2025-12-17 05:30:00</t>
        </is>
      </c>
      <c r="AZ105" t="inlineStr">
        <is>
          <t>CITIN25671113204</t>
        </is>
      </c>
      <c r="BA105" t="n">
        <v>0</v>
      </c>
      <c r="BB105" t="inlineStr">
        <is>
          <t>218632630ad9fc43ae206c2932d5bf7ccd42ed4de1d3e430540e219cc9b72fc3</t>
        </is>
      </c>
    </row>
    <row r="106">
      <c r="A106" t="inlineStr">
        <is>
          <t>446</t>
        </is>
      </c>
      <c r="B106" t="inlineStr">
        <is>
          <t>7563050919</t>
        </is>
      </c>
      <c r="C106" t="inlineStr">
        <is>
          <t>2025-12-10 00:34:11</t>
        </is>
      </c>
      <c r="D106" t="inlineStr">
        <is>
          <t>50</t>
        </is>
      </c>
      <c r="E106" t="inlineStr">
        <is>
          <t>Sha Sha - Shandaar Shawarma</t>
        </is>
      </c>
      <c r="F106" t="inlineStr">
        <is>
          <t>18557902</t>
        </is>
      </c>
      <c r="G106" t="inlineStr">
        <is>
          <t>30% off upto ₹75 (2025-06-25 - 2031-01-01)</t>
        </is>
      </c>
      <c r="H106" t="inlineStr">
        <is>
          <t>ONLINE</t>
        </is>
      </c>
      <c r="I106" t="inlineStr">
        <is>
          <t>DELIVERED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O2</t>
        </is>
      </c>
      <c r="N106" t="inlineStr">
        <is>
          <t>36</t>
        </is>
      </c>
      <c r="O106" t="n">
        <v>229</v>
      </c>
      <c r="P106" t="n">
        <v>3.5</v>
      </c>
      <c r="Q106" t="n">
        <v>0</v>
      </c>
      <c r="R106" t="n">
        <v>68.7</v>
      </c>
      <c r="S106" t="n">
        <v>0</v>
      </c>
      <c r="T106" t="n">
        <v>0</v>
      </c>
      <c r="U106" t="n">
        <v>0</v>
      </c>
      <c r="V106" t="n">
        <v>8.19</v>
      </c>
      <c r="W106" t="n">
        <v>171.99</v>
      </c>
      <c r="X106" t="n">
        <v>163.8</v>
      </c>
      <c r="Y106" t="n">
        <v>19</v>
      </c>
      <c r="Z106" t="n">
        <v>31.12</v>
      </c>
      <c r="AA106" t="n">
        <v>3.16</v>
      </c>
      <c r="AB106" t="n">
        <v>34.28</v>
      </c>
      <c r="AC106" t="n">
        <v>6.17</v>
      </c>
      <c r="AD106" t="n">
        <v>0</v>
      </c>
      <c r="AE106" t="n">
        <v>163.8</v>
      </c>
      <c r="AF106" t="n">
        <v>0</v>
      </c>
      <c r="AG106" t="n">
        <v>0</v>
      </c>
      <c r="AH106" t="n">
        <v>0.16</v>
      </c>
      <c r="AI106" t="n">
        <v>8.199999999999999</v>
      </c>
      <c r="AJ106" t="n">
        <v>-0.01</v>
      </c>
      <c r="AK106" t="n">
        <v>14.53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48.81</v>
      </c>
      <c r="AV106" t="n">
        <v>0</v>
      </c>
      <c r="AW106" t="n">
        <v>123.18</v>
      </c>
      <c r="AX106" t="inlineStr">
        <is>
          <t>settled</t>
        </is>
      </c>
      <c r="AY106" t="inlineStr">
        <is>
          <t>2025-12-17 05:30:00</t>
        </is>
      </c>
      <c r="AZ106" t="inlineStr">
        <is>
          <t>CITIN25671113204</t>
        </is>
      </c>
      <c r="BA106" t="n">
        <v>0</v>
      </c>
      <c r="BB106" t="inlineStr">
        <is>
          <t>d6fedbd4254d5b72d8e80577de62cec5da05de46a50c1d222303cdeb7cd3b907</t>
        </is>
      </c>
    </row>
    <row r="107">
      <c r="A107" t="inlineStr">
        <is>
          <t>447</t>
        </is>
      </c>
      <c r="B107" t="inlineStr">
        <is>
          <t>7559605812</t>
        </is>
      </c>
      <c r="C107" t="inlineStr">
        <is>
          <t>2025-12-10 00:37:16</t>
        </is>
      </c>
      <c r="D107" t="inlineStr">
        <is>
          <t>50</t>
        </is>
      </c>
      <c r="E107" t="inlineStr">
        <is>
          <t>Sha Sha - Shandaar Shawarma</t>
        </is>
      </c>
      <c r="F107" t="inlineStr">
        <is>
          <t>18557902</t>
        </is>
      </c>
      <c r="G107" t="inlineStr">
        <is>
          <t>30% off upto ₹75 (2025-06-25 - 2031-01-01)</t>
        </is>
      </c>
      <c r="H107" t="inlineStr">
        <is>
          <t>ONLINE</t>
        </is>
      </c>
      <c r="I107" t="inlineStr">
        <is>
          <t>DELIVERED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O2</t>
        </is>
      </c>
      <c r="N107" t="inlineStr">
        <is>
          <t>36</t>
        </is>
      </c>
      <c r="O107" t="n">
        <v>229</v>
      </c>
      <c r="P107" t="n">
        <v>3.5</v>
      </c>
      <c r="Q107" t="n">
        <v>0</v>
      </c>
      <c r="R107" t="n">
        <v>68.7</v>
      </c>
      <c r="S107" t="n">
        <v>0</v>
      </c>
      <c r="T107" t="n">
        <v>0</v>
      </c>
      <c r="U107" t="n">
        <v>0</v>
      </c>
      <c r="V107" t="n">
        <v>8.19</v>
      </c>
      <c r="W107" t="n">
        <v>171.99</v>
      </c>
      <c r="X107" t="n">
        <v>163.8</v>
      </c>
      <c r="Y107" t="n">
        <v>19</v>
      </c>
      <c r="Z107" t="n">
        <v>31.12</v>
      </c>
      <c r="AA107" t="n">
        <v>3.16</v>
      </c>
      <c r="AB107" t="n">
        <v>34.28</v>
      </c>
      <c r="AC107" t="n">
        <v>6.17</v>
      </c>
      <c r="AD107" t="n">
        <v>0</v>
      </c>
      <c r="AE107" t="n">
        <v>163.8</v>
      </c>
      <c r="AF107" t="n">
        <v>0</v>
      </c>
      <c r="AG107" t="n">
        <v>0</v>
      </c>
      <c r="AH107" t="n">
        <v>0.16</v>
      </c>
      <c r="AI107" t="n">
        <v>8.199999999999999</v>
      </c>
      <c r="AJ107" t="n">
        <v>-0.01</v>
      </c>
      <c r="AK107" t="n">
        <v>14.53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48.81</v>
      </c>
      <c r="AV107" t="n">
        <v>0</v>
      </c>
      <c r="AW107" t="n">
        <v>123.18</v>
      </c>
      <c r="AX107" t="inlineStr">
        <is>
          <t>settled</t>
        </is>
      </c>
      <c r="AY107" t="inlineStr">
        <is>
          <t>2025-12-17 05:30:00</t>
        </is>
      </c>
      <c r="AZ107" t="inlineStr">
        <is>
          <t>CITIN25671113204</t>
        </is>
      </c>
      <c r="BA107" t="n">
        <v>0</v>
      </c>
      <c r="BB107" t="inlineStr">
        <is>
          <t>7cf699cf0cdb5fae5ea9e2a179f80c9923a4cee63072309a8d885bbd4f648359</t>
        </is>
      </c>
    </row>
    <row r="108">
      <c r="A108" t="inlineStr">
        <is>
          <t>448</t>
        </is>
      </c>
      <c r="B108" t="inlineStr">
        <is>
          <t>7564031419</t>
        </is>
      </c>
      <c r="C108" t="inlineStr">
        <is>
          <t>2025-12-10 00:38:57</t>
        </is>
      </c>
      <c r="D108" t="inlineStr">
        <is>
          <t>50</t>
        </is>
      </c>
      <c r="E108" t="inlineStr">
        <is>
          <t>Sha Sha - Shandaar Shawarma</t>
        </is>
      </c>
      <c r="F108" t="inlineStr">
        <is>
          <t>18557902</t>
        </is>
      </c>
      <c r="G108" t="inlineStr">
        <is>
          <t>30% off upto ₹75 (2025-06-25 - 2031-01-01)</t>
        </is>
      </c>
      <c r="H108" t="inlineStr">
        <is>
          <t>ONLINE</t>
        </is>
      </c>
      <c r="I108" t="inlineStr">
        <is>
          <t>DELIVERED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O2</t>
        </is>
      </c>
      <c r="N108" t="inlineStr">
        <is>
          <t>36</t>
        </is>
      </c>
      <c r="O108" t="n">
        <v>229</v>
      </c>
      <c r="P108" t="n">
        <v>3.5</v>
      </c>
      <c r="Q108" t="n">
        <v>0</v>
      </c>
      <c r="R108" t="n">
        <v>68.7</v>
      </c>
      <c r="S108" t="n">
        <v>0</v>
      </c>
      <c r="T108" t="n">
        <v>0</v>
      </c>
      <c r="U108" t="n">
        <v>0</v>
      </c>
      <c r="V108" t="n">
        <v>8.19</v>
      </c>
      <c r="W108" t="n">
        <v>171.99</v>
      </c>
      <c r="X108" t="n">
        <v>163.8</v>
      </c>
      <c r="Y108" t="n">
        <v>19</v>
      </c>
      <c r="Z108" t="n">
        <v>31.12</v>
      </c>
      <c r="AA108" t="n">
        <v>3.16</v>
      </c>
      <c r="AB108" t="n">
        <v>34.28</v>
      </c>
      <c r="AC108" t="n">
        <v>6.17</v>
      </c>
      <c r="AD108" t="n">
        <v>0</v>
      </c>
      <c r="AE108" t="n">
        <v>163.8</v>
      </c>
      <c r="AF108" t="n">
        <v>0</v>
      </c>
      <c r="AG108" t="n">
        <v>0</v>
      </c>
      <c r="AH108" t="n">
        <v>0.16</v>
      </c>
      <c r="AI108" t="n">
        <v>8.199999999999999</v>
      </c>
      <c r="AJ108" t="n">
        <v>-0.01</v>
      </c>
      <c r="AK108" t="n">
        <v>14.53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48.81</v>
      </c>
      <c r="AV108" t="n">
        <v>0</v>
      </c>
      <c r="AW108" t="n">
        <v>123.18</v>
      </c>
      <c r="AX108" t="inlineStr">
        <is>
          <t>settled</t>
        </is>
      </c>
      <c r="AY108" t="inlineStr">
        <is>
          <t>2025-12-17 05:30:00</t>
        </is>
      </c>
      <c r="AZ108" t="inlineStr">
        <is>
          <t>CITIN25671113204</t>
        </is>
      </c>
      <c r="BA108" t="n">
        <v>0</v>
      </c>
      <c r="BB108" t="inlineStr">
        <is>
          <t>6acdecbc95a6aa7733a363905c67f32040cb5c2a6e4afbb1e54b388e4e758c30</t>
        </is>
      </c>
    </row>
    <row r="109">
      <c r="A109" t="inlineStr">
        <is>
          <t>449</t>
        </is>
      </c>
      <c r="B109" t="inlineStr">
        <is>
          <t>7555072239</t>
        </is>
      </c>
      <c r="C109" t="inlineStr">
        <is>
          <t>2025-12-10 00:59:58</t>
        </is>
      </c>
      <c r="D109" t="inlineStr">
        <is>
          <t>50</t>
        </is>
      </c>
      <c r="E109" t="inlineStr">
        <is>
          <t>Sha Sha - Shandaar Shawarma</t>
        </is>
      </c>
      <c r="F109" t="inlineStr">
        <is>
          <t>18557902</t>
        </is>
      </c>
      <c r="G109" t="inlineStr">
        <is>
          <t>30% off upto ₹75 (2025-06-25 - 2031-01-01)</t>
        </is>
      </c>
      <c r="H109" t="inlineStr">
        <is>
          <t>ONLINE</t>
        </is>
      </c>
      <c r="I109" t="inlineStr">
        <is>
          <t>DELIVERED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O2</t>
        </is>
      </c>
      <c r="N109" t="inlineStr">
        <is>
          <t>36</t>
        </is>
      </c>
      <c r="O109" t="n">
        <v>229</v>
      </c>
      <c r="P109" t="n">
        <v>3.5</v>
      </c>
      <c r="Q109" t="n">
        <v>0</v>
      </c>
      <c r="R109" t="n">
        <v>68.7</v>
      </c>
      <c r="S109" t="n">
        <v>0</v>
      </c>
      <c r="T109" t="n">
        <v>0</v>
      </c>
      <c r="U109" t="n">
        <v>0</v>
      </c>
      <c r="V109" t="n">
        <v>8.19</v>
      </c>
      <c r="W109" t="n">
        <v>171.99</v>
      </c>
      <c r="X109" t="n">
        <v>163.8</v>
      </c>
      <c r="Y109" t="n">
        <v>19</v>
      </c>
      <c r="Z109" t="n">
        <v>31.12</v>
      </c>
      <c r="AA109" t="n">
        <v>3.16</v>
      </c>
      <c r="AB109" t="n">
        <v>34.28</v>
      </c>
      <c r="AC109" t="n">
        <v>6.17</v>
      </c>
      <c r="AD109" t="n">
        <v>0</v>
      </c>
      <c r="AE109" t="n">
        <v>163.8</v>
      </c>
      <c r="AF109" t="n">
        <v>0</v>
      </c>
      <c r="AG109" t="n">
        <v>0</v>
      </c>
      <c r="AH109" t="n">
        <v>0.16</v>
      </c>
      <c r="AI109" t="n">
        <v>8.199999999999999</v>
      </c>
      <c r="AJ109" t="n">
        <v>-0.01</v>
      </c>
      <c r="AK109" t="n">
        <v>14.53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48.81</v>
      </c>
      <c r="AV109" t="n">
        <v>0</v>
      </c>
      <c r="AW109" t="n">
        <v>123.18</v>
      </c>
      <c r="AX109" t="inlineStr">
        <is>
          <t>settled</t>
        </is>
      </c>
      <c r="AY109" t="inlineStr">
        <is>
          <t>2025-12-17 05:30:00</t>
        </is>
      </c>
      <c r="AZ109" t="inlineStr">
        <is>
          <t>CITIN25671113204</t>
        </is>
      </c>
      <c r="BA109" t="n">
        <v>0</v>
      </c>
      <c r="BB109" t="inlineStr">
        <is>
          <t>77f4cfffc267f948ad7599f3768aa96c9524b2b58dbb7e44b6a876928a4fe3ef</t>
        </is>
      </c>
    </row>
    <row r="110">
      <c r="A110" t="inlineStr">
        <is>
          <t>450</t>
        </is>
      </c>
      <c r="B110" t="inlineStr">
        <is>
          <t>7567225823</t>
        </is>
      </c>
      <c r="C110" t="inlineStr">
        <is>
          <t>2025-12-10 01:20:47</t>
        </is>
      </c>
      <c r="D110" t="inlineStr">
        <is>
          <t>50</t>
        </is>
      </c>
      <c r="E110" t="inlineStr">
        <is>
          <t>Sha Sha - Shandaar Shawarma</t>
        </is>
      </c>
      <c r="F110" t="inlineStr">
        <is>
          <t>18557902</t>
        </is>
      </c>
      <c r="G110" t="inlineStr">
        <is>
          <t>30% off upto ₹75 (2025-06-25 - 2031-01-01)</t>
        </is>
      </c>
      <c r="H110" t="inlineStr">
        <is>
          <t>ONLINE</t>
        </is>
      </c>
      <c r="I110" t="inlineStr">
        <is>
          <t>DELIVERED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O2</t>
        </is>
      </c>
      <c r="N110" t="inlineStr">
        <is>
          <t>36</t>
        </is>
      </c>
      <c r="O110" t="n">
        <v>229</v>
      </c>
      <c r="P110" t="n">
        <v>3.5</v>
      </c>
      <c r="Q110" t="n">
        <v>0</v>
      </c>
      <c r="R110" t="n">
        <v>68.7</v>
      </c>
      <c r="S110" t="n">
        <v>0</v>
      </c>
      <c r="T110" t="n">
        <v>0</v>
      </c>
      <c r="U110" t="n">
        <v>0</v>
      </c>
      <c r="V110" t="n">
        <v>8.19</v>
      </c>
      <c r="W110" t="n">
        <v>171.99</v>
      </c>
      <c r="X110" t="n">
        <v>163.8</v>
      </c>
      <c r="Y110" t="n">
        <v>19</v>
      </c>
      <c r="Z110" t="n">
        <v>31.12</v>
      </c>
      <c r="AA110" t="n">
        <v>3.16</v>
      </c>
      <c r="AB110" t="n">
        <v>34.28</v>
      </c>
      <c r="AC110" t="n">
        <v>6.17</v>
      </c>
      <c r="AD110" t="n">
        <v>0</v>
      </c>
      <c r="AE110" t="n">
        <v>163.8</v>
      </c>
      <c r="AF110" t="n">
        <v>0</v>
      </c>
      <c r="AG110" t="n">
        <v>0</v>
      </c>
      <c r="AH110" t="n">
        <v>0.16</v>
      </c>
      <c r="AI110" t="n">
        <v>8.199999999999999</v>
      </c>
      <c r="AJ110" t="n">
        <v>-0.01</v>
      </c>
      <c r="AK110" t="n">
        <v>14.53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48.81</v>
      </c>
      <c r="AV110" t="n">
        <v>0</v>
      </c>
      <c r="AW110" t="n">
        <v>123.18</v>
      </c>
      <c r="AX110" t="inlineStr">
        <is>
          <t>settled</t>
        </is>
      </c>
      <c r="AY110" t="inlineStr">
        <is>
          <t>2025-12-17 05:30:00</t>
        </is>
      </c>
      <c r="AZ110" t="inlineStr">
        <is>
          <t>CITIN25671113204</t>
        </is>
      </c>
      <c r="BA110" t="n">
        <v>0</v>
      </c>
      <c r="BB110" t="inlineStr">
        <is>
          <t>941b53d283b6af8417fa33eebccd084cd2fbc3c4b491b8d60831126fdbc6f4e4</t>
        </is>
      </c>
    </row>
    <row r="111">
      <c r="A111" t="inlineStr">
        <is>
          <t>451</t>
        </is>
      </c>
      <c r="B111" t="inlineStr">
        <is>
          <t>7557686941</t>
        </is>
      </c>
      <c r="C111" t="inlineStr">
        <is>
          <t>2025-12-10 01:25:30</t>
        </is>
      </c>
      <c r="D111" t="inlineStr">
        <is>
          <t>50</t>
        </is>
      </c>
      <c r="E111" t="inlineStr">
        <is>
          <t>Sha Sha - Shandaar Shawarma</t>
        </is>
      </c>
      <c r="F111" t="inlineStr">
        <is>
          <t>18557902</t>
        </is>
      </c>
      <c r="G111" t="inlineStr">
        <is>
          <t>30% off upto ₹75 (2025-06-25 - 2031-01-01)</t>
        </is>
      </c>
      <c r="H111" t="inlineStr">
        <is>
          <t>ONLINE</t>
        </is>
      </c>
      <c r="I111" t="inlineStr">
        <is>
          <t>DELIVERED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O2</t>
        </is>
      </c>
      <c r="N111" t="inlineStr">
        <is>
          <t>36</t>
        </is>
      </c>
      <c r="O111" t="n">
        <v>219</v>
      </c>
      <c r="P111" t="n">
        <v>3.5</v>
      </c>
      <c r="Q111" t="n">
        <v>0</v>
      </c>
      <c r="R111" t="n">
        <v>65.7</v>
      </c>
      <c r="S111" t="n">
        <v>0</v>
      </c>
      <c r="T111" t="n">
        <v>0</v>
      </c>
      <c r="U111" t="n">
        <v>0</v>
      </c>
      <c r="V111" t="n">
        <v>7.84</v>
      </c>
      <c r="W111" t="n">
        <v>164.64</v>
      </c>
      <c r="X111" t="n">
        <v>156.8</v>
      </c>
      <c r="Y111" t="n">
        <v>19</v>
      </c>
      <c r="Z111" t="n">
        <v>29.79</v>
      </c>
      <c r="AA111" t="n">
        <v>3.03</v>
      </c>
      <c r="AB111" t="n">
        <v>32.82</v>
      </c>
      <c r="AC111" t="n">
        <v>5.91</v>
      </c>
      <c r="AD111" t="n">
        <v>0</v>
      </c>
      <c r="AE111" t="n">
        <v>156.8</v>
      </c>
      <c r="AF111" t="n">
        <v>0</v>
      </c>
      <c r="AG111" t="n">
        <v>0</v>
      </c>
      <c r="AH111" t="n">
        <v>0.16</v>
      </c>
      <c r="AI111" t="n">
        <v>7.85</v>
      </c>
      <c r="AJ111" t="n">
        <v>-0.01</v>
      </c>
      <c r="AK111" t="n">
        <v>13.92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46.74</v>
      </c>
      <c r="AV111" t="n">
        <v>0</v>
      </c>
      <c r="AW111" t="n">
        <v>117.9</v>
      </c>
      <c r="AX111" t="inlineStr">
        <is>
          <t>settled</t>
        </is>
      </c>
      <c r="AY111" t="inlineStr">
        <is>
          <t>2025-12-17 05:30:00</t>
        </is>
      </c>
      <c r="AZ111" t="inlineStr">
        <is>
          <t>CITIN25671113204</t>
        </is>
      </c>
      <c r="BA111" t="n">
        <v>0</v>
      </c>
      <c r="BB111" t="inlineStr">
        <is>
          <t>33944ebbfd4f4fb514e06defbe6df8a433fa43cdd0dbf7062d06b0794c4d0f52</t>
        </is>
      </c>
    </row>
    <row r="112">
      <c r="A112" t="inlineStr">
        <is>
          <t>452</t>
        </is>
      </c>
      <c r="B112" t="inlineStr">
        <is>
          <t>7559676505</t>
        </is>
      </c>
      <c r="C112" t="inlineStr">
        <is>
          <t>2025-12-10 01:29:36</t>
        </is>
      </c>
      <c r="D112" t="inlineStr">
        <is>
          <t>50</t>
        </is>
      </c>
      <c r="E112" t="inlineStr">
        <is>
          <t>Sha Sha - Shandaar Shawarma</t>
        </is>
      </c>
      <c r="F112" t="inlineStr">
        <is>
          <t>18557902</t>
        </is>
      </c>
      <c r="G112" t="inlineStr">
        <is>
          <t>30% off upto ₹75 (2025-06-25 - 2031-01-01)</t>
        </is>
      </c>
      <c r="H112" t="inlineStr">
        <is>
          <t>ONLINE</t>
        </is>
      </c>
      <c r="I112" t="inlineStr">
        <is>
          <t>DELIVERED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O2</t>
        </is>
      </c>
      <c r="N112" t="inlineStr">
        <is>
          <t>36</t>
        </is>
      </c>
      <c r="O112" t="n">
        <v>229</v>
      </c>
      <c r="P112" t="n">
        <v>3.5</v>
      </c>
      <c r="Q112" t="n">
        <v>0</v>
      </c>
      <c r="R112" t="n">
        <v>68.7</v>
      </c>
      <c r="S112" t="n">
        <v>0</v>
      </c>
      <c r="T112" t="n">
        <v>0</v>
      </c>
      <c r="U112" t="n">
        <v>0</v>
      </c>
      <c r="V112" t="n">
        <v>8.19</v>
      </c>
      <c r="W112" t="n">
        <v>171.99</v>
      </c>
      <c r="X112" t="n">
        <v>163.8</v>
      </c>
      <c r="Y112" t="n">
        <v>19</v>
      </c>
      <c r="Z112" t="n">
        <v>31.12</v>
      </c>
      <c r="AA112" t="n">
        <v>3.16</v>
      </c>
      <c r="AB112" t="n">
        <v>34.28</v>
      </c>
      <c r="AC112" t="n">
        <v>6.17</v>
      </c>
      <c r="AD112" t="n">
        <v>0</v>
      </c>
      <c r="AE112" t="n">
        <v>163.8</v>
      </c>
      <c r="AF112" t="n">
        <v>0</v>
      </c>
      <c r="AG112" t="n">
        <v>0</v>
      </c>
      <c r="AH112" t="n">
        <v>0.16</v>
      </c>
      <c r="AI112" t="n">
        <v>8.199999999999999</v>
      </c>
      <c r="AJ112" t="n">
        <v>-0.01</v>
      </c>
      <c r="AK112" t="n">
        <v>14.53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48.81</v>
      </c>
      <c r="AV112" t="n">
        <v>0</v>
      </c>
      <c r="AW112" t="n">
        <v>123.18</v>
      </c>
      <c r="AX112" t="inlineStr">
        <is>
          <t>settled</t>
        </is>
      </c>
      <c r="AY112" t="inlineStr">
        <is>
          <t>2025-12-17 05:30:00</t>
        </is>
      </c>
      <c r="AZ112" t="inlineStr">
        <is>
          <t>CITIN25671113204</t>
        </is>
      </c>
      <c r="BA112" t="n">
        <v>0</v>
      </c>
      <c r="BB112" t="inlineStr">
        <is>
          <t>f33bc7a038d5ab2635591df874bba2a8ff12c5b20565add1789ffe65ed9bd3ad</t>
        </is>
      </c>
    </row>
    <row r="113">
      <c r="A113" t="inlineStr">
        <is>
          <t>453</t>
        </is>
      </c>
      <c r="B113" t="inlineStr">
        <is>
          <t>7565724146</t>
        </is>
      </c>
      <c r="C113" t="inlineStr">
        <is>
          <t>2025-12-10 01:32:18</t>
        </is>
      </c>
      <c r="D113" t="inlineStr">
        <is>
          <t>50</t>
        </is>
      </c>
      <c r="E113" t="inlineStr">
        <is>
          <t>Sha Sha - Shandaar Shawarma</t>
        </is>
      </c>
      <c r="F113" t="inlineStr">
        <is>
          <t>18557902</t>
        </is>
      </c>
      <c r="G113" t="inlineStr">
        <is>
          <t>30% off upto ₹75 (2025-06-25 - 2031-01-01)</t>
        </is>
      </c>
      <c r="H113" t="inlineStr">
        <is>
          <t>ONLINE</t>
        </is>
      </c>
      <c r="I113" t="inlineStr">
        <is>
          <t>DELIVERED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O2</t>
        </is>
      </c>
      <c r="N113" t="inlineStr">
        <is>
          <t>36</t>
        </is>
      </c>
      <c r="O113" t="n">
        <v>355</v>
      </c>
      <c r="P113" t="n">
        <v>3.5</v>
      </c>
      <c r="Q113" t="n">
        <v>0</v>
      </c>
      <c r="R113" t="n">
        <v>75</v>
      </c>
      <c r="S113" t="n">
        <v>0</v>
      </c>
      <c r="T113" t="n">
        <v>0</v>
      </c>
      <c r="U113" t="n">
        <v>0</v>
      </c>
      <c r="V113" t="n">
        <v>14.18</v>
      </c>
      <c r="W113" t="n">
        <v>297.68</v>
      </c>
      <c r="X113" t="n">
        <v>283.5</v>
      </c>
      <c r="Y113" t="n">
        <v>19</v>
      </c>
      <c r="Z113" t="n">
        <v>53.86</v>
      </c>
      <c r="AA113" t="n">
        <v>5.48</v>
      </c>
      <c r="AB113" t="n">
        <v>59.34</v>
      </c>
      <c r="AC113" t="n">
        <v>10.68</v>
      </c>
      <c r="AD113" t="n">
        <v>0</v>
      </c>
      <c r="AE113" t="n">
        <v>283.5</v>
      </c>
      <c r="AF113" t="n">
        <v>0</v>
      </c>
      <c r="AG113" t="n">
        <v>0</v>
      </c>
      <c r="AH113" t="n">
        <v>0.28</v>
      </c>
      <c r="AI113" t="n">
        <v>14.18</v>
      </c>
      <c r="AJ113" t="n">
        <v>0</v>
      </c>
      <c r="AK113" t="n">
        <v>25.14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84.48</v>
      </c>
      <c r="AV113" t="n">
        <v>0</v>
      </c>
      <c r="AW113" t="n">
        <v>213.2</v>
      </c>
      <c r="AX113" t="inlineStr">
        <is>
          <t>settled</t>
        </is>
      </c>
      <c r="AY113" t="inlineStr">
        <is>
          <t>2025-12-17 05:30:00</t>
        </is>
      </c>
      <c r="AZ113" t="inlineStr">
        <is>
          <t>CITIN25671113204</t>
        </is>
      </c>
      <c r="BA113" t="n">
        <v>0</v>
      </c>
      <c r="BB113" t="inlineStr">
        <is>
          <t>593212ae2d4e2a72178cb71a9d496301d6dbb65df528fde506da29b5101a261c</t>
        </is>
      </c>
    </row>
    <row r="114">
      <c r="A114" t="inlineStr">
        <is>
          <t>454</t>
        </is>
      </c>
      <c r="B114" t="inlineStr">
        <is>
          <t>7556791183</t>
        </is>
      </c>
      <c r="C114" t="inlineStr">
        <is>
          <t>2025-12-10 01:32:35</t>
        </is>
      </c>
      <c r="D114" t="inlineStr">
        <is>
          <t>50</t>
        </is>
      </c>
      <c r="E114" t="inlineStr">
        <is>
          <t>Sha Sha - Shandaar Shawarma</t>
        </is>
      </c>
      <c r="F114" t="inlineStr">
        <is>
          <t>18557902</t>
        </is>
      </c>
      <c r="G114" t="inlineStr">
        <is>
          <t>30% off upto ₹75 (2025-06-25 - 2031-01-01)</t>
        </is>
      </c>
      <c r="H114" t="inlineStr">
        <is>
          <t>ONLINE</t>
        </is>
      </c>
      <c r="I114" t="inlineStr">
        <is>
          <t>DELIVERED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O2</t>
        </is>
      </c>
      <c r="N114" t="inlineStr">
        <is>
          <t>36</t>
        </is>
      </c>
      <c r="O114" t="n">
        <v>355</v>
      </c>
      <c r="P114" t="n">
        <v>3.5</v>
      </c>
      <c r="Q114" t="n">
        <v>0</v>
      </c>
      <c r="R114" t="n">
        <v>75</v>
      </c>
      <c r="S114" t="n">
        <v>0</v>
      </c>
      <c r="T114" t="n">
        <v>0</v>
      </c>
      <c r="U114" t="n">
        <v>0</v>
      </c>
      <c r="V114" t="n">
        <v>14.18</v>
      </c>
      <c r="W114" t="n">
        <v>297.68</v>
      </c>
      <c r="X114" t="n">
        <v>283.5</v>
      </c>
      <c r="Y114" t="n">
        <v>19</v>
      </c>
      <c r="Z114" t="n">
        <v>53.86</v>
      </c>
      <c r="AA114" t="n">
        <v>5.48</v>
      </c>
      <c r="AB114" t="n">
        <v>59.34</v>
      </c>
      <c r="AC114" t="n">
        <v>10.68</v>
      </c>
      <c r="AD114" t="n">
        <v>0</v>
      </c>
      <c r="AE114" t="n">
        <v>283.5</v>
      </c>
      <c r="AF114" t="n">
        <v>0</v>
      </c>
      <c r="AG114" t="n">
        <v>0</v>
      </c>
      <c r="AH114" t="n">
        <v>0.28</v>
      </c>
      <c r="AI114" t="n">
        <v>14.18</v>
      </c>
      <c r="AJ114" t="n">
        <v>0</v>
      </c>
      <c r="AK114" t="n">
        <v>25.14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84.48</v>
      </c>
      <c r="AV114" t="n">
        <v>0</v>
      </c>
      <c r="AW114" t="n">
        <v>213.2</v>
      </c>
      <c r="AX114" t="inlineStr">
        <is>
          <t>settled</t>
        </is>
      </c>
      <c r="AY114" t="inlineStr">
        <is>
          <t>2025-12-17 05:30:00</t>
        </is>
      </c>
      <c r="AZ114" t="inlineStr">
        <is>
          <t>CITIN25671113204</t>
        </is>
      </c>
      <c r="BA114" t="n">
        <v>0</v>
      </c>
      <c r="BB114" t="inlineStr">
        <is>
          <t>ea77b11b8525a11a428ba78089b63a44970aad387dde57d0e60d5bcb7d79b9e7</t>
        </is>
      </c>
    </row>
    <row r="115">
      <c r="A115" t="inlineStr">
        <is>
          <t>455</t>
        </is>
      </c>
      <c r="B115" t="inlineStr">
        <is>
          <t>7565008301</t>
        </is>
      </c>
      <c r="C115" t="inlineStr">
        <is>
          <t>2025-12-10 01:54:32</t>
        </is>
      </c>
      <c r="D115" t="inlineStr">
        <is>
          <t>50</t>
        </is>
      </c>
      <c r="E115" t="inlineStr">
        <is>
          <t>Sha Sha - Shandaar Shawarma</t>
        </is>
      </c>
      <c r="F115" t="inlineStr">
        <is>
          <t>18557902</t>
        </is>
      </c>
      <c r="G115" t="inlineStr">
        <is>
          <t>30% off upto ₹75 (2025-06-25 - 2031-01-01)</t>
        </is>
      </c>
      <c r="H115" t="inlineStr">
        <is>
          <t>ONLINE</t>
        </is>
      </c>
      <c r="I115" t="inlineStr">
        <is>
          <t>DELIVERED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O2</t>
        </is>
      </c>
      <c r="N115" t="inlineStr">
        <is>
          <t>36</t>
        </is>
      </c>
      <c r="O115" t="n">
        <v>219</v>
      </c>
      <c r="P115" t="n">
        <v>3.5</v>
      </c>
      <c r="Q115" t="n">
        <v>0</v>
      </c>
      <c r="R115" t="n">
        <v>65.7</v>
      </c>
      <c r="S115" t="n">
        <v>0</v>
      </c>
      <c r="T115" t="n">
        <v>0</v>
      </c>
      <c r="U115" t="n">
        <v>0</v>
      </c>
      <c r="V115" t="n">
        <v>7.84</v>
      </c>
      <c r="W115" t="n">
        <v>164.64</v>
      </c>
      <c r="X115" t="n">
        <v>156.8</v>
      </c>
      <c r="Y115" t="n">
        <v>19</v>
      </c>
      <c r="Z115" t="n">
        <v>29.79</v>
      </c>
      <c r="AA115" t="n">
        <v>3.03</v>
      </c>
      <c r="AB115" t="n">
        <v>32.82</v>
      </c>
      <c r="AC115" t="n">
        <v>5.91</v>
      </c>
      <c r="AD115" t="n">
        <v>0</v>
      </c>
      <c r="AE115" t="n">
        <v>156.8</v>
      </c>
      <c r="AF115" t="n">
        <v>0</v>
      </c>
      <c r="AG115" t="n">
        <v>0</v>
      </c>
      <c r="AH115" t="n">
        <v>0.16</v>
      </c>
      <c r="AI115" t="n">
        <v>7.85</v>
      </c>
      <c r="AJ115" t="n">
        <v>-0.01</v>
      </c>
      <c r="AK115" t="n">
        <v>13.92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46.74</v>
      </c>
      <c r="AV115" t="n">
        <v>0</v>
      </c>
      <c r="AW115" t="n">
        <v>117.9</v>
      </c>
      <c r="AX115" t="inlineStr">
        <is>
          <t>settled</t>
        </is>
      </c>
      <c r="AY115" t="inlineStr">
        <is>
          <t>2025-12-17 05:30:00</t>
        </is>
      </c>
      <c r="AZ115" t="inlineStr">
        <is>
          <t>CITIN25671113204</t>
        </is>
      </c>
      <c r="BA115" t="n">
        <v>0</v>
      </c>
      <c r="BB115" t="inlineStr">
        <is>
          <t>6ebf2d5769b8b1656d9c8acd138c46bb10dd42b840699deb4698450d5b251550</t>
        </is>
      </c>
    </row>
    <row r="116">
      <c r="A116" t="inlineStr">
        <is>
          <t>456</t>
        </is>
      </c>
      <c r="B116" t="inlineStr">
        <is>
          <t>7561903323</t>
        </is>
      </c>
      <c r="C116" t="inlineStr">
        <is>
          <t>2025-12-10 02:12:14</t>
        </is>
      </c>
      <c r="D116" t="inlineStr">
        <is>
          <t>50</t>
        </is>
      </c>
      <c r="E116" t="inlineStr">
        <is>
          <t>Sha Sha - Shandaar Shawarma</t>
        </is>
      </c>
      <c r="F116" t="inlineStr">
        <is>
          <t>18557902</t>
        </is>
      </c>
      <c r="G116" t="inlineStr">
        <is>
          <t>30% off upto ₹75 (2025-06-25 - 2031-01-01)</t>
        </is>
      </c>
      <c r="H116" t="inlineStr">
        <is>
          <t>ONLINE</t>
        </is>
      </c>
      <c r="I116" t="inlineStr">
        <is>
          <t>DELIVERED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O2</t>
        </is>
      </c>
      <c r="N116" t="inlineStr">
        <is>
          <t>36</t>
        </is>
      </c>
      <c r="O116" t="n">
        <v>229</v>
      </c>
      <c r="P116" t="n">
        <v>3.5</v>
      </c>
      <c r="Q116" t="n">
        <v>0</v>
      </c>
      <c r="R116" t="n">
        <v>68.7</v>
      </c>
      <c r="S116" t="n">
        <v>0</v>
      </c>
      <c r="T116" t="n">
        <v>0</v>
      </c>
      <c r="U116" t="n">
        <v>0</v>
      </c>
      <c r="V116" t="n">
        <v>8.19</v>
      </c>
      <c r="W116" t="n">
        <v>171.99</v>
      </c>
      <c r="X116" t="n">
        <v>163.8</v>
      </c>
      <c r="Y116" t="n">
        <v>19</v>
      </c>
      <c r="Z116" t="n">
        <v>31.12</v>
      </c>
      <c r="AA116" t="n">
        <v>3.16</v>
      </c>
      <c r="AB116" t="n">
        <v>34.28</v>
      </c>
      <c r="AC116" t="n">
        <v>6.17</v>
      </c>
      <c r="AD116" t="n">
        <v>0</v>
      </c>
      <c r="AE116" t="n">
        <v>163.8</v>
      </c>
      <c r="AF116" t="n">
        <v>0</v>
      </c>
      <c r="AG116" t="n">
        <v>0</v>
      </c>
      <c r="AH116" t="n">
        <v>0.16</v>
      </c>
      <c r="AI116" t="n">
        <v>8.199999999999999</v>
      </c>
      <c r="AJ116" t="n">
        <v>-0.01</v>
      </c>
      <c r="AK116" t="n">
        <v>14.53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48.81</v>
      </c>
      <c r="AV116" t="n">
        <v>0</v>
      </c>
      <c r="AW116" t="n">
        <v>123.18</v>
      </c>
      <c r="AX116" t="inlineStr">
        <is>
          <t>settled</t>
        </is>
      </c>
      <c r="AY116" t="inlineStr">
        <is>
          <t>2025-12-17 05:30:00</t>
        </is>
      </c>
      <c r="AZ116" t="inlineStr">
        <is>
          <t>CITIN25671113204</t>
        </is>
      </c>
      <c r="BA116" t="n">
        <v>0</v>
      </c>
      <c r="BB116" t="inlineStr">
        <is>
          <t>b7ac46b907b8d9f530f04fc3fa0689c6aaf05622eb49020804d16b4cf1a0f806</t>
        </is>
      </c>
    </row>
    <row r="117">
      <c r="A117" t="inlineStr">
        <is>
          <t>457</t>
        </is>
      </c>
      <c r="B117" t="inlineStr">
        <is>
          <t>7558989944</t>
        </is>
      </c>
      <c r="C117" t="inlineStr">
        <is>
          <t>2025-12-10 02:35:07</t>
        </is>
      </c>
      <c r="D117" t="inlineStr">
        <is>
          <t>50</t>
        </is>
      </c>
      <c r="E117" t="inlineStr">
        <is>
          <t>Sha Sha - Shandaar Shawarma</t>
        </is>
      </c>
      <c r="F117" t="inlineStr">
        <is>
          <t>18557902</t>
        </is>
      </c>
      <c r="G117" t="inlineStr">
        <is>
          <t>30% off upto ₹75 (2025-06-25 - 2031-01-01)</t>
        </is>
      </c>
      <c r="H117" t="inlineStr">
        <is>
          <t>ONLINE</t>
        </is>
      </c>
      <c r="I117" t="inlineStr">
        <is>
          <t>DELIVERED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O2</t>
        </is>
      </c>
      <c r="N117" t="inlineStr">
        <is>
          <t>36</t>
        </is>
      </c>
      <c r="O117" t="n">
        <v>229</v>
      </c>
      <c r="P117" t="n">
        <v>3.5</v>
      </c>
      <c r="Q117" t="n">
        <v>0</v>
      </c>
      <c r="R117" t="n">
        <v>68.7</v>
      </c>
      <c r="S117" t="n">
        <v>0</v>
      </c>
      <c r="T117" t="n">
        <v>0</v>
      </c>
      <c r="U117" t="n">
        <v>0</v>
      </c>
      <c r="V117" t="n">
        <v>8.19</v>
      </c>
      <c r="W117" t="n">
        <v>171.99</v>
      </c>
      <c r="X117" t="n">
        <v>163.8</v>
      </c>
      <c r="Y117" t="n">
        <v>19</v>
      </c>
      <c r="Z117" t="n">
        <v>31.12</v>
      </c>
      <c r="AA117" t="n">
        <v>3.16</v>
      </c>
      <c r="AB117" t="n">
        <v>34.28</v>
      </c>
      <c r="AC117" t="n">
        <v>6.17</v>
      </c>
      <c r="AD117" t="n">
        <v>0</v>
      </c>
      <c r="AE117" t="n">
        <v>163.8</v>
      </c>
      <c r="AF117" t="n">
        <v>0</v>
      </c>
      <c r="AG117" t="n">
        <v>0</v>
      </c>
      <c r="AH117" t="n">
        <v>0.16</v>
      </c>
      <c r="AI117" t="n">
        <v>8.199999999999999</v>
      </c>
      <c r="AJ117" t="n">
        <v>-0.01</v>
      </c>
      <c r="AK117" t="n">
        <v>14.53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48.81</v>
      </c>
      <c r="AV117" t="n">
        <v>0</v>
      </c>
      <c r="AW117" t="n">
        <v>123.18</v>
      </c>
      <c r="AX117" t="inlineStr">
        <is>
          <t>settled</t>
        </is>
      </c>
      <c r="AY117" t="inlineStr">
        <is>
          <t>2025-12-17 05:30:00</t>
        </is>
      </c>
      <c r="AZ117" t="inlineStr">
        <is>
          <t>CITIN25671113204</t>
        </is>
      </c>
      <c r="BA117" t="n">
        <v>0</v>
      </c>
      <c r="BB117" t="inlineStr">
        <is>
          <t>e8bee932367159a3a4b3ac30f435c34cec2d38ea862ede1db7e2db66109481f9</t>
        </is>
      </c>
    </row>
    <row r="118">
      <c r="A118" t="inlineStr">
        <is>
          <t>458</t>
        </is>
      </c>
      <c r="B118" t="inlineStr">
        <is>
          <t>7564263763</t>
        </is>
      </c>
      <c r="C118" t="inlineStr">
        <is>
          <t>2025-12-10 02:38:34</t>
        </is>
      </c>
      <c r="D118" t="inlineStr">
        <is>
          <t>50</t>
        </is>
      </c>
      <c r="E118" t="inlineStr">
        <is>
          <t>Sha Sha - Shandaar Shawarma</t>
        </is>
      </c>
      <c r="F118" t="inlineStr">
        <is>
          <t>18557902</t>
        </is>
      </c>
      <c r="G118" t="inlineStr">
        <is>
          <t>30% off upto ₹75 (2025-06-25 - 2031-01-01)</t>
        </is>
      </c>
      <c r="H118" t="inlineStr">
        <is>
          <t>ONLINE</t>
        </is>
      </c>
      <c r="I118" t="inlineStr">
        <is>
          <t>DELIVERED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O2</t>
        </is>
      </c>
      <c r="N118" t="inlineStr">
        <is>
          <t>36</t>
        </is>
      </c>
      <c r="O118" t="n">
        <v>219</v>
      </c>
      <c r="P118" t="n">
        <v>3.5</v>
      </c>
      <c r="Q118" t="n">
        <v>0</v>
      </c>
      <c r="R118" t="n">
        <v>65.7</v>
      </c>
      <c r="S118" t="n">
        <v>0</v>
      </c>
      <c r="T118" t="n">
        <v>0</v>
      </c>
      <c r="U118" t="n">
        <v>0</v>
      </c>
      <c r="V118" t="n">
        <v>7.84</v>
      </c>
      <c r="W118" t="n">
        <v>164.64</v>
      </c>
      <c r="X118" t="n">
        <v>156.8</v>
      </c>
      <c r="Y118" t="n">
        <v>19</v>
      </c>
      <c r="Z118" t="n">
        <v>29.79</v>
      </c>
      <c r="AA118" t="n">
        <v>3.03</v>
      </c>
      <c r="AB118" t="n">
        <v>32.82</v>
      </c>
      <c r="AC118" t="n">
        <v>5.91</v>
      </c>
      <c r="AD118" t="n">
        <v>0</v>
      </c>
      <c r="AE118" t="n">
        <v>156.8</v>
      </c>
      <c r="AF118" t="n">
        <v>0</v>
      </c>
      <c r="AG118" t="n">
        <v>0</v>
      </c>
      <c r="AH118" t="n">
        <v>0.16</v>
      </c>
      <c r="AI118" t="n">
        <v>7.85</v>
      </c>
      <c r="AJ118" t="n">
        <v>-0.01</v>
      </c>
      <c r="AK118" t="n">
        <v>13.92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46.74</v>
      </c>
      <c r="AV118" t="n">
        <v>0</v>
      </c>
      <c r="AW118" t="n">
        <v>117.9</v>
      </c>
      <c r="AX118" t="inlineStr">
        <is>
          <t>settled</t>
        </is>
      </c>
      <c r="AY118" t="inlineStr">
        <is>
          <t>2025-12-17 05:30:00</t>
        </is>
      </c>
      <c r="AZ118" t="inlineStr">
        <is>
          <t>CITIN25671113204</t>
        </is>
      </c>
      <c r="BA118" t="n">
        <v>0</v>
      </c>
      <c r="BB118" t="inlineStr">
        <is>
          <t>6bd961272333dd1c6ed2433d5f736b5995138a96dd832c40a007e3217811d4e9</t>
        </is>
      </c>
    </row>
    <row r="119">
      <c r="A119" t="inlineStr">
        <is>
          <t>459</t>
        </is>
      </c>
      <c r="B119" t="inlineStr">
        <is>
          <t>7564774010</t>
        </is>
      </c>
      <c r="C119" t="inlineStr">
        <is>
          <t>2025-12-10 02:41:12</t>
        </is>
      </c>
      <c r="D119" t="inlineStr">
        <is>
          <t>50</t>
        </is>
      </c>
      <c r="E119" t="inlineStr">
        <is>
          <t>Sha Sha - Shandaar Shawarma</t>
        </is>
      </c>
      <c r="F119" t="inlineStr">
        <is>
          <t>18557902</t>
        </is>
      </c>
      <c r="G119" t="inlineStr">
        <is>
          <t>30% off upto ₹75 (2025-06-25 - 2031-01-01)</t>
        </is>
      </c>
      <c r="H119" t="inlineStr">
        <is>
          <t>ONLINE</t>
        </is>
      </c>
      <c r="I119" t="inlineStr">
        <is>
          <t>DELIVERED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O2</t>
        </is>
      </c>
      <c r="N119" t="inlineStr">
        <is>
          <t>36</t>
        </is>
      </c>
      <c r="O119" t="n">
        <v>657</v>
      </c>
      <c r="P119" t="n">
        <v>3.5</v>
      </c>
      <c r="Q119" t="n">
        <v>0</v>
      </c>
      <c r="R119" t="n">
        <v>75</v>
      </c>
      <c r="S119" t="n">
        <v>0</v>
      </c>
      <c r="T119" t="n">
        <v>0</v>
      </c>
      <c r="U119" t="n">
        <v>0</v>
      </c>
      <c r="V119" t="n">
        <v>29.28</v>
      </c>
      <c r="W119" t="n">
        <v>614.78</v>
      </c>
      <c r="X119" t="n">
        <v>585.5</v>
      </c>
      <c r="Y119" t="n">
        <v>19</v>
      </c>
      <c r="Z119" t="n">
        <v>111.24</v>
      </c>
      <c r="AA119" t="n">
        <v>11.31</v>
      </c>
      <c r="AB119" t="n">
        <v>122.55</v>
      </c>
      <c r="AC119" t="n">
        <v>22.06</v>
      </c>
      <c r="AD119" t="n">
        <v>0</v>
      </c>
      <c r="AE119" t="n">
        <v>585.5</v>
      </c>
      <c r="AF119" t="n">
        <v>0</v>
      </c>
      <c r="AG119" t="n">
        <v>0</v>
      </c>
      <c r="AH119" t="n">
        <v>0.59</v>
      </c>
      <c r="AI119" t="n">
        <v>29.28</v>
      </c>
      <c r="AJ119" t="n">
        <v>0</v>
      </c>
      <c r="AK119" t="n">
        <v>51.93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174.48</v>
      </c>
      <c r="AV119" t="n">
        <v>0</v>
      </c>
      <c r="AW119" t="n">
        <v>440.3</v>
      </c>
      <c r="AX119" t="inlineStr">
        <is>
          <t>settled</t>
        </is>
      </c>
      <c r="AY119" t="inlineStr">
        <is>
          <t>2025-12-17 05:30:00</t>
        </is>
      </c>
      <c r="AZ119" t="inlineStr">
        <is>
          <t>CITIN25671113204</t>
        </is>
      </c>
      <c r="BA119" t="n">
        <v>0</v>
      </c>
      <c r="BB119" t="inlineStr">
        <is>
          <t>2aea21cf489c5bb4591605aa618b3df5b5d0d47770bb0347752490818c9f567a</t>
        </is>
      </c>
    </row>
    <row r="120">
      <c r="A120" t="inlineStr">
        <is>
          <t>460</t>
        </is>
      </c>
      <c r="B120" t="inlineStr">
        <is>
          <t>7567164796</t>
        </is>
      </c>
      <c r="C120" t="inlineStr">
        <is>
          <t>2025-12-10 02:53:37</t>
        </is>
      </c>
      <c r="D120" t="inlineStr">
        <is>
          <t>50</t>
        </is>
      </c>
      <c r="E120" t="inlineStr">
        <is>
          <t>Sha Sha - Shandaar Shawarma</t>
        </is>
      </c>
      <c r="F120" t="inlineStr">
        <is>
          <t>18557902</t>
        </is>
      </c>
      <c r="G120" t="inlineStr">
        <is>
          <t>30% off upto ₹75 (2025-06-25 - 2031-01-01)</t>
        </is>
      </c>
      <c r="H120" t="inlineStr">
        <is>
          <t>ONLINE</t>
        </is>
      </c>
      <c r="I120" t="inlineStr">
        <is>
          <t>DELIVERED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O2</t>
        </is>
      </c>
      <c r="N120" t="inlineStr">
        <is>
          <t>36</t>
        </is>
      </c>
      <c r="O120" t="n">
        <v>229</v>
      </c>
      <c r="P120" t="n">
        <v>3.5</v>
      </c>
      <c r="Q120" t="n">
        <v>0</v>
      </c>
      <c r="R120" t="n">
        <v>68.7</v>
      </c>
      <c r="S120" t="n">
        <v>0</v>
      </c>
      <c r="T120" t="n">
        <v>0</v>
      </c>
      <c r="U120" t="n">
        <v>0</v>
      </c>
      <c r="V120" t="n">
        <v>8.19</v>
      </c>
      <c r="W120" t="n">
        <v>171.99</v>
      </c>
      <c r="X120" t="n">
        <v>163.8</v>
      </c>
      <c r="Y120" t="n">
        <v>19</v>
      </c>
      <c r="Z120" t="n">
        <v>31.12</v>
      </c>
      <c r="AA120" t="n">
        <v>3.16</v>
      </c>
      <c r="AB120" t="n">
        <v>34.28</v>
      </c>
      <c r="AC120" t="n">
        <v>6.17</v>
      </c>
      <c r="AD120" t="n">
        <v>0</v>
      </c>
      <c r="AE120" t="n">
        <v>163.8</v>
      </c>
      <c r="AF120" t="n">
        <v>0</v>
      </c>
      <c r="AG120" t="n">
        <v>0</v>
      </c>
      <c r="AH120" t="n">
        <v>0.16</v>
      </c>
      <c r="AI120" t="n">
        <v>8.199999999999999</v>
      </c>
      <c r="AJ120" t="n">
        <v>-0.01</v>
      </c>
      <c r="AK120" t="n">
        <v>14.53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48.81</v>
      </c>
      <c r="AV120" t="n">
        <v>0</v>
      </c>
      <c r="AW120" t="n">
        <v>123.18</v>
      </c>
      <c r="AX120" t="inlineStr">
        <is>
          <t>settled</t>
        </is>
      </c>
      <c r="AY120" t="inlineStr">
        <is>
          <t>2025-12-17 05:30:00</t>
        </is>
      </c>
      <c r="AZ120" t="inlineStr">
        <is>
          <t>CITIN25671113204</t>
        </is>
      </c>
      <c r="BA120" t="n">
        <v>0</v>
      </c>
      <c r="BB120" t="inlineStr">
        <is>
          <t>f4515754a6d9bbe38bcceb9e6f33f302249352158ff8d2a20bfb02b2aa875ebc</t>
        </is>
      </c>
    </row>
    <row r="121">
      <c r="A121" t="inlineStr">
        <is>
          <t>461</t>
        </is>
      </c>
      <c r="B121" t="inlineStr">
        <is>
          <t>7566011123</t>
        </is>
      </c>
      <c r="C121" t="inlineStr">
        <is>
          <t>2025-12-10 02:59:25</t>
        </is>
      </c>
      <c r="D121" t="inlineStr">
        <is>
          <t>50</t>
        </is>
      </c>
      <c r="E121" t="inlineStr">
        <is>
          <t>Sha Sha - Shandaar Shawarma</t>
        </is>
      </c>
      <c r="F121" t="inlineStr">
        <is>
          <t>18557902</t>
        </is>
      </c>
      <c r="G121" t="inlineStr">
        <is>
          <t>30% off upto ₹75 (2025-06-25 - 2031-01-01)</t>
        </is>
      </c>
      <c r="H121" t="inlineStr">
        <is>
          <t>ONLINE</t>
        </is>
      </c>
      <c r="I121" t="inlineStr">
        <is>
          <t>DELIVERED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O2</t>
        </is>
      </c>
      <c r="N121" t="inlineStr">
        <is>
          <t>36</t>
        </is>
      </c>
      <c r="O121" t="n">
        <v>229</v>
      </c>
      <c r="P121" t="n">
        <v>3.5</v>
      </c>
      <c r="Q121" t="n">
        <v>0</v>
      </c>
      <c r="R121" t="n">
        <v>68.7</v>
      </c>
      <c r="S121" t="n">
        <v>0</v>
      </c>
      <c r="T121" t="n">
        <v>0</v>
      </c>
      <c r="U121" t="n">
        <v>0</v>
      </c>
      <c r="V121" t="n">
        <v>8.19</v>
      </c>
      <c r="W121" t="n">
        <v>171.99</v>
      </c>
      <c r="X121" t="n">
        <v>163.8</v>
      </c>
      <c r="Y121" t="n">
        <v>19</v>
      </c>
      <c r="Z121" t="n">
        <v>31.12</v>
      </c>
      <c r="AA121" t="n">
        <v>3.16</v>
      </c>
      <c r="AB121" t="n">
        <v>34.28</v>
      </c>
      <c r="AC121" t="n">
        <v>6.17</v>
      </c>
      <c r="AD121" t="n">
        <v>0</v>
      </c>
      <c r="AE121" t="n">
        <v>163.8</v>
      </c>
      <c r="AF121" t="n">
        <v>0</v>
      </c>
      <c r="AG121" t="n">
        <v>0</v>
      </c>
      <c r="AH121" t="n">
        <v>0.16</v>
      </c>
      <c r="AI121" t="n">
        <v>8.199999999999999</v>
      </c>
      <c r="AJ121" t="n">
        <v>-0.01</v>
      </c>
      <c r="AK121" t="n">
        <v>14.53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48.81</v>
      </c>
      <c r="AV121" t="n">
        <v>0</v>
      </c>
      <c r="AW121" t="n">
        <v>123.18</v>
      </c>
      <c r="AX121" t="inlineStr">
        <is>
          <t>settled</t>
        </is>
      </c>
      <c r="AY121" t="inlineStr">
        <is>
          <t>2025-12-17 05:30:00</t>
        </is>
      </c>
      <c r="AZ121" t="inlineStr">
        <is>
          <t>CITIN25671113204</t>
        </is>
      </c>
      <c r="BA121" t="n">
        <v>0</v>
      </c>
      <c r="BB121" t="inlineStr">
        <is>
          <t>8a46827c2be0cd3f4671ace0efb1c8f75b97960fa5259428d9715bfff74a5b4b</t>
        </is>
      </c>
    </row>
    <row r="122">
      <c r="A122" t="inlineStr">
        <is>
          <t>462</t>
        </is>
      </c>
      <c r="B122" t="inlineStr">
        <is>
          <t>7567110055</t>
        </is>
      </c>
      <c r="C122" t="inlineStr">
        <is>
          <t>2025-12-10 03:17:11</t>
        </is>
      </c>
      <c r="D122" t="inlineStr">
        <is>
          <t>50</t>
        </is>
      </c>
      <c r="E122" t="inlineStr">
        <is>
          <t>Sha Sha - Shandaar Shawarma</t>
        </is>
      </c>
      <c r="F122" t="inlineStr">
        <is>
          <t>18557902</t>
        </is>
      </c>
      <c r="G122" t="inlineStr">
        <is>
          <t>30% off upto ₹75 (2025-06-25 - 2031-01-01)</t>
        </is>
      </c>
      <c r="H122" t="inlineStr">
        <is>
          <t>ONLINE</t>
        </is>
      </c>
      <c r="I122" t="inlineStr">
        <is>
          <t>DELIVERED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O2</t>
        </is>
      </c>
      <c r="N122" t="inlineStr">
        <is>
          <t>36</t>
        </is>
      </c>
      <c r="O122" t="n">
        <v>219</v>
      </c>
      <c r="P122" t="n">
        <v>3.5</v>
      </c>
      <c r="Q122" t="n">
        <v>0</v>
      </c>
      <c r="R122" t="n">
        <v>65.7</v>
      </c>
      <c r="S122" t="n">
        <v>0</v>
      </c>
      <c r="T122" t="n">
        <v>0</v>
      </c>
      <c r="U122" t="n">
        <v>0</v>
      </c>
      <c r="V122" t="n">
        <v>7.84</v>
      </c>
      <c r="W122" t="n">
        <v>164.64</v>
      </c>
      <c r="X122" t="n">
        <v>156.8</v>
      </c>
      <c r="Y122" t="n">
        <v>19</v>
      </c>
      <c r="Z122" t="n">
        <v>29.79</v>
      </c>
      <c r="AA122" t="n">
        <v>3.03</v>
      </c>
      <c r="AB122" t="n">
        <v>32.82</v>
      </c>
      <c r="AC122" t="n">
        <v>5.91</v>
      </c>
      <c r="AD122" t="n">
        <v>0</v>
      </c>
      <c r="AE122" t="n">
        <v>156.8</v>
      </c>
      <c r="AF122" t="n">
        <v>0</v>
      </c>
      <c r="AG122" t="n">
        <v>0</v>
      </c>
      <c r="AH122" t="n">
        <v>0.16</v>
      </c>
      <c r="AI122" t="n">
        <v>7.85</v>
      </c>
      <c r="AJ122" t="n">
        <v>-0.01</v>
      </c>
      <c r="AK122" t="n">
        <v>13.92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46.74</v>
      </c>
      <c r="AV122" t="n">
        <v>0</v>
      </c>
      <c r="AW122" t="n">
        <v>117.9</v>
      </c>
      <c r="AX122" t="inlineStr">
        <is>
          <t>settled</t>
        </is>
      </c>
      <c r="AY122" t="inlineStr">
        <is>
          <t>2025-12-17 05:30:00</t>
        </is>
      </c>
      <c r="AZ122" t="inlineStr">
        <is>
          <t>CITIN25671113204</t>
        </is>
      </c>
      <c r="BA122" t="n">
        <v>0</v>
      </c>
      <c r="BB122" t="inlineStr">
        <is>
          <t>1b80450f0dcddac88d4df5dd09e84eafe229586e4c85447bb74c880143d5321b</t>
        </is>
      </c>
    </row>
    <row r="123">
      <c r="A123" t="inlineStr">
        <is>
          <t>463</t>
        </is>
      </c>
      <c r="B123" t="inlineStr">
        <is>
          <t>7565989186</t>
        </is>
      </c>
      <c r="C123" t="inlineStr">
        <is>
          <t>2025-12-10 03:17:56</t>
        </is>
      </c>
      <c r="D123" t="inlineStr">
        <is>
          <t>50</t>
        </is>
      </c>
      <c r="E123" t="inlineStr">
        <is>
          <t>Sha Sha - Shandaar Shawarma</t>
        </is>
      </c>
      <c r="F123" t="inlineStr">
        <is>
          <t>18557902</t>
        </is>
      </c>
      <c r="G123" t="inlineStr">
        <is>
          <t>30% off upto ₹75 (2025-06-25 - 2031-01-01)</t>
        </is>
      </c>
      <c r="H123" t="inlineStr">
        <is>
          <t>ONLINE</t>
        </is>
      </c>
      <c r="I123" t="inlineStr">
        <is>
          <t>DELIVERED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O2</t>
        </is>
      </c>
      <c r="N123" t="inlineStr">
        <is>
          <t>36</t>
        </is>
      </c>
      <c r="O123" t="n">
        <v>219</v>
      </c>
      <c r="P123" t="n">
        <v>3.5</v>
      </c>
      <c r="Q123" t="n">
        <v>0</v>
      </c>
      <c r="R123" t="n">
        <v>65.7</v>
      </c>
      <c r="S123" t="n">
        <v>0</v>
      </c>
      <c r="T123" t="n">
        <v>0</v>
      </c>
      <c r="U123" t="n">
        <v>0</v>
      </c>
      <c r="V123" t="n">
        <v>7.84</v>
      </c>
      <c r="W123" t="n">
        <v>164.64</v>
      </c>
      <c r="X123" t="n">
        <v>156.8</v>
      </c>
      <c r="Y123" t="n">
        <v>19</v>
      </c>
      <c r="Z123" t="n">
        <v>29.79</v>
      </c>
      <c r="AA123" t="n">
        <v>3.03</v>
      </c>
      <c r="AB123" t="n">
        <v>32.82</v>
      </c>
      <c r="AC123" t="n">
        <v>5.91</v>
      </c>
      <c r="AD123" t="n">
        <v>0</v>
      </c>
      <c r="AE123" t="n">
        <v>156.8</v>
      </c>
      <c r="AF123" t="n">
        <v>0</v>
      </c>
      <c r="AG123" t="n">
        <v>0</v>
      </c>
      <c r="AH123" t="n">
        <v>0.16</v>
      </c>
      <c r="AI123" t="n">
        <v>7.85</v>
      </c>
      <c r="AJ123" t="n">
        <v>-0.01</v>
      </c>
      <c r="AK123" t="n">
        <v>13.92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46.74</v>
      </c>
      <c r="AV123" t="n">
        <v>0</v>
      </c>
      <c r="AW123" t="n">
        <v>117.9</v>
      </c>
      <c r="AX123" t="inlineStr">
        <is>
          <t>settled</t>
        </is>
      </c>
      <c r="AY123" t="inlineStr">
        <is>
          <t>2025-12-17 05:30:00</t>
        </is>
      </c>
      <c r="AZ123" t="inlineStr">
        <is>
          <t>CITIN25671113204</t>
        </is>
      </c>
      <c r="BA123" t="n">
        <v>0</v>
      </c>
      <c r="BB123" t="inlineStr">
        <is>
          <t>bb53274fc25feefde79be72ae109ec6ee0eeb60a23ef1a71bd1e50fbb32c0265</t>
        </is>
      </c>
    </row>
    <row r="124">
      <c r="A124" t="inlineStr">
        <is>
          <t>464</t>
        </is>
      </c>
      <c r="B124" t="inlineStr">
        <is>
          <t>7567111866</t>
        </is>
      </c>
      <c r="C124" t="inlineStr">
        <is>
          <t>2025-12-10 03:37:50</t>
        </is>
      </c>
      <c r="D124" t="inlineStr">
        <is>
          <t>50</t>
        </is>
      </c>
      <c r="E124" t="inlineStr">
        <is>
          <t>Sha Sha - Shandaar Shawarma</t>
        </is>
      </c>
      <c r="F124" t="inlineStr">
        <is>
          <t>18557902</t>
        </is>
      </c>
      <c r="G124" t="inlineStr">
        <is>
          <t>30% off upto ₹75 (2025-06-25 - 2031-01-01)</t>
        </is>
      </c>
      <c r="H124" t="inlineStr">
        <is>
          <t>ONLINE</t>
        </is>
      </c>
      <c r="I124" t="inlineStr">
        <is>
          <t>DELIVERED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O2</t>
        </is>
      </c>
      <c r="N124" t="inlineStr">
        <is>
          <t>36</t>
        </is>
      </c>
      <c r="O124" t="n">
        <v>229</v>
      </c>
      <c r="P124" t="n">
        <v>3.5</v>
      </c>
      <c r="Q124" t="n">
        <v>0</v>
      </c>
      <c r="R124" t="n">
        <v>68.7</v>
      </c>
      <c r="S124" t="n">
        <v>0</v>
      </c>
      <c r="T124" t="n">
        <v>0</v>
      </c>
      <c r="U124" t="n">
        <v>0</v>
      </c>
      <c r="V124" t="n">
        <v>8.19</v>
      </c>
      <c r="W124" t="n">
        <v>171.99</v>
      </c>
      <c r="X124" t="n">
        <v>163.8</v>
      </c>
      <c r="Y124" t="n">
        <v>19</v>
      </c>
      <c r="Z124" t="n">
        <v>31.12</v>
      </c>
      <c r="AA124" t="n">
        <v>3.16</v>
      </c>
      <c r="AB124" t="n">
        <v>34.28</v>
      </c>
      <c r="AC124" t="n">
        <v>6.17</v>
      </c>
      <c r="AD124" t="n">
        <v>0</v>
      </c>
      <c r="AE124" t="n">
        <v>163.8</v>
      </c>
      <c r="AF124" t="n">
        <v>0</v>
      </c>
      <c r="AG124" t="n">
        <v>0</v>
      </c>
      <c r="AH124" t="n">
        <v>0.16</v>
      </c>
      <c r="AI124" t="n">
        <v>8.199999999999999</v>
      </c>
      <c r="AJ124" t="n">
        <v>-0.01</v>
      </c>
      <c r="AK124" t="n">
        <v>14.53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48.81</v>
      </c>
      <c r="AV124" t="n">
        <v>0</v>
      </c>
      <c r="AW124" t="n">
        <v>123.18</v>
      </c>
      <c r="AX124" t="inlineStr">
        <is>
          <t>settled</t>
        </is>
      </c>
      <c r="AY124" t="inlineStr">
        <is>
          <t>2025-12-17 05:30:00</t>
        </is>
      </c>
      <c r="AZ124" t="inlineStr">
        <is>
          <t>CITIN25671113204</t>
        </is>
      </c>
      <c r="BA124" t="n">
        <v>0</v>
      </c>
      <c r="BB124" t="inlineStr">
        <is>
          <t>59d831b1fe1d68410fa7bd648261b59dc7eda792cad020dab7c70e92cfeaabb2</t>
        </is>
      </c>
    </row>
    <row r="125">
      <c r="A125" t="inlineStr">
        <is>
          <t>465</t>
        </is>
      </c>
      <c r="B125" t="inlineStr">
        <is>
          <t>7567578912</t>
        </is>
      </c>
      <c r="C125" t="inlineStr">
        <is>
          <t>2025-12-10 03:44:39</t>
        </is>
      </c>
      <c r="D125" t="inlineStr">
        <is>
          <t>50</t>
        </is>
      </c>
      <c r="E125" t="inlineStr">
        <is>
          <t>Sha Sha - Shandaar Shawarma</t>
        </is>
      </c>
      <c r="F125" t="inlineStr">
        <is>
          <t>18557902</t>
        </is>
      </c>
      <c r="G125" t="inlineStr">
        <is>
          <t>30% off upto ₹75 (2025-06-25 - 2031-01-01)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O2</t>
        </is>
      </c>
      <c r="N125" t="inlineStr">
        <is>
          <t>36</t>
        </is>
      </c>
      <c r="O125" t="n">
        <v>229</v>
      </c>
      <c r="P125" t="n">
        <v>3.5</v>
      </c>
      <c r="Q125" t="n">
        <v>0</v>
      </c>
      <c r="R125" t="n">
        <v>68.7</v>
      </c>
      <c r="S125" t="n">
        <v>0</v>
      </c>
      <c r="T125" t="n">
        <v>0</v>
      </c>
      <c r="U125" t="n">
        <v>0</v>
      </c>
      <c r="V125" t="n">
        <v>8.19</v>
      </c>
      <c r="W125" t="n">
        <v>171.99</v>
      </c>
      <c r="X125" t="n">
        <v>163.8</v>
      </c>
      <c r="Y125" t="n">
        <v>19</v>
      </c>
      <c r="Z125" t="n">
        <v>31.12</v>
      </c>
      <c r="AA125" t="n">
        <v>3.16</v>
      </c>
      <c r="AB125" t="n">
        <v>34.28</v>
      </c>
      <c r="AC125" t="n">
        <v>6.17</v>
      </c>
      <c r="AD125" t="n">
        <v>0</v>
      </c>
      <c r="AE125" t="n">
        <v>163.8</v>
      </c>
      <c r="AF125" t="n">
        <v>0</v>
      </c>
      <c r="AG125" t="n">
        <v>0</v>
      </c>
      <c r="AH125" t="n">
        <v>0.16</v>
      </c>
      <c r="AI125" t="n">
        <v>8.199999999999999</v>
      </c>
      <c r="AJ125" t="n">
        <v>-0.01</v>
      </c>
      <c r="AK125" t="n">
        <v>14.53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48.81</v>
      </c>
      <c r="AV125" t="n">
        <v>0</v>
      </c>
      <c r="AW125" t="n">
        <v>123.18</v>
      </c>
      <c r="AX125" t="inlineStr">
        <is>
          <t>settled</t>
        </is>
      </c>
      <c r="AY125" t="inlineStr">
        <is>
          <t>2025-12-17 05:30:00</t>
        </is>
      </c>
      <c r="AZ125" t="inlineStr">
        <is>
          <t>CITIN25671113204</t>
        </is>
      </c>
      <c r="BA125" t="n">
        <v>0</v>
      </c>
      <c r="BB125" t="inlineStr">
        <is>
          <t>0faf03289702829a19bdaa292fb006f4bf7213b31192b58d4142f3fe1459c364</t>
        </is>
      </c>
    </row>
    <row r="126">
      <c r="A126" t="inlineStr">
        <is>
          <t>466</t>
        </is>
      </c>
      <c r="B126" t="inlineStr">
        <is>
          <t>7566085991</t>
        </is>
      </c>
      <c r="C126" t="inlineStr">
        <is>
          <t>2025-12-10 03:52:50</t>
        </is>
      </c>
      <c r="D126" t="inlineStr">
        <is>
          <t>50</t>
        </is>
      </c>
      <c r="E126" t="inlineStr">
        <is>
          <t>Sha Sha - Shandaar Shawarma</t>
        </is>
      </c>
      <c r="F126" t="inlineStr">
        <is>
          <t>18557902</t>
        </is>
      </c>
      <c r="G126" t="inlineStr">
        <is>
          <t>30% off upto ₹75 (2025-06-25 - 2031-01-01)</t>
        </is>
      </c>
      <c r="H126" t="inlineStr">
        <is>
          <t>ONLINE</t>
        </is>
      </c>
      <c r="I126" t="inlineStr">
        <is>
          <t>DELIVERED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O2</t>
        </is>
      </c>
      <c r="N126" t="inlineStr">
        <is>
          <t>36</t>
        </is>
      </c>
      <c r="O126" t="n">
        <v>229</v>
      </c>
      <c r="P126" t="n">
        <v>3.5</v>
      </c>
      <c r="Q126" t="n">
        <v>0</v>
      </c>
      <c r="R126" t="n">
        <v>68.7</v>
      </c>
      <c r="S126" t="n">
        <v>0</v>
      </c>
      <c r="T126" t="n">
        <v>0</v>
      </c>
      <c r="U126" t="n">
        <v>0</v>
      </c>
      <c r="V126" t="n">
        <v>8.19</v>
      </c>
      <c r="W126" t="n">
        <v>171.99</v>
      </c>
      <c r="X126" t="n">
        <v>163.8</v>
      </c>
      <c r="Y126" t="n">
        <v>19</v>
      </c>
      <c r="Z126" t="n">
        <v>31.12</v>
      </c>
      <c r="AA126" t="n">
        <v>3.16</v>
      </c>
      <c r="AB126" t="n">
        <v>34.28</v>
      </c>
      <c r="AC126" t="n">
        <v>6.17</v>
      </c>
      <c r="AD126" t="n">
        <v>0</v>
      </c>
      <c r="AE126" t="n">
        <v>163.8</v>
      </c>
      <c r="AF126" t="n">
        <v>0</v>
      </c>
      <c r="AG126" t="n">
        <v>0</v>
      </c>
      <c r="AH126" t="n">
        <v>0.16</v>
      </c>
      <c r="AI126" t="n">
        <v>8.199999999999999</v>
      </c>
      <c r="AJ126" t="n">
        <v>-0.01</v>
      </c>
      <c r="AK126" t="n">
        <v>14.53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48.81</v>
      </c>
      <c r="AV126" t="n">
        <v>0</v>
      </c>
      <c r="AW126" t="n">
        <v>123.18</v>
      </c>
      <c r="AX126" t="inlineStr">
        <is>
          <t>settled</t>
        </is>
      </c>
      <c r="AY126" t="inlineStr">
        <is>
          <t>2025-12-17 05:30:00</t>
        </is>
      </c>
      <c r="AZ126" t="inlineStr">
        <is>
          <t>CITIN25671113204</t>
        </is>
      </c>
      <c r="BA126" t="n">
        <v>0</v>
      </c>
      <c r="BB126" t="inlineStr">
        <is>
          <t>0266588e23b623d7d8285d30e1a6471a9c2a0cfbc8cf40297ec7dbdc37af678e</t>
        </is>
      </c>
    </row>
    <row r="127">
      <c r="A127" t="inlineStr">
        <is>
          <t>467</t>
        </is>
      </c>
      <c r="B127" t="inlineStr">
        <is>
          <t>7565658191</t>
        </is>
      </c>
      <c r="C127" t="inlineStr">
        <is>
          <t>2025-12-10 03:55:02</t>
        </is>
      </c>
      <c r="D127" t="inlineStr">
        <is>
          <t>50</t>
        </is>
      </c>
      <c r="E127" t="inlineStr">
        <is>
          <t>Sha Sha - Shandaar Shawarma</t>
        </is>
      </c>
      <c r="F127" t="inlineStr">
        <is>
          <t>18557902</t>
        </is>
      </c>
      <c r="G127" t="inlineStr">
        <is>
          <t>NA</t>
        </is>
      </c>
      <c r="H127" t="inlineStr">
        <is>
          <t>ONLINE</t>
        </is>
      </c>
      <c r="I127" t="inlineStr">
        <is>
          <t>DELIVERED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O2</t>
        </is>
      </c>
      <c r="N127" t="inlineStr">
        <is>
          <t>36</t>
        </is>
      </c>
      <c r="O127" t="n">
        <v>219</v>
      </c>
      <c r="P127" t="n">
        <v>3.5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11.13</v>
      </c>
      <c r="W127" t="n">
        <v>233.63</v>
      </c>
      <c r="X127" t="n">
        <v>222.5</v>
      </c>
      <c r="Y127" t="n">
        <v>19</v>
      </c>
      <c r="Z127" t="n">
        <v>42.28</v>
      </c>
      <c r="AA127" t="n">
        <v>4.3</v>
      </c>
      <c r="AB127" t="n">
        <v>46.58</v>
      </c>
      <c r="AC127" t="n">
        <v>8.380000000000001</v>
      </c>
      <c r="AD127" t="n">
        <v>0</v>
      </c>
      <c r="AE127" t="n">
        <v>222.5</v>
      </c>
      <c r="AF127" t="n">
        <v>0</v>
      </c>
      <c r="AG127" t="n">
        <v>0</v>
      </c>
      <c r="AH127" t="n">
        <v>0.22</v>
      </c>
      <c r="AI127" t="n">
        <v>11.13</v>
      </c>
      <c r="AJ127" t="n">
        <v>0</v>
      </c>
      <c r="AK127" t="n">
        <v>19.73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66.31</v>
      </c>
      <c r="AV127" t="n">
        <v>0</v>
      </c>
      <c r="AW127" t="n">
        <v>167.32</v>
      </c>
      <c r="AX127" t="inlineStr">
        <is>
          <t>settled</t>
        </is>
      </c>
      <c r="AY127" t="inlineStr">
        <is>
          <t>2025-12-17 05:30:00</t>
        </is>
      </c>
      <c r="AZ127" t="inlineStr">
        <is>
          <t>CITIN25671113204</t>
        </is>
      </c>
      <c r="BA127" t="n">
        <v>0</v>
      </c>
      <c r="BB127" t="inlineStr">
        <is>
          <t>568f089729a1c7e904ae0405ad1c1d00fabe8acc3bbe9d01f7784561b0a3d784</t>
        </is>
      </c>
    </row>
    <row r="128">
      <c r="A128" t="inlineStr">
        <is>
          <t>468</t>
        </is>
      </c>
      <c r="B128" t="inlineStr">
        <is>
          <t>7558045550</t>
        </is>
      </c>
      <c r="C128" t="inlineStr">
        <is>
          <t>2025-12-10 04:00:36</t>
        </is>
      </c>
      <c r="D128" t="inlineStr">
        <is>
          <t>50</t>
        </is>
      </c>
      <c r="E128" t="inlineStr">
        <is>
          <t>Sha Sha - Shandaar Shawarma</t>
        </is>
      </c>
      <c r="F128" t="inlineStr">
        <is>
          <t>18557902</t>
        </is>
      </c>
      <c r="G128" t="inlineStr">
        <is>
          <t>30% off upto ₹75 (2025-06-25 - 2031-01-01)</t>
        </is>
      </c>
      <c r="H128" t="inlineStr">
        <is>
          <t>ONLINE</t>
        </is>
      </c>
      <c r="I128" t="inlineStr">
        <is>
          <t>DELIVERED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O2</t>
        </is>
      </c>
      <c r="N128" t="inlineStr">
        <is>
          <t>36</t>
        </is>
      </c>
      <c r="O128" t="n">
        <v>487</v>
      </c>
      <c r="P128" t="n">
        <v>3.5</v>
      </c>
      <c r="Q128" t="n">
        <v>0</v>
      </c>
      <c r="R128" t="n">
        <v>75</v>
      </c>
      <c r="S128" t="n">
        <v>0</v>
      </c>
      <c r="T128" t="n">
        <v>0</v>
      </c>
      <c r="U128" t="n">
        <v>0</v>
      </c>
      <c r="V128" t="n">
        <v>20.78</v>
      </c>
      <c r="W128" t="n">
        <v>436.28</v>
      </c>
      <c r="X128" t="n">
        <v>415.5</v>
      </c>
      <c r="Y128" t="n">
        <v>19</v>
      </c>
      <c r="Z128" t="n">
        <v>78.94</v>
      </c>
      <c r="AA128" t="n">
        <v>8.029999999999999</v>
      </c>
      <c r="AB128" t="n">
        <v>86.97</v>
      </c>
      <c r="AC128" t="n">
        <v>15.66</v>
      </c>
      <c r="AD128" t="n">
        <v>0</v>
      </c>
      <c r="AE128" t="n">
        <v>415.5</v>
      </c>
      <c r="AF128" t="n">
        <v>0</v>
      </c>
      <c r="AG128" t="n">
        <v>0</v>
      </c>
      <c r="AH128" t="n">
        <v>0.42</v>
      </c>
      <c r="AI128" t="n">
        <v>20.78</v>
      </c>
      <c r="AJ128" t="n">
        <v>0</v>
      </c>
      <c r="AK128" t="n">
        <v>36.86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123.83</v>
      </c>
      <c r="AV128" t="n">
        <v>0</v>
      </c>
      <c r="AW128" t="n">
        <v>312.45</v>
      </c>
      <c r="AX128" t="inlineStr">
        <is>
          <t>settled</t>
        </is>
      </c>
      <c r="AY128" t="inlineStr">
        <is>
          <t>2025-12-17 05:30:00</t>
        </is>
      </c>
      <c r="AZ128" t="inlineStr">
        <is>
          <t>CITIN25671113204</t>
        </is>
      </c>
      <c r="BA128" t="n">
        <v>0</v>
      </c>
      <c r="BB128" t="inlineStr">
        <is>
          <t>b1e36a0ea51c9ff60ff01936637862c28c8feadc4ef42e5b14c4e2e3140bb6d4</t>
        </is>
      </c>
    </row>
    <row r="129">
      <c r="A129" t="inlineStr">
        <is>
          <t>469</t>
        </is>
      </c>
      <c r="B129" t="inlineStr">
        <is>
          <t>7567622063</t>
        </is>
      </c>
      <c r="C129" t="inlineStr">
        <is>
          <t>2025-12-10 04:14:23</t>
        </is>
      </c>
      <c r="D129" t="inlineStr">
        <is>
          <t>50</t>
        </is>
      </c>
      <c r="E129" t="inlineStr">
        <is>
          <t>Sha Sha - Shandaar Shawarma</t>
        </is>
      </c>
      <c r="F129" t="inlineStr">
        <is>
          <t>18557902</t>
        </is>
      </c>
      <c r="G129" t="inlineStr">
        <is>
          <t>30% off upto ₹75 (2025-06-25 - 2031-01-01)</t>
        </is>
      </c>
      <c r="H129" t="inlineStr">
        <is>
          <t>ONLINE</t>
        </is>
      </c>
      <c r="I129" t="inlineStr">
        <is>
          <t>DELIVERED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O2</t>
        </is>
      </c>
      <c r="N129" t="inlineStr">
        <is>
          <t>36</t>
        </is>
      </c>
      <c r="O129" t="n">
        <v>229</v>
      </c>
      <c r="P129" t="n">
        <v>3.5</v>
      </c>
      <c r="Q129" t="n">
        <v>0</v>
      </c>
      <c r="R129" t="n">
        <v>68.7</v>
      </c>
      <c r="S129" t="n">
        <v>0</v>
      </c>
      <c r="T129" t="n">
        <v>0</v>
      </c>
      <c r="U129" t="n">
        <v>0</v>
      </c>
      <c r="V129" t="n">
        <v>8.19</v>
      </c>
      <c r="W129" t="n">
        <v>171.99</v>
      </c>
      <c r="X129" t="n">
        <v>163.8</v>
      </c>
      <c r="Y129" t="n">
        <v>19</v>
      </c>
      <c r="Z129" t="n">
        <v>31.12</v>
      </c>
      <c r="AA129" t="n">
        <v>3.16</v>
      </c>
      <c r="AB129" t="n">
        <v>34.28</v>
      </c>
      <c r="AC129" t="n">
        <v>6.17</v>
      </c>
      <c r="AD129" t="n">
        <v>0</v>
      </c>
      <c r="AE129" t="n">
        <v>163.8</v>
      </c>
      <c r="AF129" t="n">
        <v>0</v>
      </c>
      <c r="AG129" t="n">
        <v>0</v>
      </c>
      <c r="AH129" t="n">
        <v>0.16</v>
      </c>
      <c r="AI129" t="n">
        <v>8.199999999999999</v>
      </c>
      <c r="AJ129" t="n">
        <v>-0.01</v>
      </c>
      <c r="AK129" t="n">
        <v>14.53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48.81</v>
      </c>
      <c r="AV129" t="n">
        <v>0</v>
      </c>
      <c r="AW129" t="n">
        <v>123.18</v>
      </c>
      <c r="AX129" t="inlineStr">
        <is>
          <t>settled</t>
        </is>
      </c>
      <c r="AY129" t="inlineStr">
        <is>
          <t>2025-12-17 05:30:00</t>
        </is>
      </c>
      <c r="AZ129" t="inlineStr">
        <is>
          <t>CITIN25671113204</t>
        </is>
      </c>
      <c r="BA129" t="n">
        <v>0</v>
      </c>
      <c r="BB129" t="inlineStr">
        <is>
          <t>3c515e96660c7ab49e89507033d14fe6c9b6bd7cfabffe9ca71bf9fcc48ce398</t>
        </is>
      </c>
    </row>
    <row r="130">
      <c r="A130" t="inlineStr">
        <is>
          <t>470</t>
        </is>
      </c>
      <c r="B130" t="inlineStr">
        <is>
          <t>7560581047</t>
        </is>
      </c>
      <c r="C130" t="inlineStr">
        <is>
          <t>2025-12-10 04:48:18</t>
        </is>
      </c>
      <c r="D130" t="inlineStr">
        <is>
          <t>50</t>
        </is>
      </c>
      <c r="E130" t="inlineStr">
        <is>
          <t>Sha Sha - Shandaar Shawarma</t>
        </is>
      </c>
      <c r="F130" t="inlineStr">
        <is>
          <t>18557902</t>
        </is>
      </c>
      <c r="G130" t="inlineStr">
        <is>
          <t>30% off upto ₹75 (2025-06-25 - 2031-01-01)</t>
        </is>
      </c>
      <c r="H130" t="inlineStr">
        <is>
          <t>ONLINE</t>
        </is>
      </c>
      <c r="I130" t="inlineStr">
        <is>
          <t>DELIVERED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O2</t>
        </is>
      </c>
      <c r="N130" t="inlineStr">
        <is>
          <t>36</t>
        </is>
      </c>
      <c r="O130" t="n">
        <v>219</v>
      </c>
      <c r="P130" t="n">
        <v>3.5</v>
      </c>
      <c r="Q130" t="n">
        <v>0</v>
      </c>
      <c r="R130" t="n">
        <v>65.7</v>
      </c>
      <c r="S130" t="n">
        <v>0</v>
      </c>
      <c r="T130" t="n">
        <v>0</v>
      </c>
      <c r="U130" t="n">
        <v>0</v>
      </c>
      <c r="V130" t="n">
        <v>7.84</v>
      </c>
      <c r="W130" t="n">
        <v>164.64</v>
      </c>
      <c r="X130" t="n">
        <v>156.8</v>
      </c>
      <c r="Y130" t="n">
        <v>19</v>
      </c>
      <c r="Z130" t="n">
        <v>29.79</v>
      </c>
      <c r="AA130" t="n">
        <v>3.03</v>
      </c>
      <c r="AB130" t="n">
        <v>32.82</v>
      </c>
      <c r="AC130" t="n">
        <v>5.91</v>
      </c>
      <c r="AD130" t="n">
        <v>0</v>
      </c>
      <c r="AE130" t="n">
        <v>156.8</v>
      </c>
      <c r="AF130" t="n">
        <v>0</v>
      </c>
      <c r="AG130" t="n">
        <v>0</v>
      </c>
      <c r="AH130" t="n">
        <v>0.16</v>
      </c>
      <c r="AI130" t="n">
        <v>7.85</v>
      </c>
      <c r="AJ130" t="n">
        <v>-0.01</v>
      </c>
      <c r="AK130" t="n">
        <v>13.92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46.74</v>
      </c>
      <c r="AV130" t="n">
        <v>0</v>
      </c>
      <c r="AW130" t="n">
        <v>117.9</v>
      </c>
      <c r="AX130" t="inlineStr">
        <is>
          <t>settled</t>
        </is>
      </c>
      <c r="AY130" t="inlineStr">
        <is>
          <t>2025-12-17 05:30:00</t>
        </is>
      </c>
      <c r="AZ130" t="inlineStr">
        <is>
          <t>CITIN25671113204</t>
        </is>
      </c>
      <c r="BA130" t="n">
        <v>0</v>
      </c>
      <c r="BB130" t="inlineStr">
        <is>
          <t>672965e86d45b8ffe80f4ce38d945f7fd2e2b0a9c021c466a0f2ad822cc891fe</t>
        </is>
      </c>
    </row>
    <row r="131">
      <c r="A131" t="inlineStr">
        <is>
          <t>471</t>
        </is>
      </c>
      <c r="B131" t="inlineStr">
        <is>
          <t>7566050545</t>
        </is>
      </c>
      <c r="C131" t="inlineStr">
        <is>
          <t>2025-12-10 13:17:06</t>
        </is>
      </c>
      <c r="D131" t="inlineStr">
        <is>
          <t>50</t>
        </is>
      </c>
      <c r="E131" t="inlineStr">
        <is>
          <t>Sha Sha - Shandaar Shawarma</t>
        </is>
      </c>
      <c r="F131" t="inlineStr">
        <is>
          <t>18557902</t>
        </is>
      </c>
      <c r="G131" t="inlineStr">
        <is>
          <t>30% off upto ₹75 (2025-06-25 - 2031-01-01)</t>
        </is>
      </c>
      <c r="H131" t="inlineStr">
        <is>
          <t>ONLINE</t>
        </is>
      </c>
      <c r="I131" t="inlineStr">
        <is>
          <t>DELIVERED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O2</t>
        </is>
      </c>
      <c r="N131" t="inlineStr">
        <is>
          <t>36</t>
        </is>
      </c>
      <c r="O131" t="n">
        <v>219</v>
      </c>
      <c r="P131" t="n">
        <v>3.5</v>
      </c>
      <c r="Q131" t="n">
        <v>0</v>
      </c>
      <c r="R131" t="n">
        <v>65.7</v>
      </c>
      <c r="S131" t="n">
        <v>0</v>
      </c>
      <c r="T131" t="n">
        <v>0</v>
      </c>
      <c r="U131" t="n">
        <v>0</v>
      </c>
      <c r="V131" t="n">
        <v>7.84</v>
      </c>
      <c r="W131" t="n">
        <v>164.64</v>
      </c>
      <c r="X131" t="n">
        <v>156.8</v>
      </c>
      <c r="Y131" t="n">
        <v>19</v>
      </c>
      <c r="Z131" t="n">
        <v>29.79</v>
      </c>
      <c r="AA131" t="n">
        <v>3.03</v>
      </c>
      <c r="AB131" t="n">
        <v>32.82</v>
      </c>
      <c r="AC131" t="n">
        <v>5.91</v>
      </c>
      <c r="AD131" t="n">
        <v>0</v>
      </c>
      <c r="AE131" t="n">
        <v>156.8</v>
      </c>
      <c r="AF131" t="n">
        <v>0</v>
      </c>
      <c r="AG131" t="n">
        <v>0</v>
      </c>
      <c r="AH131" t="n">
        <v>0.16</v>
      </c>
      <c r="AI131" t="n">
        <v>7.85</v>
      </c>
      <c r="AJ131" t="n">
        <v>-0.01</v>
      </c>
      <c r="AK131" t="n">
        <v>13.92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46.74</v>
      </c>
      <c r="AV131" t="n">
        <v>0</v>
      </c>
      <c r="AW131" t="n">
        <v>117.9</v>
      </c>
      <c r="AX131" t="inlineStr">
        <is>
          <t>settled</t>
        </is>
      </c>
      <c r="AY131" t="inlineStr">
        <is>
          <t>2025-12-17 05:30:00</t>
        </is>
      </c>
      <c r="AZ131" t="inlineStr">
        <is>
          <t>CITIN25671113204</t>
        </is>
      </c>
      <c r="BA131" t="n">
        <v>0</v>
      </c>
      <c r="BB131" t="inlineStr">
        <is>
          <t>a0eba5002ac8562f25ee853d640598e086366a0cee35aec35ce228f006b65851</t>
        </is>
      </c>
    </row>
    <row r="132">
      <c r="A132" t="inlineStr">
        <is>
          <t>472</t>
        </is>
      </c>
      <c r="B132" t="inlineStr">
        <is>
          <t>7563714850</t>
        </is>
      </c>
      <c r="C132" t="inlineStr">
        <is>
          <t>2025-12-10 13:24:37</t>
        </is>
      </c>
      <c r="D132" t="inlineStr">
        <is>
          <t>50</t>
        </is>
      </c>
      <c r="E132" t="inlineStr">
        <is>
          <t>Sha Sha - Shandaar Shawarma</t>
        </is>
      </c>
      <c r="F132" t="inlineStr">
        <is>
          <t>18557902</t>
        </is>
      </c>
      <c r="G132" t="inlineStr">
        <is>
          <t>30% off upto ₹75 (2025-06-25 - 2031-01-01)</t>
        </is>
      </c>
      <c r="H132" t="inlineStr">
        <is>
          <t>ONLINE</t>
        </is>
      </c>
      <c r="I132" t="inlineStr">
        <is>
          <t>DELIVERED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O2</t>
        </is>
      </c>
      <c r="N132" t="inlineStr">
        <is>
          <t>36</t>
        </is>
      </c>
      <c r="O132" t="n">
        <v>345</v>
      </c>
      <c r="P132" t="n">
        <v>3.5</v>
      </c>
      <c r="Q132" t="n">
        <v>0</v>
      </c>
      <c r="R132" t="n">
        <v>75</v>
      </c>
      <c r="S132" t="n">
        <v>0</v>
      </c>
      <c r="T132" t="n">
        <v>0</v>
      </c>
      <c r="U132" t="n">
        <v>0</v>
      </c>
      <c r="V132" t="n">
        <v>13.68</v>
      </c>
      <c r="W132" t="n">
        <v>287.18</v>
      </c>
      <c r="X132" t="n">
        <v>273.5</v>
      </c>
      <c r="Y132" t="n">
        <v>19</v>
      </c>
      <c r="Z132" t="n">
        <v>51.96</v>
      </c>
      <c r="AA132" t="n">
        <v>5.28</v>
      </c>
      <c r="AB132" t="n">
        <v>57.24</v>
      </c>
      <c r="AC132" t="n">
        <v>10.3</v>
      </c>
      <c r="AD132" t="n">
        <v>0</v>
      </c>
      <c r="AE132" t="n">
        <v>273.5</v>
      </c>
      <c r="AF132" t="n">
        <v>0</v>
      </c>
      <c r="AG132" t="n">
        <v>0</v>
      </c>
      <c r="AH132" t="n">
        <v>0.27</v>
      </c>
      <c r="AI132" t="n">
        <v>13.68</v>
      </c>
      <c r="AJ132" t="n">
        <v>0</v>
      </c>
      <c r="AK132" t="n">
        <v>24.25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81.48999999999999</v>
      </c>
      <c r="AV132" t="n">
        <v>0</v>
      </c>
      <c r="AW132" t="n">
        <v>205.69</v>
      </c>
      <c r="AX132" t="inlineStr">
        <is>
          <t>settled</t>
        </is>
      </c>
      <c r="AY132" t="inlineStr">
        <is>
          <t>2025-12-17 05:30:00</t>
        </is>
      </c>
      <c r="AZ132" t="inlineStr">
        <is>
          <t>CITIN25671113204</t>
        </is>
      </c>
      <c r="BA132" t="n">
        <v>0</v>
      </c>
      <c r="BB132" t="inlineStr">
        <is>
          <t>97b4133bde4eb0767e9ce68171387ff49f31d258169b1f78ae8f5981ef069b25</t>
        </is>
      </c>
    </row>
    <row r="133">
      <c r="A133" t="inlineStr">
        <is>
          <t>473</t>
        </is>
      </c>
      <c r="B133" t="inlineStr">
        <is>
          <t>7561860129</t>
        </is>
      </c>
      <c r="C133" t="inlineStr">
        <is>
          <t>2025-12-10 13:52:09</t>
        </is>
      </c>
      <c r="D133" t="inlineStr">
        <is>
          <t>50</t>
        </is>
      </c>
      <c r="E133" t="inlineStr">
        <is>
          <t>Sha Sha - Shandaar Shawarma</t>
        </is>
      </c>
      <c r="F133" t="inlineStr">
        <is>
          <t>18557902</t>
        </is>
      </c>
      <c r="G133" t="inlineStr">
        <is>
          <t>30% off upto ₹75 (2025-06-25 - 2031-01-01)</t>
        </is>
      </c>
      <c r="H133" t="inlineStr">
        <is>
          <t>ONLINE</t>
        </is>
      </c>
      <c r="I133" t="inlineStr">
        <is>
          <t>DELIVERED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O2</t>
        </is>
      </c>
      <c r="N133" t="inlineStr">
        <is>
          <t>36</t>
        </is>
      </c>
      <c r="O133" t="n">
        <v>229</v>
      </c>
      <c r="P133" t="n">
        <v>3.5</v>
      </c>
      <c r="Q133" t="n">
        <v>0</v>
      </c>
      <c r="R133" t="n">
        <v>68.7</v>
      </c>
      <c r="S133" t="n">
        <v>0</v>
      </c>
      <c r="T133" t="n">
        <v>0</v>
      </c>
      <c r="U133" t="n">
        <v>0</v>
      </c>
      <c r="V133" t="n">
        <v>8.19</v>
      </c>
      <c r="W133" t="n">
        <v>171.99</v>
      </c>
      <c r="X133" t="n">
        <v>163.8</v>
      </c>
      <c r="Y133" t="n">
        <v>19</v>
      </c>
      <c r="Z133" t="n">
        <v>31.12</v>
      </c>
      <c r="AA133" t="n">
        <v>3.16</v>
      </c>
      <c r="AB133" t="n">
        <v>34.28</v>
      </c>
      <c r="AC133" t="n">
        <v>6.17</v>
      </c>
      <c r="AD133" t="n">
        <v>0</v>
      </c>
      <c r="AE133" t="n">
        <v>163.8</v>
      </c>
      <c r="AF133" t="n">
        <v>0</v>
      </c>
      <c r="AG133" t="n">
        <v>0</v>
      </c>
      <c r="AH133" t="n">
        <v>0.16</v>
      </c>
      <c r="AI133" t="n">
        <v>8.199999999999999</v>
      </c>
      <c r="AJ133" t="n">
        <v>-0.01</v>
      </c>
      <c r="AK133" t="n">
        <v>14.53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48.81</v>
      </c>
      <c r="AV133" t="n">
        <v>0</v>
      </c>
      <c r="AW133" t="n">
        <v>123.18</v>
      </c>
      <c r="AX133" t="inlineStr">
        <is>
          <t>settled</t>
        </is>
      </c>
      <c r="AY133" t="inlineStr">
        <is>
          <t>2025-12-17 05:30:00</t>
        </is>
      </c>
      <c r="AZ133" t="inlineStr">
        <is>
          <t>CITIN25671113204</t>
        </is>
      </c>
      <c r="BA133" t="n">
        <v>0</v>
      </c>
      <c r="BB133" t="inlineStr">
        <is>
          <t>98f33eaac14626402edcc2101a4d5af56c5bab3bea03feadc91c8714ae1ae7fe</t>
        </is>
      </c>
    </row>
    <row r="134">
      <c r="A134" t="inlineStr">
        <is>
          <t>474</t>
        </is>
      </c>
      <c r="B134" t="inlineStr">
        <is>
          <t>7561150952</t>
        </is>
      </c>
      <c r="C134" t="inlineStr">
        <is>
          <t>2025-12-10 14:34:02</t>
        </is>
      </c>
      <c r="D134" t="inlineStr">
        <is>
          <t>50</t>
        </is>
      </c>
      <c r="E134" t="inlineStr">
        <is>
          <t>Sha Sha - Shandaar Shawarma</t>
        </is>
      </c>
      <c r="F134" t="inlineStr">
        <is>
          <t>18557902</t>
        </is>
      </c>
      <c r="G134" t="inlineStr">
        <is>
          <t>30% off upto ₹75 (2025-06-25 - 2031-01-01)</t>
        </is>
      </c>
      <c r="H134" t="inlineStr">
        <is>
          <t>ONLINE</t>
        </is>
      </c>
      <c r="I134" t="inlineStr">
        <is>
          <t>DELIVERED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O2</t>
        </is>
      </c>
      <c r="N134" t="inlineStr">
        <is>
          <t>36</t>
        </is>
      </c>
      <c r="O134" t="n">
        <v>229</v>
      </c>
      <c r="P134" t="n">
        <v>3.5</v>
      </c>
      <c r="Q134" t="n">
        <v>0</v>
      </c>
      <c r="R134" t="n">
        <v>68.7</v>
      </c>
      <c r="S134" t="n">
        <v>0</v>
      </c>
      <c r="T134" t="n">
        <v>0</v>
      </c>
      <c r="U134" t="n">
        <v>0</v>
      </c>
      <c r="V134" t="n">
        <v>8.19</v>
      </c>
      <c r="W134" t="n">
        <v>171.99</v>
      </c>
      <c r="X134" t="n">
        <v>163.8</v>
      </c>
      <c r="Y134" t="n">
        <v>19</v>
      </c>
      <c r="Z134" t="n">
        <v>31.12</v>
      </c>
      <c r="AA134" t="n">
        <v>3.16</v>
      </c>
      <c r="AB134" t="n">
        <v>34.28</v>
      </c>
      <c r="AC134" t="n">
        <v>6.17</v>
      </c>
      <c r="AD134" t="n">
        <v>0</v>
      </c>
      <c r="AE134" t="n">
        <v>163.8</v>
      </c>
      <c r="AF134" t="n">
        <v>0</v>
      </c>
      <c r="AG134" t="n">
        <v>0</v>
      </c>
      <c r="AH134" t="n">
        <v>0.16</v>
      </c>
      <c r="AI134" t="n">
        <v>8.199999999999999</v>
      </c>
      <c r="AJ134" t="n">
        <v>-0.01</v>
      </c>
      <c r="AK134" t="n">
        <v>14.53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48.81</v>
      </c>
      <c r="AV134" t="n">
        <v>0</v>
      </c>
      <c r="AW134" t="n">
        <v>123.18</v>
      </c>
      <c r="AX134" t="inlineStr">
        <is>
          <t>settled</t>
        </is>
      </c>
      <c r="AY134" t="inlineStr">
        <is>
          <t>2025-12-17 05:30:00</t>
        </is>
      </c>
      <c r="AZ134" t="inlineStr">
        <is>
          <t>CITIN25671113204</t>
        </is>
      </c>
      <c r="BA134" t="n">
        <v>0</v>
      </c>
      <c r="BB134" t="inlineStr">
        <is>
          <t>847f8d09664d1606e0939608cb21bde8ac982cf16ba7a61acc87e93b16cf8626</t>
        </is>
      </c>
    </row>
    <row r="135">
      <c r="A135" t="inlineStr">
        <is>
          <t>475</t>
        </is>
      </c>
      <c r="B135" t="inlineStr">
        <is>
          <t>7562650860</t>
        </is>
      </c>
      <c r="C135" t="inlineStr">
        <is>
          <t>2025-12-10 15:02:37</t>
        </is>
      </c>
      <c r="D135" t="inlineStr">
        <is>
          <t>50</t>
        </is>
      </c>
      <c r="E135" t="inlineStr">
        <is>
          <t>Sha Sha - Shandaar Shawarma</t>
        </is>
      </c>
      <c r="F135" t="inlineStr">
        <is>
          <t>18557902</t>
        </is>
      </c>
      <c r="G135" t="inlineStr">
        <is>
          <t>30% off upto ₹75 (2025-06-25 - 2031-01-01)</t>
        </is>
      </c>
      <c r="H135" t="inlineStr">
        <is>
          <t>ONLINE</t>
        </is>
      </c>
      <c r="I135" t="inlineStr">
        <is>
          <t>DELIVERED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O2</t>
        </is>
      </c>
      <c r="N135" t="inlineStr">
        <is>
          <t>36</t>
        </is>
      </c>
      <c r="O135" t="n">
        <v>219</v>
      </c>
      <c r="P135" t="n">
        <v>3.5</v>
      </c>
      <c r="Q135" t="n">
        <v>0</v>
      </c>
      <c r="R135" t="n">
        <v>65.7</v>
      </c>
      <c r="S135" t="n">
        <v>0</v>
      </c>
      <c r="T135" t="n">
        <v>0</v>
      </c>
      <c r="U135" t="n">
        <v>0</v>
      </c>
      <c r="V135" t="n">
        <v>7.84</v>
      </c>
      <c r="W135" t="n">
        <v>164.64</v>
      </c>
      <c r="X135" t="n">
        <v>156.8</v>
      </c>
      <c r="Y135" t="n">
        <v>19</v>
      </c>
      <c r="Z135" t="n">
        <v>29.79</v>
      </c>
      <c r="AA135" t="n">
        <v>3.03</v>
      </c>
      <c r="AB135" t="n">
        <v>32.82</v>
      </c>
      <c r="AC135" t="n">
        <v>5.91</v>
      </c>
      <c r="AD135" t="n">
        <v>0</v>
      </c>
      <c r="AE135" t="n">
        <v>156.8</v>
      </c>
      <c r="AF135" t="n">
        <v>0</v>
      </c>
      <c r="AG135" t="n">
        <v>0</v>
      </c>
      <c r="AH135" t="n">
        <v>0.16</v>
      </c>
      <c r="AI135" t="n">
        <v>7.85</v>
      </c>
      <c r="AJ135" t="n">
        <v>-0.01</v>
      </c>
      <c r="AK135" t="n">
        <v>13.92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46.74</v>
      </c>
      <c r="AV135" t="n">
        <v>0</v>
      </c>
      <c r="AW135" t="n">
        <v>117.9</v>
      </c>
      <c r="AX135" t="inlineStr">
        <is>
          <t>settled</t>
        </is>
      </c>
      <c r="AY135" t="inlineStr">
        <is>
          <t>2025-12-17 05:30:00</t>
        </is>
      </c>
      <c r="AZ135" t="inlineStr">
        <is>
          <t>CITIN25671113204</t>
        </is>
      </c>
      <c r="BA135" t="n">
        <v>0</v>
      </c>
      <c r="BB135" t="inlineStr">
        <is>
          <t>47f105e9cfaf98392ab86c045e2911f0e145f0c9f5cb34fca5ce5b0d9bad2a22</t>
        </is>
      </c>
    </row>
    <row r="136">
      <c r="A136" t="inlineStr">
        <is>
          <t>476</t>
        </is>
      </c>
      <c r="B136" t="inlineStr">
        <is>
          <t>7567093665</t>
        </is>
      </c>
      <c r="C136" t="inlineStr">
        <is>
          <t>2025-12-10 15:25:34</t>
        </is>
      </c>
      <c r="D136" t="inlineStr">
        <is>
          <t>50</t>
        </is>
      </c>
      <c r="E136" t="inlineStr">
        <is>
          <t>Sha Sha - Shandaar Shawarma</t>
        </is>
      </c>
      <c r="F136" t="inlineStr">
        <is>
          <t>18557902</t>
        </is>
      </c>
      <c r="G136" t="inlineStr">
        <is>
          <t>30% off upto ₹75 (2025-06-25 - 2031-01-01)</t>
        </is>
      </c>
      <c r="H136" t="inlineStr">
        <is>
          <t>ONLINE</t>
        </is>
      </c>
      <c r="I136" t="inlineStr">
        <is>
          <t>DELIVERED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O2</t>
        </is>
      </c>
      <c r="N136" t="inlineStr">
        <is>
          <t>36</t>
        </is>
      </c>
      <c r="O136" t="n">
        <v>219</v>
      </c>
      <c r="P136" t="n">
        <v>3.5</v>
      </c>
      <c r="Q136" t="n">
        <v>0</v>
      </c>
      <c r="R136" t="n">
        <v>65.7</v>
      </c>
      <c r="S136" t="n">
        <v>0</v>
      </c>
      <c r="T136" t="n">
        <v>0</v>
      </c>
      <c r="U136" t="n">
        <v>0</v>
      </c>
      <c r="V136" t="n">
        <v>7.84</v>
      </c>
      <c r="W136" t="n">
        <v>164.64</v>
      </c>
      <c r="X136" t="n">
        <v>156.8</v>
      </c>
      <c r="Y136" t="n">
        <v>19</v>
      </c>
      <c r="Z136" t="n">
        <v>29.79</v>
      </c>
      <c r="AA136" t="n">
        <v>3.03</v>
      </c>
      <c r="AB136" t="n">
        <v>32.82</v>
      </c>
      <c r="AC136" t="n">
        <v>5.91</v>
      </c>
      <c r="AD136" t="n">
        <v>0</v>
      </c>
      <c r="AE136" t="n">
        <v>156.8</v>
      </c>
      <c r="AF136" t="n">
        <v>0</v>
      </c>
      <c r="AG136" t="n">
        <v>0</v>
      </c>
      <c r="AH136" t="n">
        <v>0.16</v>
      </c>
      <c r="AI136" t="n">
        <v>7.85</v>
      </c>
      <c r="AJ136" t="n">
        <v>-0.01</v>
      </c>
      <c r="AK136" t="n">
        <v>13.92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46.74</v>
      </c>
      <c r="AV136" t="n">
        <v>0</v>
      </c>
      <c r="AW136" t="n">
        <v>117.9</v>
      </c>
      <c r="AX136" t="inlineStr">
        <is>
          <t>settled</t>
        </is>
      </c>
      <c r="AY136" t="inlineStr">
        <is>
          <t>2025-12-17 05:30:00</t>
        </is>
      </c>
      <c r="AZ136" t="inlineStr">
        <is>
          <t>CITIN25671113204</t>
        </is>
      </c>
      <c r="BA136" t="n">
        <v>0</v>
      </c>
      <c r="BB136" t="inlineStr">
        <is>
          <t>3d4ba6c12a9b804466eecb395fad971d225cd19ea805e70cdc77d9a5cb9f9e9f</t>
        </is>
      </c>
    </row>
    <row r="137">
      <c r="A137" t="inlineStr">
        <is>
          <t>477</t>
        </is>
      </c>
      <c r="B137" t="inlineStr">
        <is>
          <t>7565248053</t>
        </is>
      </c>
      <c r="C137" t="inlineStr">
        <is>
          <t>2025-12-10 15:26:56</t>
        </is>
      </c>
      <c r="D137" t="inlineStr">
        <is>
          <t>50</t>
        </is>
      </c>
      <c r="E137" t="inlineStr">
        <is>
          <t>Sha Sha - Shandaar Shawarma</t>
        </is>
      </c>
      <c r="F137" t="inlineStr">
        <is>
          <t>18557902</t>
        </is>
      </c>
      <c r="G137" t="inlineStr">
        <is>
          <t>NA</t>
        </is>
      </c>
      <c r="H137" t="inlineStr">
        <is>
          <t>ONLINE</t>
        </is>
      </c>
      <c r="I137" t="inlineStr">
        <is>
          <t>DELIVERED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O2</t>
        </is>
      </c>
      <c r="N137" t="inlineStr">
        <is>
          <t>36</t>
        </is>
      </c>
      <c r="O137" t="n">
        <v>229</v>
      </c>
      <c r="P137" t="n">
        <v>3.5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11.63</v>
      </c>
      <c r="W137" t="n">
        <v>244.13</v>
      </c>
      <c r="X137" t="n">
        <v>232.5</v>
      </c>
      <c r="Y137" t="n">
        <v>19</v>
      </c>
      <c r="Z137" t="n">
        <v>44.18</v>
      </c>
      <c r="AA137" t="n">
        <v>4.49</v>
      </c>
      <c r="AB137" t="n">
        <v>48.67</v>
      </c>
      <c r="AC137" t="n">
        <v>8.76</v>
      </c>
      <c r="AD137" t="n">
        <v>0</v>
      </c>
      <c r="AE137" t="n">
        <v>232.5</v>
      </c>
      <c r="AF137" t="n">
        <v>0</v>
      </c>
      <c r="AG137" t="n">
        <v>0</v>
      </c>
      <c r="AH137" t="n">
        <v>0.23</v>
      </c>
      <c r="AI137" t="n">
        <v>11.63</v>
      </c>
      <c r="AJ137" t="n">
        <v>0</v>
      </c>
      <c r="AK137" t="n">
        <v>20.62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69.29000000000001</v>
      </c>
      <c r="AV137" t="n">
        <v>0</v>
      </c>
      <c r="AW137" t="n">
        <v>174.84</v>
      </c>
      <c r="AX137" t="inlineStr">
        <is>
          <t>settled</t>
        </is>
      </c>
      <c r="AY137" t="inlineStr">
        <is>
          <t>2025-12-17 05:30:00</t>
        </is>
      </c>
      <c r="AZ137" t="inlineStr">
        <is>
          <t>CITIN25671113204</t>
        </is>
      </c>
      <c r="BA137" t="n">
        <v>0</v>
      </c>
      <c r="BB137" t="inlineStr">
        <is>
          <t>45bde6325d69a044868f911b0b8e47374c6cef1234f20eff702cc07d60516cb8</t>
        </is>
      </c>
    </row>
    <row r="138">
      <c r="A138" t="inlineStr">
        <is>
          <t>478</t>
        </is>
      </c>
      <c r="B138" t="inlineStr">
        <is>
          <t>7568573624</t>
        </is>
      </c>
      <c r="C138" t="inlineStr">
        <is>
          <t>2025-12-10 16:31:33</t>
        </is>
      </c>
      <c r="D138" t="inlineStr">
        <is>
          <t>50</t>
        </is>
      </c>
      <c r="E138" t="inlineStr">
        <is>
          <t>Sha Sha - Shandaar Shawarma</t>
        </is>
      </c>
      <c r="F138" t="inlineStr">
        <is>
          <t>18557902</t>
        </is>
      </c>
      <c r="G138" t="inlineStr">
        <is>
          <t>30% off upto ₹75 (2025-06-25 - 2031-01-01)</t>
        </is>
      </c>
      <c r="H138" t="inlineStr">
        <is>
          <t>ONLINE</t>
        </is>
      </c>
      <c r="I138" t="inlineStr">
        <is>
          <t>DELIVERED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O2</t>
        </is>
      </c>
      <c r="N138" t="inlineStr">
        <is>
          <t>36</t>
        </is>
      </c>
      <c r="O138" t="n">
        <v>229</v>
      </c>
      <c r="P138" t="n">
        <v>3.5</v>
      </c>
      <c r="Q138" t="n">
        <v>0</v>
      </c>
      <c r="R138" t="n">
        <v>68.7</v>
      </c>
      <c r="S138" t="n">
        <v>0</v>
      </c>
      <c r="T138" t="n">
        <v>0</v>
      </c>
      <c r="U138" t="n">
        <v>0</v>
      </c>
      <c r="V138" t="n">
        <v>8.19</v>
      </c>
      <c r="W138" t="n">
        <v>171.99</v>
      </c>
      <c r="X138" t="n">
        <v>163.8</v>
      </c>
      <c r="Y138" t="n">
        <v>19</v>
      </c>
      <c r="Z138" t="n">
        <v>31.12</v>
      </c>
      <c r="AA138" t="n">
        <v>3.16</v>
      </c>
      <c r="AB138" t="n">
        <v>34.28</v>
      </c>
      <c r="AC138" t="n">
        <v>6.17</v>
      </c>
      <c r="AD138" t="n">
        <v>0</v>
      </c>
      <c r="AE138" t="n">
        <v>163.8</v>
      </c>
      <c r="AF138" t="n">
        <v>0</v>
      </c>
      <c r="AG138" t="n">
        <v>0</v>
      </c>
      <c r="AH138" t="n">
        <v>0.16</v>
      </c>
      <c r="AI138" t="n">
        <v>8.199999999999999</v>
      </c>
      <c r="AJ138" t="n">
        <v>-0.01</v>
      </c>
      <c r="AK138" t="n">
        <v>14.53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48.81</v>
      </c>
      <c r="AV138" t="n">
        <v>0</v>
      </c>
      <c r="AW138" t="n">
        <v>123.18</v>
      </c>
      <c r="AX138" t="inlineStr">
        <is>
          <t>settled</t>
        </is>
      </c>
      <c r="AY138" t="inlineStr">
        <is>
          <t>2025-12-17 05:30:00</t>
        </is>
      </c>
      <c r="AZ138" t="inlineStr">
        <is>
          <t>CITIN25671113204</t>
        </is>
      </c>
      <c r="BA138" t="n">
        <v>0</v>
      </c>
      <c r="BB138" t="inlineStr">
        <is>
          <t>2d368181478dba68f19c50225fdff5477425f6b6bbe62f148d331181abfe137d</t>
        </is>
      </c>
    </row>
    <row r="139">
      <c r="A139" t="inlineStr">
        <is>
          <t>479</t>
        </is>
      </c>
      <c r="B139" t="inlineStr">
        <is>
          <t>7562257156</t>
        </is>
      </c>
      <c r="C139" t="inlineStr">
        <is>
          <t>2025-12-10 16:56:08</t>
        </is>
      </c>
      <c r="D139" t="inlineStr">
        <is>
          <t>50</t>
        </is>
      </c>
      <c r="E139" t="inlineStr">
        <is>
          <t>Sha Sha - Shandaar Shawarma</t>
        </is>
      </c>
      <c r="F139" t="inlineStr">
        <is>
          <t>18557902</t>
        </is>
      </c>
      <c r="G139" t="inlineStr">
        <is>
          <t>30% off upto ₹75 (2025-06-25 - 2031-01-01)</t>
        </is>
      </c>
      <c r="H139" t="inlineStr">
        <is>
          <t>ONLINE</t>
        </is>
      </c>
      <c r="I139" t="inlineStr">
        <is>
          <t>DELIVERED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O2</t>
        </is>
      </c>
      <c r="N139" t="inlineStr">
        <is>
          <t>36</t>
        </is>
      </c>
      <c r="O139" t="n">
        <v>229</v>
      </c>
      <c r="P139" t="n">
        <v>3.5</v>
      </c>
      <c r="Q139" t="n">
        <v>0</v>
      </c>
      <c r="R139" t="n">
        <v>68.7</v>
      </c>
      <c r="S139" t="n">
        <v>0</v>
      </c>
      <c r="T139" t="n">
        <v>0</v>
      </c>
      <c r="U139" t="n">
        <v>0</v>
      </c>
      <c r="V139" t="n">
        <v>8.19</v>
      </c>
      <c r="W139" t="n">
        <v>171.99</v>
      </c>
      <c r="X139" t="n">
        <v>163.8</v>
      </c>
      <c r="Y139" t="n">
        <v>19</v>
      </c>
      <c r="Z139" t="n">
        <v>31.12</v>
      </c>
      <c r="AA139" t="n">
        <v>3.16</v>
      </c>
      <c r="AB139" t="n">
        <v>34.28</v>
      </c>
      <c r="AC139" t="n">
        <v>6.17</v>
      </c>
      <c r="AD139" t="n">
        <v>0</v>
      </c>
      <c r="AE139" t="n">
        <v>163.8</v>
      </c>
      <c r="AF139" t="n">
        <v>0</v>
      </c>
      <c r="AG139" t="n">
        <v>0</v>
      </c>
      <c r="AH139" t="n">
        <v>0.16</v>
      </c>
      <c r="AI139" t="n">
        <v>8.199999999999999</v>
      </c>
      <c r="AJ139" t="n">
        <v>-0.01</v>
      </c>
      <c r="AK139" t="n">
        <v>14.53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48.81</v>
      </c>
      <c r="AV139" t="n">
        <v>0</v>
      </c>
      <c r="AW139" t="n">
        <v>123.18</v>
      </c>
      <c r="AX139" t="inlineStr">
        <is>
          <t>settled</t>
        </is>
      </c>
      <c r="AY139" t="inlineStr">
        <is>
          <t>2025-12-17 05:30:00</t>
        </is>
      </c>
      <c r="AZ139" t="inlineStr">
        <is>
          <t>CITIN25671113204</t>
        </is>
      </c>
      <c r="BA139" t="n">
        <v>0</v>
      </c>
      <c r="BB139" t="inlineStr">
        <is>
          <t>331890ce2b59bd27bb04c0069c6e9eefa70329f7c3b66a65b15614ce25a86d83</t>
        </is>
      </c>
    </row>
    <row r="140">
      <c r="A140" t="inlineStr">
        <is>
          <t>480</t>
        </is>
      </c>
      <c r="B140" t="inlineStr">
        <is>
          <t>7562335587</t>
        </is>
      </c>
      <c r="C140" t="inlineStr">
        <is>
          <t>2025-12-10 17:07:44</t>
        </is>
      </c>
      <c r="D140" t="inlineStr">
        <is>
          <t>50</t>
        </is>
      </c>
      <c r="E140" t="inlineStr">
        <is>
          <t>Sha Sha - Shandaar Shawarma</t>
        </is>
      </c>
      <c r="F140" t="inlineStr">
        <is>
          <t>18557902</t>
        </is>
      </c>
      <c r="G140" t="inlineStr">
        <is>
          <t>30% off upto ₹75 (2025-06-25 - 2031-01-01)</t>
        </is>
      </c>
      <c r="H140" t="inlineStr">
        <is>
          <t>ONLINE</t>
        </is>
      </c>
      <c r="I140" t="inlineStr">
        <is>
          <t>DELIVERED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O2</t>
        </is>
      </c>
      <c r="N140" t="inlineStr">
        <is>
          <t>36</t>
        </is>
      </c>
      <c r="O140" t="n">
        <v>229</v>
      </c>
      <c r="P140" t="n">
        <v>3.5</v>
      </c>
      <c r="Q140" t="n">
        <v>0</v>
      </c>
      <c r="R140" t="n">
        <v>68.7</v>
      </c>
      <c r="S140" t="n">
        <v>0</v>
      </c>
      <c r="T140" t="n">
        <v>0</v>
      </c>
      <c r="U140" t="n">
        <v>0</v>
      </c>
      <c r="V140" t="n">
        <v>8.19</v>
      </c>
      <c r="W140" t="n">
        <v>171.99</v>
      </c>
      <c r="X140" t="n">
        <v>163.8</v>
      </c>
      <c r="Y140" t="n">
        <v>19</v>
      </c>
      <c r="Z140" t="n">
        <v>31.12</v>
      </c>
      <c r="AA140" t="n">
        <v>3.16</v>
      </c>
      <c r="AB140" t="n">
        <v>34.28</v>
      </c>
      <c r="AC140" t="n">
        <v>6.17</v>
      </c>
      <c r="AD140" t="n">
        <v>0</v>
      </c>
      <c r="AE140" t="n">
        <v>163.8</v>
      </c>
      <c r="AF140" t="n">
        <v>0</v>
      </c>
      <c r="AG140" t="n">
        <v>0</v>
      </c>
      <c r="AH140" t="n">
        <v>0.16</v>
      </c>
      <c r="AI140" t="n">
        <v>8.199999999999999</v>
      </c>
      <c r="AJ140" t="n">
        <v>-0.01</v>
      </c>
      <c r="AK140" t="n">
        <v>14.53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48.81</v>
      </c>
      <c r="AV140" t="n">
        <v>0</v>
      </c>
      <c r="AW140" t="n">
        <v>123.18</v>
      </c>
      <c r="AX140" t="inlineStr">
        <is>
          <t>settled</t>
        </is>
      </c>
      <c r="AY140" t="inlineStr">
        <is>
          <t>2025-12-17 05:30:00</t>
        </is>
      </c>
      <c r="AZ140" t="inlineStr">
        <is>
          <t>CITIN25671113204</t>
        </is>
      </c>
      <c r="BA140" t="n">
        <v>0</v>
      </c>
      <c r="BB140" t="inlineStr">
        <is>
          <t>d32027bb462e4bf5c980903513417fedb06b2936e45b29173a217b55efee9778</t>
        </is>
      </c>
    </row>
    <row r="141">
      <c r="A141" t="inlineStr">
        <is>
          <t>481</t>
        </is>
      </c>
      <c r="B141" t="inlineStr">
        <is>
          <t>7566219838</t>
        </is>
      </c>
      <c r="C141" t="inlineStr">
        <is>
          <t>2025-12-10 17:55:31</t>
        </is>
      </c>
      <c r="D141" t="inlineStr">
        <is>
          <t>50</t>
        </is>
      </c>
      <c r="E141" t="inlineStr">
        <is>
          <t>Sha Sha - Shandaar Shawarma</t>
        </is>
      </c>
      <c r="F141" t="inlineStr">
        <is>
          <t>18557902</t>
        </is>
      </c>
      <c r="G141" t="inlineStr">
        <is>
          <t>30% off upto ₹75 (2025-06-25 - 2031-01-01)</t>
        </is>
      </c>
      <c r="H141" t="inlineStr">
        <is>
          <t>ONLINE</t>
        </is>
      </c>
      <c r="I141" t="inlineStr">
        <is>
          <t>DELIVERED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O2</t>
        </is>
      </c>
      <c r="N141" t="inlineStr">
        <is>
          <t>36</t>
        </is>
      </c>
      <c r="O141" t="n">
        <v>219</v>
      </c>
      <c r="P141" t="n">
        <v>3.5</v>
      </c>
      <c r="Q141" t="n">
        <v>0</v>
      </c>
      <c r="R141" t="n">
        <v>65.7</v>
      </c>
      <c r="S141" t="n">
        <v>0</v>
      </c>
      <c r="T141" t="n">
        <v>0</v>
      </c>
      <c r="U141" t="n">
        <v>0</v>
      </c>
      <c r="V141" t="n">
        <v>7.84</v>
      </c>
      <c r="W141" t="n">
        <v>164.64</v>
      </c>
      <c r="X141" t="n">
        <v>156.8</v>
      </c>
      <c r="Y141" t="n">
        <v>19</v>
      </c>
      <c r="Z141" t="n">
        <v>29.79</v>
      </c>
      <c r="AA141" t="n">
        <v>3.03</v>
      </c>
      <c r="AB141" t="n">
        <v>32.82</v>
      </c>
      <c r="AC141" t="n">
        <v>5.91</v>
      </c>
      <c r="AD141" t="n">
        <v>0</v>
      </c>
      <c r="AE141" t="n">
        <v>156.8</v>
      </c>
      <c r="AF141" t="n">
        <v>0</v>
      </c>
      <c r="AG141" t="n">
        <v>0</v>
      </c>
      <c r="AH141" t="n">
        <v>0.16</v>
      </c>
      <c r="AI141" t="n">
        <v>7.85</v>
      </c>
      <c r="AJ141" t="n">
        <v>-0.01</v>
      </c>
      <c r="AK141" t="n">
        <v>13.92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46.74</v>
      </c>
      <c r="AV141" t="n">
        <v>0</v>
      </c>
      <c r="AW141" t="n">
        <v>117.9</v>
      </c>
      <c r="AX141" t="inlineStr">
        <is>
          <t>settled</t>
        </is>
      </c>
      <c r="AY141" t="inlineStr">
        <is>
          <t>2025-12-17 05:30:00</t>
        </is>
      </c>
      <c r="AZ141" t="inlineStr">
        <is>
          <t>CITIN25671113204</t>
        </is>
      </c>
      <c r="BA141" t="n">
        <v>0</v>
      </c>
      <c r="BB141" t="inlineStr">
        <is>
          <t>e56af2f6af1927492081ad3444634ccbbbcf180657839c4fc314bb2bb5a42b1b</t>
        </is>
      </c>
    </row>
    <row r="142">
      <c r="A142" t="inlineStr">
        <is>
          <t>482</t>
        </is>
      </c>
      <c r="B142" t="inlineStr">
        <is>
          <t>7566737238</t>
        </is>
      </c>
      <c r="C142" t="inlineStr">
        <is>
          <t>2025-12-10 18:31:52</t>
        </is>
      </c>
      <c r="D142" t="inlineStr">
        <is>
          <t>50</t>
        </is>
      </c>
      <c r="E142" t="inlineStr">
        <is>
          <t>Sha Sha - Shandaar Shawarma</t>
        </is>
      </c>
      <c r="F142" t="inlineStr">
        <is>
          <t>18557902</t>
        </is>
      </c>
      <c r="G142" t="inlineStr">
        <is>
          <t>30% off upto ₹75 (2025-06-25 - 2031-01-01)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O2</t>
        </is>
      </c>
      <c r="N142" t="inlineStr">
        <is>
          <t>36</t>
        </is>
      </c>
      <c r="O142" t="n">
        <v>328</v>
      </c>
      <c r="P142" t="n">
        <v>3.5</v>
      </c>
      <c r="Q142" t="n">
        <v>0</v>
      </c>
      <c r="R142" t="n">
        <v>75</v>
      </c>
      <c r="S142" t="n">
        <v>0</v>
      </c>
      <c r="T142" t="n">
        <v>0</v>
      </c>
      <c r="U142" t="n">
        <v>0</v>
      </c>
      <c r="V142" t="n">
        <v>12.83</v>
      </c>
      <c r="W142" t="n">
        <v>269.33</v>
      </c>
      <c r="X142" t="n">
        <v>256.5</v>
      </c>
      <c r="Y142" t="n">
        <v>19</v>
      </c>
      <c r="Z142" t="n">
        <v>48.74</v>
      </c>
      <c r="AA142" t="n">
        <v>4.96</v>
      </c>
      <c r="AB142" t="n">
        <v>53.7</v>
      </c>
      <c r="AC142" t="n">
        <v>9.66</v>
      </c>
      <c r="AD142" t="n">
        <v>0</v>
      </c>
      <c r="AE142" t="n">
        <v>256.5</v>
      </c>
      <c r="AF142" t="n">
        <v>0</v>
      </c>
      <c r="AG142" t="n">
        <v>0</v>
      </c>
      <c r="AH142" t="n">
        <v>0.26</v>
      </c>
      <c r="AI142" t="n">
        <v>12.83</v>
      </c>
      <c r="AJ142" t="n">
        <v>0</v>
      </c>
      <c r="AK142" t="n">
        <v>22.75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76.45</v>
      </c>
      <c r="AV142" t="n">
        <v>0</v>
      </c>
      <c r="AW142" t="n">
        <v>192.88</v>
      </c>
      <c r="AX142" t="inlineStr">
        <is>
          <t>settled</t>
        </is>
      </c>
      <c r="AY142" t="inlineStr">
        <is>
          <t>2025-12-17 05:30:00</t>
        </is>
      </c>
      <c r="AZ142" t="inlineStr">
        <is>
          <t>CITIN25671113204</t>
        </is>
      </c>
      <c r="BA142" t="n">
        <v>0</v>
      </c>
      <c r="BB142" t="inlineStr">
        <is>
          <t>b5f62c054d25de44eae60d8510a3c8da44c1427d4d6430802b0f1e8e3d19cbaf</t>
        </is>
      </c>
    </row>
    <row r="143">
      <c r="A143" t="inlineStr">
        <is>
          <t>483</t>
        </is>
      </c>
      <c r="B143" t="inlineStr">
        <is>
          <t>7564952432</t>
        </is>
      </c>
      <c r="C143" t="inlineStr">
        <is>
          <t>2025-12-10 18:50:42</t>
        </is>
      </c>
      <c r="D143" t="inlineStr">
        <is>
          <t>50</t>
        </is>
      </c>
      <c r="E143" t="inlineStr">
        <is>
          <t>Sha Sha - Shandaar Shawarma</t>
        </is>
      </c>
      <c r="F143" t="inlineStr">
        <is>
          <t>18557902</t>
        </is>
      </c>
      <c r="G143" t="inlineStr">
        <is>
          <t>30% off upto ₹75 (2025-06-25 - 2031-01-01)</t>
        </is>
      </c>
      <c r="H143" t="inlineStr">
        <is>
          <t>ONLINE</t>
        </is>
      </c>
      <c r="I143" t="inlineStr">
        <is>
          <t>DELIVERED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O2</t>
        </is>
      </c>
      <c r="N143" t="inlineStr">
        <is>
          <t>36</t>
        </is>
      </c>
      <c r="O143" t="n">
        <v>219</v>
      </c>
      <c r="P143" t="n">
        <v>3.5</v>
      </c>
      <c r="Q143" t="n">
        <v>0</v>
      </c>
      <c r="R143" t="n">
        <v>65.7</v>
      </c>
      <c r="S143" t="n">
        <v>0</v>
      </c>
      <c r="T143" t="n">
        <v>0</v>
      </c>
      <c r="U143" t="n">
        <v>0</v>
      </c>
      <c r="V143" t="n">
        <v>7.84</v>
      </c>
      <c r="W143" t="n">
        <v>164.64</v>
      </c>
      <c r="X143" t="n">
        <v>156.8</v>
      </c>
      <c r="Y143" t="n">
        <v>19</v>
      </c>
      <c r="Z143" t="n">
        <v>29.79</v>
      </c>
      <c r="AA143" t="n">
        <v>3.03</v>
      </c>
      <c r="AB143" t="n">
        <v>32.82</v>
      </c>
      <c r="AC143" t="n">
        <v>5.91</v>
      </c>
      <c r="AD143" t="n">
        <v>0</v>
      </c>
      <c r="AE143" t="n">
        <v>156.8</v>
      </c>
      <c r="AF143" t="n">
        <v>0</v>
      </c>
      <c r="AG143" t="n">
        <v>0</v>
      </c>
      <c r="AH143" t="n">
        <v>0.16</v>
      </c>
      <c r="AI143" t="n">
        <v>7.85</v>
      </c>
      <c r="AJ143" t="n">
        <v>-0.01</v>
      </c>
      <c r="AK143" t="n">
        <v>13.92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46.74</v>
      </c>
      <c r="AV143" t="n">
        <v>0</v>
      </c>
      <c r="AW143" t="n">
        <v>117.9</v>
      </c>
      <c r="AX143" t="inlineStr">
        <is>
          <t>settled</t>
        </is>
      </c>
      <c r="AY143" t="inlineStr">
        <is>
          <t>2025-12-17 05:30:00</t>
        </is>
      </c>
      <c r="AZ143" t="inlineStr">
        <is>
          <t>CITIN25671113204</t>
        </is>
      </c>
      <c r="BA143" t="n">
        <v>0</v>
      </c>
      <c r="BB143" t="inlineStr">
        <is>
          <t>d10119f780d06d770ccfac9b20a83f1ed1b8b7aa5db2962af18e4949d1399b4c</t>
        </is>
      </c>
    </row>
    <row r="144">
      <c r="A144" t="inlineStr">
        <is>
          <t>484</t>
        </is>
      </c>
      <c r="B144" t="inlineStr">
        <is>
          <t>7568628792</t>
        </is>
      </c>
      <c r="C144" t="inlineStr">
        <is>
          <t>2025-12-10 19:00:51</t>
        </is>
      </c>
      <c r="D144" t="inlineStr">
        <is>
          <t>50</t>
        </is>
      </c>
      <c r="E144" t="inlineStr">
        <is>
          <t>Sha Sha - Shandaar Shawarma</t>
        </is>
      </c>
      <c r="F144" t="inlineStr">
        <is>
          <t>18557902</t>
        </is>
      </c>
      <c r="G144" t="inlineStr">
        <is>
          <t>30% off upto ₹75 (2025-06-25 - 2031-01-01)</t>
        </is>
      </c>
      <c r="H144" t="inlineStr">
        <is>
          <t>ONLINE</t>
        </is>
      </c>
      <c r="I144" t="inlineStr">
        <is>
          <t>DELIVERED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O2</t>
        </is>
      </c>
      <c r="N144" t="inlineStr">
        <is>
          <t>36</t>
        </is>
      </c>
      <c r="O144" t="n">
        <v>219</v>
      </c>
      <c r="P144" t="n">
        <v>3.5</v>
      </c>
      <c r="Q144" t="n">
        <v>0</v>
      </c>
      <c r="R144" t="n">
        <v>65.7</v>
      </c>
      <c r="S144" t="n">
        <v>0</v>
      </c>
      <c r="T144" t="n">
        <v>0</v>
      </c>
      <c r="U144" t="n">
        <v>0</v>
      </c>
      <c r="V144" t="n">
        <v>7.84</v>
      </c>
      <c r="W144" t="n">
        <v>164.64</v>
      </c>
      <c r="X144" t="n">
        <v>156.8</v>
      </c>
      <c r="Y144" t="n">
        <v>19</v>
      </c>
      <c r="Z144" t="n">
        <v>29.79</v>
      </c>
      <c r="AA144" t="n">
        <v>3.03</v>
      </c>
      <c r="AB144" t="n">
        <v>32.82</v>
      </c>
      <c r="AC144" t="n">
        <v>5.91</v>
      </c>
      <c r="AD144" t="n">
        <v>0</v>
      </c>
      <c r="AE144" t="n">
        <v>156.8</v>
      </c>
      <c r="AF144" t="n">
        <v>0</v>
      </c>
      <c r="AG144" t="n">
        <v>0</v>
      </c>
      <c r="AH144" t="n">
        <v>0.16</v>
      </c>
      <c r="AI144" t="n">
        <v>7.85</v>
      </c>
      <c r="AJ144" t="n">
        <v>-0.01</v>
      </c>
      <c r="AK144" t="n">
        <v>13.92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46.74</v>
      </c>
      <c r="AV144" t="n">
        <v>0</v>
      </c>
      <c r="AW144" t="n">
        <v>117.9</v>
      </c>
      <c r="AX144" t="inlineStr">
        <is>
          <t>settled</t>
        </is>
      </c>
      <c r="AY144" t="inlineStr">
        <is>
          <t>2025-12-17 05:30:00</t>
        </is>
      </c>
      <c r="AZ144" t="inlineStr">
        <is>
          <t>CITIN25671113204</t>
        </is>
      </c>
      <c r="BA144" t="n">
        <v>0</v>
      </c>
      <c r="BB144" t="inlineStr">
        <is>
          <t>55e6341fbdde05000fe63510931d24845a9b8fdda623ad613a6fbcdeff04a33f</t>
        </is>
      </c>
    </row>
    <row r="145">
      <c r="A145" t="inlineStr">
        <is>
          <t>485</t>
        </is>
      </c>
      <c r="B145" t="inlineStr">
        <is>
          <t>7568986786</t>
        </is>
      </c>
      <c r="C145" t="inlineStr">
        <is>
          <t>2025-12-10 19:02:09</t>
        </is>
      </c>
      <c r="D145" t="inlineStr">
        <is>
          <t>50</t>
        </is>
      </c>
      <c r="E145" t="inlineStr">
        <is>
          <t>Sha Sha - Shandaar Shawarma</t>
        </is>
      </c>
      <c r="F145" t="inlineStr">
        <is>
          <t>18557902</t>
        </is>
      </c>
      <c r="G145" t="inlineStr">
        <is>
          <t>30% off upto ₹75 (2025-06-25 - 2031-01-01)</t>
        </is>
      </c>
      <c r="H145" t="inlineStr">
        <is>
          <t>ONLINE</t>
        </is>
      </c>
      <c r="I145" t="inlineStr">
        <is>
          <t>DELIVERED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O2</t>
        </is>
      </c>
      <c r="N145" t="inlineStr">
        <is>
          <t>36</t>
        </is>
      </c>
      <c r="O145" t="n">
        <v>229</v>
      </c>
      <c r="P145" t="n">
        <v>3.5</v>
      </c>
      <c r="Q145" t="n">
        <v>0</v>
      </c>
      <c r="R145" t="n">
        <v>68.7</v>
      </c>
      <c r="S145" t="n">
        <v>0</v>
      </c>
      <c r="T145" t="n">
        <v>0</v>
      </c>
      <c r="U145" t="n">
        <v>0</v>
      </c>
      <c r="V145" t="n">
        <v>8.19</v>
      </c>
      <c r="W145" t="n">
        <v>171.99</v>
      </c>
      <c r="X145" t="n">
        <v>163.8</v>
      </c>
      <c r="Y145" t="n">
        <v>19</v>
      </c>
      <c r="Z145" t="n">
        <v>31.12</v>
      </c>
      <c r="AA145" t="n">
        <v>3.16</v>
      </c>
      <c r="AB145" t="n">
        <v>34.28</v>
      </c>
      <c r="AC145" t="n">
        <v>6.17</v>
      </c>
      <c r="AD145" t="n">
        <v>0</v>
      </c>
      <c r="AE145" t="n">
        <v>163.8</v>
      </c>
      <c r="AF145" t="n">
        <v>0</v>
      </c>
      <c r="AG145" t="n">
        <v>0</v>
      </c>
      <c r="AH145" t="n">
        <v>0.16</v>
      </c>
      <c r="AI145" t="n">
        <v>8.199999999999999</v>
      </c>
      <c r="AJ145" t="n">
        <v>-0.01</v>
      </c>
      <c r="AK145" t="n">
        <v>14.53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48.81</v>
      </c>
      <c r="AV145" t="n">
        <v>0</v>
      </c>
      <c r="AW145" t="n">
        <v>123.18</v>
      </c>
      <c r="AX145" t="inlineStr">
        <is>
          <t>settled</t>
        </is>
      </c>
      <c r="AY145" t="inlineStr">
        <is>
          <t>2025-12-17 05:30:00</t>
        </is>
      </c>
      <c r="AZ145" t="inlineStr">
        <is>
          <t>CITIN25671113204</t>
        </is>
      </c>
      <c r="BA145" t="n">
        <v>0</v>
      </c>
      <c r="BB145" t="inlineStr">
        <is>
          <t>40a2efb6f741e4e974249f9fd9f19d546d38e3dd4d1199d679ae21fefc8dd2e7</t>
        </is>
      </c>
    </row>
    <row r="146">
      <c r="A146" t="inlineStr">
        <is>
          <t>486</t>
        </is>
      </c>
      <c r="B146" t="inlineStr">
        <is>
          <t>7558362066</t>
        </is>
      </c>
      <c r="C146" t="inlineStr">
        <is>
          <t>2025-12-10 19:21:07</t>
        </is>
      </c>
      <c r="D146" t="inlineStr">
        <is>
          <t>50</t>
        </is>
      </c>
      <c r="E146" t="inlineStr">
        <is>
          <t>Sha Sha - Shandaar Shawarma</t>
        </is>
      </c>
      <c r="F146" t="inlineStr">
        <is>
          <t>18557902</t>
        </is>
      </c>
      <c r="G146" t="inlineStr">
        <is>
          <t>30% off upto ₹75 (2025-06-25 - 2031-01-01)</t>
        </is>
      </c>
      <c r="H146" t="inlineStr">
        <is>
          <t>ONLINE</t>
        </is>
      </c>
      <c r="I146" t="inlineStr">
        <is>
          <t>DELIVERED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O2</t>
        </is>
      </c>
      <c r="N146" t="inlineStr">
        <is>
          <t>36</t>
        </is>
      </c>
      <c r="O146" t="n">
        <v>229</v>
      </c>
      <c r="P146" t="n">
        <v>3.5</v>
      </c>
      <c r="Q146" t="n">
        <v>0</v>
      </c>
      <c r="R146" t="n">
        <v>68.7</v>
      </c>
      <c r="S146" t="n">
        <v>0</v>
      </c>
      <c r="T146" t="n">
        <v>0</v>
      </c>
      <c r="U146" t="n">
        <v>0</v>
      </c>
      <c r="V146" t="n">
        <v>8.19</v>
      </c>
      <c r="W146" t="n">
        <v>171.99</v>
      </c>
      <c r="X146" t="n">
        <v>163.8</v>
      </c>
      <c r="Y146" t="n">
        <v>19</v>
      </c>
      <c r="Z146" t="n">
        <v>31.12</v>
      </c>
      <c r="AA146" t="n">
        <v>3.16</v>
      </c>
      <c r="AB146" t="n">
        <v>34.28</v>
      </c>
      <c r="AC146" t="n">
        <v>6.17</v>
      </c>
      <c r="AD146" t="n">
        <v>0</v>
      </c>
      <c r="AE146" t="n">
        <v>163.8</v>
      </c>
      <c r="AF146" t="n">
        <v>0</v>
      </c>
      <c r="AG146" t="n">
        <v>0</v>
      </c>
      <c r="AH146" t="n">
        <v>0.16</v>
      </c>
      <c r="AI146" t="n">
        <v>8.199999999999999</v>
      </c>
      <c r="AJ146" t="n">
        <v>-0.01</v>
      </c>
      <c r="AK146" t="n">
        <v>14.53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48.81</v>
      </c>
      <c r="AV146" t="n">
        <v>0</v>
      </c>
      <c r="AW146" t="n">
        <v>123.18</v>
      </c>
      <c r="AX146" t="inlineStr">
        <is>
          <t>settled</t>
        </is>
      </c>
      <c r="AY146" t="inlineStr">
        <is>
          <t>2025-12-17 05:30:00</t>
        </is>
      </c>
      <c r="AZ146" t="inlineStr">
        <is>
          <t>CITIN25671113204</t>
        </is>
      </c>
      <c r="BA146" t="n">
        <v>0</v>
      </c>
      <c r="BB146" t="inlineStr">
        <is>
          <t>0581adeb5f88fbe3d0d63e141e3f43d8603887c749a03cedfdc08d4fd6b30c9b</t>
        </is>
      </c>
    </row>
    <row r="147">
      <c r="A147" t="inlineStr">
        <is>
          <t>487</t>
        </is>
      </c>
      <c r="B147" t="inlineStr">
        <is>
          <t>7560571767</t>
        </is>
      </c>
      <c r="C147" t="inlineStr">
        <is>
          <t>2025-12-10 19:31:38</t>
        </is>
      </c>
      <c r="D147" t="inlineStr">
        <is>
          <t>50</t>
        </is>
      </c>
      <c r="E147" t="inlineStr">
        <is>
          <t>Sha Sha - Shandaar Shawarma</t>
        </is>
      </c>
      <c r="F147" t="inlineStr">
        <is>
          <t>18557902</t>
        </is>
      </c>
      <c r="G147" t="inlineStr">
        <is>
          <t>NA</t>
        </is>
      </c>
      <c r="H147" t="inlineStr">
        <is>
          <t>ONLINE</t>
        </is>
      </c>
      <c r="I147" t="inlineStr">
        <is>
          <t>DELIVERED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O2</t>
        </is>
      </c>
      <c r="N147" t="inlineStr">
        <is>
          <t>36</t>
        </is>
      </c>
      <c r="O147" t="n">
        <v>229</v>
      </c>
      <c r="P147" t="n">
        <v>3.5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11.63</v>
      </c>
      <c r="W147" t="n">
        <v>244.13</v>
      </c>
      <c r="X147" t="n">
        <v>232.5</v>
      </c>
      <c r="Y147" t="n">
        <v>19</v>
      </c>
      <c r="Z147" t="n">
        <v>44.18</v>
      </c>
      <c r="AA147" t="n">
        <v>4.49</v>
      </c>
      <c r="AB147" t="n">
        <v>48.67</v>
      </c>
      <c r="AC147" t="n">
        <v>8.76</v>
      </c>
      <c r="AD147" t="n">
        <v>0</v>
      </c>
      <c r="AE147" t="n">
        <v>232.5</v>
      </c>
      <c r="AF147" t="n">
        <v>0</v>
      </c>
      <c r="AG147" t="n">
        <v>0</v>
      </c>
      <c r="AH147" t="n">
        <v>0.23</v>
      </c>
      <c r="AI147" t="n">
        <v>11.63</v>
      </c>
      <c r="AJ147" t="n">
        <v>0</v>
      </c>
      <c r="AK147" t="n">
        <v>20.62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69.29000000000001</v>
      </c>
      <c r="AV147" t="n">
        <v>0</v>
      </c>
      <c r="AW147" t="n">
        <v>174.84</v>
      </c>
      <c r="AX147" t="inlineStr">
        <is>
          <t>settled</t>
        </is>
      </c>
      <c r="AY147" t="inlineStr">
        <is>
          <t>2025-12-17 05:30:00</t>
        </is>
      </c>
      <c r="AZ147" t="inlineStr">
        <is>
          <t>CITIN25671113204</t>
        </is>
      </c>
      <c r="BA147" t="n">
        <v>0</v>
      </c>
      <c r="BB147" t="inlineStr">
        <is>
          <t>efc1b57bd6677d4f0cb40bd72db86687c7d0f68d57889341c096b057893308a9</t>
        </is>
      </c>
    </row>
    <row r="148">
      <c r="A148" t="inlineStr">
        <is>
          <t>488</t>
        </is>
      </c>
      <c r="B148" t="inlineStr">
        <is>
          <t>7565694577</t>
        </is>
      </c>
      <c r="C148" t="inlineStr">
        <is>
          <t>2025-12-10 20:07:18</t>
        </is>
      </c>
      <c r="D148" t="inlineStr">
        <is>
          <t>50</t>
        </is>
      </c>
      <c r="E148" t="inlineStr">
        <is>
          <t>Sha Sha - Shandaar Shawarma</t>
        </is>
      </c>
      <c r="F148" t="inlineStr">
        <is>
          <t>18557902</t>
        </is>
      </c>
      <c r="G148" t="inlineStr">
        <is>
          <t>30% off upto ₹75 (2025-06-25 - 2031-01-01)</t>
        </is>
      </c>
      <c r="H148" t="inlineStr">
        <is>
          <t>ONLINE</t>
        </is>
      </c>
      <c r="I148" t="inlineStr">
        <is>
          <t>DELIVERED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O2</t>
        </is>
      </c>
      <c r="N148" t="inlineStr">
        <is>
          <t>36</t>
        </is>
      </c>
      <c r="O148" t="n">
        <v>229</v>
      </c>
      <c r="P148" t="n">
        <v>3.5</v>
      </c>
      <c r="Q148" t="n">
        <v>0</v>
      </c>
      <c r="R148" t="n">
        <v>68.7</v>
      </c>
      <c r="S148" t="n">
        <v>0</v>
      </c>
      <c r="T148" t="n">
        <v>0</v>
      </c>
      <c r="U148" t="n">
        <v>0</v>
      </c>
      <c r="V148" t="n">
        <v>8.19</v>
      </c>
      <c r="W148" t="n">
        <v>171.99</v>
      </c>
      <c r="X148" t="n">
        <v>163.8</v>
      </c>
      <c r="Y148" t="n">
        <v>19</v>
      </c>
      <c r="Z148" t="n">
        <v>31.12</v>
      </c>
      <c r="AA148" t="n">
        <v>3.16</v>
      </c>
      <c r="AB148" t="n">
        <v>34.28</v>
      </c>
      <c r="AC148" t="n">
        <v>6.17</v>
      </c>
      <c r="AD148" t="n">
        <v>0</v>
      </c>
      <c r="AE148" t="n">
        <v>163.8</v>
      </c>
      <c r="AF148" t="n">
        <v>0</v>
      </c>
      <c r="AG148" t="n">
        <v>0</v>
      </c>
      <c r="AH148" t="n">
        <v>0.16</v>
      </c>
      <c r="AI148" t="n">
        <v>8.199999999999999</v>
      </c>
      <c r="AJ148" t="n">
        <v>-0.01</v>
      </c>
      <c r="AK148" t="n">
        <v>14.53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48.81</v>
      </c>
      <c r="AV148" t="n">
        <v>0</v>
      </c>
      <c r="AW148" t="n">
        <v>123.18</v>
      </c>
      <c r="AX148" t="inlineStr">
        <is>
          <t>settled</t>
        </is>
      </c>
      <c r="AY148" t="inlineStr">
        <is>
          <t>2025-12-17 05:30:00</t>
        </is>
      </c>
      <c r="AZ148" t="inlineStr">
        <is>
          <t>CITIN25671113204</t>
        </is>
      </c>
      <c r="BA148" t="n">
        <v>0</v>
      </c>
      <c r="BB148" t="inlineStr">
        <is>
          <t>db8cc3d58cc23f5e9e88ae7c8040f0ad24d725714a290a17d6822bd2564c992a</t>
        </is>
      </c>
    </row>
    <row r="149">
      <c r="A149" t="inlineStr">
        <is>
          <t>489</t>
        </is>
      </c>
      <c r="B149" t="inlineStr">
        <is>
          <t>7568019788</t>
        </is>
      </c>
      <c r="C149" t="inlineStr">
        <is>
          <t>2025-12-10 20:34:01</t>
        </is>
      </c>
      <c r="D149" t="inlineStr">
        <is>
          <t>50</t>
        </is>
      </c>
      <c r="E149" t="inlineStr">
        <is>
          <t>Sha Sha - Shandaar Shawarma</t>
        </is>
      </c>
      <c r="F149" t="inlineStr">
        <is>
          <t>18557902</t>
        </is>
      </c>
      <c r="G149" t="inlineStr">
        <is>
          <t>30% off upto ₹75 (2025-06-25 - 2031-01-01)</t>
        </is>
      </c>
      <c r="H149" t="inlineStr">
        <is>
          <t>ONLINE</t>
        </is>
      </c>
      <c r="I149" t="inlineStr">
        <is>
          <t>DELIVERED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O2</t>
        </is>
      </c>
      <c r="N149" t="inlineStr">
        <is>
          <t>36</t>
        </is>
      </c>
      <c r="O149" t="n">
        <v>219</v>
      </c>
      <c r="P149" t="n">
        <v>3.5</v>
      </c>
      <c r="Q149" t="n">
        <v>0</v>
      </c>
      <c r="R149" t="n">
        <v>65.7</v>
      </c>
      <c r="S149" t="n">
        <v>0</v>
      </c>
      <c r="T149" t="n">
        <v>0</v>
      </c>
      <c r="U149" t="n">
        <v>0</v>
      </c>
      <c r="V149" t="n">
        <v>7.84</v>
      </c>
      <c r="W149" t="n">
        <v>164.64</v>
      </c>
      <c r="X149" t="n">
        <v>156.8</v>
      </c>
      <c r="Y149" t="n">
        <v>19</v>
      </c>
      <c r="Z149" t="n">
        <v>29.79</v>
      </c>
      <c r="AA149" t="n">
        <v>3.03</v>
      </c>
      <c r="AB149" t="n">
        <v>32.82</v>
      </c>
      <c r="AC149" t="n">
        <v>5.91</v>
      </c>
      <c r="AD149" t="n">
        <v>0</v>
      </c>
      <c r="AE149" t="n">
        <v>156.8</v>
      </c>
      <c r="AF149" t="n">
        <v>0</v>
      </c>
      <c r="AG149" t="n">
        <v>0</v>
      </c>
      <c r="AH149" t="n">
        <v>0.16</v>
      </c>
      <c r="AI149" t="n">
        <v>7.85</v>
      </c>
      <c r="AJ149" t="n">
        <v>-0.01</v>
      </c>
      <c r="AK149" t="n">
        <v>13.92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46.74</v>
      </c>
      <c r="AV149" t="n">
        <v>0</v>
      </c>
      <c r="AW149" t="n">
        <v>117.9</v>
      </c>
      <c r="AX149" t="inlineStr">
        <is>
          <t>settled</t>
        </is>
      </c>
      <c r="AY149" t="inlineStr">
        <is>
          <t>2025-12-17 05:30:00</t>
        </is>
      </c>
      <c r="AZ149" t="inlineStr">
        <is>
          <t>CITIN25671113204</t>
        </is>
      </c>
      <c r="BA149" t="n">
        <v>0</v>
      </c>
      <c r="BB149" t="inlineStr">
        <is>
          <t>933b68f815dc4944d030c6d80a0ac6ab938d7f2cf49bde6a68666fafe46e1b80</t>
        </is>
      </c>
    </row>
    <row r="150">
      <c r="A150" t="inlineStr">
        <is>
          <t>490</t>
        </is>
      </c>
      <c r="B150" t="inlineStr">
        <is>
          <t>7567810476</t>
        </is>
      </c>
      <c r="C150" t="inlineStr">
        <is>
          <t>2025-12-10 20:57:18</t>
        </is>
      </c>
      <c r="D150" t="inlineStr">
        <is>
          <t>50</t>
        </is>
      </c>
      <c r="E150" t="inlineStr">
        <is>
          <t>Sha Sha - Shandaar Shawarma</t>
        </is>
      </c>
      <c r="F150" t="inlineStr">
        <is>
          <t>18557902</t>
        </is>
      </c>
      <c r="G150" t="inlineStr">
        <is>
          <t>NA</t>
        </is>
      </c>
      <c r="H150" t="inlineStr">
        <is>
          <t>ONLINE</t>
        </is>
      </c>
      <c r="I150" t="inlineStr">
        <is>
          <t>DELIVERED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O2</t>
        </is>
      </c>
      <c r="N150" t="inlineStr">
        <is>
          <t>36</t>
        </is>
      </c>
      <c r="O150" t="n">
        <v>219</v>
      </c>
      <c r="P150" t="n">
        <v>3.5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11.13</v>
      </c>
      <c r="W150" t="n">
        <v>233.63</v>
      </c>
      <c r="X150" t="n">
        <v>222.5</v>
      </c>
      <c r="Y150" t="n">
        <v>19</v>
      </c>
      <c r="Z150" t="n">
        <v>42.28</v>
      </c>
      <c r="AA150" t="n">
        <v>4.3</v>
      </c>
      <c r="AB150" t="n">
        <v>46.58</v>
      </c>
      <c r="AC150" t="n">
        <v>8.380000000000001</v>
      </c>
      <c r="AD150" t="n">
        <v>0</v>
      </c>
      <c r="AE150" t="n">
        <v>222.5</v>
      </c>
      <c r="AF150" t="n">
        <v>0</v>
      </c>
      <c r="AG150" t="n">
        <v>0</v>
      </c>
      <c r="AH150" t="n">
        <v>0.22</v>
      </c>
      <c r="AI150" t="n">
        <v>11.13</v>
      </c>
      <c r="AJ150" t="n">
        <v>0</v>
      </c>
      <c r="AK150" t="n">
        <v>19.73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66.31</v>
      </c>
      <c r="AV150" t="n">
        <v>0</v>
      </c>
      <c r="AW150" t="n">
        <v>167.32</v>
      </c>
      <c r="AX150" t="inlineStr">
        <is>
          <t>settled</t>
        </is>
      </c>
      <c r="AY150" t="inlineStr">
        <is>
          <t>2025-12-17 05:30:00</t>
        </is>
      </c>
      <c r="AZ150" t="inlineStr">
        <is>
          <t>CITIN25671113204</t>
        </is>
      </c>
      <c r="BA150" t="n">
        <v>0</v>
      </c>
      <c r="BB150" t="inlineStr">
        <is>
          <t>eb50bedbd8614ef8d56627d5757115ee5ff9bc54ee679f138a2ec0be0fda1a1a</t>
        </is>
      </c>
    </row>
    <row r="151">
      <c r="A151" t="inlineStr">
        <is>
          <t>491</t>
        </is>
      </c>
      <c r="B151" t="inlineStr">
        <is>
          <t>7558245839</t>
        </is>
      </c>
      <c r="C151" t="inlineStr">
        <is>
          <t>2025-12-10 21:26:56</t>
        </is>
      </c>
      <c r="D151" t="inlineStr">
        <is>
          <t>50</t>
        </is>
      </c>
      <c r="E151" t="inlineStr">
        <is>
          <t>Sha Sha - Shandaar Shawarma</t>
        </is>
      </c>
      <c r="F151" t="inlineStr">
        <is>
          <t>18557902</t>
        </is>
      </c>
      <c r="G151" t="inlineStr">
        <is>
          <t>30% off upto ₹75 (2025-06-25 - 2031-01-01)</t>
        </is>
      </c>
      <c r="H151" t="inlineStr">
        <is>
          <t>ONLINE</t>
        </is>
      </c>
      <c r="I151" t="inlineStr">
        <is>
          <t>DELIVERED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O2</t>
        </is>
      </c>
      <c r="N151" t="inlineStr">
        <is>
          <t>36</t>
        </is>
      </c>
      <c r="O151" t="n">
        <v>229</v>
      </c>
      <c r="P151" t="n">
        <v>3.5</v>
      </c>
      <c r="Q151" t="n">
        <v>0</v>
      </c>
      <c r="R151" t="n">
        <v>68.7</v>
      </c>
      <c r="S151" t="n">
        <v>0</v>
      </c>
      <c r="T151" t="n">
        <v>0</v>
      </c>
      <c r="U151" t="n">
        <v>0</v>
      </c>
      <c r="V151" t="n">
        <v>8.19</v>
      </c>
      <c r="W151" t="n">
        <v>171.99</v>
      </c>
      <c r="X151" t="n">
        <v>163.8</v>
      </c>
      <c r="Y151" t="n">
        <v>19</v>
      </c>
      <c r="Z151" t="n">
        <v>31.12</v>
      </c>
      <c r="AA151" t="n">
        <v>3.16</v>
      </c>
      <c r="AB151" t="n">
        <v>34.28</v>
      </c>
      <c r="AC151" t="n">
        <v>6.17</v>
      </c>
      <c r="AD151" t="n">
        <v>0</v>
      </c>
      <c r="AE151" t="n">
        <v>163.8</v>
      </c>
      <c r="AF151" t="n">
        <v>0</v>
      </c>
      <c r="AG151" t="n">
        <v>0</v>
      </c>
      <c r="AH151" t="n">
        <v>0.16</v>
      </c>
      <c r="AI151" t="n">
        <v>8.199999999999999</v>
      </c>
      <c r="AJ151" t="n">
        <v>-0.01</v>
      </c>
      <c r="AK151" t="n">
        <v>14.53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48.81</v>
      </c>
      <c r="AV151" t="n">
        <v>0</v>
      </c>
      <c r="AW151" t="n">
        <v>123.18</v>
      </c>
      <c r="AX151" t="inlineStr">
        <is>
          <t>settled</t>
        </is>
      </c>
      <c r="AY151" t="inlineStr">
        <is>
          <t>2025-12-17 05:30:00</t>
        </is>
      </c>
      <c r="AZ151" t="inlineStr">
        <is>
          <t>CITIN25671113204</t>
        </is>
      </c>
      <c r="BA151" t="n">
        <v>0</v>
      </c>
      <c r="BB151" t="inlineStr">
        <is>
          <t>dc1a9a0b67abfe0239ce15ca66cf8972216d61370fde4e54456a492ea8ddf66b</t>
        </is>
      </c>
    </row>
    <row r="152">
      <c r="A152" t="inlineStr">
        <is>
          <t>492</t>
        </is>
      </c>
      <c r="B152" t="inlineStr">
        <is>
          <t>7566481297</t>
        </is>
      </c>
      <c r="C152" t="inlineStr">
        <is>
          <t>2025-12-10 22:10:15</t>
        </is>
      </c>
      <c r="D152" t="inlineStr">
        <is>
          <t>50</t>
        </is>
      </c>
      <c r="E152" t="inlineStr">
        <is>
          <t>Sha Sha - Shandaar Shawarma</t>
        </is>
      </c>
      <c r="F152" t="inlineStr">
        <is>
          <t>18557902</t>
        </is>
      </c>
      <c r="G152" t="inlineStr">
        <is>
          <t>30% off upto ₹75 (2025-06-25 - 2031-01-01)</t>
        </is>
      </c>
      <c r="H152" t="inlineStr">
        <is>
          <t>ONLINE</t>
        </is>
      </c>
      <c r="I152" t="inlineStr">
        <is>
          <t>DELIVERED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O2</t>
        </is>
      </c>
      <c r="N152" t="inlineStr">
        <is>
          <t>36</t>
        </is>
      </c>
      <c r="O152" t="n">
        <v>229</v>
      </c>
      <c r="P152" t="n">
        <v>3.5</v>
      </c>
      <c r="Q152" t="n">
        <v>0</v>
      </c>
      <c r="R152" t="n">
        <v>68.7</v>
      </c>
      <c r="S152" t="n">
        <v>0</v>
      </c>
      <c r="T152" t="n">
        <v>0</v>
      </c>
      <c r="U152" t="n">
        <v>0</v>
      </c>
      <c r="V152" t="n">
        <v>8.19</v>
      </c>
      <c r="W152" t="n">
        <v>171.99</v>
      </c>
      <c r="X152" t="n">
        <v>163.8</v>
      </c>
      <c r="Y152" t="n">
        <v>19</v>
      </c>
      <c r="Z152" t="n">
        <v>31.12</v>
      </c>
      <c r="AA152" t="n">
        <v>3.16</v>
      </c>
      <c r="AB152" t="n">
        <v>34.28</v>
      </c>
      <c r="AC152" t="n">
        <v>6.17</v>
      </c>
      <c r="AD152" t="n">
        <v>0</v>
      </c>
      <c r="AE152" t="n">
        <v>163.8</v>
      </c>
      <c r="AF152" t="n">
        <v>0</v>
      </c>
      <c r="AG152" t="n">
        <v>0</v>
      </c>
      <c r="AH152" t="n">
        <v>0.16</v>
      </c>
      <c r="AI152" t="n">
        <v>8.199999999999999</v>
      </c>
      <c r="AJ152" t="n">
        <v>-0.01</v>
      </c>
      <c r="AK152" t="n">
        <v>14.53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48.81</v>
      </c>
      <c r="AV152" t="n">
        <v>0</v>
      </c>
      <c r="AW152" t="n">
        <v>123.18</v>
      </c>
      <c r="AX152" t="inlineStr">
        <is>
          <t>settled</t>
        </is>
      </c>
      <c r="AY152" t="inlineStr">
        <is>
          <t>2025-12-17 05:30:00</t>
        </is>
      </c>
      <c r="AZ152" t="inlineStr">
        <is>
          <t>CITIN25671113204</t>
        </is>
      </c>
      <c r="BA152" t="n">
        <v>0</v>
      </c>
      <c r="BB152" t="inlineStr">
        <is>
          <t>2933fb55b1b7cf4730c16687294a661b9dd2d95aff9c94e644581523c3ac8583</t>
        </is>
      </c>
    </row>
    <row r="153">
      <c r="A153" t="inlineStr">
        <is>
          <t>493</t>
        </is>
      </c>
      <c r="B153" t="inlineStr">
        <is>
          <t>7568990779</t>
        </is>
      </c>
      <c r="C153" t="inlineStr">
        <is>
          <t>2025-12-10 22:13:24</t>
        </is>
      </c>
      <c r="D153" t="inlineStr">
        <is>
          <t>50</t>
        </is>
      </c>
      <c r="E153" t="inlineStr">
        <is>
          <t>Sha Sha - Shandaar Shawarma</t>
        </is>
      </c>
      <c r="F153" t="inlineStr">
        <is>
          <t>18557902</t>
        </is>
      </c>
      <c r="G153" t="inlineStr">
        <is>
          <t>30% off upto ₹75 (2025-06-25 - 2031-01-01)</t>
        </is>
      </c>
      <c r="H153" t="inlineStr">
        <is>
          <t>ONLINE</t>
        </is>
      </c>
      <c r="I153" t="inlineStr">
        <is>
          <t>DELIVERED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O2</t>
        </is>
      </c>
      <c r="N153" t="inlineStr">
        <is>
          <t>36</t>
        </is>
      </c>
      <c r="O153" t="n">
        <v>229</v>
      </c>
      <c r="P153" t="n">
        <v>3.5</v>
      </c>
      <c r="Q153" t="n">
        <v>0</v>
      </c>
      <c r="R153" t="n">
        <v>68.7</v>
      </c>
      <c r="S153" t="n">
        <v>0</v>
      </c>
      <c r="T153" t="n">
        <v>0</v>
      </c>
      <c r="U153" t="n">
        <v>0</v>
      </c>
      <c r="V153" t="n">
        <v>8.19</v>
      </c>
      <c r="W153" t="n">
        <v>171.99</v>
      </c>
      <c r="X153" t="n">
        <v>163.8</v>
      </c>
      <c r="Y153" t="n">
        <v>19</v>
      </c>
      <c r="Z153" t="n">
        <v>31.12</v>
      </c>
      <c r="AA153" t="n">
        <v>3.16</v>
      </c>
      <c r="AB153" t="n">
        <v>34.28</v>
      </c>
      <c r="AC153" t="n">
        <v>6.17</v>
      </c>
      <c r="AD153" t="n">
        <v>0</v>
      </c>
      <c r="AE153" t="n">
        <v>163.8</v>
      </c>
      <c r="AF153" t="n">
        <v>0</v>
      </c>
      <c r="AG153" t="n">
        <v>0</v>
      </c>
      <c r="AH153" t="n">
        <v>0.16</v>
      </c>
      <c r="AI153" t="n">
        <v>8.199999999999999</v>
      </c>
      <c r="AJ153" t="n">
        <v>-0.01</v>
      </c>
      <c r="AK153" t="n">
        <v>14.53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48.81</v>
      </c>
      <c r="AV153" t="n">
        <v>0</v>
      </c>
      <c r="AW153" t="n">
        <v>123.18</v>
      </c>
      <c r="AX153" t="inlineStr">
        <is>
          <t>settled</t>
        </is>
      </c>
      <c r="AY153" t="inlineStr">
        <is>
          <t>2025-12-17 05:30:00</t>
        </is>
      </c>
      <c r="AZ153" t="inlineStr">
        <is>
          <t>CITIN25671113204</t>
        </is>
      </c>
      <c r="BA153" t="n">
        <v>0</v>
      </c>
      <c r="BB153" t="inlineStr">
        <is>
          <t>f0aaab58d3523656019354112bcc64066120f8d37fef98c638befdd95bbff884</t>
        </is>
      </c>
    </row>
    <row r="154">
      <c r="A154" t="inlineStr">
        <is>
          <t>494</t>
        </is>
      </c>
      <c r="B154" t="inlineStr">
        <is>
          <t>7563511918</t>
        </is>
      </c>
      <c r="C154" t="inlineStr">
        <is>
          <t>2025-12-10 22:26:58</t>
        </is>
      </c>
      <c r="D154" t="inlineStr">
        <is>
          <t>50</t>
        </is>
      </c>
      <c r="E154" t="inlineStr">
        <is>
          <t>Sha Sha - Shandaar Shawarma</t>
        </is>
      </c>
      <c r="F154" t="inlineStr">
        <is>
          <t>18557902</t>
        </is>
      </c>
      <c r="G154" t="inlineStr">
        <is>
          <t>30% off upto ₹75 (2025-06-25 - 2031-01-01)</t>
        </is>
      </c>
      <c r="H154" t="inlineStr">
        <is>
          <t>ONLINE</t>
        </is>
      </c>
      <c r="I154" t="inlineStr">
        <is>
          <t>DELIVERED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O2</t>
        </is>
      </c>
      <c r="N154" t="inlineStr">
        <is>
          <t>36</t>
        </is>
      </c>
      <c r="O154" t="n">
        <v>229</v>
      </c>
      <c r="P154" t="n">
        <v>3.5</v>
      </c>
      <c r="Q154" t="n">
        <v>0</v>
      </c>
      <c r="R154" t="n">
        <v>68.7</v>
      </c>
      <c r="S154" t="n">
        <v>0</v>
      </c>
      <c r="T154" t="n">
        <v>0</v>
      </c>
      <c r="U154" t="n">
        <v>0</v>
      </c>
      <c r="V154" t="n">
        <v>8.19</v>
      </c>
      <c r="W154" t="n">
        <v>171.99</v>
      </c>
      <c r="X154" t="n">
        <v>163.8</v>
      </c>
      <c r="Y154" t="n">
        <v>19</v>
      </c>
      <c r="Z154" t="n">
        <v>31.12</v>
      </c>
      <c r="AA154" t="n">
        <v>3.16</v>
      </c>
      <c r="AB154" t="n">
        <v>34.28</v>
      </c>
      <c r="AC154" t="n">
        <v>6.17</v>
      </c>
      <c r="AD154" t="n">
        <v>0</v>
      </c>
      <c r="AE154" t="n">
        <v>163.8</v>
      </c>
      <c r="AF154" t="n">
        <v>0</v>
      </c>
      <c r="AG154" t="n">
        <v>0</v>
      </c>
      <c r="AH154" t="n">
        <v>0.16</v>
      </c>
      <c r="AI154" t="n">
        <v>8.199999999999999</v>
      </c>
      <c r="AJ154" t="n">
        <v>-0.01</v>
      </c>
      <c r="AK154" t="n">
        <v>14.53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48.81</v>
      </c>
      <c r="AV154" t="n">
        <v>0</v>
      </c>
      <c r="AW154" t="n">
        <v>123.18</v>
      </c>
      <c r="AX154" t="inlineStr">
        <is>
          <t>settled</t>
        </is>
      </c>
      <c r="AY154" t="inlineStr">
        <is>
          <t>2025-12-17 05:30:00</t>
        </is>
      </c>
      <c r="AZ154" t="inlineStr">
        <is>
          <t>CITIN25671113204</t>
        </is>
      </c>
      <c r="BA154" t="n">
        <v>0</v>
      </c>
      <c r="BB154" t="inlineStr">
        <is>
          <t>226c2a10b70680e9154a97fe00d3f16ba56e0db0c36d0e8d18c2cdf3d07652cd</t>
        </is>
      </c>
    </row>
    <row r="155">
      <c r="A155" t="inlineStr">
        <is>
          <t>495</t>
        </is>
      </c>
      <c r="B155" t="inlineStr">
        <is>
          <t>7563420434</t>
        </is>
      </c>
      <c r="C155" t="inlineStr">
        <is>
          <t>2025-12-10 22:31:06</t>
        </is>
      </c>
      <c r="D155" t="inlineStr">
        <is>
          <t>50</t>
        </is>
      </c>
      <c r="E155" t="inlineStr">
        <is>
          <t>Sha Sha - Shandaar Shawarma</t>
        </is>
      </c>
      <c r="F155" t="inlineStr">
        <is>
          <t>18557902</t>
        </is>
      </c>
      <c r="G155" t="inlineStr">
        <is>
          <t>30% off upto ₹75 (2025-06-25 - 2031-01-01)</t>
        </is>
      </c>
      <c r="H155" t="inlineStr">
        <is>
          <t>ONLINE</t>
        </is>
      </c>
      <c r="I155" t="inlineStr">
        <is>
          <t>DELIVERED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O2</t>
        </is>
      </c>
      <c r="N155" t="inlineStr">
        <is>
          <t>36</t>
        </is>
      </c>
      <c r="O155" t="n">
        <v>448</v>
      </c>
      <c r="P155" t="n">
        <v>3.5</v>
      </c>
      <c r="Q155" t="n">
        <v>0</v>
      </c>
      <c r="R155" t="n">
        <v>75</v>
      </c>
      <c r="S155" t="n">
        <v>0</v>
      </c>
      <c r="T155" t="n">
        <v>0</v>
      </c>
      <c r="U155" t="n">
        <v>0</v>
      </c>
      <c r="V155" t="n">
        <v>18.83</v>
      </c>
      <c r="W155" t="n">
        <v>395.33</v>
      </c>
      <c r="X155" t="n">
        <v>376.5</v>
      </c>
      <c r="Y155" t="n">
        <v>19</v>
      </c>
      <c r="Z155" t="n">
        <v>71.54000000000001</v>
      </c>
      <c r="AA155" t="n">
        <v>7.27</v>
      </c>
      <c r="AB155" t="n">
        <v>78.81</v>
      </c>
      <c r="AC155" t="n">
        <v>14.19</v>
      </c>
      <c r="AD155" t="n">
        <v>0</v>
      </c>
      <c r="AE155" t="n">
        <v>376.5</v>
      </c>
      <c r="AF155" t="n">
        <v>0</v>
      </c>
      <c r="AG155" t="n">
        <v>0</v>
      </c>
      <c r="AH155" t="n">
        <v>0.38</v>
      </c>
      <c r="AI155" t="n">
        <v>18.83</v>
      </c>
      <c r="AJ155" t="n">
        <v>0</v>
      </c>
      <c r="AK155" t="n">
        <v>33.4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112.21</v>
      </c>
      <c r="AV155" t="n">
        <v>0</v>
      </c>
      <c r="AW155" t="n">
        <v>283.12</v>
      </c>
      <c r="AX155" t="inlineStr">
        <is>
          <t>settled</t>
        </is>
      </c>
      <c r="AY155" t="inlineStr">
        <is>
          <t>2025-12-17 05:30:00</t>
        </is>
      </c>
      <c r="AZ155" t="inlineStr">
        <is>
          <t>CITIN25671113204</t>
        </is>
      </c>
      <c r="BA155" t="n">
        <v>0</v>
      </c>
      <c r="BB155" t="inlineStr">
        <is>
          <t>f2331c06fce7437b2ae7836284653b4167b86b7c5a15f679b9ac72ee4b572167</t>
        </is>
      </c>
    </row>
    <row r="156">
      <c r="A156" t="inlineStr">
        <is>
          <t>496</t>
        </is>
      </c>
      <c r="B156" t="inlineStr">
        <is>
          <t>7565716985</t>
        </is>
      </c>
      <c r="C156" t="inlineStr">
        <is>
          <t>2025-12-10 22:47:23</t>
        </is>
      </c>
      <c r="D156" t="inlineStr">
        <is>
          <t>50</t>
        </is>
      </c>
      <c r="E156" t="inlineStr">
        <is>
          <t>Sha Sha - Shandaar Shawarma</t>
        </is>
      </c>
      <c r="F156" t="inlineStr">
        <is>
          <t>18557902</t>
        </is>
      </c>
      <c r="G156" t="inlineStr">
        <is>
          <t>30% off upto ₹75 (2025-06-25 - 2031-01-01)</t>
        </is>
      </c>
      <c r="H156" t="inlineStr">
        <is>
          <t>ONLINE</t>
        </is>
      </c>
      <c r="I156" t="inlineStr">
        <is>
          <t>DELIVERED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O2</t>
        </is>
      </c>
      <c r="N156" t="inlineStr">
        <is>
          <t>36</t>
        </is>
      </c>
      <c r="O156" t="n">
        <v>229</v>
      </c>
      <c r="P156" t="n">
        <v>3.5</v>
      </c>
      <c r="Q156" t="n">
        <v>0</v>
      </c>
      <c r="R156" t="n">
        <v>68.7</v>
      </c>
      <c r="S156" t="n">
        <v>0</v>
      </c>
      <c r="T156" t="n">
        <v>0</v>
      </c>
      <c r="U156" t="n">
        <v>0</v>
      </c>
      <c r="V156" t="n">
        <v>8.19</v>
      </c>
      <c r="W156" t="n">
        <v>171.99</v>
      </c>
      <c r="X156" t="n">
        <v>163.8</v>
      </c>
      <c r="Y156" t="n">
        <v>19</v>
      </c>
      <c r="Z156" t="n">
        <v>31.12</v>
      </c>
      <c r="AA156" t="n">
        <v>3.16</v>
      </c>
      <c r="AB156" t="n">
        <v>34.28</v>
      </c>
      <c r="AC156" t="n">
        <v>6.17</v>
      </c>
      <c r="AD156" t="n">
        <v>0</v>
      </c>
      <c r="AE156" t="n">
        <v>163.8</v>
      </c>
      <c r="AF156" t="n">
        <v>0</v>
      </c>
      <c r="AG156" t="n">
        <v>0</v>
      </c>
      <c r="AH156" t="n">
        <v>0.16</v>
      </c>
      <c r="AI156" t="n">
        <v>8.199999999999999</v>
      </c>
      <c r="AJ156" t="n">
        <v>-0.01</v>
      </c>
      <c r="AK156" t="n">
        <v>14.53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48.81</v>
      </c>
      <c r="AV156" t="n">
        <v>0</v>
      </c>
      <c r="AW156" t="n">
        <v>123.18</v>
      </c>
      <c r="AX156" t="inlineStr">
        <is>
          <t>settled</t>
        </is>
      </c>
      <c r="AY156" t="inlineStr">
        <is>
          <t>2025-12-17 05:30:00</t>
        </is>
      </c>
      <c r="AZ156" t="inlineStr">
        <is>
          <t>CITIN25671113204</t>
        </is>
      </c>
      <c r="BA156" t="n">
        <v>0</v>
      </c>
      <c r="BB156" t="inlineStr">
        <is>
          <t>daa04af0cebcab8848a2d816fdd79038b7e181e971f49fe06756355fb97e1cc4</t>
        </is>
      </c>
    </row>
    <row r="157">
      <c r="A157" t="inlineStr">
        <is>
          <t>497</t>
        </is>
      </c>
      <c r="B157" t="inlineStr">
        <is>
          <t>7569246901</t>
        </is>
      </c>
      <c r="C157" t="inlineStr">
        <is>
          <t>2025-12-10 23:18:07</t>
        </is>
      </c>
      <c r="D157" t="inlineStr">
        <is>
          <t>50</t>
        </is>
      </c>
      <c r="E157" t="inlineStr">
        <is>
          <t>Sha Sha - Shandaar Shawarma</t>
        </is>
      </c>
      <c r="F157" t="inlineStr">
        <is>
          <t>18557902</t>
        </is>
      </c>
      <c r="G157" t="inlineStr">
        <is>
          <t>30% off upto ₹75 (2025-06-25 - 2031-01-01)</t>
        </is>
      </c>
      <c r="H157" t="inlineStr">
        <is>
          <t>ONLINE</t>
        </is>
      </c>
      <c r="I157" t="inlineStr">
        <is>
          <t>DELIVERED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O2</t>
        </is>
      </c>
      <c r="N157" t="inlineStr">
        <is>
          <t>36</t>
        </is>
      </c>
      <c r="O157" t="n">
        <v>355</v>
      </c>
      <c r="P157" t="n">
        <v>3.5</v>
      </c>
      <c r="Q157" t="n">
        <v>0</v>
      </c>
      <c r="R157" t="n">
        <v>75</v>
      </c>
      <c r="S157" t="n">
        <v>0</v>
      </c>
      <c r="T157" t="n">
        <v>0</v>
      </c>
      <c r="U157" t="n">
        <v>0</v>
      </c>
      <c r="V157" t="n">
        <v>14.18</v>
      </c>
      <c r="W157" t="n">
        <v>297.68</v>
      </c>
      <c r="X157" t="n">
        <v>283.5</v>
      </c>
      <c r="Y157" t="n">
        <v>19</v>
      </c>
      <c r="Z157" t="n">
        <v>53.86</v>
      </c>
      <c r="AA157" t="n">
        <v>5.48</v>
      </c>
      <c r="AB157" t="n">
        <v>59.34</v>
      </c>
      <c r="AC157" t="n">
        <v>10.68</v>
      </c>
      <c r="AD157" t="n">
        <v>0</v>
      </c>
      <c r="AE157" t="n">
        <v>283.5</v>
      </c>
      <c r="AF157" t="n">
        <v>0</v>
      </c>
      <c r="AG157" t="n">
        <v>0</v>
      </c>
      <c r="AH157" t="n">
        <v>0.28</v>
      </c>
      <c r="AI157" t="n">
        <v>14.18</v>
      </c>
      <c r="AJ157" t="n">
        <v>0</v>
      </c>
      <c r="AK157" t="n">
        <v>25.14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84.48</v>
      </c>
      <c r="AV157" t="n">
        <v>0</v>
      </c>
      <c r="AW157" t="n">
        <v>213.2</v>
      </c>
      <c r="AX157" t="inlineStr">
        <is>
          <t>settled</t>
        </is>
      </c>
      <c r="AY157" t="inlineStr">
        <is>
          <t>2025-12-17 05:30:00</t>
        </is>
      </c>
      <c r="AZ157" t="inlineStr">
        <is>
          <t>CITIN25671113204</t>
        </is>
      </c>
      <c r="BA157" t="n">
        <v>0</v>
      </c>
      <c r="BB157" t="inlineStr">
        <is>
          <t>f8f4ec5d6a400c6f56db6743b8187f2a11926909ee2ff7edfdded721e1f9c016</t>
        </is>
      </c>
    </row>
    <row r="158">
      <c r="A158" t="inlineStr">
        <is>
          <t>498</t>
        </is>
      </c>
      <c r="B158" t="inlineStr">
        <is>
          <t>7568101734</t>
        </is>
      </c>
      <c r="C158" t="inlineStr">
        <is>
          <t>2025-12-10 23:23:23</t>
        </is>
      </c>
      <c r="D158" t="inlineStr">
        <is>
          <t>50</t>
        </is>
      </c>
      <c r="E158" t="inlineStr">
        <is>
          <t>Sha Sha - Shandaar Shawarma</t>
        </is>
      </c>
      <c r="F158" t="inlineStr">
        <is>
          <t>18557902</t>
        </is>
      </c>
      <c r="G158" t="inlineStr">
        <is>
          <t>30% off upto ₹75 (2025-06-25 - 2031-01-01)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O2</t>
        </is>
      </c>
      <c r="N158" t="inlineStr">
        <is>
          <t>36</t>
        </is>
      </c>
      <c r="O158" t="n">
        <v>229</v>
      </c>
      <c r="P158" t="n">
        <v>3.5</v>
      </c>
      <c r="Q158" t="n">
        <v>0</v>
      </c>
      <c r="R158" t="n">
        <v>68.7</v>
      </c>
      <c r="S158" t="n">
        <v>0</v>
      </c>
      <c r="T158" t="n">
        <v>0</v>
      </c>
      <c r="U158" t="n">
        <v>0</v>
      </c>
      <c r="V158" t="n">
        <v>8.19</v>
      </c>
      <c r="W158" t="n">
        <v>171.99</v>
      </c>
      <c r="X158" t="n">
        <v>163.8</v>
      </c>
      <c r="Y158" t="n">
        <v>19</v>
      </c>
      <c r="Z158" t="n">
        <v>31.12</v>
      </c>
      <c r="AA158" t="n">
        <v>3.16</v>
      </c>
      <c r="AB158" t="n">
        <v>34.28</v>
      </c>
      <c r="AC158" t="n">
        <v>6.17</v>
      </c>
      <c r="AD158" t="n">
        <v>0</v>
      </c>
      <c r="AE158" t="n">
        <v>163.8</v>
      </c>
      <c r="AF158" t="n">
        <v>0</v>
      </c>
      <c r="AG158" t="n">
        <v>0</v>
      </c>
      <c r="AH158" t="n">
        <v>0.16</v>
      </c>
      <c r="AI158" t="n">
        <v>8.199999999999999</v>
      </c>
      <c r="AJ158" t="n">
        <v>-0.01</v>
      </c>
      <c r="AK158" t="n">
        <v>14.53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48.81</v>
      </c>
      <c r="AV158" t="n">
        <v>0</v>
      </c>
      <c r="AW158" t="n">
        <v>123.18</v>
      </c>
      <c r="AX158" t="inlineStr">
        <is>
          <t>settled</t>
        </is>
      </c>
      <c r="AY158" t="inlineStr">
        <is>
          <t>2025-12-17 05:30:00</t>
        </is>
      </c>
      <c r="AZ158" t="inlineStr">
        <is>
          <t>CITIN25671113204</t>
        </is>
      </c>
      <c r="BA158" t="n">
        <v>0</v>
      </c>
      <c r="BB158" t="inlineStr">
        <is>
          <t>ae4ea7d3a40af9abbf2d064b79aca12513bf919e074844ca05debe38fa841775</t>
        </is>
      </c>
    </row>
    <row r="159">
      <c r="A159" t="inlineStr">
        <is>
          <t>499</t>
        </is>
      </c>
      <c r="B159" t="inlineStr">
        <is>
          <t>7563593364</t>
        </is>
      </c>
      <c r="C159" t="inlineStr">
        <is>
          <t>2025-12-10 23:53:40</t>
        </is>
      </c>
      <c r="D159" t="inlineStr">
        <is>
          <t>50</t>
        </is>
      </c>
      <c r="E159" t="inlineStr">
        <is>
          <t>Sha Sha - Shandaar Shawarma</t>
        </is>
      </c>
      <c r="F159" t="inlineStr">
        <is>
          <t>18557902</t>
        </is>
      </c>
      <c r="G159" t="inlineStr">
        <is>
          <t>NA</t>
        </is>
      </c>
      <c r="H159" t="inlineStr">
        <is>
          <t>ONLINE</t>
        </is>
      </c>
      <c r="I159" t="inlineStr">
        <is>
          <t>DELIVERED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O2</t>
        </is>
      </c>
      <c r="N159" t="inlineStr">
        <is>
          <t>36</t>
        </is>
      </c>
      <c r="O159" t="n">
        <v>229</v>
      </c>
      <c r="P159" t="n">
        <v>3.5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11.63</v>
      </c>
      <c r="W159" t="n">
        <v>244.13</v>
      </c>
      <c r="X159" t="n">
        <v>232.5</v>
      </c>
      <c r="Y159" t="n">
        <v>19</v>
      </c>
      <c r="Z159" t="n">
        <v>44.18</v>
      </c>
      <c r="AA159" t="n">
        <v>4.49</v>
      </c>
      <c r="AB159" t="n">
        <v>48.67</v>
      </c>
      <c r="AC159" t="n">
        <v>8.76</v>
      </c>
      <c r="AD159" t="n">
        <v>0</v>
      </c>
      <c r="AE159" t="n">
        <v>232.5</v>
      </c>
      <c r="AF159" t="n">
        <v>0</v>
      </c>
      <c r="AG159" t="n">
        <v>0</v>
      </c>
      <c r="AH159" t="n">
        <v>0.23</v>
      </c>
      <c r="AI159" t="n">
        <v>11.63</v>
      </c>
      <c r="AJ159" t="n">
        <v>0</v>
      </c>
      <c r="AK159" t="n">
        <v>20.62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69.29000000000001</v>
      </c>
      <c r="AV159" t="n">
        <v>0</v>
      </c>
      <c r="AW159" t="n">
        <v>174.84</v>
      </c>
      <c r="AX159" t="inlineStr">
        <is>
          <t>settled</t>
        </is>
      </c>
      <c r="AY159" t="inlineStr">
        <is>
          <t>2025-12-17 05:30:00</t>
        </is>
      </c>
      <c r="AZ159" t="inlineStr">
        <is>
          <t>CITIN25671113204</t>
        </is>
      </c>
      <c r="BA159" t="n">
        <v>0</v>
      </c>
      <c r="BB159" t="inlineStr">
        <is>
          <t>6777db51296bf367fb2baccc39a55658e07483da9b6fd39f6db138a75f914a2b</t>
        </is>
      </c>
    </row>
    <row r="160">
      <c r="A160" t="inlineStr">
        <is>
          <t>500</t>
        </is>
      </c>
      <c r="B160" t="inlineStr">
        <is>
          <t>7567377522</t>
        </is>
      </c>
      <c r="C160" t="inlineStr">
        <is>
          <t>2025-12-11 00:13:11</t>
        </is>
      </c>
      <c r="D160" t="inlineStr">
        <is>
          <t>50</t>
        </is>
      </c>
      <c r="E160" t="inlineStr">
        <is>
          <t>Sha Sha - Shandaar Shawarma</t>
        </is>
      </c>
      <c r="F160" t="inlineStr">
        <is>
          <t>18557902</t>
        </is>
      </c>
      <c r="G160" t="inlineStr">
        <is>
          <t>NA</t>
        </is>
      </c>
      <c r="H160" t="inlineStr">
        <is>
          <t>ONLINE</t>
        </is>
      </c>
      <c r="I160" t="inlineStr">
        <is>
          <t>DELIVERED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O2</t>
        </is>
      </c>
      <c r="N160" t="inlineStr">
        <is>
          <t>36</t>
        </is>
      </c>
      <c r="O160" t="n">
        <v>219</v>
      </c>
      <c r="P160" t="n">
        <v>3.5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11.13</v>
      </c>
      <c r="W160" t="n">
        <v>233.63</v>
      </c>
      <c r="X160" t="n">
        <v>222.5</v>
      </c>
      <c r="Y160" t="n">
        <v>19</v>
      </c>
      <c r="Z160" t="n">
        <v>42.28</v>
      </c>
      <c r="AA160" t="n">
        <v>4.3</v>
      </c>
      <c r="AB160" t="n">
        <v>46.58</v>
      </c>
      <c r="AC160" t="n">
        <v>8.380000000000001</v>
      </c>
      <c r="AD160" t="n">
        <v>0</v>
      </c>
      <c r="AE160" t="n">
        <v>222.5</v>
      </c>
      <c r="AF160" t="n">
        <v>0</v>
      </c>
      <c r="AG160" t="n">
        <v>0</v>
      </c>
      <c r="AH160" t="n">
        <v>0.22</v>
      </c>
      <c r="AI160" t="n">
        <v>11.13</v>
      </c>
      <c r="AJ160" t="n">
        <v>0</v>
      </c>
      <c r="AK160" t="n">
        <v>19.73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66.31</v>
      </c>
      <c r="AV160" t="n">
        <v>0</v>
      </c>
      <c r="AW160" t="n">
        <v>167.32</v>
      </c>
      <c r="AX160" t="inlineStr">
        <is>
          <t>settled</t>
        </is>
      </c>
      <c r="AY160" t="inlineStr">
        <is>
          <t>2025-12-17 05:30:00</t>
        </is>
      </c>
      <c r="AZ160" t="inlineStr">
        <is>
          <t>CITIN25671113204</t>
        </is>
      </c>
      <c r="BA160" t="n">
        <v>0</v>
      </c>
      <c r="BB160" t="inlineStr">
        <is>
          <t>7a9b335b72e29172cc5a8f3a49aef04474dcf7f0bb2b585cb7ff0fa6e7670601</t>
        </is>
      </c>
    </row>
    <row r="161">
      <c r="A161" t="inlineStr">
        <is>
          <t>501</t>
        </is>
      </c>
      <c r="B161" t="inlineStr">
        <is>
          <t>7570157037</t>
        </is>
      </c>
      <c r="C161" t="inlineStr">
        <is>
          <t>2025-12-11 00:31:47</t>
        </is>
      </c>
      <c r="D161" t="inlineStr">
        <is>
          <t>50</t>
        </is>
      </c>
      <c r="E161" t="inlineStr">
        <is>
          <t>Sha Sha - Shandaar Shawarma</t>
        </is>
      </c>
      <c r="F161" t="inlineStr">
        <is>
          <t>18557902</t>
        </is>
      </c>
      <c r="G161" t="inlineStr">
        <is>
          <t>30% off upto ₹75 (2025-06-25 - 2031-01-01)</t>
        </is>
      </c>
      <c r="H161" t="inlineStr">
        <is>
          <t>ONLINE</t>
        </is>
      </c>
      <c r="I161" t="inlineStr">
        <is>
          <t>DELIVERED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O2</t>
        </is>
      </c>
      <c r="N161" t="inlineStr">
        <is>
          <t>36</t>
        </is>
      </c>
      <c r="O161" t="n">
        <v>229</v>
      </c>
      <c r="P161" t="n">
        <v>3.5</v>
      </c>
      <c r="Q161" t="n">
        <v>0</v>
      </c>
      <c r="R161" t="n">
        <v>68.7</v>
      </c>
      <c r="S161" t="n">
        <v>0</v>
      </c>
      <c r="T161" t="n">
        <v>0</v>
      </c>
      <c r="U161" t="n">
        <v>0</v>
      </c>
      <c r="V161" t="n">
        <v>8.19</v>
      </c>
      <c r="W161" t="n">
        <v>171.99</v>
      </c>
      <c r="X161" t="n">
        <v>163.8</v>
      </c>
      <c r="Y161" t="n">
        <v>19</v>
      </c>
      <c r="Z161" t="n">
        <v>31.12</v>
      </c>
      <c r="AA161" t="n">
        <v>3.16</v>
      </c>
      <c r="AB161" t="n">
        <v>34.28</v>
      </c>
      <c r="AC161" t="n">
        <v>6.17</v>
      </c>
      <c r="AD161" t="n">
        <v>0</v>
      </c>
      <c r="AE161" t="n">
        <v>163.8</v>
      </c>
      <c r="AF161" t="n">
        <v>0</v>
      </c>
      <c r="AG161" t="n">
        <v>0</v>
      </c>
      <c r="AH161" t="n">
        <v>0.16</v>
      </c>
      <c r="AI161" t="n">
        <v>8.199999999999999</v>
      </c>
      <c r="AJ161" t="n">
        <v>-0.01</v>
      </c>
      <c r="AK161" t="n">
        <v>14.53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48.81</v>
      </c>
      <c r="AV161" t="n">
        <v>0</v>
      </c>
      <c r="AW161" t="n">
        <v>123.18</v>
      </c>
      <c r="AX161" t="inlineStr">
        <is>
          <t>settled</t>
        </is>
      </c>
      <c r="AY161" t="inlineStr">
        <is>
          <t>2025-12-17 05:30:00</t>
        </is>
      </c>
      <c r="AZ161" t="inlineStr">
        <is>
          <t>CITIN25671113204</t>
        </is>
      </c>
      <c r="BA161" t="n">
        <v>0</v>
      </c>
      <c r="BB161" t="inlineStr">
        <is>
          <t>73399ffe5583a65db5fdca1d3f7e5af38208b79b7284133edf161ee9795c80d5</t>
        </is>
      </c>
    </row>
    <row r="162">
      <c r="A162" t="inlineStr">
        <is>
          <t>502</t>
        </is>
      </c>
      <c r="B162" t="inlineStr">
        <is>
          <t>7569499281</t>
        </is>
      </c>
      <c r="C162" t="inlineStr">
        <is>
          <t>2025-12-11 00:39:11</t>
        </is>
      </c>
      <c r="D162" t="inlineStr">
        <is>
          <t>50</t>
        </is>
      </c>
      <c r="E162" t="inlineStr">
        <is>
          <t>Sha Sha - Shandaar Shawarma</t>
        </is>
      </c>
      <c r="F162" t="inlineStr">
        <is>
          <t>18557902</t>
        </is>
      </c>
      <c r="G162" t="inlineStr">
        <is>
          <t>30% off upto ₹75 (2025-06-25 - 2031-01-01)</t>
        </is>
      </c>
      <c r="H162" t="inlineStr">
        <is>
          <t>ONLINE</t>
        </is>
      </c>
      <c r="I162" t="inlineStr">
        <is>
          <t>DELIVERED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O2</t>
        </is>
      </c>
      <c r="N162" t="inlineStr">
        <is>
          <t>36</t>
        </is>
      </c>
      <c r="O162" t="n">
        <v>229</v>
      </c>
      <c r="P162" t="n">
        <v>3.5</v>
      </c>
      <c r="Q162" t="n">
        <v>0</v>
      </c>
      <c r="R162" t="n">
        <v>68.7</v>
      </c>
      <c r="S162" t="n">
        <v>0</v>
      </c>
      <c r="T162" t="n">
        <v>0</v>
      </c>
      <c r="U162" t="n">
        <v>0</v>
      </c>
      <c r="V162" t="n">
        <v>8.19</v>
      </c>
      <c r="W162" t="n">
        <v>171.99</v>
      </c>
      <c r="X162" t="n">
        <v>163.8</v>
      </c>
      <c r="Y162" t="n">
        <v>19</v>
      </c>
      <c r="Z162" t="n">
        <v>31.12</v>
      </c>
      <c r="AA162" t="n">
        <v>3.16</v>
      </c>
      <c r="AB162" t="n">
        <v>34.28</v>
      </c>
      <c r="AC162" t="n">
        <v>6.17</v>
      </c>
      <c r="AD162" t="n">
        <v>0</v>
      </c>
      <c r="AE162" t="n">
        <v>163.8</v>
      </c>
      <c r="AF162" t="n">
        <v>0</v>
      </c>
      <c r="AG162" t="n">
        <v>0</v>
      </c>
      <c r="AH162" t="n">
        <v>0.16</v>
      </c>
      <c r="AI162" t="n">
        <v>8.199999999999999</v>
      </c>
      <c r="AJ162" t="n">
        <v>-0.01</v>
      </c>
      <c r="AK162" t="n">
        <v>14.53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48.81</v>
      </c>
      <c r="AV162" t="n">
        <v>0</v>
      </c>
      <c r="AW162" t="n">
        <v>123.18</v>
      </c>
      <c r="AX162" t="inlineStr">
        <is>
          <t>settled</t>
        </is>
      </c>
      <c r="AY162" t="inlineStr">
        <is>
          <t>2025-12-17 05:30:00</t>
        </is>
      </c>
      <c r="AZ162" t="inlineStr">
        <is>
          <t>CITIN25671113204</t>
        </is>
      </c>
      <c r="BA162" t="n">
        <v>0</v>
      </c>
      <c r="BB162" t="inlineStr">
        <is>
          <t>042f5670cf8dbb3cf0fae96f995aa29dd6d3d31118d9563d0721b7cf380527d5</t>
        </is>
      </c>
    </row>
    <row r="163">
      <c r="A163" t="inlineStr">
        <is>
          <t>503</t>
        </is>
      </c>
      <c r="B163" t="inlineStr">
        <is>
          <t>7569036155</t>
        </is>
      </c>
      <c r="C163" t="inlineStr">
        <is>
          <t>2025-12-11 00:52:26</t>
        </is>
      </c>
      <c r="D163" t="inlineStr">
        <is>
          <t>50</t>
        </is>
      </c>
      <c r="E163" t="inlineStr">
        <is>
          <t>Sha Sha - Shandaar Shawarma</t>
        </is>
      </c>
      <c r="F163" t="inlineStr">
        <is>
          <t>18557902</t>
        </is>
      </c>
      <c r="G163" t="inlineStr">
        <is>
          <t>30% off upto ₹75 (2025-06-25 - 2031-01-01)</t>
        </is>
      </c>
      <c r="H163" t="inlineStr">
        <is>
          <t>ONLINE</t>
        </is>
      </c>
      <c r="I163" t="inlineStr">
        <is>
          <t>DELIVERED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O2</t>
        </is>
      </c>
      <c r="N163" t="inlineStr">
        <is>
          <t>36</t>
        </is>
      </c>
      <c r="O163" t="n">
        <v>603</v>
      </c>
      <c r="P163" t="n">
        <v>3.5</v>
      </c>
      <c r="Q163" t="n">
        <v>0</v>
      </c>
      <c r="R163" t="n">
        <v>75</v>
      </c>
      <c r="S163" t="n">
        <v>0</v>
      </c>
      <c r="T163" t="n">
        <v>0</v>
      </c>
      <c r="U163" t="n">
        <v>0</v>
      </c>
      <c r="V163" t="n">
        <v>26.58</v>
      </c>
      <c r="W163" t="n">
        <v>558.08</v>
      </c>
      <c r="X163" t="n">
        <v>531.5</v>
      </c>
      <c r="Y163" t="n">
        <v>19</v>
      </c>
      <c r="Z163" t="n">
        <v>100.98</v>
      </c>
      <c r="AA163" t="n">
        <v>10.27</v>
      </c>
      <c r="AB163" t="n">
        <v>111.25</v>
      </c>
      <c r="AC163" t="n">
        <v>20.03</v>
      </c>
      <c r="AD163" t="n">
        <v>0</v>
      </c>
      <c r="AE163" t="n">
        <v>531.5</v>
      </c>
      <c r="AF163" t="n">
        <v>0</v>
      </c>
      <c r="AG163" t="n">
        <v>0</v>
      </c>
      <c r="AH163" t="n">
        <v>0.53</v>
      </c>
      <c r="AI163" t="n">
        <v>26.58</v>
      </c>
      <c r="AJ163" t="n">
        <v>0</v>
      </c>
      <c r="AK163" t="n">
        <v>47.14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158.39</v>
      </c>
      <c r="AV163" t="n">
        <v>0</v>
      </c>
      <c r="AW163" t="n">
        <v>399.69</v>
      </c>
      <c r="AX163" t="inlineStr">
        <is>
          <t>settled</t>
        </is>
      </c>
      <c r="AY163" t="inlineStr">
        <is>
          <t>2025-12-17 05:30:00</t>
        </is>
      </c>
      <c r="AZ163" t="inlineStr">
        <is>
          <t>CITIN25671113204</t>
        </is>
      </c>
      <c r="BA163" t="n">
        <v>0</v>
      </c>
      <c r="BB163" t="inlineStr">
        <is>
          <t>a46848637e3f2e942887dbf548441db68274ab5d7f9d9574a01cd870410c38b5</t>
        </is>
      </c>
    </row>
    <row r="164">
      <c r="A164" t="inlineStr">
        <is>
          <t>504</t>
        </is>
      </c>
      <c r="B164" t="inlineStr">
        <is>
          <t>7567272945</t>
        </is>
      </c>
      <c r="C164" t="inlineStr">
        <is>
          <t>2025-12-11 01:20:36</t>
        </is>
      </c>
      <c r="D164" t="inlineStr">
        <is>
          <t>50</t>
        </is>
      </c>
      <c r="E164" t="inlineStr">
        <is>
          <t>Sha Sha - Shandaar Shawarma</t>
        </is>
      </c>
      <c r="F164" t="inlineStr">
        <is>
          <t>18557902</t>
        </is>
      </c>
      <c r="G164" t="inlineStr">
        <is>
          <t>30% off upto ₹75 (2025-06-25 - 2031-01-01)</t>
        </is>
      </c>
      <c r="H164" t="inlineStr">
        <is>
          <t>ONLINE</t>
        </is>
      </c>
      <c r="I164" t="inlineStr">
        <is>
          <t>DELIVERED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O2</t>
        </is>
      </c>
      <c r="N164" t="inlineStr">
        <is>
          <t>36</t>
        </is>
      </c>
      <c r="O164" t="n">
        <v>229</v>
      </c>
      <c r="P164" t="n">
        <v>3.5</v>
      </c>
      <c r="Q164" t="n">
        <v>0</v>
      </c>
      <c r="R164" t="n">
        <v>68.7</v>
      </c>
      <c r="S164" t="n">
        <v>0</v>
      </c>
      <c r="T164" t="n">
        <v>0</v>
      </c>
      <c r="U164" t="n">
        <v>0</v>
      </c>
      <c r="V164" t="n">
        <v>8.19</v>
      </c>
      <c r="W164" t="n">
        <v>171.99</v>
      </c>
      <c r="X164" t="n">
        <v>163.8</v>
      </c>
      <c r="Y164" t="n">
        <v>19</v>
      </c>
      <c r="Z164" t="n">
        <v>31.12</v>
      </c>
      <c r="AA164" t="n">
        <v>3.16</v>
      </c>
      <c r="AB164" t="n">
        <v>34.28</v>
      </c>
      <c r="AC164" t="n">
        <v>6.17</v>
      </c>
      <c r="AD164" t="n">
        <v>0</v>
      </c>
      <c r="AE164" t="n">
        <v>163.8</v>
      </c>
      <c r="AF164" t="n">
        <v>0</v>
      </c>
      <c r="AG164" t="n">
        <v>0</v>
      </c>
      <c r="AH164" t="n">
        <v>0.16</v>
      </c>
      <c r="AI164" t="n">
        <v>8.199999999999999</v>
      </c>
      <c r="AJ164" t="n">
        <v>-0.01</v>
      </c>
      <c r="AK164" t="n">
        <v>14.53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48.81</v>
      </c>
      <c r="AV164" t="n">
        <v>0</v>
      </c>
      <c r="AW164" t="n">
        <v>123.18</v>
      </c>
      <c r="AX164" t="inlineStr">
        <is>
          <t>settled</t>
        </is>
      </c>
      <c r="AY164" t="inlineStr">
        <is>
          <t>2025-12-17 05:30:00</t>
        </is>
      </c>
      <c r="AZ164" t="inlineStr">
        <is>
          <t>CITIN25671113204</t>
        </is>
      </c>
      <c r="BA164" t="n">
        <v>0</v>
      </c>
      <c r="BB164" t="inlineStr">
        <is>
          <t>42cc1e6bae02a45f53443fcf51bb7b292592a72886e96d987543a46d310fa39a</t>
        </is>
      </c>
    </row>
    <row r="165">
      <c r="A165" t="inlineStr">
        <is>
          <t>505</t>
        </is>
      </c>
      <c r="B165" t="inlineStr">
        <is>
          <t>7560066633</t>
        </is>
      </c>
      <c r="C165" t="inlineStr">
        <is>
          <t>2025-12-11 02:02:38</t>
        </is>
      </c>
      <c r="D165" t="inlineStr">
        <is>
          <t>50</t>
        </is>
      </c>
      <c r="E165" t="inlineStr">
        <is>
          <t>Sha Sha - Shandaar Shawarma</t>
        </is>
      </c>
      <c r="F165" t="inlineStr">
        <is>
          <t>18557902</t>
        </is>
      </c>
      <c r="G165" t="inlineStr">
        <is>
          <t>30% off upto ₹75 (2025-06-25 - 2031-01-01)</t>
        </is>
      </c>
      <c r="H165" t="inlineStr">
        <is>
          <t>ONLINE</t>
        </is>
      </c>
      <c r="I165" t="inlineStr">
        <is>
          <t>DELIVERED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O2</t>
        </is>
      </c>
      <c r="N165" t="inlineStr">
        <is>
          <t>36</t>
        </is>
      </c>
      <c r="O165" t="n">
        <v>229</v>
      </c>
      <c r="P165" t="n">
        <v>3.5</v>
      </c>
      <c r="Q165" t="n">
        <v>0</v>
      </c>
      <c r="R165" t="n">
        <v>68.7</v>
      </c>
      <c r="S165" t="n">
        <v>0</v>
      </c>
      <c r="T165" t="n">
        <v>0</v>
      </c>
      <c r="U165" t="n">
        <v>0</v>
      </c>
      <c r="V165" t="n">
        <v>8.19</v>
      </c>
      <c r="W165" t="n">
        <v>171.99</v>
      </c>
      <c r="X165" t="n">
        <v>163.8</v>
      </c>
      <c r="Y165" t="n">
        <v>19</v>
      </c>
      <c r="Z165" t="n">
        <v>31.12</v>
      </c>
      <c r="AA165" t="n">
        <v>3.16</v>
      </c>
      <c r="AB165" t="n">
        <v>34.28</v>
      </c>
      <c r="AC165" t="n">
        <v>6.17</v>
      </c>
      <c r="AD165" t="n">
        <v>0</v>
      </c>
      <c r="AE165" t="n">
        <v>163.8</v>
      </c>
      <c r="AF165" t="n">
        <v>0</v>
      </c>
      <c r="AG165" t="n">
        <v>0</v>
      </c>
      <c r="AH165" t="n">
        <v>0.16</v>
      </c>
      <c r="AI165" t="n">
        <v>8.199999999999999</v>
      </c>
      <c r="AJ165" t="n">
        <v>-0.01</v>
      </c>
      <c r="AK165" t="n">
        <v>14.53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48.81</v>
      </c>
      <c r="AV165" t="n">
        <v>0</v>
      </c>
      <c r="AW165" t="n">
        <v>123.18</v>
      </c>
      <c r="AX165" t="inlineStr">
        <is>
          <t>settled</t>
        </is>
      </c>
      <c r="AY165" t="inlineStr">
        <is>
          <t>2025-12-17 05:30:00</t>
        </is>
      </c>
      <c r="AZ165" t="inlineStr">
        <is>
          <t>CITIN25671113204</t>
        </is>
      </c>
      <c r="BA165" t="n">
        <v>0</v>
      </c>
      <c r="BB165" t="inlineStr">
        <is>
          <t>a413b8de8ea81fdf51fd35a2b64ba6005c14068f24bf229b8d439d0f5b055fef</t>
        </is>
      </c>
    </row>
    <row r="166">
      <c r="A166" t="inlineStr">
        <is>
          <t>506</t>
        </is>
      </c>
      <c r="B166" t="inlineStr">
        <is>
          <t>7568475179</t>
        </is>
      </c>
      <c r="C166" t="inlineStr">
        <is>
          <t>2025-12-11 02:02:52</t>
        </is>
      </c>
      <c r="D166" t="inlineStr">
        <is>
          <t>50</t>
        </is>
      </c>
      <c r="E166" t="inlineStr">
        <is>
          <t>Sha Sha - Shandaar Shawarma</t>
        </is>
      </c>
      <c r="F166" t="inlineStr">
        <is>
          <t>18557902</t>
        </is>
      </c>
      <c r="G166" t="inlineStr">
        <is>
          <t>30% off upto ₹75 (2025-06-25 - 2031-01-01)</t>
        </is>
      </c>
      <c r="H166" t="inlineStr">
        <is>
          <t>ONLINE</t>
        </is>
      </c>
      <c r="I166" t="inlineStr">
        <is>
          <t>DELIVERED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O2</t>
        </is>
      </c>
      <c r="N166" t="inlineStr">
        <is>
          <t>36</t>
        </is>
      </c>
      <c r="O166" t="n">
        <v>268</v>
      </c>
      <c r="P166" t="n">
        <v>3.5</v>
      </c>
      <c r="Q166" t="n">
        <v>0</v>
      </c>
      <c r="R166" t="n">
        <v>75</v>
      </c>
      <c r="S166" t="n">
        <v>0</v>
      </c>
      <c r="T166" t="n">
        <v>0</v>
      </c>
      <c r="U166" t="n">
        <v>0</v>
      </c>
      <c r="V166" t="n">
        <v>9.83</v>
      </c>
      <c r="W166" t="n">
        <v>206.33</v>
      </c>
      <c r="X166" t="n">
        <v>196.5</v>
      </c>
      <c r="Y166" t="n">
        <v>19</v>
      </c>
      <c r="Z166" t="n">
        <v>37.34</v>
      </c>
      <c r="AA166" t="n">
        <v>3.8</v>
      </c>
      <c r="AB166" t="n">
        <v>41.14</v>
      </c>
      <c r="AC166" t="n">
        <v>7.4</v>
      </c>
      <c r="AD166" t="n">
        <v>0</v>
      </c>
      <c r="AE166" t="n">
        <v>196.5</v>
      </c>
      <c r="AF166" t="n">
        <v>0</v>
      </c>
      <c r="AG166" t="n">
        <v>0</v>
      </c>
      <c r="AH166" t="n">
        <v>0.2</v>
      </c>
      <c r="AI166" t="n">
        <v>9.83</v>
      </c>
      <c r="AJ166" t="n">
        <v>0</v>
      </c>
      <c r="AK166" t="n">
        <v>17.43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58.57</v>
      </c>
      <c r="AV166" t="n">
        <v>0</v>
      </c>
      <c r="AW166" t="n">
        <v>147.76</v>
      </c>
      <c r="AX166" t="inlineStr">
        <is>
          <t>settled</t>
        </is>
      </c>
      <c r="AY166" t="inlineStr">
        <is>
          <t>2025-12-17 05:30:00</t>
        </is>
      </c>
      <c r="AZ166" t="inlineStr">
        <is>
          <t>CITIN25671113204</t>
        </is>
      </c>
      <c r="BA166" t="n">
        <v>0</v>
      </c>
      <c r="BB166" t="inlineStr">
        <is>
          <t>13c4e3dbee2373b9614e41fd0c670f869e8ae9a001a1cb58e9cc5f0fd9d759de</t>
        </is>
      </c>
    </row>
    <row r="167">
      <c r="A167" t="inlineStr">
        <is>
          <t>507</t>
        </is>
      </c>
      <c r="B167" t="inlineStr">
        <is>
          <t>7568251016</t>
        </is>
      </c>
      <c r="C167" t="inlineStr">
        <is>
          <t>2025-12-11 02:05:02</t>
        </is>
      </c>
      <c r="D167" t="inlineStr">
        <is>
          <t>50</t>
        </is>
      </c>
      <c r="E167" t="inlineStr">
        <is>
          <t>Sha Sha - Shandaar Shawarma</t>
        </is>
      </c>
      <c r="F167" t="inlineStr">
        <is>
          <t>18557902</t>
        </is>
      </c>
      <c r="G167" t="inlineStr">
        <is>
          <t>30% off upto ₹75 (2025-06-25 - 2031-01-01)</t>
        </is>
      </c>
      <c r="H167" t="inlineStr">
        <is>
          <t>ONLINE</t>
        </is>
      </c>
      <c r="I167" t="inlineStr">
        <is>
          <t>DELIVERED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O2</t>
        </is>
      </c>
      <c r="N167" t="inlineStr">
        <is>
          <t>36</t>
        </is>
      </c>
      <c r="O167" t="n">
        <v>428</v>
      </c>
      <c r="P167" t="n">
        <v>3.5</v>
      </c>
      <c r="Q167" t="n">
        <v>0</v>
      </c>
      <c r="R167" t="n">
        <v>75</v>
      </c>
      <c r="S167" t="n">
        <v>0</v>
      </c>
      <c r="T167" t="n">
        <v>0</v>
      </c>
      <c r="U167" t="n">
        <v>0</v>
      </c>
      <c r="V167" t="n">
        <v>17.83</v>
      </c>
      <c r="W167" t="n">
        <v>374.33</v>
      </c>
      <c r="X167" t="n">
        <v>356.5</v>
      </c>
      <c r="Y167" t="n">
        <v>19</v>
      </c>
      <c r="Z167" t="n">
        <v>67.73999999999999</v>
      </c>
      <c r="AA167" t="n">
        <v>6.89</v>
      </c>
      <c r="AB167" t="n">
        <v>74.63</v>
      </c>
      <c r="AC167" t="n">
        <v>13.43</v>
      </c>
      <c r="AD167" t="n">
        <v>0</v>
      </c>
      <c r="AE167" t="n">
        <v>356.5</v>
      </c>
      <c r="AF167" t="n">
        <v>0</v>
      </c>
      <c r="AG167" t="n">
        <v>0</v>
      </c>
      <c r="AH167" t="n">
        <v>0.36</v>
      </c>
      <c r="AI167" t="n">
        <v>17.83</v>
      </c>
      <c r="AJ167" t="n">
        <v>0</v>
      </c>
      <c r="AK167" t="n">
        <v>31.62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106.25</v>
      </c>
      <c r="AV167" t="n">
        <v>0</v>
      </c>
      <c r="AW167" t="n">
        <v>268.08</v>
      </c>
      <c r="AX167" t="inlineStr">
        <is>
          <t>settled</t>
        </is>
      </c>
      <c r="AY167" t="inlineStr">
        <is>
          <t>2025-12-17 05:30:00</t>
        </is>
      </c>
      <c r="AZ167" t="inlineStr">
        <is>
          <t>CITIN25671113204</t>
        </is>
      </c>
      <c r="BA167" t="n">
        <v>0</v>
      </c>
      <c r="BB167" t="inlineStr">
        <is>
          <t>9636e01cbb15b38e890d3ae105c881ec2692bdd8d500197644707ddc3a3c5b7b</t>
        </is>
      </c>
    </row>
    <row r="168">
      <c r="A168" t="inlineStr">
        <is>
          <t>508</t>
        </is>
      </c>
      <c r="B168" t="inlineStr">
        <is>
          <t>7568463763</t>
        </is>
      </c>
      <c r="C168" t="inlineStr">
        <is>
          <t>2025-12-11 02:37:23</t>
        </is>
      </c>
      <c r="D168" t="inlineStr">
        <is>
          <t>50</t>
        </is>
      </c>
      <c r="E168" t="inlineStr">
        <is>
          <t>Sha Sha - Shandaar Shawarma</t>
        </is>
      </c>
      <c r="F168" t="inlineStr">
        <is>
          <t>18557902</t>
        </is>
      </c>
      <c r="G168" t="inlineStr">
        <is>
          <t>30% off upto ₹75 (2025-06-25 - 2031-01-01)</t>
        </is>
      </c>
      <c r="H168" t="inlineStr">
        <is>
          <t>ONLINE</t>
        </is>
      </c>
      <c r="I168" t="inlineStr">
        <is>
          <t>DELIVERED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O2</t>
        </is>
      </c>
      <c r="N168" t="inlineStr">
        <is>
          <t>36</t>
        </is>
      </c>
      <c r="O168" t="n">
        <v>229</v>
      </c>
      <c r="P168" t="n">
        <v>3.5</v>
      </c>
      <c r="Q168" t="n">
        <v>0</v>
      </c>
      <c r="R168" t="n">
        <v>68.7</v>
      </c>
      <c r="S168" t="n">
        <v>0</v>
      </c>
      <c r="T168" t="n">
        <v>0</v>
      </c>
      <c r="U168" t="n">
        <v>0</v>
      </c>
      <c r="V168" t="n">
        <v>8.19</v>
      </c>
      <c r="W168" t="n">
        <v>171.99</v>
      </c>
      <c r="X168" t="n">
        <v>163.8</v>
      </c>
      <c r="Y168" t="n">
        <v>19</v>
      </c>
      <c r="Z168" t="n">
        <v>31.12</v>
      </c>
      <c r="AA168" t="n">
        <v>3.16</v>
      </c>
      <c r="AB168" t="n">
        <v>34.28</v>
      </c>
      <c r="AC168" t="n">
        <v>6.17</v>
      </c>
      <c r="AD168" t="n">
        <v>0</v>
      </c>
      <c r="AE168" t="n">
        <v>163.8</v>
      </c>
      <c r="AF168" t="n">
        <v>0</v>
      </c>
      <c r="AG168" t="n">
        <v>0</v>
      </c>
      <c r="AH168" t="n">
        <v>0.16</v>
      </c>
      <c r="AI168" t="n">
        <v>8.199999999999999</v>
      </c>
      <c r="AJ168" t="n">
        <v>-0.01</v>
      </c>
      <c r="AK168" t="n">
        <v>14.53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48.81</v>
      </c>
      <c r="AV168" t="n">
        <v>0</v>
      </c>
      <c r="AW168" t="n">
        <v>123.18</v>
      </c>
      <c r="AX168" t="inlineStr">
        <is>
          <t>settled</t>
        </is>
      </c>
      <c r="AY168" t="inlineStr">
        <is>
          <t>2025-12-17 05:30:00</t>
        </is>
      </c>
      <c r="AZ168" t="inlineStr">
        <is>
          <t>CITIN25671113204</t>
        </is>
      </c>
      <c r="BA168" t="n">
        <v>0</v>
      </c>
      <c r="BB168" t="inlineStr">
        <is>
          <t>3c515e96660c7ab49e89507033d14fe6c9b6bd7cfabffe9ca71bf9fcc48ce398</t>
        </is>
      </c>
    </row>
    <row r="169">
      <c r="A169" t="inlineStr">
        <is>
          <t>509</t>
        </is>
      </c>
      <c r="B169" t="inlineStr">
        <is>
          <t>7561530566</t>
        </is>
      </c>
      <c r="C169" t="inlineStr">
        <is>
          <t>2025-12-11 02:38:42</t>
        </is>
      </c>
      <c r="D169" t="inlineStr">
        <is>
          <t>50</t>
        </is>
      </c>
      <c r="E169" t="inlineStr">
        <is>
          <t>Sha Sha - Shandaar Shawarma</t>
        </is>
      </c>
      <c r="F169" t="inlineStr">
        <is>
          <t>18557902</t>
        </is>
      </c>
      <c r="G169" t="inlineStr">
        <is>
          <t>30% off upto ₹75 (2025-06-25 - 2031-01-01)</t>
        </is>
      </c>
      <c r="H169" t="inlineStr">
        <is>
          <t>ONLINE</t>
        </is>
      </c>
      <c r="I169" t="inlineStr">
        <is>
          <t>DELIVERED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O2</t>
        </is>
      </c>
      <c r="N169" t="inlineStr">
        <is>
          <t>36</t>
        </is>
      </c>
      <c r="O169" t="n">
        <v>229</v>
      </c>
      <c r="P169" t="n">
        <v>3.5</v>
      </c>
      <c r="Q169" t="n">
        <v>0</v>
      </c>
      <c r="R169" t="n">
        <v>68.7</v>
      </c>
      <c r="S169" t="n">
        <v>0</v>
      </c>
      <c r="T169" t="n">
        <v>0</v>
      </c>
      <c r="U169" t="n">
        <v>0</v>
      </c>
      <c r="V169" t="n">
        <v>8.19</v>
      </c>
      <c r="W169" t="n">
        <v>171.99</v>
      </c>
      <c r="X169" t="n">
        <v>163.8</v>
      </c>
      <c r="Y169" t="n">
        <v>19</v>
      </c>
      <c r="Z169" t="n">
        <v>31.12</v>
      </c>
      <c r="AA169" t="n">
        <v>3.16</v>
      </c>
      <c r="AB169" t="n">
        <v>34.28</v>
      </c>
      <c r="AC169" t="n">
        <v>6.17</v>
      </c>
      <c r="AD169" t="n">
        <v>0</v>
      </c>
      <c r="AE169" t="n">
        <v>163.8</v>
      </c>
      <c r="AF169" t="n">
        <v>0</v>
      </c>
      <c r="AG169" t="n">
        <v>0</v>
      </c>
      <c r="AH169" t="n">
        <v>0.16</v>
      </c>
      <c r="AI169" t="n">
        <v>8.199999999999999</v>
      </c>
      <c r="AJ169" t="n">
        <v>-0.01</v>
      </c>
      <c r="AK169" t="n">
        <v>14.53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48.81</v>
      </c>
      <c r="AV169" t="n">
        <v>0</v>
      </c>
      <c r="AW169" t="n">
        <v>123.18</v>
      </c>
      <c r="AX169" t="inlineStr">
        <is>
          <t>settled</t>
        </is>
      </c>
      <c r="AY169" t="inlineStr">
        <is>
          <t>2025-12-17 05:30:00</t>
        </is>
      </c>
      <c r="AZ169" t="inlineStr">
        <is>
          <t>CITIN25671113204</t>
        </is>
      </c>
      <c r="BA169" t="n">
        <v>0</v>
      </c>
      <c r="BB169" t="inlineStr">
        <is>
          <t>39cb5008428e2d39a8a0947ebfa4048e8ea5d3bb9c4cdfe92ca9c486ab9e6efe</t>
        </is>
      </c>
    </row>
    <row r="170">
      <c r="A170" t="inlineStr">
        <is>
          <t>510</t>
        </is>
      </c>
      <c r="B170" t="inlineStr">
        <is>
          <t>7566605574</t>
        </is>
      </c>
      <c r="C170" t="inlineStr">
        <is>
          <t>2025-12-11 03:17:25</t>
        </is>
      </c>
      <c r="D170" t="inlineStr">
        <is>
          <t>50</t>
        </is>
      </c>
      <c r="E170" t="inlineStr">
        <is>
          <t>Sha Sha - Shandaar Shawarma</t>
        </is>
      </c>
      <c r="F170" t="inlineStr">
        <is>
          <t>18557902</t>
        </is>
      </c>
      <c r="G170" t="inlineStr">
        <is>
          <t>NA</t>
        </is>
      </c>
      <c r="H170" t="inlineStr">
        <is>
          <t>ONLINE</t>
        </is>
      </c>
      <c r="I170" t="inlineStr">
        <is>
          <t>DELIVERED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O2</t>
        </is>
      </c>
      <c r="N170" t="inlineStr">
        <is>
          <t>36</t>
        </is>
      </c>
      <c r="O170" t="n">
        <v>526</v>
      </c>
      <c r="P170" t="n">
        <v>3.5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26.48</v>
      </c>
      <c r="W170" t="n">
        <v>555.98</v>
      </c>
      <c r="X170" t="n">
        <v>529.5</v>
      </c>
      <c r="Y170" t="n">
        <v>19</v>
      </c>
      <c r="Z170" t="n">
        <v>100.6</v>
      </c>
      <c r="AA170" t="n">
        <v>10.23</v>
      </c>
      <c r="AB170" t="n">
        <v>110.83</v>
      </c>
      <c r="AC170" t="n">
        <v>19.95</v>
      </c>
      <c r="AD170" t="n">
        <v>0</v>
      </c>
      <c r="AE170" t="n">
        <v>529.5</v>
      </c>
      <c r="AF170" t="n">
        <v>0</v>
      </c>
      <c r="AG170" t="n">
        <v>0</v>
      </c>
      <c r="AH170" t="n">
        <v>0.53</v>
      </c>
      <c r="AI170" t="n">
        <v>26.48</v>
      </c>
      <c r="AJ170" t="n">
        <v>0</v>
      </c>
      <c r="AK170" t="n">
        <v>46.96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157.79</v>
      </c>
      <c r="AV170" t="n">
        <v>0</v>
      </c>
      <c r="AW170" t="n">
        <v>398.19</v>
      </c>
      <c r="AX170" t="inlineStr">
        <is>
          <t>settled</t>
        </is>
      </c>
      <c r="AY170" t="inlineStr">
        <is>
          <t>2025-12-17 05:30:00</t>
        </is>
      </c>
      <c r="AZ170" t="inlineStr">
        <is>
          <t>CITIN25671113204</t>
        </is>
      </c>
      <c r="BA170" t="n">
        <v>0</v>
      </c>
      <c r="BB170" t="inlineStr">
        <is>
          <t>768dbbf5552bbf0aab54144e5bafb1dd61b25294560712cabd1bfc899869a358</t>
        </is>
      </c>
    </row>
    <row r="171">
      <c r="A171" t="inlineStr">
        <is>
          <t>511</t>
        </is>
      </c>
      <c r="B171" t="inlineStr">
        <is>
          <t>7565622392</t>
        </is>
      </c>
      <c r="C171" t="inlineStr">
        <is>
          <t>2025-12-11 04:07:13</t>
        </is>
      </c>
      <c r="D171" t="inlineStr">
        <is>
          <t>50</t>
        </is>
      </c>
      <c r="E171" t="inlineStr">
        <is>
          <t>Sha Sha - Shandaar Shawarma</t>
        </is>
      </c>
      <c r="F171" t="inlineStr">
        <is>
          <t>18557902</t>
        </is>
      </c>
      <c r="G171" t="inlineStr">
        <is>
          <t>NA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O2</t>
        </is>
      </c>
      <c r="N171" t="inlineStr">
        <is>
          <t>36</t>
        </is>
      </c>
      <c r="O171" t="n">
        <v>229</v>
      </c>
      <c r="P171" t="n">
        <v>3.5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11.63</v>
      </c>
      <c r="W171" t="n">
        <v>244.13</v>
      </c>
      <c r="X171" t="n">
        <v>232.5</v>
      </c>
      <c r="Y171" t="n">
        <v>19</v>
      </c>
      <c r="Z171" t="n">
        <v>44.18</v>
      </c>
      <c r="AA171" t="n">
        <v>4.49</v>
      </c>
      <c r="AB171" t="n">
        <v>48.67</v>
      </c>
      <c r="AC171" t="n">
        <v>8.76</v>
      </c>
      <c r="AD171" t="n">
        <v>0</v>
      </c>
      <c r="AE171" t="n">
        <v>232.5</v>
      </c>
      <c r="AF171" t="n">
        <v>0</v>
      </c>
      <c r="AG171" t="n">
        <v>0</v>
      </c>
      <c r="AH171" t="n">
        <v>0.23</v>
      </c>
      <c r="AI171" t="n">
        <v>11.63</v>
      </c>
      <c r="AJ171" t="n">
        <v>0</v>
      </c>
      <c r="AK171" t="n">
        <v>20.62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69.29000000000001</v>
      </c>
      <c r="AV171" t="n">
        <v>0</v>
      </c>
      <c r="AW171" t="n">
        <v>174.84</v>
      </c>
      <c r="AX171" t="inlineStr">
        <is>
          <t>settled</t>
        </is>
      </c>
      <c r="AY171" t="inlineStr">
        <is>
          <t>2025-12-17 05:30:00</t>
        </is>
      </c>
      <c r="AZ171" t="inlineStr">
        <is>
          <t>CITIN25671113204</t>
        </is>
      </c>
      <c r="BA171" t="n">
        <v>0</v>
      </c>
      <c r="BB171" t="inlineStr">
        <is>
          <t>7c7a7be7b1f8b7b6dec5d38b86dc83049d729a8f327111ab179ae83dec45946b</t>
        </is>
      </c>
    </row>
    <row r="172">
      <c r="A172" t="inlineStr">
        <is>
          <t>512</t>
        </is>
      </c>
      <c r="B172" t="inlineStr">
        <is>
          <t>7569235681</t>
        </is>
      </c>
      <c r="C172" t="inlineStr">
        <is>
          <t>2025-12-11 04:25:22</t>
        </is>
      </c>
      <c r="D172" t="inlineStr">
        <is>
          <t>50</t>
        </is>
      </c>
      <c r="E172" t="inlineStr">
        <is>
          <t>Sha Sha - Shandaar Shawarma</t>
        </is>
      </c>
      <c r="F172" t="inlineStr">
        <is>
          <t>18557902</t>
        </is>
      </c>
      <c r="G172" t="inlineStr">
        <is>
          <t>30% off upto ₹75 (2025-06-25 - 2031-01-01)</t>
        </is>
      </c>
      <c r="H172" t="inlineStr">
        <is>
          <t>ONLINE</t>
        </is>
      </c>
      <c r="I172" t="inlineStr">
        <is>
          <t>DELIVERED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O2</t>
        </is>
      </c>
      <c r="N172" t="inlineStr">
        <is>
          <t>36</t>
        </is>
      </c>
      <c r="O172" t="n">
        <v>199</v>
      </c>
      <c r="P172" t="n">
        <v>3.5</v>
      </c>
      <c r="Q172" t="n">
        <v>0</v>
      </c>
      <c r="R172" t="n">
        <v>59.7</v>
      </c>
      <c r="S172" t="n">
        <v>0</v>
      </c>
      <c r="T172" t="n">
        <v>0</v>
      </c>
      <c r="U172" t="n">
        <v>0</v>
      </c>
      <c r="V172" t="n">
        <v>7.14</v>
      </c>
      <c r="W172" t="n">
        <v>149.94</v>
      </c>
      <c r="X172" t="n">
        <v>142.8</v>
      </c>
      <c r="Y172" t="n">
        <v>19</v>
      </c>
      <c r="Z172" t="n">
        <v>27.13</v>
      </c>
      <c r="AA172" t="n">
        <v>2.76</v>
      </c>
      <c r="AB172" t="n">
        <v>29.89</v>
      </c>
      <c r="AC172" t="n">
        <v>5.38</v>
      </c>
      <c r="AD172" t="n">
        <v>0</v>
      </c>
      <c r="AE172" t="n">
        <v>142.8</v>
      </c>
      <c r="AF172" t="n">
        <v>0</v>
      </c>
      <c r="AG172" t="n">
        <v>0</v>
      </c>
      <c r="AH172" t="n">
        <v>0.14</v>
      </c>
      <c r="AI172" t="n">
        <v>7.15</v>
      </c>
      <c r="AJ172" t="n">
        <v>-0.01</v>
      </c>
      <c r="AK172" t="n">
        <v>12.67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42.56</v>
      </c>
      <c r="AV172" t="n">
        <v>0</v>
      </c>
      <c r="AW172" t="n">
        <v>107.38</v>
      </c>
      <c r="AX172" t="inlineStr">
        <is>
          <t>settled</t>
        </is>
      </c>
      <c r="AY172" t="inlineStr">
        <is>
          <t>2025-12-17 05:30:00</t>
        </is>
      </c>
      <c r="AZ172" t="inlineStr">
        <is>
          <t>CITIN25671113204</t>
        </is>
      </c>
      <c r="BA172" t="n">
        <v>0</v>
      </c>
      <c r="BB172" t="inlineStr">
        <is>
          <t>7b988044ebf021633c5486714852e3131fb879bf746d5c41622cbf92bbbeff58</t>
        </is>
      </c>
    </row>
    <row r="173">
      <c r="A173" t="inlineStr">
        <is>
          <t>513</t>
        </is>
      </c>
      <c r="B173" t="inlineStr">
        <is>
          <t>7560548334</t>
        </is>
      </c>
      <c r="C173" t="inlineStr">
        <is>
          <t>2025-12-11 04:28:09</t>
        </is>
      </c>
      <c r="D173" t="inlineStr">
        <is>
          <t>50</t>
        </is>
      </c>
      <c r="E173" t="inlineStr">
        <is>
          <t>Sha Sha - Shandaar Shawarma</t>
        </is>
      </c>
      <c r="F173" t="inlineStr">
        <is>
          <t>18557902</t>
        </is>
      </c>
      <c r="G173" t="inlineStr">
        <is>
          <t>30% off upto ₹75 (2025-06-25 - 2031-01-01)</t>
        </is>
      </c>
      <c r="H173" t="inlineStr">
        <is>
          <t>ONLINE</t>
        </is>
      </c>
      <c r="I173" t="inlineStr">
        <is>
          <t>DELIVERED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O2</t>
        </is>
      </c>
      <c r="N173" t="inlineStr">
        <is>
          <t>36</t>
        </is>
      </c>
      <c r="O173" t="n">
        <v>229</v>
      </c>
      <c r="P173" t="n">
        <v>3.5</v>
      </c>
      <c r="Q173" t="n">
        <v>0</v>
      </c>
      <c r="R173" t="n">
        <v>68.7</v>
      </c>
      <c r="S173" t="n">
        <v>0</v>
      </c>
      <c r="T173" t="n">
        <v>0</v>
      </c>
      <c r="U173" t="n">
        <v>0</v>
      </c>
      <c r="V173" t="n">
        <v>8.19</v>
      </c>
      <c r="W173" t="n">
        <v>171.99</v>
      </c>
      <c r="X173" t="n">
        <v>163.8</v>
      </c>
      <c r="Y173" t="n">
        <v>19</v>
      </c>
      <c r="Z173" t="n">
        <v>31.12</v>
      </c>
      <c r="AA173" t="n">
        <v>3.16</v>
      </c>
      <c r="AB173" t="n">
        <v>34.28</v>
      </c>
      <c r="AC173" t="n">
        <v>6.17</v>
      </c>
      <c r="AD173" t="n">
        <v>0</v>
      </c>
      <c r="AE173" t="n">
        <v>163.8</v>
      </c>
      <c r="AF173" t="n">
        <v>0</v>
      </c>
      <c r="AG173" t="n">
        <v>0</v>
      </c>
      <c r="AH173" t="n">
        <v>0.16</v>
      </c>
      <c r="AI173" t="n">
        <v>8.199999999999999</v>
      </c>
      <c r="AJ173" t="n">
        <v>-0.01</v>
      </c>
      <c r="AK173" t="n">
        <v>14.53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48.81</v>
      </c>
      <c r="AV173" t="n">
        <v>0</v>
      </c>
      <c r="AW173" t="n">
        <v>123.18</v>
      </c>
      <c r="AX173" t="inlineStr">
        <is>
          <t>settled</t>
        </is>
      </c>
      <c r="AY173" t="inlineStr">
        <is>
          <t>2025-12-17 05:30:00</t>
        </is>
      </c>
      <c r="AZ173" t="inlineStr">
        <is>
          <t>CITIN25671113204</t>
        </is>
      </c>
      <c r="BA173" t="n">
        <v>0</v>
      </c>
      <c r="BB173" t="inlineStr">
        <is>
          <t>2b2fdecdb0bd897f632c07479607dbd5f7edea7eadbfa7f82ab53b5ac38f7e7a</t>
        </is>
      </c>
    </row>
    <row r="174">
      <c r="A174" t="inlineStr">
        <is>
          <t>514</t>
        </is>
      </c>
      <c r="B174" t="inlineStr">
        <is>
          <t>7565044857</t>
        </is>
      </c>
      <c r="C174" t="inlineStr">
        <is>
          <t>2025-12-11 04:29:13</t>
        </is>
      </c>
      <c r="D174" t="inlineStr">
        <is>
          <t>50</t>
        </is>
      </c>
      <c r="E174" t="inlineStr">
        <is>
          <t>Sha Sha - Shandaar Shawarma</t>
        </is>
      </c>
      <c r="F174" t="inlineStr">
        <is>
          <t>18557902</t>
        </is>
      </c>
      <c r="G174" t="inlineStr">
        <is>
          <t>30% off upto ₹75 (2025-06-25 - 2031-01-01)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O2</t>
        </is>
      </c>
      <c r="N174" t="inlineStr">
        <is>
          <t>36</t>
        </is>
      </c>
      <c r="O174" t="n">
        <v>229</v>
      </c>
      <c r="P174" t="n">
        <v>3.5</v>
      </c>
      <c r="Q174" t="n">
        <v>0</v>
      </c>
      <c r="R174" t="n">
        <v>68.7</v>
      </c>
      <c r="S174" t="n">
        <v>0</v>
      </c>
      <c r="T174" t="n">
        <v>0</v>
      </c>
      <c r="U174" t="n">
        <v>0</v>
      </c>
      <c r="V174" t="n">
        <v>8.19</v>
      </c>
      <c r="W174" t="n">
        <v>171.99</v>
      </c>
      <c r="X174" t="n">
        <v>163.8</v>
      </c>
      <c r="Y174" t="n">
        <v>19</v>
      </c>
      <c r="Z174" t="n">
        <v>31.12</v>
      </c>
      <c r="AA174" t="n">
        <v>3.16</v>
      </c>
      <c r="AB174" t="n">
        <v>34.28</v>
      </c>
      <c r="AC174" t="n">
        <v>6.17</v>
      </c>
      <c r="AD174" t="n">
        <v>0</v>
      </c>
      <c r="AE174" t="n">
        <v>163.8</v>
      </c>
      <c r="AF174" t="n">
        <v>0</v>
      </c>
      <c r="AG174" t="n">
        <v>0</v>
      </c>
      <c r="AH174" t="n">
        <v>0.16</v>
      </c>
      <c r="AI174" t="n">
        <v>8.199999999999999</v>
      </c>
      <c r="AJ174" t="n">
        <v>-0.01</v>
      </c>
      <c r="AK174" t="n">
        <v>14.53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48.81</v>
      </c>
      <c r="AV174" t="n">
        <v>0</v>
      </c>
      <c r="AW174" t="n">
        <v>123.18</v>
      </c>
      <c r="AX174" t="inlineStr">
        <is>
          <t>settled</t>
        </is>
      </c>
      <c r="AY174" t="inlineStr">
        <is>
          <t>2025-12-17 05:30:00</t>
        </is>
      </c>
      <c r="AZ174" t="inlineStr">
        <is>
          <t>CITIN25671113204</t>
        </is>
      </c>
      <c r="BA174" t="n">
        <v>0</v>
      </c>
      <c r="BB174" t="inlineStr">
        <is>
          <t>b701bd3f69ab1fd7d82a3a6384e90f96d92c8ca36ff3ec90234c40e6427244bb</t>
        </is>
      </c>
    </row>
    <row r="175">
      <c r="A175" t="inlineStr">
        <is>
          <t>515</t>
        </is>
      </c>
      <c r="B175" t="inlineStr">
        <is>
          <t>7549252784</t>
        </is>
      </c>
      <c r="C175" t="inlineStr">
        <is>
          <t>2025-12-11 11:40:31</t>
        </is>
      </c>
      <c r="D175" t="inlineStr">
        <is>
          <t>50</t>
        </is>
      </c>
      <c r="E175" t="inlineStr">
        <is>
          <t>Sha Sha - Shandaar Shawarma</t>
        </is>
      </c>
      <c r="F175" t="inlineStr">
        <is>
          <t>18557902</t>
        </is>
      </c>
      <c r="G175" t="inlineStr">
        <is>
          <t>30% off upto ₹75 (2025-06-25 - 2031-01-01)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O2</t>
        </is>
      </c>
      <c r="N175" t="inlineStr">
        <is>
          <t>36</t>
        </is>
      </c>
      <c r="O175" t="n">
        <v>219</v>
      </c>
      <c r="P175" t="n">
        <v>3.5</v>
      </c>
      <c r="Q175" t="n">
        <v>0</v>
      </c>
      <c r="R175" t="n">
        <v>65.7</v>
      </c>
      <c r="S175" t="n">
        <v>0</v>
      </c>
      <c r="T175" t="n">
        <v>0</v>
      </c>
      <c r="U175" t="n">
        <v>0</v>
      </c>
      <c r="V175" t="n">
        <v>7.84</v>
      </c>
      <c r="W175" t="n">
        <v>164.64</v>
      </c>
      <c r="X175" t="n">
        <v>156.8</v>
      </c>
      <c r="Y175" t="n">
        <v>19</v>
      </c>
      <c r="Z175" t="n">
        <v>29.79</v>
      </c>
      <c r="AA175" t="n">
        <v>3.03</v>
      </c>
      <c r="AB175" t="n">
        <v>32.82</v>
      </c>
      <c r="AC175" t="n">
        <v>5.91</v>
      </c>
      <c r="AD175" t="n">
        <v>0</v>
      </c>
      <c r="AE175" t="n">
        <v>156.8</v>
      </c>
      <c r="AF175" t="n">
        <v>0</v>
      </c>
      <c r="AG175" t="n">
        <v>0</v>
      </c>
      <c r="AH175" t="n">
        <v>0.16</v>
      </c>
      <c r="AI175" t="n">
        <v>7.85</v>
      </c>
      <c r="AJ175" t="n">
        <v>-0.01</v>
      </c>
      <c r="AK175" t="n">
        <v>13.92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46.74</v>
      </c>
      <c r="AV175" t="n">
        <v>0</v>
      </c>
      <c r="AW175" t="n">
        <v>117.9</v>
      </c>
      <c r="AX175" t="inlineStr">
        <is>
          <t>settled</t>
        </is>
      </c>
      <c r="AY175" t="inlineStr">
        <is>
          <t>2025-12-17 05:30:00</t>
        </is>
      </c>
      <c r="AZ175" t="inlineStr">
        <is>
          <t>CITIN25671113204</t>
        </is>
      </c>
      <c r="BA175" t="n">
        <v>0</v>
      </c>
      <c r="BB175" t="inlineStr">
        <is>
          <t>727542682f6e038c1afe8d62a5a75ff6a7d229011256e048157caa63290bfd5d</t>
        </is>
      </c>
    </row>
    <row r="176">
      <c r="A176" t="inlineStr">
        <is>
          <t>516</t>
        </is>
      </c>
      <c r="B176" t="inlineStr">
        <is>
          <t>7570213384</t>
        </is>
      </c>
      <c r="C176" t="inlineStr">
        <is>
          <t>2025-12-11 12:58:01</t>
        </is>
      </c>
      <c r="D176" t="inlineStr">
        <is>
          <t>50</t>
        </is>
      </c>
      <c r="E176" t="inlineStr">
        <is>
          <t>Sha Sha - Shandaar Shawarma</t>
        </is>
      </c>
      <c r="F176" t="inlineStr">
        <is>
          <t>18557902</t>
        </is>
      </c>
      <c r="G176" t="inlineStr">
        <is>
          <t>NA</t>
        </is>
      </c>
      <c r="H176" t="inlineStr">
        <is>
          <t>ONLINE</t>
        </is>
      </c>
      <c r="I176" t="inlineStr">
        <is>
          <t>DELIVERED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O2</t>
        </is>
      </c>
      <c r="N176" t="inlineStr">
        <is>
          <t>36</t>
        </is>
      </c>
      <c r="O176" t="n">
        <v>458</v>
      </c>
      <c r="P176" t="n">
        <v>3.5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23.08</v>
      </c>
      <c r="W176" t="n">
        <v>484.58</v>
      </c>
      <c r="X176" t="n">
        <v>461.5</v>
      </c>
      <c r="Y176" t="n">
        <v>19</v>
      </c>
      <c r="Z176" t="n">
        <v>87.68000000000001</v>
      </c>
      <c r="AA176" t="n">
        <v>8.92</v>
      </c>
      <c r="AB176" t="n">
        <v>96.59999999999999</v>
      </c>
      <c r="AC176" t="n">
        <v>17.39</v>
      </c>
      <c r="AD176" t="n">
        <v>0</v>
      </c>
      <c r="AE176" t="n">
        <v>461.5</v>
      </c>
      <c r="AF176" t="n">
        <v>0</v>
      </c>
      <c r="AG176" t="n">
        <v>0</v>
      </c>
      <c r="AH176" t="n">
        <v>0.46</v>
      </c>
      <c r="AI176" t="n">
        <v>23.08</v>
      </c>
      <c r="AJ176" t="n">
        <v>0</v>
      </c>
      <c r="AK176" t="n">
        <v>40.93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137.53</v>
      </c>
      <c r="AV176" t="n">
        <v>0</v>
      </c>
      <c r="AW176" t="n">
        <v>347.05</v>
      </c>
      <c r="AX176" t="inlineStr">
        <is>
          <t>settled</t>
        </is>
      </c>
      <c r="AY176" t="inlineStr">
        <is>
          <t>2025-12-17 05:30:00</t>
        </is>
      </c>
      <c r="AZ176" t="inlineStr">
        <is>
          <t>CITIN25671113204</t>
        </is>
      </c>
      <c r="BA176" t="n">
        <v>0</v>
      </c>
      <c r="BB176" t="inlineStr">
        <is>
          <t>938018d02256e8911bce9b90d3e06f9d42b194f799880308d2d88af68ab5107c</t>
        </is>
      </c>
    </row>
    <row r="177">
      <c r="A177" t="inlineStr">
        <is>
          <t>517</t>
        </is>
      </c>
      <c r="B177" t="inlineStr">
        <is>
          <t>7567668401</t>
        </is>
      </c>
      <c r="C177" t="inlineStr">
        <is>
          <t>2025-12-11 13:06:55</t>
        </is>
      </c>
      <c r="D177" t="inlineStr">
        <is>
          <t>50</t>
        </is>
      </c>
      <c r="E177" t="inlineStr">
        <is>
          <t>Sha Sha - Shandaar Shawarma</t>
        </is>
      </c>
      <c r="F177" t="inlineStr">
        <is>
          <t>18557902</t>
        </is>
      </c>
      <c r="G177" t="inlineStr">
        <is>
          <t>30% off upto ₹75 (2025-06-25 - 2031-01-01)</t>
        </is>
      </c>
      <c r="H177" t="inlineStr">
        <is>
          <t>ONLINE</t>
        </is>
      </c>
      <c r="I177" t="inlineStr">
        <is>
          <t>DELIVERED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O2</t>
        </is>
      </c>
      <c r="N177" t="inlineStr">
        <is>
          <t>36</t>
        </is>
      </c>
      <c r="O177" t="n">
        <v>229</v>
      </c>
      <c r="P177" t="n">
        <v>3.5</v>
      </c>
      <c r="Q177" t="n">
        <v>0</v>
      </c>
      <c r="R177" t="n">
        <v>68.7</v>
      </c>
      <c r="S177" t="n">
        <v>0</v>
      </c>
      <c r="T177" t="n">
        <v>0</v>
      </c>
      <c r="U177" t="n">
        <v>0</v>
      </c>
      <c r="V177" t="n">
        <v>8.19</v>
      </c>
      <c r="W177" t="n">
        <v>171.99</v>
      </c>
      <c r="X177" t="n">
        <v>163.8</v>
      </c>
      <c r="Y177" t="n">
        <v>19</v>
      </c>
      <c r="Z177" t="n">
        <v>31.12</v>
      </c>
      <c r="AA177" t="n">
        <v>3.16</v>
      </c>
      <c r="AB177" t="n">
        <v>34.28</v>
      </c>
      <c r="AC177" t="n">
        <v>6.17</v>
      </c>
      <c r="AD177" t="n">
        <v>0</v>
      </c>
      <c r="AE177" t="n">
        <v>163.8</v>
      </c>
      <c r="AF177" t="n">
        <v>0</v>
      </c>
      <c r="AG177" t="n">
        <v>0</v>
      </c>
      <c r="AH177" t="n">
        <v>0.16</v>
      </c>
      <c r="AI177" t="n">
        <v>8.199999999999999</v>
      </c>
      <c r="AJ177" t="n">
        <v>-0.01</v>
      </c>
      <c r="AK177" t="n">
        <v>14.53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48.81</v>
      </c>
      <c r="AV177" t="n">
        <v>0</v>
      </c>
      <c r="AW177" t="n">
        <v>123.18</v>
      </c>
      <c r="AX177" t="inlineStr">
        <is>
          <t>settled</t>
        </is>
      </c>
      <c r="AY177" t="inlineStr">
        <is>
          <t>2025-12-17 05:30:00</t>
        </is>
      </c>
      <c r="AZ177" t="inlineStr">
        <is>
          <t>CITIN25671113204</t>
        </is>
      </c>
      <c r="BA177" t="n">
        <v>0</v>
      </c>
      <c r="BB177" t="inlineStr">
        <is>
          <t>c8a2d241c715d8960818b058c0c43e91c5b3821b27306be9d15a5a8556c7f174</t>
        </is>
      </c>
    </row>
    <row r="178">
      <c r="A178" t="inlineStr">
        <is>
          <t>518</t>
        </is>
      </c>
      <c r="B178" t="inlineStr">
        <is>
          <t>7530135829</t>
        </is>
      </c>
      <c r="C178" t="inlineStr">
        <is>
          <t>2025-12-11 14:01:15</t>
        </is>
      </c>
      <c r="D178" t="inlineStr">
        <is>
          <t>50</t>
        </is>
      </c>
      <c r="E178" t="inlineStr">
        <is>
          <t>Sha Sha - Shandaar Shawarma</t>
        </is>
      </c>
      <c r="F178" t="inlineStr">
        <is>
          <t>18557902</t>
        </is>
      </c>
      <c r="G178" t="inlineStr">
        <is>
          <t>30% off upto ₹75 (2025-06-25 - 2031-01-01)</t>
        </is>
      </c>
      <c r="H178" t="inlineStr">
        <is>
          <t>ONLINE</t>
        </is>
      </c>
      <c r="I178" t="inlineStr">
        <is>
          <t>DELIVERED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O2</t>
        </is>
      </c>
      <c r="N178" t="inlineStr">
        <is>
          <t>36</t>
        </is>
      </c>
      <c r="O178" t="n">
        <v>229</v>
      </c>
      <c r="P178" t="n">
        <v>3.5</v>
      </c>
      <c r="Q178" t="n">
        <v>0</v>
      </c>
      <c r="R178" t="n">
        <v>68.7</v>
      </c>
      <c r="S178" t="n">
        <v>0</v>
      </c>
      <c r="T178" t="n">
        <v>0</v>
      </c>
      <c r="U178" t="n">
        <v>0</v>
      </c>
      <c r="V178" t="n">
        <v>8.19</v>
      </c>
      <c r="W178" t="n">
        <v>171.99</v>
      </c>
      <c r="X178" t="n">
        <v>163.8</v>
      </c>
      <c r="Y178" t="n">
        <v>19</v>
      </c>
      <c r="Z178" t="n">
        <v>31.12</v>
      </c>
      <c r="AA178" t="n">
        <v>3.16</v>
      </c>
      <c r="AB178" t="n">
        <v>34.28</v>
      </c>
      <c r="AC178" t="n">
        <v>6.17</v>
      </c>
      <c r="AD178" t="n">
        <v>0</v>
      </c>
      <c r="AE178" t="n">
        <v>163.8</v>
      </c>
      <c r="AF178" t="n">
        <v>0</v>
      </c>
      <c r="AG178" t="n">
        <v>0</v>
      </c>
      <c r="AH178" t="n">
        <v>0.16</v>
      </c>
      <c r="AI178" t="n">
        <v>8.199999999999999</v>
      </c>
      <c r="AJ178" t="n">
        <v>-0.01</v>
      </c>
      <c r="AK178" t="n">
        <v>14.53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48.81</v>
      </c>
      <c r="AV178" t="n">
        <v>0</v>
      </c>
      <c r="AW178" t="n">
        <v>123.18</v>
      </c>
      <c r="AX178" t="inlineStr">
        <is>
          <t>settled</t>
        </is>
      </c>
      <c r="AY178" t="inlineStr">
        <is>
          <t>2025-12-17 05:30:00</t>
        </is>
      </c>
      <c r="AZ178" t="inlineStr">
        <is>
          <t>CITIN25671113204</t>
        </is>
      </c>
      <c r="BA178" t="n">
        <v>0</v>
      </c>
      <c r="BB178" t="inlineStr">
        <is>
          <t>7e2e45e37f0ab04b34afd9028618892298c3c9d8b3782fbafaa43efda3280a22</t>
        </is>
      </c>
    </row>
    <row r="179">
      <c r="A179" t="inlineStr">
        <is>
          <t>519</t>
        </is>
      </c>
      <c r="B179" t="inlineStr">
        <is>
          <t>7552438014</t>
        </is>
      </c>
      <c r="C179" t="inlineStr">
        <is>
          <t>2025-12-11 14:53:47</t>
        </is>
      </c>
      <c r="D179" t="inlineStr">
        <is>
          <t>50</t>
        </is>
      </c>
      <c r="E179" t="inlineStr">
        <is>
          <t>Sha Sha - Shandaar Shawarma</t>
        </is>
      </c>
      <c r="F179" t="inlineStr">
        <is>
          <t>18557902</t>
        </is>
      </c>
      <c r="G179" t="inlineStr">
        <is>
          <t>30% off upto ₹75 (2025-06-25 - 2031-01-01)</t>
        </is>
      </c>
      <c r="H179" t="inlineStr">
        <is>
          <t>ONLINE</t>
        </is>
      </c>
      <c r="I179" t="inlineStr">
        <is>
          <t>DELIVERED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O2</t>
        </is>
      </c>
      <c r="N179" t="inlineStr">
        <is>
          <t>36</t>
        </is>
      </c>
      <c r="O179" t="n">
        <v>229</v>
      </c>
      <c r="P179" t="n">
        <v>3.5</v>
      </c>
      <c r="Q179" t="n">
        <v>0</v>
      </c>
      <c r="R179" t="n">
        <v>68.7</v>
      </c>
      <c r="S179" t="n">
        <v>0</v>
      </c>
      <c r="T179" t="n">
        <v>0</v>
      </c>
      <c r="U179" t="n">
        <v>0</v>
      </c>
      <c r="V179" t="n">
        <v>8.19</v>
      </c>
      <c r="W179" t="n">
        <v>171.99</v>
      </c>
      <c r="X179" t="n">
        <v>163.8</v>
      </c>
      <c r="Y179" t="n">
        <v>19</v>
      </c>
      <c r="Z179" t="n">
        <v>31.12</v>
      </c>
      <c r="AA179" t="n">
        <v>3.16</v>
      </c>
      <c r="AB179" t="n">
        <v>34.28</v>
      </c>
      <c r="AC179" t="n">
        <v>6.17</v>
      </c>
      <c r="AD179" t="n">
        <v>0</v>
      </c>
      <c r="AE179" t="n">
        <v>163.8</v>
      </c>
      <c r="AF179" t="n">
        <v>0</v>
      </c>
      <c r="AG179" t="n">
        <v>0</v>
      </c>
      <c r="AH179" t="n">
        <v>0.16</v>
      </c>
      <c r="AI179" t="n">
        <v>8.199999999999999</v>
      </c>
      <c r="AJ179" t="n">
        <v>-0.01</v>
      </c>
      <c r="AK179" t="n">
        <v>14.53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48.81</v>
      </c>
      <c r="AV179" t="n">
        <v>0</v>
      </c>
      <c r="AW179" t="n">
        <v>123.18</v>
      </c>
      <c r="AX179" t="inlineStr">
        <is>
          <t>settled</t>
        </is>
      </c>
      <c r="AY179" t="inlineStr">
        <is>
          <t>2025-12-17 05:30:00</t>
        </is>
      </c>
      <c r="AZ179" t="inlineStr">
        <is>
          <t>CITIN25671113204</t>
        </is>
      </c>
      <c r="BA179" t="n">
        <v>0</v>
      </c>
      <c r="BB179" t="inlineStr">
        <is>
          <t>18528381c17e329a6530557d09b880bdc3162cae145a2e6e6884d708a508ea76</t>
        </is>
      </c>
    </row>
    <row r="180">
      <c r="A180" t="inlineStr">
        <is>
          <t>520</t>
        </is>
      </c>
      <c r="B180" t="inlineStr">
        <is>
          <t>7553483843</t>
        </is>
      </c>
      <c r="C180" t="inlineStr">
        <is>
          <t>2025-12-11 16:12:13</t>
        </is>
      </c>
      <c r="D180" t="inlineStr">
        <is>
          <t>50</t>
        </is>
      </c>
      <c r="E180" t="inlineStr">
        <is>
          <t>Sha Sha - Shandaar Shawarma</t>
        </is>
      </c>
      <c r="F180" t="inlineStr">
        <is>
          <t>18557902</t>
        </is>
      </c>
      <c r="G180" t="inlineStr">
        <is>
          <t>30% off upto ₹75 (2025-06-25 - 2031-01-01)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O2</t>
        </is>
      </c>
      <c r="N180" t="inlineStr">
        <is>
          <t>36</t>
        </is>
      </c>
      <c r="O180" t="n">
        <v>199</v>
      </c>
      <c r="P180" t="n">
        <v>3.5</v>
      </c>
      <c r="Q180" t="n">
        <v>0</v>
      </c>
      <c r="R180" t="n">
        <v>59.7</v>
      </c>
      <c r="S180" t="n">
        <v>0</v>
      </c>
      <c r="T180" t="n">
        <v>0</v>
      </c>
      <c r="U180" t="n">
        <v>0</v>
      </c>
      <c r="V180" t="n">
        <v>7.14</v>
      </c>
      <c r="W180" t="n">
        <v>149.94</v>
      </c>
      <c r="X180" t="n">
        <v>142.8</v>
      </c>
      <c r="Y180" t="n">
        <v>19</v>
      </c>
      <c r="Z180" t="n">
        <v>27.13</v>
      </c>
      <c r="AA180" t="n">
        <v>2.76</v>
      </c>
      <c r="AB180" t="n">
        <v>29.89</v>
      </c>
      <c r="AC180" t="n">
        <v>5.38</v>
      </c>
      <c r="AD180" t="n">
        <v>0</v>
      </c>
      <c r="AE180" t="n">
        <v>142.8</v>
      </c>
      <c r="AF180" t="n">
        <v>0</v>
      </c>
      <c r="AG180" t="n">
        <v>0</v>
      </c>
      <c r="AH180" t="n">
        <v>0.14</v>
      </c>
      <c r="AI180" t="n">
        <v>7.15</v>
      </c>
      <c r="AJ180" t="n">
        <v>-0.01</v>
      </c>
      <c r="AK180" t="n">
        <v>12.67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42.56</v>
      </c>
      <c r="AV180" t="n">
        <v>0</v>
      </c>
      <c r="AW180" t="n">
        <v>107.38</v>
      </c>
      <c r="AX180" t="inlineStr">
        <is>
          <t>settled</t>
        </is>
      </c>
      <c r="AY180" t="inlineStr">
        <is>
          <t>2025-12-17 05:30:00</t>
        </is>
      </c>
      <c r="AZ180" t="inlineStr">
        <is>
          <t>CITIN25671113204</t>
        </is>
      </c>
      <c r="BA180" t="n">
        <v>0</v>
      </c>
      <c r="BB180" t="inlineStr">
        <is>
          <t>aa82fa5a6f6eaa8df8a52696f2b2917b7ea986900fb7e86b84347d4f52927750</t>
        </is>
      </c>
    </row>
    <row r="181">
      <c r="A181" t="inlineStr">
        <is>
          <t>521</t>
        </is>
      </c>
      <c r="B181" t="inlineStr">
        <is>
          <t>7567291956</t>
        </is>
      </c>
      <c r="C181" t="inlineStr">
        <is>
          <t>2025-12-11 16:21:12</t>
        </is>
      </c>
      <c r="D181" t="inlineStr">
        <is>
          <t>50</t>
        </is>
      </c>
      <c r="E181" t="inlineStr">
        <is>
          <t>Sha Sha - Shandaar Shawarma</t>
        </is>
      </c>
      <c r="F181" t="inlineStr">
        <is>
          <t>18557902</t>
        </is>
      </c>
      <c r="G181" t="inlineStr">
        <is>
          <t>30% off upto ₹75 (2025-06-25 - 2031-01-01)</t>
        </is>
      </c>
      <c r="H181" t="inlineStr">
        <is>
          <t>ONLINE</t>
        </is>
      </c>
      <c r="I181" t="inlineStr">
        <is>
          <t>DELIVERED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O2</t>
        </is>
      </c>
      <c r="N181" t="inlineStr">
        <is>
          <t>36</t>
        </is>
      </c>
      <c r="O181" t="n">
        <v>229</v>
      </c>
      <c r="P181" t="n">
        <v>3.5</v>
      </c>
      <c r="Q181" t="n">
        <v>0</v>
      </c>
      <c r="R181" t="n">
        <v>68.7</v>
      </c>
      <c r="S181" t="n">
        <v>0</v>
      </c>
      <c r="T181" t="n">
        <v>0</v>
      </c>
      <c r="U181" t="n">
        <v>0</v>
      </c>
      <c r="V181" t="n">
        <v>8.19</v>
      </c>
      <c r="W181" t="n">
        <v>171.99</v>
      </c>
      <c r="X181" t="n">
        <v>163.8</v>
      </c>
      <c r="Y181" t="n">
        <v>19</v>
      </c>
      <c r="Z181" t="n">
        <v>31.12</v>
      </c>
      <c r="AA181" t="n">
        <v>3.16</v>
      </c>
      <c r="AB181" t="n">
        <v>34.28</v>
      </c>
      <c r="AC181" t="n">
        <v>6.17</v>
      </c>
      <c r="AD181" t="n">
        <v>0</v>
      </c>
      <c r="AE181" t="n">
        <v>163.8</v>
      </c>
      <c r="AF181" t="n">
        <v>0</v>
      </c>
      <c r="AG181" t="n">
        <v>0</v>
      </c>
      <c r="AH181" t="n">
        <v>0.16</v>
      </c>
      <c r="AI181" t="n">
        <v>8.199999999999999</v>
      </c>
      <c r="AJ181" t="n">
        <v>-0.01</v>
      </c>
      <c r="AK181" t="n">
        <v>14.53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48.81</v>
      </c>
      <c r="AV181" t="n">
        <v>0</v>
      </c>
      <c r="AW181" t="n">
        <v>123.18</v>
      </c>
      <c r="AX181" t="inlineStr">
        <is>
          <t>settled</t>
        </is>
      </c>
      <c r="AY181" t="inlineStr">
        <is>
          <t>2025-12-17 05:30:00</t>
        </is>
      </c>
      <c r="AZ181" t="inlineStr">
        <is>
          <t>CITIN25671113204</t>
        </is>
      </c>
      <c r="BA181" t="n">
        <v>0</v>
      </c>
      <c r="BB181" t="inlineStr">
        <is>
          <t>775b6730ab0fe9180d7162e85a1062034926a22a9ea350d4579ce7678651d607</t>
        </is>
      </c>
    </row>
    <row r="182">
      <c r="A182" t="inlineStr">
        <is>
          <t>522</t>
        </is>
      </c>
      <c r="B182" t="inlineStr">
        <is>
          <t>7571126651</t>
        </is>
      </c>
      <c r="C182" t="inlineStr">
        <is>
          <t>2025-12-11 16:24:36</t>
        </is>
      </c>
      <c r="D182" t="inlineStr">
        <is>
          <t>50</t>
        </is>
      </c>
      <c r="E182" t="inlineStr">
        <is>
          <t>Sha Sha - Shandaar Shawarma</t>
        </is>
      </c>
      <c r="F182" t="inlineStr">
        <is>
          <t>18557902</t>
        </is>
      </c>
      <c r="G182" t="inlineStr">
        <is>
          <t>30% off upto ₹75 (2025-06-25 - 2031-01-01)</t>
        </is>
      </c>
      <c r="H182" t="inlineStr">
        <is>
          <t>ONLINE</t>
        </is>
      </c>
      <c r="I182" t="inlineStr">
        <is>
          <t>DELIVERED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O2</t>
        </is>
      </c>
      <c r="N182" t="inlineStr">
        <is>
          <t>36</t>
        </is>
      </c>
      <c r="O182" t="n">
        <v>389</v>
      </c>
      <c r="P182" t="n">
        <v>3.5</v>
      </c>
      <c r="Q182" t="n">
        <v>0</v>
      </c>
      <c r="R182" t="n">
        <v>75</v>
      </c>
      <c r="S182" t="n">
        <v>0</v>
      </c>
      <c r="T182" t="n">
        <v>0</v>
      </c>
      <c r="U182" t="n">
        <v>0</v>
      </c>
      <c r="V182" t="n">
        <v>15.88</v>
      </c>
      <c r="W182" t="n">
        <v>333.38</v>
      </c>
      <c r="X182" t="n">
        <v>317.5</v>
      </c>
      <c r="Y182" t="n">
        <v>19</v>
      </c>
      <c r="Z182" t="n">
        <v>60.32</v>
      </c>
      <c r="AA182" t="n">
        <v>6.13</v>
      </c>
      <c r="AB182" t="n">
        <v>66.45</v>
      </c>
      <c r="AC182" t="n">
        <v>11.96</v>
      </c>
      <c r="AD182" t="n">
        <v>0</v>
      </c>
      <c r="AE182" t="n">
        <v>317.5</v>
      </c>
      <c r="AF182" t="n">
        <v>0</v>
      </c>
      <c r="AG182" t="n">
        <v>0</v>
      </c>
      <c r="AH182" t="n">
        <v>0.32</v>
      </c>
      <c r="AI182" t="n">
        <v>15.88</v>
      </c>
      <c r="AJ182" t="n">
        <v>0</v>
      </c>
      <c r="AK182" t="n">
        <v>28.16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94.61</v>
      </c>
      <c r="AV182" t="n">
        <v>0</v>
      </c>
      <c r="AW182" t="n">
        <v>238.77</v>
      </c>
      <c r="AX182" t="inlineStr">
        <is>
          <t>settled</t>
        </is>
      </c>
      <c r="AY182" t="inlineStr">
        <is>
          <t>2025-12-17 05:30:00</t>
        </is>
      </c>
      <c r="AZ182" t="inlineStr">
        <is>
          <t>CITIN25671113204</t>
        </is>
      </c>
      <c r="BA182" t="n">
        <v>0</v>
      </c>
      <c r="BB182" t="inlineStr">
        <is>
          <t>9a8716e85fd7f627c6ab2508d7ae3f5c367424498a83ed67c14e4c65f6b40494</t>
        </is>
      </c>
    </row>
    <row r="183">
      <c r="A183" t="inlineStr">
        <is>
          <t>523</t>
        </is>
      </c>
      <c r="B183" t="inlineStr">
        <is>
          <t>7570113928</t>
        </is>
      </c>
      <c r="C183" t="inlineStr">
        <is>
          <t>2025-12-11 17:15:53</t>
        </is>
      </c>
      <c r="D183" t="inlineStr">
        <is>
          <t>50</t>
        </is>
      </c>
      <c r="E183" t="inlineStr">
        <is>
          <t>Sha Sha - Shandaar Shawarma</t>
        </is>
      </c>
      <c r="F183" t="inlineStr">
        <is>
          <t>18557902</t>
        </is>
      </c>
      <c r="G183" t="inlineStr">
        <is>
          <t>NA</t>
        </is>
      </c>
      <c r="H183" t="inlineStr">
        <is>
          <t>ONLINE</t>
        </is>
      </c>
      <c r="I183" t="inlineStr">
        <is>
          <t>DELIVERED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O2</t>
        </is>
      </c>
      <c r="N183" t="inlineStr">
        <is>
          <t>36</t>
        </is>
      </c>
      <c r="O183" t="n">
        <v>355</v>
      </c>
      <c r="P183" t="n">
        <v>3.5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17.93</v>
      </c>
      <c r="W183" t="n">
        <v>376.43</v>
      </c>
      <c r="X183" t="n">
        <v>358.5</v>
      </c>
      <c r="Y183" t="n">
        <v>19</v>
      </c>
      <c r="Z183" t="n">
        <v>68.12</v>
      </c>
      <c r="AA183" t="n">
        <v>6.93</v>
      </c>
      <c r="AB183" t="n">
        <v>75.05</v>
      </c>
      <c r="AC183" t="n">
        <v>13.51</v>
      </c>
      <c r="AD183" t="n">
        <v>0</v>
      </c>
      <c r="AE183" t="n">
        <v>358.5</v>
      </c>
      <c r="AF183" t="n">
        <v>0</v>
      </c>
      <c r="AG183" t="n">
        <v>0</v>
      </c>
      <c r="AH183" t="n">
        <v>0.36</v>
      </c>
      <c r="AI183" t="n">
        <v>17.93</v>
      </c>
      <c r="AJ183" t="n">
        <v>0</v>
      </c>
      <c r="AK183" t="n">
        <v>31.8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106.85</v>
      </c>
      <c r="AV183" t="n">
        <v>0</v>
      </c>
      <c r="AW183" t="n">
        <v>269.58</v>
      </c>
      <c r="AX183" t="inlineStr">
        <is>
          <t>settled</t>
        </is>
      </c>
      <c r="AY183" t="inlineStr">
        <is>
          <t>2025-12-17 05:30:00</t>
        </is>
      </c>
      <c r="AZ183" t="inlineStr">
        <is>
          <t>CITIN25671113204</t>
        </is>
      </c>
      <c r="BA183" t="n">
        <v>0</v>
      </c>
      <c r="BB183" t="inlineStr">
        <is>
          <t>63e2fbf4704cdb66da6ec6ffb5cc8b0f87a6d6e661a107baf90c6a0e6e74cf7f</t>
        </is>
      </c>
    </row>
    <row r="184">
      <c r="A184" t="inlineStr">
        <is>
          <t>524</t>
        </is>
      </c>
      <c r="B184" t="inlineStr">
        <is>
          <t>7563123275</t>
        </is>
      </c>
      <c r="C184" t="inlineStr">
        <is>
          <t>2025-12-11 17:32:07</t>
        </is>
      </c>
      <c r="D184" t="inlineStr">
        <is>
          <t>50</t>
        </is>
      </c>
      <c r="E184" t="inlineStr">
        <is>
          <t>Sha Sha - Shandaar Shawarma</t>
        </is>
      </c>
      <c r="F184" t="inlineStr">
        <is>
          <t>18557902</t>
        </is>
      </c>
      <c r="G184" t="inlineStr">
        <is>
          <t>30% off upto ₹75 (2025-06-25 - 2031-01-01)</t>
        </is>
      </c>
      <c r="H184" t="inlineStr">
        <is>
          <t>ONLINE</t>
        </is>
      </c>
      <c r="I184" t="inlineStr">
        <is>
          <t>DELIVERED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O2</t>
        </is>
      </c>
      <c r="N184" t="inlineStr">
        <is>
          <t>36</t>
        </is>
      </c>
      <c r="O184" t="n">
        <v>229</v>
      </c>
      <c r="P184" t="n">
        <v>3.5</v>
      </c>
      <c r="Q184" t="n">
        <v>0</v>
      </c>
      <c r="R184" t="n">
        <v>68.7</v>
      </c>
      <c r="S184" t="n">
        <v>0</v>
      </c>
      <c r="T184" t="n">
        <v>0</v>
      </c>
      <c r="U184" t="n">
        <v>0</v>
      </c>
      <c r="V184" t="n">
        <v>8.19</v>
      </c>
      <c r="W184" t="n">
        <v>171.99</v>
      </c>
      <c r="X184" t="n">
        <v>163.8</v>
      </c>
      <c r="Y184" t="n">
        <v>19</v>
      </c>
      <c r="Z184" t="n">
        <v>31.12</v>
      </c>
      <c r="AA184" t="n">
        <v>3.16</v>
      </c>
      <c r="AB184" t="n">
        <v>34.28</v>
      </c>
      <c r="AC184" t="n">
        <v>6.17</v>
      </c>
      <c r="AD184" t="n">
        <v>0</v>
      </c>
      <c r="AE184" t="n">
        <v>163.8</v>
      </c>
      <c r="AF184" t="n">
        <v>0</v>
      </c>
      <c r="AG184" t="n">
        <v>0</v>
      </c>
      <c r="AH184" t="n">
        <v>0.16</v>
      </c>
      <c r="AI184" t="n">
        <v>8.199999999999999</v>
      </c>
      <c r="AJ184" t="n">
        <v>-0.01</v>
      </c>
      <c r="AK184" t="n">
        <v>14.53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48.81</v>
      </c>
      <c r="AV184" t="n">
        <v>0</v>
      </c>
      <c r="AW184" t="n">
        <v>123.18</v>
      </c>
      <c r="AX184" t="inlineStr">
        <is>
          <t>settled</t>
        </is>
      </c>
      <c r="AY184" t="inlineStr">
        <is>
          <t>2025-12-17 05:30:00</t>
        </is>
      </c>
      <c r="AZ184" t="inlineStr">
        <is>
          <t>CITIN25671113204</t>
        </is>
      </c>
      <c r="BA184" t="n">
        <v>0</v>
      </c>
      <c r="BB184" t="inlineStr">
        <is>
          <t>38e5684f9d23a0d04675534004e91f22fd273e81be6710be6ea1d15909d74d66</t>
        </is>
      </c>
    </row>
    <row r="185">
      <c r="A185" t="inlineStr">
        <is>
          <t>525</t>
        </is>
      </c>
      <c r="B185" t="inlineStr">
        <is>
          <t>7562158360</t>
        </is>
      </c>
      <c r="C185" t="inlineStr">
        <is>
          <t>2025-12-11 17:50:44</t>
        </is>
      </c>
      <c r="D185" t="inlineStr">
        <is>
          <t>50</t>
        </is>
      </c>
      <c r="E185" t="inlineStr">
        <is>
          <t>Sha Sha - Shandaar Shawarma</t>
        </is>
      </c>
      <c r="F185" t="inlineStr">
        <is>
          <t>18557902</t>
        </is>
      </c>
      <c r="G185" t="inlineStr">
        <is>
          <t>NA</t>
        </is>
      </c>
      <c r="H185" t="inlineStr">
        <is>
          <t>ONLINE</t>
        </is>
      </c>
      <c r="I185" t="inlineStr">
        <is>
          <t>DELIVERED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O2</t>
        </is>
      </c>
      <c r="N185" t="inlineStr">
        <is>
          <t>36</t>
        </is>
      </c>
      <c r="O185" t="n">
        <v>219</v>
      </c>
      <c r="P185" t="n">
        <v>3.5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11.13</v>
      </c>
      <c r="W185" t="n">
        <v>233.63</v>
      </c>
      <c r="X185" t="n">
        <v>222.5</v>
      </c>
      <c r="Y185" t="n">
        <v>19</v>
      </c>
      <c r="Z185" t="n">
        <v>42.28</v>
      </c>
      <c r="AA185" t="n">
        <v>4.3</v>
      </c>
      <c r="AB185" t="n">
        <v>46.58</v>
      </c>
      <c r="AC185" t="n">
        <v>8.380000000000001</v>
      </c>
      <c r="AD185" t="n">
        <v>0</v>
      </c>
      <c r="AE185" t="n">
        <v>222.5</v>
      </c>
      <c r="AF185" t="n">
        <v>0</v>
      </c>
      <c r="AG185" t="n">
        <v>0</v>
      </c>
      <c r="AH185" t="n">
        <v>0.22</v>
      </c>
      <c r="AI185" t="n">
        <v>11.13</v>
      </c>
      <c r="AJ185" t="n">
        <v>0</v>
      </c>
      <c r="AK185" t="n">
        <v>19.73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66.31</v>
      </c>
      <c r="AV185" t="n">
        <v>0</v>
      </c>
      <c r="AW185" t="n">
        <v>167.32</v>
      </c>
      <c r="AX185" t="inlineStr">
        <is>
          <t>settled</t>
        </is>
      </c>
      <c r="AY185" t="inlineStr">
        <is>
          <t>2025-12-17 05:30:00</t>
        </is>
      </c>
      <c r="AZ185" t="inlineStr">
        <is>
          <t>CITIN25671113204</t>
        </is>
      </c>
      <c r="BA185" t="n">
        <v>0</v>
      </c>
      <c r="BB185" t="inlineStr">
        <is>
          <t>35a78f9244f0914875545525b04ba31561e70eb9f5afc0f1011aef1c911c2c38</t>
        </is>
      </c>
    </row>
    <row r="186">
      <c r="A186" t="inlineStr">
        <is>
          <t>526</t>
        </is>
      </c>
      <c r="B186" t="inlineStr">
        <is>
          <t>7568931204</t>
        </is>
      </c>
      <c r="C186" t="inlineStr">
        <is>
          <t>2025-12-11 17:56:07</t>
        </is>
      </c>
      <c r="D186" t="inlineStr">
        <is>
          <t>50</t>
        </is>
      </c>
      <c r="E186" t="inlineStr">
        <is>
          <t>Sha Sha - Shandaar Shawarma</t>
        </is>
      </c>
      <c r="F186" t="inlineStr">
        <is>
          <t>18557902</t>
        </is>
      </c>
      <c r="G186" t="inlineStr">
        <is>
          <t>NA</t>
        </is>
      </c>
      <c r="H186" t="inlineStr">
        <is>
          <t>ONLINE</t>
        </is>
      </c>
      <c r="I186" t="inlineStr">
        <is>
          <t>DELIVERED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O2</t>
        </is>
      </c>
      <c r="N186" t="inlineStr">
        <is>
          <t>36</t>
        </is>
      </c>
      <c r="O186" t="n">
        <v>606</v>
      </c>
      <c r="P186" t="n">
        <v>3.5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30.48</v>
      </c>
      <c r="W186" t="n">
        <v>639.98</v>
      </c>
      <c r="X186" t="n">
        <v>609.5</v>
      </c>
      <c r="Y186" t="n">
        <v>19</v>
      </c>
      <c r="Z186" t="n">
        <v>115.8</v>
      </c>
      <c r="AA186" t="n">
        <v>11.78</v>
      </c>
      <c r="AB186" t="n">
        <v>127.58</v>
      </c>
      <c r="AC186" t="n">
        <v>22.96</v>
      </c>
      <c r="AD186" t="n">
        <v>0</v>
      </c>
      <c r="AE186" t="n">
        <v>609.5</v>
      </c>
      <c r="AF186" t="n">
        <v>0</v>
      </c>
      <c r="AG186" t="n">
        <v>0</v>
      </c>
      <c r="AH186" t="n">
        <v>0.61</v>
      </c>
      <c r="AI186" t="n">
        <v>30.48</v>
      </c>
      <c r="AJ186" t="n">
        <v>0</v>
      </c>
      <c r="AK186" t="n">
        <v>54.05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181.63</v>
      </c>
      <c r="AV186" t="n">
        <v>0</v>
      </c>
      <c r="AW186" t="n">
        <v>458.35</v>
      </c>
      <c r="AX186" t="inlineStr">
        <is>
          <t>settled</t>
        </is>
      </c>
      <c r="AY186" t="inlineStr">
        <is>
          <t>2025-12-17 05:30:00</t>
        </is>
      </c>
      <c r="AZ186" t="inlineStr">
        <is>
          <t>CITIN25671113204</t>
        </is>
      </c>
      <c r="BA186" t="n">
        <v>0</v>
      </c>
      <c r="BB186" t="inlineStr">
        <is>
          <t>15fe46dd244eeba328d676a24da7f3485ae294d2279ff989560ef495750c6589</t>
        </is>
      </c>
    </row>
    <row r="187">
      <c r="A187" t="inlineStr">
        <is>
          <t>527</t>
        </is>
      </c>
      <c r="B187" t="inlineStr">
        <is>
          <t>7572196663</t>
        </is>
      </c>
      <c r="C187" t="inlineStr">
        <is>
          <t>2025-12-11 18:55:59</t>
        </is>
      </c>
      <c r="D187" t="inlineStr">
        <is>
          <t>50</t>
        </is>
      </c>
      <c r="E187" t="inlineStr">
        <is>
          <t>Sha Sha - Shandaar Shawarma</t>
        </is>
      </c>
      <c r="F187" t="inlineStr">
        <is>
          <t>18557902</t>
        </is>
      </c>
      <c r="G187" t="inlineStr">
        <is>
          <t>NA</t>
        </is>
      </c>
      <c r="H187" t="inlineStr">
        <is>
          <t>ONLINE</t>
        </is>
      </c>
      <c r="I187" t="inlineStr">
        <is>
          <t>DELIVERED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O2</t>
        </is>
      </c>
      <c r="N187" t="inlineStr">
        <is>
          <t>36</t>
        </is>
      </c>
      <c r="O187" t="n">
        <v>229</v>
      </c>
      <c r="P187" t="n">
        <v>3.5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11.63</v>
      </c>
      <c r="W187" t="n">
        <v>244.13</v>
      </c>
      <c r="X187" t="n">
        <v>232.5</v>
      </c>
      <c r="Y187" t="n">
        <v>19</v>
      </c>
      <c r="Z187" t="n">
        <v>44.18</v>
      </c>
      <c r="AA187" t="n">
        <v>4.49</v>
      </c>
      <c r="AB187" t="n">
        <v>48.67</v>
      </c>
      <c r="AC187" t="n">
        <v>8.76</v>
      </c>
      <c r="AD187" t="n">
        <v>0</v>
      </c>
      <c r="AE187" t="n">
        <v>232.5</v>
      </c>
      <c r="AF187" t="n">
        <v>0</v>
      </c>
      <c r="AG187" t="n">
        <v>0</v>
      </c>
      <c r="AH187" t="n">
        <v>0.23</v>
      </c>
      <c r="AI187" t="n">
        <v>11.63</v>
      </c>
      <c r="AJ187" t="n">
        <v>0</v>
      </c>
      <c r="AK187" t="n">
        <v>20.62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69.29000000000001</v>
      </c>
      <c r="AV187" t="n">
        <v>0</v>
      </c>
      <c r="AW187" t="n">
        <v>174.84</v>
      </c>
      <c r="AX187" t="inlineStr">
        <is>
          <t>settled</t>
        </is>
      </c>
      <c r="AY187" t="inlineStr">
        <is>
          <t>2025-12-17 05:30:00</t>
        </is>
      </c>
      <c r="AZ187" t="inlineStr">
        <is>
          <t>CITIN25671113204</t>
        </is>
      </c>
      <c r="BA187" t="n">
        <v>0</v>
      </c>
      <c r="BB187" t="inlineStr">
        <is>
          <t>5ad2024280492fe7a21df1b9f5215074549735589ef7430000781b7a37eb6872</t>
        </is>
      </c>
    </row>
    <row r="188">
      <c r="A188" t="inlineStr">
        <is>
          <t>528</t>
        </is>
      </c>
      <c r="B188" t="inlineStr">
        <is>
          <t>7569202414</t>
        </is>
      </c>
      <c r="C188" t="inlineStr">
        <is>
          <t>2025-12-11 19:23:38</t>
        </is>
      </c>
      <c r="D188" t="inlineStr">
        <is>
          <t>50</t>
        </is>
      </c>
      <c r="E188" t="inlineStr">
        <is>
          <t>Sha Sha - Shandaar Shawarma</t>
        </is>
      </c>
      <c r="F188" t="inlineStr">
        <is>
          <t>18557902</t>
        </is>
      </c>
      <c r="G188" t="inlineStr">
        <is>
          <t>30% off upto ₹75 (2025-06-25 - 2031-01-01)</t>
        </is>
      </c>
      <c r="H188" t="inlineStr">
        <is>
          <t>ONLINE</t>
        </is>
      </c>
      <c r="I188" t="inlineStr">
        <is>
          <t>DELIVERED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O2</t>
        </is>
      </c>
      <c r="N188" t="inlineStr">
        <is>
          <t>36</t>
        </is>
      </c>
      <c r="O188" t="n">
        <v>596</v>
      </c>
      <c r="P188" t="n">
        <v>3.5</v>
      </c>
      <c r="Q188" t="n">
        <v>0</v>
      </c>
      <c r="R188" t="n">
        <v>75</v>
      </c>
      <c r="S188" t="n">
        <v>0</v>
      </c>
      <c r="T188" t="n">
        <v>0</v>
      </c>
      <c r="U188" t="n">
        <v>0</v>
      </c>
      <c r="V188" t="n">
        <v>26.23</v>
      </c>
      <c r="W188" t="n">
        <v>550.73</v>
      </c>
      <c r="X188" t="n">
        <v>524.5</v>
      </c>
      <c r="Y188" t="n">
        <v>19</v>
      </c>
      <c r="Z188" t="n">
        <v>99.66</v>
      </c>
      <c r="AA188" t="n">
        <v>10.13</v>
      </c>
      <c r="AB188" t="n">
        <v>109.79</v>
      </c>
      <c r="AC188" t="n">
        <v>19.76</v>
      </c>
      <c r="AD188" t="n">
        <v>0</v>
      </c>
      <c r="AE188" t="n">
        <v>524.5</v>
      </c>
      <c r="AF188" t="n">
        <v>0</v>
      </c>
      <c r="AG188" t="n">
        <v>0</v>
      </c>
      <c r="AH188" t="n">
        <v>0.52</v>
      </c>
      <c r="AI188" t="n">
        <v>26.23</v>
      </c>
      <c r="AJ188" t="n">
        <v>0</v>
      </c>
      <c r="AK188" t="n">
        <v>46.51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156.3</v>
      </c>
      <c r="AV188" t="n">
        <v>0</v>
      </c>
      <c r="AW188" t="n">
        <v>394.43</v>
      </c>
      <c r="AX188" t="inlineStr">
        <is>
          <t>settled</t>
        </is>
      </c>
      <c r="AY188" t="inlineStr">
        <is>
          <t>2025-12-17 05:30:00</t>
        </is>
      </c>
      <c r="AZ188" t="inlineStr">
        <is>
          <t>CITIN25671113204</t>
        </is>
      </c>
      <c r="BA188" t="n">
        <v>0</v>
      </c>
      <c r="BB188" t="inlineStr">
        <is>
          <t>13c4e3dbee2373b9614e41fd0c670f869e8ae9a001a1cb58e9cc5f0fd9d759de</t>
        </is>
      </c>
    </row>
    <row r="189">
      <c r="A189" t="inlineStr">
        <is>
          <t>529</t>
        </is>
      </c>
      <c r="B189" t="inlineStr">
        <is>
          <t>7572494727</t>
        </is>
      </c>
      <c r="C189" t="inlineStr">
        <is>
          <t>2025-12-11 19:36:05</t>
        </is>
      </c>
      <c r="D189" t="inlineStr">
        <is>
          <t>50</t>
        </is>
      </c>
      <c r="E189" t="inlineStr">
        <is>
          <t>Sha Sha - Shandaar Shawarma</t>
        </is>
      </c>
      <c r="F189" t="inlineStr">
        <is>
          <t>18557902</t>
        </is>
      </c>
      <c r="G189" t="inlineStr">
        <is>
          <t>30% off upto ₹75 (2025-06-25 - 2031-01-01)</t>
        </is>
      </c>
      <c r="H189" t="inlineStr">
        <is>
          <t>ONLINE</t>
        </is>
      </c>
      <c r="I189" t="inlineStr">
        <is>
          <t>DELIVERED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O2</t>
        </is>
      </c>
      <c r="N189" t="inlineStr">
        <is>
          <t>36</t>
        </is>
      </c>
      <c r="O189" t="n">
        <v>229</v>
      </c>
      <c r="P189" t="n">
        <v>3.5</v>
      </c>
      <c r="Q189" t="n">
        <v>0</v>
      </c>
      <c r="R189" t="n">
        <v>68.7</v>
      </c>
      <c r="S189" t="n">
        <v>0</v>
      </c>
      <c r="T189" t="n">
        <v>0</v>
      </c>
      <c r="U189" t="n">
        <v>0</v>
      </c>
      <c r="V189" t="n">
        <v>8.19</v>
      </c>
      <c r="W189" t="n">
        <v>171.99</v>
      </c>
      <c r="X189" t="n">
        <v>163.8</v>
      </c>
      <c r="Y189" t="n">
        <v>19</v>
      </c>
      <c r="Z189" t="n">
        <v>31.12</v>
      </c>
      <c r="AA189" t="n">
        <v>3.16</v>
      </c>
      <c r="AB189" t="n">
        <v>34.28</v>
      </c>
      <c r="AC189" t="n">
        <v>6.17</v>
      </c>
      <c r="AD189" t="n">
        <v>0</v>
      </c>
      <c r="AE189" t="n">
        <v>163.8</v>
      </c>
      <c r="AF189" t="n">
        <v>0</v>
      </c>
      <c r="AG189" t="n">
        <v>0</v>
      </c>
      <c r="AH189" t="n">
        <v>0.16</v>
      </c>
      <c r="AI189" t="n">
        <v>8.199999999999999</v>
      </c>
      <c r="AJ189" t="n">
        <v>-0.01</v>
      </c>
      <c r="AK189" t="n">
        <v>14.53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48.81</v>
      </c>
      <c r="AV189" t="n">
        <v>0</v>
      </c>
      <c r="AW189" t="n">
        <v>123.18</v>
      </c>
      <c r="AX189" t="inlineStr">
        <is>
          <t>settled</t>
        </is>
      </c>
      <c r="AY189" t="inlineStr">
        <is>
          <t>2025-12-17 05:30:00</t>
        </is>
      </c>
      <c r="AZ189" t="inlineStr">
        <is>
          <t>CITIN25671113204</t>
        </is>
      </c>
      <c r="BA189" t="n">
        <v>0</v>
      </c>
      <c r="BB189" t="inlineStr">
        <is>
          <t>7c3dc9b41959e85e9a107223910df6717cd1e5dc5ca243ea93f2249e4b83d7e8</t>
        </is>
      </c>
    </row>
    <row r="190">
      <c r="A190" t="inlineStr">
        <is>
          <t>530</t>
        </is>
      </c>
      <c r="B190" t="inlineStr">
        <is>
          <t>7564435071</t>
        </is>
      </c>
      <c r="C190" t="inlineStr">
        <is>
          <t>2025-12-11 20:18:50</t>
        </is>
      </c>
      <c r="D190" t="inlineStr">
        <is>
          <t>50</t>
        </is>
      </c>
      <c r="E190" t="inlineStr">
        <is>
          <t>Sha Sha - Shandaar Shawarma</t>
        </is>
      </c>
      <c r="F190" t="inlineStr">
        <is>
          <t>18557902</t>
        </is>
      </c>
      <c r="G190" t="inlineStr">
        <is>
          <t>NA</t>
        </is>
      </c>
      <c r="H190" t="inlineStr">
        <is>
          <t>ONLINE</t>
        </is>
      </c>
      <c r="I190" t="inlineStr">
        <is>
          <t>DELIVERED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O2</t>
        </is>
      </c>
      <c r="N190" t="inlineStr">
        <is>
          <t>36</t>
        </is>
      </c>
      <c r="O190" t="n">
        <v>345</v>
      </c>
      <c r="P190" t="n">
        <v>3.5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17.43</v>
      </c>
      <c r="W190" t="n">
        <v>365.93</v>
      </c>
      <c r="X190" t="n">
        <v>348.5</v>
      </c>
      <c r="Y190" t="n">
        <v>19</v>
      </c>
      <c r="Z190" t="n">
        <v>66.22</v>
      </c>
      <c r="AA190" t="n">
        <v>6.73</v>
      </c>
      <c r="AB190" t="n">
        <v>72.95</v>
      </c>
      <c r="AC190" t="n">
        <v>13.13</v>
      </c>
      <c r="AD190" t="n">
        <v>0</v>
      </c>
      <c r="AE190" t="n">
        <v>348.5</v>
      </c>
      <c r="AF190" t="n">
        <v>0</v>
      </c>
      <c r="AG190" t="n">
        <v>0</v>
      </c>
      <c r="AH190" t="n">
        <v>0.35</v>
      </c>
      <c r="AI190" t="n">
        <v>17.43</v>
      </c>
      <c r="AJ190" t="n">
        <v>0</v>
      </c>
      <c r="AK190" t="n">
        <v>30.91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103.86</v>
      </c>
      <c r="AV190" t="n">
        <v>0</v>
      </c>
      <c r="AW190" t="n">
        <v>262.07</v>
      </c>
      <c r="AX190" t="inlineStr">
        <is>
          <t>settled</t>
        </is>
      </c>
      <c r="AY190" t="inlineStr">
        <is>
          <t>2025-12-17 05:30:00</t>
        </is>
      </c>
      <c r="AZ190" t="inlineStr">
        <is>
          <t>CITIN25671113204</t>
        </is>
      </c>
      <c r="BA190" t="n">
        <v>0</v>
      </c>
      <c r="BB190" t="inlineStr">
        <is>
          <t>f11c03fccc09486b86c098b2844af896dde44dd64f091d5df63df7c6723681f0</t>
        </is>
      </c>
    </row>
    <row r="191">
      <c r="A191" t="inlineStr">
        <is>
          <t>531</t>
        </is>
      </c>
      <c r="B191" t="inlineStr">
        <is>
          <t>7571541038</t>
        </is>
      </c>
      <c r="C191" t="inlineStr">
        <is>
          <t>2025-12-11 20:36:07</t>
        </is>
      </c>
      <c r="D191" t="inlineStr">
        <is>
          <t>50</t>
        </is>
      </c>
      <c r="E191" t="inlineStr">
        <is>
          <t>Sha Sha - Shandaar Shawarma</t>
        </is>
      </c>
      <c r="F191" t="inlineStr">
        <is>
          <t>18557902</t>
        </is>
      </c>
      <c r="G191" t="inlineStr">
        <is>
          <t>30% off upto ₹75 (2025-06-25 - 2031-01-01)</t>
        </is>
      </c>
      <c r="H191" t="inlineStr">
        <is>
          <t>ONLINE</t>
        </is>
      </c>
      <c r="I191" t="inlineStr">
        <is>
          <t>DELIVERED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O2</t>
        </is>
      </c>
      <c r="N191" t="inlineStr">
        <is>
          <t>36</t>
        </is>
      </c>
      <c r="O191" t="n">
        <v>229</v>
      </c>
      <c r="P191" t="n">
        <v>3.5</v>
      </c>
      <c r="Q191" t="n">
        <v>0</v>
      </c>
      <c r="R191" t="n">
        <v>68.7</v>
      </c>
      <c r="S191" t="n">
        <v>0</v>
      </c>
      <c r="T191" t="n">
        <v>0</v>
      </c>
      <c r="U191" t="n">
        <v>0</v>
      </c>
      <c r="V191" t="n">
        <v>8.19</v>
      </c>
      <c r="W191" t="n">
        <v>171.99</v>
      </c>
      <c r="X191" t="n">
        <v>163.8</v>
      </c>
      <c r="Y191" t="n">
        <v>19</v>
      </c>
      <c r="Z191" t="n">
        <v>31.12</v>
      </c>
      <c r="AA191" t="n">
        <v>3.16</v>
      </c>
      <c r="AB191" t="n">
        <v>34.28</v>
      </c>
      <c r="AC191" t="n">
        <v>6.17</v>
      </c>
      <c r="AD191" t="n">
        <v>0</v>
      </c>
      <c r="AE191" t="n">
        <v>163.8</v>
      </c>
      <c r="AF191" t="n">
        <v>0</v>
      </c>
      <c r="AG191" t="n">
        <v>0</v>
      </c>
      <c r="AH191" t="n">
        <v>0.16</v>
      </c>
      <c r="AI191" t="n">
        <v>8.199999999999999</v>
      </c>
      <c r="AJ191" t="n">
        <v>-0.01</v>
      </c>
      <c r="AK191" t="n">
        <v>14.53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48.81</v>
      </c>
      <c r="AV191" t="n">
        <v>0</v>
      </c>
      <c r="AW191" t="n">
        <v>123.18</v>
      </c>
      <c r="AX191" t="inlineStr">
        <is>
          <t>settled</t>
        </is>
      </c>
      <c r="AY191" t="inlineStr">
        <is>
          <t>2025-12-17 05:30:00</t>
        </is>
      </c>
      <c r="AZ191" t="inlineStr">
        <is>
          <t>CITIN25671113204</t>
        </is>
      </c>
      <c r="BA191" t="n">
        <v>0</v>
      </c>
      <c r="BB191" t="inlineStr">
        <is>
          <t>331890ce2b59bd27bb04c0069c6e9eefa70329f7c3b66a65b15614ce25a86d83</t>
        </is>
      </c>
    </row>
    <row r="192">
      <c r="A192" t="inlineStr">
        <is>
          <t>532</t>
        </is>
      </c>
      <c r="B192" t="inlineStr">
        <is>
          <t>7569565613</t>
        </is>
      </c>
      <c r="C192" t="inlineStr">
        <is>
          <t>2025-12-11 20:39:35</t>
        </is>
      </c>
      <c r="D192" t="inlineStr">
        <is>
          <t>50</t>
        </is>
      </c>
      <c r="E192" t="inlineStr">
        <is>
          <t>Sha Sha - Shandaar Shawarma</t>
        </is>
      </c>
      <c r="F192" t="inlineStr">
        <is>
          <t>18557902</t>
        </is>
      </c>
      <c r="G192" t="inlineStr">
        <is>
          <t>30% off upto ₹75 (2025-06-25 - 2031-01-01)</t>
        </is>
      </c>
      <c r="H192" t="inlineStr">
        <is>
          <t>ONLINE</t>
        </is>
      </c>
      <c r="I192" t="inlineStr">
        <is>
          <t>DELIVERED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O2</t>
        </is>
      </c>
      <c r="N192" t="inlineStr">
        <is>
          <t>36</t>
        </is>
      </c>
      <c r="O192" t="n">
        <v>219</v>
      </c>
      <c r="P192" t="n">
        <v>3.5</v>
      </c>
      <c r="Q192" t="n">
        <v>0</v>
      </c>
      <c r="R192" t="n">
        <v>65.7</v>
      </c>
      <c r="S192" t="n">
        <v>0</v>
      </c>
      <c r="T192" t="n">
        <v>0</v>
      </c>
      <c r="U192" t="n">
        <v>0</v>
      </c>
      <c r="V192" t="n">
        <v>7.84</v>
      </c>
      <c r="W192" t="n">
        <v>164.64</v>
      </c>
      <c r="X192" t="n">
        <v>156.8</v>
      </c>
      <c r="Y192" t="n">
        <v>19</v>
      </c>
      <c r="Z192" t="n">
        <v>29.79</v>
      </c>
      <c r="AA192" t="n">
        <v>3.03</v>
      </c>
      <c r="AB192" t="n">
        <v>32.82</v>
      </c>
      <c r="AC192" t="n">
        <v>5.91</v>
      </c>
      <c r="AD192" t="n">
        <v>0</v>
      </c>
      <c r="AE192" t="n">
        <v>156.8</v>
      </c>
      <c r="AF192" t="n">
        <v>0</v>
      </c>
      <c r="AG192" t="n">
        <v>0</v>
      </c>
      <c r="AH192" t="n">
        <v>0.16</v>
      </c>
      <c r="AI192" t="n">
        <v>7.85</v>
      </c>
      <c r="AJ192" t="n">
        <v>-0.01</v>
      </c>
      <c r="AK192" t="n">
        <v>13.92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46.74</v>
      </c>
      <c r="AV192" t="n">
        <v>0</v>
      </c>
      <c r="AW192" t="n">
        <v>117.9</v>
      </c>
      <c r="AX192" t="inlineStr">
        <is>
          <t>settled</t>
        </is>
      </c>
      <c r="AY192" t="inlineStr">
        <is>
          <t>2025-12-17 05:30:00</t>
        </is>
      </c>
      <c r="AZ192" t="inlineStr">
        <is>
          <t>CITIN25671113204</t>
        </is>
      </c>
      <c r="BA192" t="n">
        <v>0</v>
      </c>
      <c r="BB192" t="inlineStr">
        <is>
          <t>909a90c4df05821259b6dbfcb17f18801fbff564b9984f433648909d0d4824be</t>
        </is>
      </c>
    </row>
    <row r="193">
      <c r="A193" t="inlineStr">
        <is>
          <t>533</t>
        </is>
      </c>
      <c r="B193" t="inlineStr">
        <is>
          <t>7572439252</t>
        </is>
      </c>
      <c r="C193" t="inlineStr">
        <is>
          <t>2025-12-11 20:47:35</t>
        </is>
      </c>
      <c r="D193" t="inlineStr">
        <is>
          <t>50</t>
        </is>
      </c>
      <c r="E193" t="inlineStr">
        <is>
          <t>Sha Sha - Shandaar Shawarma</t>
        </is>
      </c>
      <c r="F193" t="inlineStr">
        <is>
          <t>18557902</t>
        </is>
      </c>
      <c r="G193" t="inlineStr">
        <is>
          <t>NA</t>
        </is>
      </c>
      <c r="H193" t="inlineStr">
        <is>
          <t>ONLINE</t>
        </is>
      </c>
      <c r="I193" t="inlineStr">
        <is>
          <t>DELIVERED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O2</t>
        </is>
      </c>
      <c r="N193" t="inlineStr">
        <is>
          <t>36</t>
        </is>
      </c>
      <c r="O193" t="n">
        <v>338</v>
      </c>
      <c r="P193" t="n">
        <v>3.5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17.08</v>
      </c>
      <c r="W193" t="n">
        <v>358.58</v>
      </c>
      <c r="X193" t="n">
        <v>341.5</v>
      </c>
      <c r="Y193" t="n">
        <v>19</v>
      </c>
      <c r="Z193" t="n">
        <v>64.88</v>
      </c>
      <c r="AA193" t="n">
        <v>6.6</v>
      </c>
      <c r="AB193" t="n">
        <v>71.48</v>
      </c>
      <c r="AC193" t="n">
        <v>12.87</v>
      </c>
      <c r="AD193" t="n">
        <v>0</v>
      </c>
      <c r="AE193" t="n">
        <v>341.5</v>
      </c>
      <c r="AF193" t="n">
        <v>0</v>
      </c>
      <c r="AG193" t="n">
        <v>0</v>
      </c>
      <c r="AH193" t="n">
        <v>0.34</v>
      </c>
      <c r="AI193" t="n">
        <v>17.08</v>
      </c>
      <c r="AJ193" t="n">
        <v>0</v>
      </c>
      <c r="AK193" t="n">
        <v>30.29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101.77</v>
      </c>
      <c r="AV193" t="n">
        <v>0</v>
      </c>
      <c r="AW193" t="n">
        <v>256.81</v>
      </c>
      <c r="AX193" t="inlineStr">
        <is>
          <t>settled</t>
        </is>
      </c>
      <c r="AY193" t="inlineStr">
        <is>
          <t>2025-12-17 05:30:00</t>
        </is>
      </c>
      <c r="AZ193" t="inlineStr">
        <is>
          <t>CITIN25671113204</t>
        </is>
      </c>
      <c r="BA193" t="n">
        <v>0</v>
      </c>
      <c r="BB193" t="inlineStr">
        <is>
          <t>8632a2f0d90b67db915abfba384f717b2acc08178caa2246b9650aa0026897ee</t>
        </is>
      </c>
    </row>
    <row r="194">
      <c r="A194" t="inlineStr">
        <is>
          <t>534</t>
        </is>
      </c>
      <c r="B194" t="inlineStr">
        <is>
          <t>7571181592</t>
        </is>
      </c>
      <c r="C194" t="inlineStr">
        <is>
          <t>2025-12-11 20:48:28</t>
        </is>
      </c>
      <c r="D194" t="inlineStr">
        <is>
          <t>50</t>
        </is>
      </c>
      <c r="E194" t="inlineStr">
        <is>
          <t>Sha Sha - Shandaar Shawarma</t>
        </is>
      </c>
      <c r="F194" t="inlineStr">
        <is>
          <t>18557902</t>
        </is>
      </c>
      <c r="G194" t="inlineStr">
        <is>
          <t>30% off upto ₹75 (2025-06-25 - 2031-01-01)</t>
        </is>
      </c>
      <c r="H194" t="inlineStr">
        <is>
          <t>ONLINE</t>
        </is>
      </c>
      <c r="I194" t="inlineStr">
        <is>
          <t>DELIVERED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O2</t>
        </is>
      </c>
      <c r="N194" t="inlineStr">
        <is>
          <t>36</t>
        </is>
      </c>
      <c r="O194" t="n">
        <v>229</v>
      </c>
      <c r="P194" t="n">
        <v>3.5</v>
      </c>
      <c r="Q194" t="n">
        <v>0</v>
      </c>
      <c r="R194" t="n">
        <v>68.7</v>
      </c>
      <c r="S194" t="n">
        <v>0</v>
      </c>
      <c r="T194" t="n">
        <v>0</v>
      </c>
      <c r="U194" t="n">
        <v>0</v>
      </c>
      <c r="V194" t="n">
        <v>8.19</v>
      </c>
      <c r="W194" t="n">
        <v>171.99</v>
      </c>
      <c r="X194" t="n">
        <v>163.8</v>
      </c>
      <c r="Y194" t="n">
        <v>19</v>
      </c>
      <c r="Z194" t="n">
        <v>31.12</v>
      </c>
      <c r="AA194" t="n">
        <v>3.16</v>
      </c>
      <c r="AB194" t="n">
        <v>34.28</v>
      </c>
      <c r="AC194" t="n">
        <v>6.17</v>
      </c>
      <c r="AD194" t="n">
        <v>0</v>
      </c>
      <c r="AE194" t="n">
        <v>163.8</v>
      </c>
      <c r="AF194" t="n">
        <v>0</v>
      </c>
      <c r="AG194" t="n">
        <v>0</v>
      </c>
      <c r="AH194" t="n">
        <v>0.16</v>
      </c>
      <c r="AI194" t="n">
        <v>8.199999999999999</v>
      </c>
      <c r="AJ194" t="n">
        <v>-0.01</v>
      </c>
      <c r="AK194" t="n">
        <v>14.53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48.81</v>
      </c>
      <c r="AV194" t="n">
        <v>0</v>
      </c>
      <c r="AW194" t="n">
        <v>123.18</v>
      </c>
      <c r="AX194" t="inlineStr">
        <is>
          <t>settled</t>
        </is>
      </c>
      <c r="AY194" t="inlineStr">
        <is>
          <t>2025-12-17 05:30:00</t>
        </is>
      </c>
      <c r="AZ194" t="inlineStr">
        <is>
          <t>CITIN25671113204</t>
        </is>
      </c>
      <c r="BA194" t="n">
        <v>0</v>
      </c>
      <c r="BB194" t="inlineStr">
        <is>
          <t>12468f9d16c68e103ebaff758312a6247eb4d1586e1ad150506ed9509b2c9c3c</t>
        </is>
      </c>
    </row>
    <row r="195">
      <c r="A195" t="inlineStr">
        <is>
          <t>535</t>
        </is>
      </c>
      <c r="B195" t="inlineStr">
        <is>
          <t>7570985190</t>
        </is>
      </c>
      <c r="C195" t="inlineStr">
        <is>
          <t>2025-12-11 20:57:34</t>
        </is>
      </c>
      <c r="D195" t="inlineStr">
        <is>
          <t>50</t>
        </is>
      </c>
      <c r="E195" t="inlineStr">
        <is>
          <t>Sha Sha - Shandaar Shawarma</t>
        </is>
      </c>
      <c r="F195" t="inlineStr">
        <is>
          <t>18557902</t>
        </is>
      </c>
      <c r="G195" t="inlineStr">
        <is>
          <t>NA</t>
        </is>
      </c>
      <c r="H195" t="inlineStr">
        <is>
          <t>ONLINE</t>
        </is>
      </c>
      <c r="I195" t="inlineStr">
        <is>
          <t>DELIVERED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O2</t>
        </is>
      </c>
      <c r="N195" t="inlineStr">
        <is>
          <t>36</t>
        </is>
      </c>
      <c r="O195" t="n">
        <v>458</v>
      </c>
      <c r="P195" t="n">
        <v>3.5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23.08</v>
      </c>
      <c r="W195" t="n">
        <v>484.58</v>
      </c>
      <c r="X195" t="n">
        <v>461.5</v>
      </c>
      <c r="Y195" t="n">
        <v>19</v>
      </c>
      <c r="Z195" t="n">
        <v>87.68000000000001</v>
      </c>
      <c r="AA195" t="n">
        <v>8.92</v>
      </c>
      <c r="AB195" t="n">
        <v>96.59999999999999</v>
      </c>
      <c r="AC195" t="n">
        <v>17.39</v>
      </c>
      <c r="AD195" t="n">
        <v>0</v>
      </c>
      <c r="AE195" t="n">
        <v>461.5</v>
      </c>
      <c r="AF195" t="n">
        <v>0</v>
      </c>
      <c r="AG195" t="n">
        <v>0</v>
      </c>
      <c r="AH195" t="n">
        <v>0.46</v>
      </c>
      <c r="AI195" t="n">
        <v>23.08</v>
      </c>
      <c r="AJ195" t="n">
        <v>0</v>
      </c>
      <c r="AK195" t="n">
        <v>40.93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137.53</v>
      </c>
      <c r="AV195" t="n">
        <v>0</v>
      </c>
      <c r="AW195" t="n">
        <v>347.05</v>
      </c>
      <c r="AX195" t="inlineStr">
        <is>
          <t>settled</t>
        </is>
      </c>
      <c r="AY195" t="inlineStr">
        <is>
          <t>2025-12-17 05:30:00</t>
        </is>
      </c>
      <c r="AZ195" t="inlineStr">
        <is>
          <t>CITIN25671113204</t>
        </is>
      </c>
      <c r="BA195" t="n">
        <v>0</v>
      </c>
      <c r="BB195" t="inlineStr">
        <is>
          <t>fd5d1866046108a9b62a09bb0bcb4c155b1255f27aa968c70d6524cad459fa93</t>
        </is>
      </c>
    </row>
    <row r="196">
      <c r="A196" t="inlineStr">
        <is>
          <t>536</t>
        </is>
      </c>
      <c r="B196" t="inlineStr">
        <is>
          <t>7572940267</t>
        </is>
      </c>
      <c r="C196" t="inlineStr">
        <is>
          <t>2025-12-11 21:32:31</t>
        </is>
      </c>
      <c r="D196" t="inlineStr">
        <is>
          <t>50</t>
        </is>
      </c>
      <c r="E196" t="inlineStr">
        <is>
          <t>Sha Sha - Shandaar Shawarma</t>
        </is>
      </c>
      <c r="F196" t="inlineStr">
        <is>
          <t>18557902</t>
        </is>
      </c>
      <c r="G196" t="inlineStr">
        <is>
          <t>30% off upto ₹75 (2025-06-25 - 2031-01-01)</t>
        </is>
      </c>
      <c r="H196" t="inlineStr">
        <is>
          <t>ONLINE</t>
        </is>
      </c>
      <c r="I196" t="inlineStr">
        <is>
          <t>DELIVERED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O2</t>
        </is>
      </c>
      <c r="N196" t="inlineStr">
        <is>
          <t>36</t>
        </is>
      </c>
      <c r="O196" t="n">
        <v>229</v>
      </c>
      <c r="P196" t="n">
        <v>3.5</v>
      </c>
      <c r="Q196" t="n">
        <v>0</v>
      </c>
      <c r="R196" t="n">
        <v>68.7</v>
      </c>
      <c r="S196" t="n">
        <v>0</v>
      </c>
      <c r="T196" t="n">
        <v>0</v>
      </c>
      <c r="U196" t="n">
        <v>0</v>
      </c>
      <c r="V196" t="n">
        <v>8.19</v>
      </c>
      <c r="W196" t="n">
        <v>171.99</v>
      </c>
      <c r="X196" t="n">
        <v>163.8</v>
      </c>
      <c r="Y196" t="n">
        <v>19</v>
      </c>
      <c r="Z196" t="n">
        <v>31.12</v>
      </c>
      <c r="AA196" t="n">
        <v>3.16</v>
      </c>
      <c r="AB196" t="n">
        <v>34.28</v>
      </c>
      <c r="AC196" t="n">
        <v>6.17</v>
      </c>
      <c r="AD196" t="n">
        <v>0</v>
      </c>
      <c r="AE196" t="n">
        <v>163.8</v>
      </c>
      <c r="AF196" t="n">
        <v>0</v>
      </c>
      <c r="AG196" t="n">
        <v>0</v>
      </c>
      <c r="AH196" t="n">
        <v>0.16</v>
      </c>
      <c r="AI196" t="n">
        <v>8.199999999999999</v>
      </c>
      <c r="AJ196" t="n">
        <v>-0.01</v>
      </c>
      <c r="AK196" t="n">
        <v>14.53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48.81</v>
      </c>
      <c r="AV196" t="n">
        <v>0</v>
      </c>
      <c r="AW196" t="n">
        <v>123.18</v>
      </c>
      <c r="AX196" t="inlineStr">
        <is>
          <t>settled</t>
        </is>
      </c>
      <c r="AY196" t="inlineStr">
        <is>
          <t>2025-12-17 05:30:00</t>
        </is>
      </c>
      <c r="AZ196" t="inlineStr">
        <is>
          <t>CITIN25671113204</t>
        </is>
      </c>
      <c r="BA196" t="n">
        <v>0</v>
      </c>
      <c r="BB196" t="inlineStr">
        <is>
          <t>934953a96a8e49b5327fd0f6bb62519002b733feacaa709a6c497885e41f9b9e</t>
        </is>
      </c>
    </row>
    <row r="197">
      <c r="A197" t="inlineStr">
        <is>
          <t>537</t>
        </is>
      </c>
      <c r="B197" t="inlineStr">
        <is>
          <t>7569738710</t>
        </is>
      </c>
      <c r="C197" t="inlineStr">
        <is>
          <t>2025-12-11 21:44:25</t>
        </is>
      </c>
      <c r="D197" t="inlineStr">
        <is>
          <t>50</t>
        </is>
      </c>
      <c r="E197" t="inlineStr">
        <is>
          <t>Sha Sha - Shandaar Shawarma</t>
        </is>
      </c>
      <c r="F197" t="inlineStr">
        <is>
          <t>18557902</t>
        </is>
      </c>
      <c r="G197" t="inlineStr">
        <is>
          <t>30% off upto ₹75 (2025-06-25 - 2031-01-01)</t>
        </is>
      </c>
      <c r="H197" t="inlineStr">
        <is>
          <t>ONLINE</t>
        </is>
      </c>
      <c r="I197" t="inlineStr">
        <is>
          <t>DELIVERED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O2</t>
        </is>
      </c>
      <c r="N197" t="inlineStr">
        <is>
          <t>36</t>
        </is>
      </c>
      <c r="O197" t="n">
        <v>229</v>
      </c>
      <c r="P197" t="n">
        <v>3.5</v>
      </c>
      <c r="Q197" t="n">
        <v>0</v>
      </c>
      <c r="R197" t="n">
        <v>68.7</v>
      </c>
      <c r="S197" t="n">
        <v>0</v>
      </c>
      <c r="T197" t="n">
        <v>0</v>
      </c>
      <c r="U197" t="n">
        <v>0</v>
      </c>
      <c r="V197" t="n">
        <v>8.19</v>
      </c>
      <c r="W197" t="n">
        <v>171.99</v>
      </c>
      <c r="X197" t="n">
        <v>163.8</v>
      </c>
      <c r="Y197" t="n">
        <v>19</v>
      </c>
      <c r="Z197" t="n">
        <v>31.12</v>
      </c>
      <c r="AA197" t="n">
        <v>3.16</v>
      </c>
      <c r="AB197" t="n">
        <v>34.28</v>
      </c>
      <c r="AC197" t="n">
        <v>6.17</v>
      </c>
      <c r="AD197" t="n">
        <v>0</v>
      </c>
      <c r="AE197" t="n">
        <v>163.8</v>
      </c>
      <c r="AF197" t="n">
        <v>0</v>
      </c>
      <c r="AG197" t="n">
        <v>0</v>
      </c>
      <c r="AH197" t="n">
        <v>0.16</v>
      </c>
      <c r="AI197" t="n">
        <v>8.199999999999999</v>
      </c>
      <c r="AJ197" t="n">
        <v>-0.01</v>
      </c>
      <c r="AK197" t="n">
        <v>14.53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48.81</v>
      </c>
      <c r="AV197" t="n">
        <v>0</v>
      </c>
      <c r="AW197" t="n">
        <v>123.18</v>
      </c>
      <c r="AX197" t="inlineStr">
        <is>
          <t>settled</t>
        </is>
      </c>
      <c r="AY197" t="inlineStr">
        <is>
          <t>2025-12-17 05:30:00</t>
        </is>
      </c>
      <c r="AZ197" t="inlineStr">
        <is>
          <t>CITIN25671113204</t>
        </is>
      </c>
      <c r="BA197" t="n">
        <v>0</v>
      </c>
      <c r="BB197" t="inlineStr">
        <is>
          <t>089428eafece84668e1fc6981bc9f443883f362cbad7cd293369252a0b7bfa71</t>
        </is>
      </c>
    </row>
    <row r="198">
      <c r="A198" t="inlineStr">
        <is>
          <t>538</t>
        </is>
      </c>
      <c r="B198" t="inlineStr">
        <is>
          <t>7567602575</t>
        </is>
      </c>
      <c r="C198" t="inlineStr">
        <is>
          <t>2025-12-11 21:46:08</t>
        </is>
      </c>
      <c r="D198" t="inlineStr">
        <is>
          <t>50</t>
        </is>
      </c>
      <c r="E198" t="inlineStr">
        <is>
          <t>Sha Sha - Shandaar Shawarma</t>
        </is>
      </c>
      <c r="F198" t="inlineStr">
        <is>
          <t>18557902</t>
        </is>
      </c>
      <c r="G198" t="inlineStr">
        <is>
          <t>30% off upto ₹75 (2025-06-25 - 2031-01-01)</t>
        </is>
      </c>
      <c r="H198" t="inlineStr">
        <is>
          <t>ONLINE</t>
        </is>
      </c>
      <c r="I198" t="inlineStr">
        <is>
          <t>DELIVERED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O2</t>
        </is>
      </c>
      <c r="N198" t="inlineStr">
        <is>
          <t>36</t>
        </is>
      </c>
      <c r="O198" t="n">
        <v>667</v>
      </c>
      <c r="P198" t="n">
        <v>3.5</v>
      </c>
      <c r="Q198" t="n">
        <v>0</v>
      </c>
      <c r="R198" t="n">
        <v>75</v>
      </c>
      <c r="S198" t="n">
        <v>0</v>
      </c>
      <c r="T198" t="n">
        <v>0</v>
      </c>
      <c r="U198" t="n">
        <v>0</v>
      </c>
      <c r="V198" t="n">
        <v>29.78</v>
      </c>
      <c r="W198" t="n">
        <v>625.28</v>
      </c>
      <c r="X198" t="n">
        <v>595.5</v>
      </c>
      <c r="Y198" t="n">
        <v>19</v>
      </c>
      <c r="Z198" t="n">
        <v>113.14</v>
      </c>
      <c r="AA198" t="n">
        <v>11.51</v>
      </c>
      <c r="AB198" t="n">
        <v>124.65</v>
      </c>
      <c r="AC198" t="n">
        <v>22.44</v>
      </c>
      <c r="AD198" t="n">
        <v>0</v>
      </c>
      <c r="AE198" t="n">
        <v>595.5</v>
      </c>
      <c r="AF198" t="n">
        <v>0</v>
      </c>
      <c r="AG198" t="n">
        <v>0</v>
      </c>
      <c r="AH198" t="n">
        <v>0.6</v>
      </c>
      <c r="AI198" t="n">
        <v>29.78</v>
      </c>
      <c r="AJ198" t="n">
        <v>0</v>
      </c>
      <c r="AK198" t="n">
        <v>52.82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177.47</v>
      </c>
      <c r="AV198" t="n">
        <v>0</v>
      </c>
      <c r="AW198" t="n">
        <v>447.81</v>
      </c>
      <c r="AX198" t="inlineStr">
        <is>
          <t>settled</t>
        </is>
      </c>
      <c r="AY198" t="inlineStr">
        <is>
          <t>2025-12-17 05:30:00</t>
        </is>
      </c>
      <c r="AZ198" t="inlineStr">
        <is>
          <t>CITIN25671113204</t>
        </is>
      </c>
      <c r="BA198" t="n">
        <v>0</v>
      </c>
      <c r="BB198" t="inlineStr">
        <is>
          <t>15854f573fb2a9f82233b8f718273d4654c226f65c2821f73d065eb0b7d6948d</t>
        </is>
      </c>
    </row>
    <row r="199">
      <c r="A199" t="inlineStr">
        <is>
          <t>539</t>
        </is>
      </c>
      <c r="B199" t="inlineStr">
        <is>
          <t>7564963625</t>
        </is>
      </c>
      <c r="C199" t="inlineStr">
        <is>
          <t>2025-12-11 21:52:33</t>
        </is>
      </c>
      <c r="D199" t="inlineStr">
        <is>
          <t>50</t>
        </is>
      </c>
      <c r="E199" t="inlineStr">
        <is>
          <t>Sha Sha - Shandaar Shawarma</t>
        </is>
      </c>
      <c r="F199" t="inlineStr">
        <is>
          <t>18557902</t>
        </is>
      </c>
      <c r="G199" t="inlineStr">
        <is>
          <t>30% off upto ₹75 (2025-06-25 - 2031-01-01)</t>
        </is>
      </c>
      <c r="H199" t="inlineStr">
        <is>
          <t>ONLINE</t>
        </is>
      </c>
      <c r="I199" t="inlineStr">
        <is>
          <t>DELIVERED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O2</t>
        </is>
      </c>
      <c r="N199" t="inlineStr">
        <is>
          <t>36</t>
        </is>
      </c>
      <c r="O199" t="n">
        <v>219</v>
      </c>
      <c r="P199" t="n">
        <v>3.5</v>
      </c>
      <c r="Q199" t="n">
        <v>0</v>
      </c>
      <c r="R199" t="n">
        <v>65.7</v>
      </c>
      <c r="S199" t="n">
        <v>0</v>
      </c>
      <c r="T199" t="n">
        <v>0</v>
      </c>
      <c r="U199" t="n">
        <v>0</v>
      </c>
      <c r="V199" t="n">
        <v>7.84</v>
      </c>
      <c r="W199" t="n">
        <v>164.64</v>
      </c>
      <c r="X199" t="n">
        <v>156.8</v>
      </c>
      <c r="Y199" t="n">
        <v>19</v>
      </c>
      <c r="Z199" t="n">
        <v>29.79</v>
      </c>
      <c r="AA199" t="n">
        <v>3.03</v>
      </c>
      <c r="AB199" t="n">
        <v>32.82</v>
      </c>
      <c r="AC199" t="n">
        <v>5.91</v>
      </c>
      <c r="AD199" t="n">
        <v>0</v>
      </c>
      <c r="AE199" t="n">
        <v>156.8</v>
      </c>
      <c r="AF199" t="n">
        <v>0</v>
      </c>
      <c r="AG199" t="n">
        <v>0</v>
      </c>
      <c r="AH199" t="n">
        <v>0.16</v>
      </c>
      <c r="AI199" t="n">
        <v>7.85</v>
      </c>
      <c r="AJ199" t="n">
        <v>-0.01</v>
      </c>
      <c r="AK199" t="n">
        <v>13.92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46.74</v>
      </c>
      <c r="AV199" t="n">
        <v>0</v>
      </c>
      <c r="AW199" t="n">
        <v>117.9</v>
      </c>
      <c r="AX199" t="inlineStr">
        <is>
          <t>settled</t>
        </is>
      </c>
      <c r="AY199" t="inlineStr">
        <is>
          <t>2025-12-17 05:30:00</t>
        </is>
      </c>
      <c r="AZ199" t="inlineStr">
        <is>
          <t>CITIN25671113204</t>
        </is>
      </c>
      <c r="BA199" t="n">
        <v>0</v>
      </c>
      <c r="BB199" t="inlineStr">
        <is>
          <t>2e15fdb153832adb1c5f385320b22df40e0de8478eaf4603529aee27454b6da1</t>
        </is>
      </c>
    </row>
    <row r="200">
      <c r="A200" t="inlineStr">
        <is>
          <t>540</t>
        </is>
      </c>
      <c r="B200" t="inlineStr">
        <is>
          <t>7568687441</t>
        </is>
      </c>
      <c r="C200" t="inlineStr">
        <is>
          <t>2025-12-11 22:01:06</t>
        </is>
      </c>
      <c r="D200" t="inlineStr">
        <is>
          <t>50</t>
        </is>
      </c>
      <c r="E200" t="inlineStr">
        <is>
          <t>Sha Sha - Shandaar Shawarma</t>
        </is>
      </c>
      <c r="F200" t="inlineStr">
        <is>
          <t>18557902</t>
        </is>
      </c>
      <c r="G200" t="inlineStr">
        <is>
          <t>30% off upto ₹75 (2025-06-25 - 2031-01-01)</t>
        </is>
      </c>
      <c r="H200" t="inlineStr">
        <is>
          <t>ONLINE</t>
        </is>
      </c>
      <c r="I200" t="inlineStr">
        <is>
          <t>DELIVERED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O2</t>
        </is>
      </c>
      <c r="N200" t="inlineStr">
        <is>
          <t>36</t>
        </is>
      </c>
      <c r="O200" t="n">
        <v>497</v>
      </c>
      <c r="P200" t="n">
        <v>3.5</v>
      </c>
      <c r="Q200" t="n">
        <v>0</v>
      </c>
      <c r="R200" t="n">
        <v>75</v>
      </c>
      <c r="S200" t="n">
        <v>0</v>
      </c>
      <c r="T200" t="n">
        <v>0</v>
      </c>
      <c r="U200" t="n">
        <v>0</v>
      </c>
      <c r="V200" t="n">
        <v>21.28</v>
      </c>
      <c r="W200" t="n">
        <v>446.78</v>
      </c>
      <c r="X200" t="n">
        <v>425.5</v>
      </c>
      <c r="Y200" t="n">
        <v>19</v>
      </c>
      <c r="Z200" t="n">
        <v>80.84</v>
      </c>
      <c r="AA200" t="n">
        <v>8.220000000000001</v>
      </c>
      <c r="AB200" t="n">
        <v>89.06</v>
      </c>
      <c r="AC200" t="n">
        <v>16.03</v>
      </c>
      <c r="AD200" t="n">
        <v>0</v>
      </c>
      <c r="AE200" t="n">
        <v>425.5</v>
      </c>
      <c r="AF200" t="n">
        <v>0</v>
      </c>
      <c r="AG200" t="n">
        <v>0</v>
      </c>
      <c r="AH200" t="n">
        <v>0.43</v>
      </c>
      <c r="AI200" t="n">
        <v>21.28</v>
      </c>
      <c r="AJ200" t="n">
        <v>0</v>
      </c>
      <c r="AK200" t="n">
        <v>37.74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126.8</v>
      </c>
      <c r="AV200" t="n">
        <v>0</v>
      </c>
      <c r="AW200" t="n">
        <v>319.98</v>
      </c>
      <c r="AX200" t="inlineStr">
        <is>
          <t>settled</t>
        </is>
      </c>
      <c r="AY200" t="inlineStr">
        <is>
          <t>2025-12-17 05:30:00</t>
        </is>
      </c>
      <c r="AZ200" t="inlineStr">
        <is>
          <t>CITIN25671113204</t>
        </is>
      </c>
      <c r="BA200" t="n">
        <v>0</v>
      </c>
      <c r="BB200" t="inlineStr">
        <is>
          <t>30074b8b4aac3ecd6e97c5c0e8912c6896719ca02c32bea3b8fd8aaa8b862f50</t>
        </is>
      </c>
    </row>
    <row r="201">
      <c r="A201" t="inlineStr">
        <is>
          <t>541</t>
        </is>
      </c>
      <c r="B201" t="inlineStr">
        <is>
          <t>7573346104</t>
        </is>
      </c>
      <c r="C201" t="inlineStr">
        <is>
          <t>2025-12-11 23:06:46</t>
        </is>
      </c>
      <c r="D201" t="inlineStr">
        <is>
          <t>50</t>
        </is>
      </c>
      <c r="E201" t="inlineStr">
        <is>
          <t>Sha Sha - Shandaar Shawarma</t>
        </is>
      </c>
      <c r="F201" t="inlineStr">
        <is>
          <t>18557902</t>
        </is>
      </c>
      <c r="G201" t="inlineStr">
        <is>
          <t>NA</t>
        </is>
      </c>
      <c r="H201" t="inlineStr">
        <is>
          <t>ONLINE</t>
        </is>
      </c>
      <c r="I201" t="inlineStr">
        <is>
          <t>DELIVERED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O2</t>
        </is>
      </c>
      <c r="N201" t="inlineStr">
        <is>
          <t>36</t>
        </is>
      </c>
      <c r="O201" t="n">
        <v>268</v>
      </c>
      <c r="P201" t="n">
        <v>3.5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13.58</v>
      </c>
      <c r="W201" t="n">
        <v>285.08</v>
      </c>
      <c r="X201" t="n">
        <v>271.5</v>
      </c>
      <c r="Y201" t="n">
        <v>19</v>
      </c>
      <c r="Z201" t="n">
        <v>51.58</v>
      </c>
      <c r="AA201" t="n">
        <v>5.25</v>
      </c>
      <c r="AB201" t="n">
        <v>56.83</v>
      </c>
      <c r="AC201" t="n">
        <v>10.22</v>
      </c>
      <c r="AD201" t="n">
        <v>0</v>
      </c>
      <c r="AE201" t="n">
        <v>271.5</v>
      </c>
      <c r="AF201" t="n">
        <v>0</v>
      </c>
      <c r="AG201" t="n">
        <v>0</v>
      </c>
      <c r="AH201" t="n">
        <v>0.27</v>
      </c>
      <c r="AI201" t="n">
        <v>13.58</v>
      </c>
      <c r="AJ201" t="n">
        <v>0</v>
      </c>
      <c r="AK201" t="n">
        <v>24.07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80.90000000000001</v>
      </c>
      <c r="AV201" t="n">
        <v>0</v>
      </c>
      <c r="AW201" t="n">
        <v>204.18</v>
      </c>
      <c r="AX201" t="inlineStr">
        <is>
          <t>settled</t>
        </is>
      </c>
      <c r="AY201" t="inlineStr">
        <is>
          <t>2025-12-17 05:30:00</t>
        </is>
      </c>
      <c r="AZ201" t="inlineStr">
        <is>
          <t>CITIN25671113204</t>
        </is>
      </c>
      <c r="BA201" t="n">
        <v>0</v>
      </c>
      <c r="BB201" t="inlineStr">
        <is>
          <t>15d0a6f530552197884116a7294d4138db8d03b3335147d5082b0a7517de2253</t>
        </is>
      </c>
    </row>
    <row r="202">
      <c r="A202" t="inlineStr">
        <is>
          <t>542</t>
        </is>
      </c>
      <c r="B202" t="inlineStr">
        <is>
          <t>7573766207</t>
        </is>
      </c>
      <c r="C202" t="inlineStr">
        <is>
          <t>2025-12-11 23:13:37</t>
        </is>
      </c>
      <c r="D202" t="inlineStr">
        <is>
          <t>50</t>
        </is>
      </c>
      <c r="E202" t="inlineStr">
        <is>
          <t>Sha Sha - Shandaar Shawarma</t>
        </is>
      </c>
      <c r="F202" t="inlineStr">
        <is>
          <t>18557902</t>
        </is>
      </c>
      <c r="G202" t="inlineStr">
        <is>
          <t>30% off upto ₹75 (2025-06-25 - 2031-01-01)</t>
        </is>
      </c>
      <c r="H202" t="inlineStr">
        <is>
          <t>ONLINE</t>
        </is>
      </c>
      <c r="I202" t="inlineStr">
        <is>
          <t>DELIVERED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O2</t>
        </is>
      </c>
      <c r="N202" t="inlineStr">
        <is>
          <t>36</t>
        </is>
      </c>
      <c r="O202" t="n">
        <v>355</v>
      </c>
      <c r="P202" t="n">
        <v>3.5</v>
      </c>
      <c r="Q202" t="n">
        <v>0</v>
      </c>
      <c r="R202" t="n">
        <v>75</v>
      </c>
      <c r="S202" t="n">
        <v>0</v>
      </c>
      <c r="T202" t="n">
        <v>0</v>
      </c>
      <c r="U202" t="n">
        <v>0</v>
      </c>
      <c r="V202" t="n">
        <v>14.18</v>
      </c>
      <c r="W202" t="n">
        <v>297.68</v>
      </c>
      <c r="X202" t="n">
        <v>283.5</v>
      </c>
      <c r="Y202" t="n">
        <v>19</v>
      </c>
      <c r="Z202" t="n">
        <v>53.86</v>
      </c>
      <c r="AA202" t="n">
        <v>5.48</v>
      </c>
      <c r="AB202" t="n">
        <v>59.34</v>
      </c>
      <c r="AC202" t="n">
        <v>10.68</v>
      </c>
      <c r="AD202" t="n">
        <v>0</v>
      </c>
      <c r="AE202" t="n">
        <v>283.5</v>
      </c>
      <c r="AF202" t="n">
        <v>0</v>
      </c>
      <c r="AG202" t="n">
        <v>0</v>
      </c>
      <c r="AH202" t="n">
        <v>0.28</v>
      </c>
      <c r="AI202" t="n">
        <v>14.18</v>
      </c>
      <c r="AJ202" t="n">
        <v>0</v>
      </c>
      <c r="AK202" t="n">
        <v>25.14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84.48</v>
      </c>
      <c r="AV202" t="n">
        <v>0</v>
      </c>
      <c r="AW202" t="n">
        <v>213.2</v>
      </c>
      <c r="AX202" t="inlineStr">
        <is>
          <t>settled</t>
        </is>
      </c>
      <c r="AY202" t="inlineStr">
        <is>
          <t>2025-12-17 05:30:00</t>
        </is>
      </c>
      <c r="AZ202" t="inlineStr">
        <is>
          <t>CITIN25671113204</t>
        </is>
      </c>
      <c r="BA202" t="n">
        <v>0</v>
      </c>
      <c r="BB202" t="inlineStr">
        <is>
          <t>8a704137dac8490940084b228b4478b7e0292bc4d24d50b0491dd9d248fca690</t>
        </is>
      </c>
    </row>
    <row r="203">
      <c r="A203" t="inlineStr">
        <is>
          <t>543</t>
        </is>
      </c>
      <c r="B203" t="inlineStr">
        <is>
          <t>7569871694</t>
        </is>
      </c>
      <c r="C203" t="inlineStr">
        <is>
          <t>2025-12-11 23:40:31</t>
        </is>
      </c>
      <c r="D203" t="inlineStr">
        <is>
          <t>50</t>
        </is>
      </c>
      <c r="E203" t="inlineStr">
        <is>
          <t>Sha Sha - Shandaar Shawarma</t>
        </is>
      </c>
      <c r="F203" t="inlineStr">
        <is>
          <t>18557902</t>
        </is>
      </c>
      <c r="G203" t="inlineStr">
        <is>
          <t>30% off upto ₹75 (2025-06-25 - 2031-01-01)</t>
        </is>
      </c>
      <c r="H203" t="inlineStr">
        <is>
          <t>ONLINE</t>
        </is>
      </c>
      <c r="I203" t="inlineStr">
        <is>
          <t>DELIVERED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O2</t>
        </is>
      </c>
      <c r="N203" t="inlineStr">
        <is>
          <t>36</t>
        </is>
      </c>
      <c r="O203" t="n">
        <v>219</v>
      </c>
      <c r="P203" t="n">
        <v>3.5</v>
      </c>
      <c r="Q203" t="n">
        <v>0</v>
      </c>
      <c r="R203" t="n">
        <v>65.7</v>
      </c>
      <c r="S203" t="n">
        <v>0</v>
      </c>
      <c r="T203" t="n">
        <v>0</v>
      </c>
      <c r="U203" t="n">
        <v>0</v>
      </c>
      <c r="V203" t="n">
        <v>7.84</v>
      </c>
      <c r="W203" t="n">
        <v>164.64</v>
      </c>
      <c r="X203" t="n">
        <v>156.8</v>
      </c>
      <c r="Y203" t="n">
        <v>19</v>
      </c>
      <c r="Z203" t="n">
        <v>29.79</v>
      </c>
      <c r="AA203" t="n">
        <v>3.03</v>
      </c>
      <c r="AB203" t="n">
        <v>32.82</v>
      </c>
      <c r="AC203" t="n">
        <v>5.91</v>
      </c>
      <c r="AD203" t="n">
        <v>0</v>
      </c>
      <c r="AE203" t="n">
        <v>156.8</v>
      </c>
      <c r="AF203" t="n">
        <v>0</v>
      </c>
      <c r="AG203" t="n">
        <v>0</v>
      </c>
      <c r="AH203" t="n">
        <v>0.16</v>
      </c>
      <c r="AI203" t="n">
        <v>7.85</v>
      </c>
      <c r="AJ203" t="n">
        <v>-0.01</v>
      </c>
      <c r="AK203" t="n">
        <v>13.92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46.74</v>
      </c>
      <c r="AV203" t="n">
        <v>0</v>
      </c>
      <c r="AW203" t="n">
        <v>117.9</v>
      </c>
      <c r="AX203" t="inlineStr">
        <is>
          <t>settled</t>
        </is>
      </c>
      <c r="AY203" t="inlineStr">
        <is>
          <t>2025-12-17 05:30:00</t>
        </is>
      </c>
      <c r="AZ203" t="inlineStr">
        <is>
          <t>CITIN25671113204</t>
        </is>
      </c>
      <c r="BA203" t="n">
        <v>0</v>
      </c>
      <c r="BB203" t="inlineStr">
        <is>
          <t>517f7912825b789c9ceb890a4bf48be82ec34eed3743ad2dba9e97563c954737</t>
        </is>
      </c>
    </row>
    <row r="204">
      <c r="A204" t="inlineStr">
        <is>
          <t>544</t>
        </is>
      </c>
      <c r="B204" t="inlineStr">
        <is>
          <t>7573769698</t>
        </is>
      </c>
      <c r="C204" t="inlineStr">
        <is>
          <t>2025-12-11 23:47:44</t>
        </is>
      </c>
      <c r="D204" t="inlineStr">
        <is>
          <t>50</t>
        </is>
      </c>
      <c r="E204" t="inlineStr">
        <is>
          <t>Sha Sha - Shandaar Shawarma</t>
        </is>
      </c>
      <c r="F204" t="inlineStr">
        <is>
          <t>18557902</t>
        </is>
      </c>
      <c r="G204" t="inlineStr">
        <is>
          <t>30% off upto ₹75 (2025-06-25 - 2031-01-01)</t>
        </is>
      </c>
      <c r="H204" t="inlineStr">
        <is>
          <t>ONLINE</t>
        </is>
      </c>
      <c r="I204" t="inlineStr">
        <is>
          <t>DELIVERED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O2</t>
        </is>
      </c>
      <c r="N204" t="inlineStr">
        <is>
          <t>36</t>
        </is>
      </c>
      <c r="O204" t="n">
        <v>229</v>
      </c>
      <c r="P204" t="n">
        <v>3.5</v>
      </c>
      <c r="Q204" t="n">
        <v>0</v>
      </c>
      <c r="R204" t="n">
        <v>68.7</v>
      </c>
      <c r="S204" t="n">
        <v>0</v>
      </c>
      <c r="T204" t="n">
        <v>0</v>
      </c>
      <c r="U204" t="n">
        <v>0</v>
      </c>
      <c r="V204" t="n">
        <v>8.19</v>
      </c>
      <c r="W204" t="n">
        <v>171.99</v>
      </c>
      <c r="X204" t="n">
        <v>163.8</v>
      </c>
      <c r="Y204" t="n">
        <v>19</v>
      </c>
      <c r="Z204" t="n">
        <v>31.12</v>
      </c>
      <c r="AA204" t="n">
        <v>3.16</v>
      </c>
      <c r="AB204" t="n">
        <v>34.28</v>
      </c>
      <c r="AC204" t="n">
        <v>6.17</v>
      </c>
      <c r="AD204" t="n">
        <v>0</v>
      </c>
      <c r="AE204" t="n">
        <v>163.8</v>
      </c>
      <c r="AF204" t="n">
        <v>0</v>
      </c>
      <c r="AG204" t="n">
        <v>0</v>
      </c>
      <c r="AH204" t="n">
        <v>0.16</v>
      </c>
      <c r="AI204" t="n">
        <v>8.199999999999999</v>
      </c>
      <c r="AJ204" t="n">
        <v>-0.01</v>
      </c>
      <c r="AK204" t="n">
        <v>14.53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48.81</v>
      </c>
      <c r="AV204" t="n">
        <v>0</v>
      </c>
      <c r="AW204" t="n">
        <v>123.18</v>
      </c>
      <c r="AX204" t="inlineStr">
        <is>
          <t>settled</t>
        </is>
      </c>
      <c r="AY204" t="inlineStr">
        <is>
          <t>2025-12-17 05:30:00</t>
        </is>
      </c>
      <c r="AZ204" t="inlineStr">
        <is>
          <t>CITIN25671113204</t>
        </is>
      </c>
      <c r="BA204" t="n">
        <v>0</v>
      </c>
      <c r="BB204" t="inlineStr">
        <is>
          <t>89738a33b41b3d3d4f556f7911bf3bbb98d78e8bed6874357b10c6784794c4bd</t>
        </is>
      </c>
    </row>
    <row r="205">
      <c r="A205" t="inlineStr">
        <is>
          <t>545</t>
        </is>
      </c>
      <c r="B205" t="inlineStr">
        <is>
          <t>7572116289</t>
        </is>
      </c>
      <c r="C205" t="inlineStr">
        <is>
          <t>2025-12-12 00:16:48</t>
        </is>
      </c>
      <c r="D205" t="inlineStr">
        <is>
          <t>50</t>
        </is>
      </c>
      <c r="E205" t="inlineStr">
        <is>
          <t>Sha Sha - Shandaar Shawarma</t>
        </is>
      </c>
      <c r="F205" t="inlineStr">
        <is>
          <t>18557902</t>
        </is>
      </c>
      <c r="G205" t="inlineStr">
        <is>
          <t>30% off upto ₹75 (2025-06-25 - 2031-01-01)</t>
        </is>
      </c>
      <c r="H205" t="inlineStr">
        <is>
          <t>ONLINE</t>
        </is>
      </c>
      <c r="I205" t="inlineStr">
        <is>
          <t>DELIVERED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O2</t>
        </is>
      </c>
      <c r="N205" t="inlineStr">
        <is>
          <t>36</t>
        </is>
      </c>
      <c r="O205" t="n">
        <v>229</v>
      </c>
      <c r="P205" t="n">
        <v>3.5</v>
      </c>
      <c r="Q205" t="n">
        <v>0</v>
      </c>
      <c r="R205" t="n">
        <v>68.7</v>
      </c>
      <c r="S205" t="n">
        <v>0</v>
      </c>
      <c r="T205" t="n">
        <v>0</v>
      </c>
      <c r="U205" t="n">
        <v>0</v>
      </c>
      <c r="V205" t="n">
        <v>8.19</v>
      </c>
      <c r="W205" t="n">
        <v>171.99</v>
      </c>
      <c r="X205" t="n">
        <v>163.8</v>
      </c>
      <c r="Y205" t="n">
        <v>19</v>
      </c>
      <c r="Z205" t="n">
        <v>31.12</v>
      </c>
      <c r="AA205" t="n">
        <v>3.16</v>
      </c>
      <c r="AB205" t="n">
        <v>34.28</v>
      </c>
      <c r="AC205" t="n">
        <v>6.17</v>
      </c>
      <c r="AD205" t="n">
        <v>0</v>
      </c>
      <c r="AE205" t="n">
        <v>163.8</v>
      </c>
      <c r="AF205" t="n">
        <v>0</v>
      </c>
      <c r="AG205" t="n">
        <v>0</v>
      </c>
      <c r="AH205" t="n">
        <v>0.16</v>
      </c>
      <c r="AI205" t="n">
        <v>8.199999999999999</v>
      </c>
      <c r="AJ205" t="n">
        <v>-0.01</v>
      </c>
      <c r="AK205" t="n">
        <v>14.53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48.81</v>
      </c>
      <c r="AV205" t="n">
        <v>0</v>
      </c>
      <c r="AW205" t="n">
        <v>123.18</v>
      </c>
      <c r="AX205" t="inlineStr">
        <is>
          <t>settled</t>
        </is>
      </c>
      <c r="AY205" t="inlineStr">
        <is>
          <t>2025-12-17 05:30:00</t>
        </is>
      </c>
      <c r="AZ205" t="inlineStr">
        <is>
          <t>CITIN25671113204</t>
        </is>
      </c>
      <c r="BA205" t="n">
        <v>0</v>
      </c>
      <c r="BB205" t="inlineStr">
        <is>
          <t>4b6dd5c1ea9edf90e82006496fad0bd17d7f0afc17275d1a51d3781610fac451</t>
        </is>
      </c>
    </row>
    <row r="206">
      <c r="A206" t="inlineStr">
        <is>
          <t>546</t>
        </is>
      </c>
      <c r="B206" t="inlineStr">
        <is>
          <t>7571201554</t>
        </is>
      </c>
      <c r="C206" t="inlineStr">
        <is>
          <t>2025-12-12 00:24:55</t>
        </is>
      </c>
      <c r="D206" t="inlineStr">
        <is>
          <t>50</t>
        </is>
      </c>
      <c r="E206" t="inlineStr">
        <is>
          <t>Sha Sha - Shandaar Shawarma</t>
        </is>
      </c>
      <c r="F206" t="inlineStr">
        <is>
          <t>18557902</t>
        </is>
      </c>
      <c r="G206" t="inlineStr">
        <is>
          <t>30% off upto ₹75 (2025-06-25 - 2031-01-01)</t>
        </is>
      </c>
      <c r="H206" t="inlineStr">
        <is>
          <t>ONLINE</t>
        </is>
      </c>
      <c r="I206" t="inlineStr">
        <is>
          <t>DELIVERED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O2</t>
        </is>
      </c>
      <c r="N206" t="inlineStr">
        <is>
          <t>36</t>
        </is>
      </c>
      <c r="O206" t="n">
        <v>219</v>
      </c>
      <c r="P206" t="n">
        <v>3.5</v>
      </c>
      <c r="Q206" t="n">
        <v>0</v>
      </c>
      <c r="R206" t="n">
        <v>65.7</v>
      </c>
      <c r="S206" t="n">
        <v>0</v>
      </c>
      <c r="T206" t="n">
        <v>0</v>
      </c>
      <c r="U206" t="n">
        <v>0</v>
      </c>
      <c r="V206" t="n">
        <v>7.84</v>
      </c>
      <c r="W206" t="n">
        <v>164.64</v>
      </c>
      <c r="X206" t="n">
        <v>156.8</v>
      </c>
      <c r="Y206" t="n">
        <v>19</v>
      </c>
      <c r="Z206" t="n">
        <v>29.79</v>
      </c>
      <c r="AA206" t="n">
        <v>3.03</v>
      </c>
      <c r="AB206" t="n">
        <v>32.82</v>
      </c>
      <c r="AC206" t="n">
        <v>5.91</v>
      </c>
      <c r="AD206" t="n">
        <v>0</v>
      </c>
      <c r="AE206" t="n">
        <v>156.8</v>
      </c>
      <c r="AF206" t="n">
        <v>0</v>
      </c>
      <c r="AG206" t="n">
        <v>0</v>
      </c>
      <c r="AH206" t="n">
        <v>0.16</v>
      </c>
      <c r="AI206" t="n">
        <v>7.85</v>
      </c>
      <c r="AJ206" t="n">
        <v>-0.01</v>
      </c>
      <c r="AK206" t="n">
        <v>13.92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46.74</v>
      </c>
      <c r="AV206" t="n">
        <v>0</v>
      </c>
      <c r="AW206" t="n">
        <v>117.9</v>
      </c>
      <c r="AX206" t="inlineStr">
        <is>
          <t>settled</t>
        </is>
      </c>
      <c r="AY206" t="inlineStr">
        <is>
          <t>2025-12-17 05:30:00</t>
        </is>
      </c>
      <c r="AZ206" t="inlineStr">
        <is>
          <t>CITIN25671113204</t>
        </is>
      </c>
      <c r="BA206" t="n">
        <v>0</v>
      </c>
      <c r="BB206" t="inlineStr">
        <is>
          <t>6ebf2d5769b8b1656d9c8acd138c46bb10dd42b840699deb4698450d5b251550</t>
        </is>
      </c>
    </row>
    <row r="207">
      <c r="A207" t="inlineStr">
        <is>
          <t>547</t>
        </is>
      </c>
      <c r="B207" t="inlineStr">
        <is>
          <t>7569668512</t>
        </is>
      </c>
      <c r="C207" t="inlineStr">
        <is>
          <t>2025-12-12 00:27:32</t>
        </is>
      </c>
      <c r="D207" t="inlineStr">
        <is>
          <t>50</t>
        </is>
      </c>
      <c r="E207" t="inlineStr">
        <is>
          <t>Sha Sha - Shandaar Shawarma</t>
        </is>
      </c>
      <c r="F207" t="inlineStr">
        <is>
          <t>18557902</t>
        </is>
      </c>
      <c r="G207" t="inlineStr">
        <is>
          <t>30% off upto ₹75 (2025-06-25 - 2031-01-01)</t>
        </is>
      </c>
      <c r="H207" t="inlineStr">
        <is>
          <t>ONLINE</t>
        </is>
      </c>
      <c r="I207" t="inlineStr">
        <is>
          <t>DELIVERED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O2</t>
        </is>
      </c>
      <c r="N207" t="inlineStr">
        <is>
          <t>36</t>
        </is>
      </c>
      <c r="O207" t="n">
        <v>229</v>
      </c>
      <c r="P207" t="n">
        <v>3.5</v>
      </c>
      <c r="Q207" t="n">
        <v>0</v>
      </c>
      <c r="R207" t="n">
        <v>68.7</v>
      </c>
      <c r="S207" t="n">
        <v>0</v>
      </c>
      <c r="T207" t="n">
        <v>0</v>
      </c>
      <c r="U207" t="n">
        <v>0</v>
      </c>
      <c r="V207" t="n">
        <v>8.19</v>
      </c>
      <c r="W207" t="n">
        <v>171.99</v>
      </c>
      <c r="X207" t="n">
        <v>163.8</v>
      </c>
      <c r="Y207" t="n">
        <v>19</v>
      </c>
      <c r="Z207" t="n">
        <v>31.12</v>
      </c>
      <c r="AA207" t="n">
        <v>3.16</v>
      </c>
      <c r="AB207" t="n">
        <v>34.28</v>
      </c>
      <c r="AC207" t="n">
        <v>6.17</v>
      </c>
      <c r="AD207" t="n">
        <v>0</v>
      </c>
      <c r="AE207" t="n">
        <v>163.8</v>
      </c>
      <c r="AF207" t="n">
        <v>0</v>
      </c>
      <c r="AG207" t="n">
        <v>0</v>
      </c>
      <c r="AH207" t="n">
        <v>0.16</v>
      </c>
      <c r="AI207" t="n">
        <v>8.199999999999999</v>
      </c>
      <c r="AJ207" t="n">
        <v>-0.01</v>
      </c>
      <c r="AK207" t="n">
        <v>14.53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48.81</v>
      </c>
      <c r="AV207" t="n">
        <v>0</v>
      </c>
      <c r="AW207" t="n">
        <v>123.18</v>
      </c>
      <c r="AX207" t="inlineStr">
        <is>
          <t>settled</t>
        </is>
      </c>
      <c r="AY207" t="inlineStr">
        <is>
          <t>2025-12-17 05:30:00</t>
        </is>
      </c>
      <c r="AZ207" t="inlineStr">
        <is>
          <t>CITIN25671113204</t>
        </is>
      </c>
      <c r="BA207" t="n">
        <v>0</v>
      </c>
      <c r="BB207" t="inlineStr">
        <is>
          <t>09e54b4de6a4dcc0e39457ab2029d651a64e5de3227a6da00ffcb6a088b6ac46</t>
        </is>
      </c>
    </row>
    <row r="208">
      <c r="A208" t="inlineStr">
        <is>
          <t>548</t>
        </is>
      </c>
      <c r="B208" t="inlineStr">
        <is>
          <t>7554168782</t>
        </is>
      </c>
      <c r="C208" t="inlineStr">
        <is>
          <t>2025-12-12 00:31:56</t>
        </is>
      </c>
      <c r="D208" t="inlineStr">
        <is>
          <t>50</t>
        </is>
      </c>
      <c r="E208" t="inlineStr">
        <is>
          <t>Sha Sha - Shandaar Shawarma</t>
        </is>
      </c>
      <c r="F208" t="inlineStr">
        <is>
          <t>18557902</t>
        </is>
      </c>
      <c r="G208" t="inlineStr">
        <is>
          <t>30% off upto ₹75 (2025-06-25 - 2031-01-01)</t>
        </is>
      </c>
      <c r="H208" t="inlineStr">
        <is>
          <t>ONLINE</t>
        </is>
      </c>
      <c r="I208" t="inlineStr">
        <is>
          <t>DELIVERED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O2</t>
        </is>
      </c>
      <c r="N208" t="inlineStr">
        <is>
          <t>36</t>
        </is>
      </c>
      <c r="O208" t="n">
        <v>458</v>
      </c>
      <c r="P208" t="n">
        <v>3.5</v>
      </c>
      <c r="Q208" t="n">
        <v>0</v>
      </c>
      <c r="R208" t="n">
        <v>75</v>
      </c>
      <c r="S208" t="n">
        <v>0</v>
      </c>
      <c r="T208" t="n">
        <v>0</v>
      </c>
      <c r="U208" t="n">
        <v>0</v>
      </c>
      <c r="V208" t="n">
        <v>19.33</v>
      </c>
      <c r="W208" t="n">
        <v>405.83</v>
      </c>
      <c r="X208" t="n">
        <v>386.5</v>
      </c>
      <c r="Y208" t="n">
        <v>19</v>
      </c>
      <c r="Z208" t="n">
        <v>73.44</v>
      </c>
      <c r="AA208" t="n">
        <v>7.47</v>
      </c>
      <c r="AB208" t="n">
        <v>80.91</v>
      </c>
      <c r="AC208" t="n">
        <v>14.56</v>
      </c>
      <c r="AD208" t="n">
        <v>0</v>
      </c>
      <c r="AE208" t="n">
        <v>386.5</v>
      </c>
      <c r="AF208" t="n">
        <v>0</v>
      </c>
      <c r="AG208" t="n">
        <v>0</v>
      </c>
      <c r="AH208" t="n">
        <v>0.39</v>
      </c>
      <c r="AI208" t="n">
        <v>19.33</v>
      </c>
      <c r="AJ208" t="n">
        <v>0</v>
      </c>
      <c r="AK208" t="n">
        <v>34.28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115.19</v>
      </c>
      <c r="AV208" t="n">
        <v>0</v>
      </c>
      <c r="AW208" t="n">
        <v>290.64</v>
      </c>
      <c r="AX208" t="inlineStr">
        <is>
          <t>settled</t>
        </is>
      </c>
      <c r="AY208" t="inlineStr">
        <is>
          <t>2025-12-17 05:30:00</t>
        </is>
      </c>
      <c r="AZ208" t="inlineStr">
        <is>
          <t>CITIN25671113204</t>
        </is>
      </c>
      <c r="BA208" t="n">
        <v>0</v>
      </c>
      <c r="BB208" t="inlineStr">
        <is>
          <t>4b399ad3e9983ca09eb6e635d6ef0635ce0768b447153a7cd6843905629e938a</t>
        </is>
      </c>
    </row>
    <row r="209">
      <c r="A209" t="inlineStr">
        <is>
          <t>549</t>
        </is>
      </c>
      <c r="B209" t="inlineStr">
        <is>
          <t>7573770843</t>
        </is>
      </c>
      <c r="C209" t="inlineStr">
        <is>
          <t>2025-12-12 00:34:51</t>
        </is>
      </c>
      <c r="D209" t="inlineStr">
        <is>
          <t>50</t>
        </is>
      </c>
      <c r="E209" t="inlineStr">
        <is>
          <t>Sha Sha - Shandaar Shawarma</t>
        </is>
      </c>
      <c r="F209" t="inlineStr">
        <is>
          <t>18557902</t>
        </is>
      </c>
      <c r="G209" t="inlineStr">
        <is>
          <t>30% off upto ₹75 (2025-06-25 - 2031-01-01)</t>
        </is>
      </c>
      <c r="H209" t="inlineStr">
        <is>
          <t>ONLINE</t>
        </is>
      </c>
      <c r="I209" t="inlineStr">
        <is>
          <t>DELIVERED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O2</t>
        </is>
      </c>
      <c r="N209" t="inlineStr">
        <is>
          <t>36</t>
        </is>
      </c>
      <c r="O209" t="n">
        <v>219</v>
      </c>
      <c r="P209" t="n">
        <v>3.5</v>
      </c>
      <c r="Q209" t="n">
        <v>0</v>
      </c>
      <c r="R209" t="n">
        <v>65.7</v>
      </c>
      <c r="S209" t="n">
        <v>0</v>
      </c>
      <c r="T209" t="n">
        <v>0</v>
      </c>
      <c r="U209" t="n">
        <v>0</v>
      </c>
      <c r="V209" t="n">
        <v>7.84</v>
      </c>
      <c r="W209" t="n">
        <v>164.64</v>
      </c>
      <c r="X209" t="n">
        <v>156.8</v>
      </c>
      <c r="Y209" t="n">
        <v>19</v>
      </c>
      <c r="Z209" t="n">
        <v>29.79</v>
      </c>
      <c r="AA209" t="n">
        <v>3.03</v>
      </c>
      <c r="AB209" t="n">
        <v>32.82</v>
      </c>
      <c r="AC209" t="n">
        <v>5.91</v>
      </c>
      <c r="AD209" t="n">
        <v>0</v>
      </c>
      <c r="AE209" t="n">
        <v>156.8</v>
      </c>
      <c r="AF209" t="n">
        <v>0</v>
      </c>
      <c r="AG209" t="n">
        <v>0</v>
      </c>
      <c r="AH209" t="n">
        <v>0.16</v>
      </c>
      <c r="AI209" t="n">
        <v>7.85</v>
      </c>
      <c r="AJ209" t="n">
        <v>-0.01</v>
      </c>
      <c r="AK209" t="n">
        <v>13.92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46.74</v>
      </c>
      <c r="AV209" t="n">
        <v>0</v>
      </c>
      <c r="AW209" t="n">
        <v>117.9</v>
      </c>
      <c r="AX209" t="inlineStr">
        <is>
          <t>settled</t>
        </is>
      </c>
      <c r="AY209" t="inlineStr">
        <is>
          <t>2025-12-17 05:30:00</t>
        </is>
      </c>
      <c r="AZ209" t="inlineStr">
        <is>
          <t>CITIN25671113204</t>
        </is>
      </c>
      <c r="BA209" t="n">
        <v>0</v>
      </c>
      <c r="BB209" t="inlineStr">
        <is>
          <t>0df6090e7a9b684cbc0750d970f0f0a5436b0909e89e98a22c52bb9e7cc2da61</t>
        </is>
      </c>
    </row>
    <row r="210">
      <c r="A210" t="inlineStr">
        <is>
          <t>550</t>
        </is>
      </c>
      <c r="B210" t="inlineStr">
        <is>
          <t>7572746414</t>
        </is>
      </c>
      <c r="C210" t="inlineStr">
        <is>
          <t>2025-12-12 00:58:58</t>
        </is>
      </c>
      <c r="D210" t="inlineStr">
        <is>
          <t>50</t>
        </is>
      </c>
      <c r="E210" t="inlineStr">
        <is>
          <t>Sha Sha - Shandaar Shawarma</t>
        </is>
      </c>
      <c r="F210" t="inlineStr">
        <is>
          <t>18557902</t>
        </is>
      </c>
      <c r="G210" t="inlineStr">
        <is>
          <t>30% off upto ₹75 (2025-06-25 - 2031-01-01)</t>
        </is>
      </c>
      <c r="H210" t="inlineStr">
        <is>
          <t>ONLINE</t>
        </is>
      </c>
      <c r="I210" t="inlineStr">
        <is>
          <t>DELIVERED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O2</t>
        </is>
      </c>
      <c r="N210" t="inlineStr">
        <is>
          <t>36</t>
        </is>
      </c>
      <c r="O210" t="n">
        <v>458</v>
      </c>
      <c r="P210" t="n">
        <v>3.5</v>
      </c>
      <c r="Q210" t="n">
        <v>0</v>
      </c>
      <c r="R210" t="n">
        <v>75</v>
      </c>
      <c r="S210" t="n">
        <v>0</v>
      </c>
      <c r="T210" t="n">
        <v>0</v>
      </c>
      <c r="U210" t="n">
        <v>0</v>
      </c>
      <c r="V210" t="n">
        <v>19.33</v>
      </c>
      <c r="W210" t="n">
        <v>405.83</v>
      </c>
      <c r="X210" t="n">
        <v>386.5</v>
      </c>
      <c r="Y210" t="n">
        <v>19</v>
      </c>
      <c r="Z210" t="n">
        <v>73.44</v>
      </c>
      <c r="AA210" t="n">
        <v>7.47</v>
      </c>
      <c r="AB210" t="n">
        <v>80.91</v>
      </c>
      <c r="AC210" t="n">
        <v>14.56</v>
      </c>
      <c r="AD210" t="n">
        <v>0</v>
      </c>
      <c r="AE210" t="n">
        <v>386.5</v>
      </c>
      <c r="AF210" t="n">
        <v>0</v>
      </c>
      <c r="AG210" t="n">
        <v>0</v>
      </c>
      <c r="AH210" t="n">
        <v>0.39</v>
      </c>
      <c r="AI210" t="n">
        <v>19.33</v>
      </c>
      <c r="AJ210" t="n">
        <v>0</v>
      </c>
      <c r="AK210" t="n">
        <v>34.28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115.19</v>
      </c>
      <c r="AV210" t="n">
        <v>0</v>
      </c>
      <c r="AW210" t="n">
        <v>290.64</v>
      </c>
      <c r="AX210" t="inlineStr">
        <is>
          <t>settled</t>
        </is>
      </c>
      <c r="AY210" t="inlineStr">
        <is>
          <t>2025-12-17 05:30:00</t>
        </is>
      </c>
      <c r="AZ210" t="inlineStr">
        <is>
          <t>CITIN25671113204</t>
        </is>
      </c>
      <c r="BA210" t="n">
        <v>0</v>
      </c>
      <c r="BB210" t="inlineStr">
        <is>
          <t>22148608beab7fcb6f7bb2309549c2279d0048a5806154eecb63efb3d292b593</t>
        </is>
      </c>
    </row>
    <row r="211">
      <c r="A211" t="inlineStr">
        <is>
          <t>551</t>
        </is>
      </c>
      <c r="B211" t="inlineStr">
        <is>
          <t>7566710034</t>
        </is>
      </c>
      <c r="C211" t="inlineStr">
        <is>
          <t>2025-12-12 01:05:11</t>
        </is>
      </c>
      <c r="D211" t="inlineStr">
        <is>
          <t>50</t>
        </is>
      </c>
      <c r="E211" t="inlineStr">
        <is>
          <t>Sha Sha - Shandaar Shawarma</t>
        </is>
      </c>
      <c r="F211" t="inlineStr">
        <is>
          <t>18557902</t>
        </is>
      </c>
      <c r="G211" t="inlineStr">
        <is>
          <t>30% off upto ₹75 (2025-06-25 - 2031-01-01)</t>
        </is>
      </c>
      <c r="H211" t="inlineStr">
        <is>
          <t>ONLINE</t>
        </is>
      </c>
      <c r="I211" t="inlineStr">
        <is>
          <t>DELIVERED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O2</t>
        </is>
      </c>
      <c r="N211" t="inlineStr">
        <is>
          <t>36</t>
        </is>
      </c>
      <c r="O211" t="n">
        <v>358</v>
      </c>
      <c r="P211" t="n">
        <v>3.5</v>
      </c>
      <c r="Q211" t="n">
        <v>0</v>
      </c>
      <c r="R211" t="n">
        <v>75</v>
      </c>
      <c r="S211" t="n">
        <v>0</v>
      </c>
      <c r="T211" t="n">
        <v>0</v>
      </c>
      <c r="U211" t="n">
        <v>0</v>
      </c>
      <c r="V211" t="n">
        <v>14.33</v>
      </c>
      <c r="W211" t="n">
        <v>300.83</v>
      </c>
      <c r="X211" t="n">
        <v>286.5</v>
      </c>
      <c r="Y211" t="n">
        <v>19</v>
      </c>
      <c r="Z211" t="n">
        <v>54.44</v>
      </c>
      <c r="AA211" t="n">
        <v>5.54</v>
      </c>
      <c r="AB211" t="n">
        <v>59.98</v>
      </c>
      <c r="AC211" t="n">
        <v>10.8</v>
      </c>
      <c r="AD211" t="n">
        <v>0</v>
      </c>
      <c r="AE211" t="n">
        <v>286.5</v>
      </c>
      <c r="AF211" t="n">
        <v>0</v>
      </c>
      <c r="AG211" t="n">
        <v>0</v>
      </c>
      <c r="AH211" t="n">
        <v>0.29</v>
      </c>
      <c r="AI211" t="n">
        <v>14.33</v>
      </c>
      <c r="AJ211" t="n">
        <v>0</v>
      </c>
      <c r="AK211" t="n">
        <v>25.42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85.40000000000001</v>
      </c>
      <c r="AV211" t="n">
        <v>0</v>
      </c>
      <c r="AW211" t="n">
        <v>215.43</v>
      </c>
      <c r="AX211" t="inlineStr">
        <is>
          <t>settled</t>
        </is>
      </c>
      <c r="AY211" t="inlineStr">
        <is>
          <t>2025-12-17 05:30:00</t>
        </is>
      </c>
      <c r="AZ211" t="inlineStr">
        <is>
          <t>CITIN25671113204</t>
        </is>
      </c>
      <c r="BA211" t="n">
        <v>0</v>
      </c>
      <c r="BB211" t="inlineStr">
        <is>
          <t>d66ca9e7f039b8d7f25cd739ee6ab72c8c824a7003758d29618c43ecc63f846d</t>
        </is>
      </c>
    </row>
    <row r="212">
      <c r="A212" t="inlineStr">
        <is>
          <t>552</t>
        </is>
      </c>
      <c r="B212" t="inlineStr">
        <is>
          <t>7573014571</t>
        </is>
      </c>
      <c r="C212" t="inlineStr">
        <is>
          <t>2025-12-12 01:14:34</t>
        </is>
      </c>
      <c r="D212" t="inlineStr">
        <is>
          <t>50</t>
        </is>
      </c>
      <c r="E212" t="inlineStr">
        <is>
          <t>Sha Sha - Shandaar Shawarma</t>
        </is>
      </c>
      <c r="F212" t="inlineStr">
        <is>
          <t>18557902</t>
        </is>
      </c>
      <c r="G212" t="inlineStr">
        <is>
          <t>30% off upto ₹75 (2025-06-25 - 2031-01-01)</t>
        </is>
      </c>
      <c r="H212" t="inlineStr">
        <is>
          <t>ONLINE</t>
        </is>
      </c>
      <c r="I212" t="inlineStr">
        <is>
          <t>DELIVERED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O2</t>
        </is>
      </c>
      <c r="N212" t="inlineStr">
        <is>
          <t>36</t>
        </is>
      </c>
      <c r="O212" t="n">
        <v>229</v>
      </c>
      <c r="P212" t="n">
        <v>3.5</v>
      </c>
      <c r="Q212" t="n">
        <v>0</v>
      </c>
      <c r="R212" t="n">
        <v>68.7</v>
      </c>
      <c r="S212" t="n">
        <v>0</v>
      </c>
      <c r="T212" t="n">
        <v>0</v>
      </c>
      <c r="U212" t="n">
        <v>0</v>
      </c>
      <c r="V212" t="n">
        <v>8.19</v>
      </c>
      <c r="W212" t="n">
        <v>171.99</v>
      </c>
      <c r="X212" t="n">
        <v>163.8</v>
      </c>
      <c r="Y212" t="n">
        <v>19</v>
      </c>
      <c r="Z212" t="n">
        <v>31.12</v>
      </c>
      <c r="AA212" t="n">
        <v>3.16</v>
      </c>
      <c r="AB212" t="n">
        <v>34.28</v>
      </c>
      <c r="AC212" t="n">
        <v>6.17</v>
      </c>
      <c r="AD212" t="n">
        <v>0</v>
      </c>
      <c r="AE212" t="n">
        <v>163.8</v>
      </c>
      <c r="AF212" t="n">
        <v>0</v>
      </c>
      <c r="AG212" t="n">
        <v>0</v>
      </c>
      <c r="AH212" t="n">
        <v>0.16</v>
      </c>
      <c r="AI212" t="n">
        <v>8.199999999999999</v>
      </c>
      <c r="AJ212" t="n">
        <v>-0.01</v>
      </c>
      <c r="AK212" t="n">
        <v>14.53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48.81</v>
      </c>
      <c r="AV212" t="n">
        <v>0</v>
      </c>
      <c r="AW212" t="n">
        <v>123.18</v>
      </c>
      <c r="AX212" t="inlineStr">
        <is>
          <t>settled</t>
        </is>
      </c>
      <c r="AY212" t="inlineStr">
        <is>
          <t>2025-12-17 05:30:00</t>
        </is>
      </c>
      <c r="AZ212" t="inlineStr">
        <is>
          <t>CITIN25671113204</t>
        </is>
      </c>
      <c r="BA212" t="n">
        <v>0</v>
      </c>
      <c r="BB212" t="inlineStr">
        <is>
          <t>80b5ed02538671cfccfc9b1fb9b4704a4b28ef5fe4f79b9dce83999b6838cd8e</t>
        </is>
      </c>
    </row>
    <row r="213">
      <c r="A213" t="inlineStr">
        <is>
          <t>553</t>
        </is>
      </c>
      <c r="B213" t="inlineStr">
        <is>
          <t>7564524490</t>
        </is>
      </c>
      <c r="C213" t="inlineStr">
        <is>
          <t>2025-12-12 01:45:02</t>
        </is>
      </c>
      <c r="D213" t="inlineStr">
        <is>
          <t>50</t>
        </is>
      </c>
      <c r="E213" t="inlineStr">
        <is>
          <t>Sha Sha - Shandaar Shawarma</t>
        </is>
      </c>
      <c r="F213" t="inlineStr">
        <is>
          <t>18557902</t>
        </is>
      </c>
      <c r="G213" t="inlineStr">
        <is>
          <t>30% off upto ₹75 (2025-06-25 - 2031-01-01)</t>
        </is>
      </c>
      <c r="H213" t="inlineStr">
        <is>
          <t>ONLINE</t>
        </is>
      </c>
      <c r="I213" t="inlineStr">
        <is>
          <t>DELIVERED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O2</t>
        </is>
      </c>
      <c r="N213" t="inlineStr">
        <is>
          <t>36</t>
        </is>
      </c>
      <c r="O213" t="n">
        <v>229</v>
      </c>
      <c r="P213" t="n">
        <v>3.5</v>
      </c>
      <c r="Q213" t="n">
        <v>0</v>
      </c>
      <c r="R213" t="n">
        <v>68.7</v>
      </c>
      <c r="S213" t="n">
        <v>0</v>
      </c>
      <c r="T213" t="n">
        <v>0</v>
      </c>
      <c r="U213" t="n">
        <v>0</v>
      </c>
      <c r="V213" t="n">
        <v>8.19</v>
      </c>
      <c r="W213" t="n">
        <v>171.99</v>
      </c>
      <c r="X213" t="n">
        <v>163.8</v>
      </c>
      <c r="Y213" t="n">
        <v>19</v>
      </c>
      <c r="Z213" t="n">
        <v>31.12</v>
      </c>
      <c r="AA213" t="n">
        <v>3.16</v>
      </c>
      <c r="AB213" t="n">
        <v>34.28</v>
      </c>
      <c r="AC213" t="n">
        <v>6.17</v>
      </c>
      <c r="AD213" t="n">
        <v>0</v>
      </c>
      <c r="AE213" t="n">
        <v>163.8</v>
      </c>
      <c r="AF213" t="n">
        <v>0</v>
      </c>
      <c r="AG213" t="n">
        <v>0</v>
      </c>
      <c r="AH213" t="n">
        <v>0.16</v>
      </c>
      <c r="AI213" t="n">
        <v>8.199999999999999</v>
      </c>
      <c r="AJ213" t="n">
        <v>-0.01</v>
      </c>
      <c r="AK213" t="n">
        <v>14.53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48.81</v>
      </c>
      <c r="AV213" t="n">
        <v>0</v>
      </c>
      <c r="AW213" t="n">
        <v>123.18</v>
      </c>
      <c r="AX213" t="inlineStr">
        <is>
          <t>settled</t>
        </is>
      </c>
      <c r="AY213" t="inlineStr">
        <is>
          <t>2025-12-17 05:30:00</t>
        </is>
      </c>
      <c r="AZ213" t="inlineStr">
        <is>
          <t>CITIN25671113204</t>
        </is>
      </c>
      <c r="BA213" t="n">
        <v>0</v>
      </c>
      <c r="BB213" t="inlineStr">
        <is>
          <t>0be1de9ab7c506e8e5e2ec851404ac2bd99e5b90f95718694d298286d9bc0cac</t>
        </is>
      </c>
    </row>
    <row r="214">
      <c r="A214" t="inlineStr">
        <is>
          <t>554</t>
        </is>
      </c>
      <c r="B214" t="inlineStr">
        <is>
          <t>7572885746</t>
        </is>
      </c>
      <c r="C214" t="inlineStr">
        <is>
          <t>2025-12-12 01:47:25</t>
        </is>
      </c>
      <c r="D214" t="inlineStr">
        <is>
          <t>50</t>
        </is>
      </c>
      <c r="E214" t="inlineStr">
        <is>
          <t>Sha Sha - Shandaar Shawarma</t>
        </is>
      </c>
      <c r="F214" t="inlineStr">
        <is>
          <t>18557902</t>
        </is>
      </c>
      <c r="G214" t="inlineStr">
        <is>
          <t>30% off upto ₹75 (2025-06-25 - 2031-01-01)</t>
        </is>
      </c>
      <c r="H214" t="inlineStr">
        <is>
          <t>ONLINE</t>
        </is>
      </c>
      <c r="I214" t="inlineStr">
        <is>
          <t>DELIVERED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O2</t>
        </is>
      </c>
      <c r="N214" t="inlineStr">
        <is>
          <t>36</t>
        </is>
      </c>
      <c r="O214" t="n">
        <v>417</v>
      </c>
      <c r="P214" t="n">
        <v>3.5</v>
      </c>
      <c r="Q214" t="n">
        <v>0</v>
      </c>
      <c r="R214" t="n">
        <v>75</v>
      </c>
      <c r="S214" t="n">
        <v>0</v>
      </c>
      <c r="T214" t="n">
        <v>0</v>
      </c>
      <c r="U214" t="n">
        <v>0</v>
      </c>
      <c r="V214" t="n">
        <v>17.28</v>
      </c>
      <c r="W214" t="n">
        <v>362.78</v>
      </c>
      <c r="X214" t="n">
        <v>345.5</v>
      </c>
      <c r="Y214" t="n">
        <v>19</v>
      </c>
      <c r="Z214" t="n">
        <v>65.64</v>
      </c>
      <c r="AA214" t="n">
        <v>6.68</v>
      </c>
      <c r="AB214" t="n">
        <v>72.31999999999999</v>
      </c>
      <c r="AC214" t="n">
        <v>13.02</v>
      </c>
      <c r="AD214" t="n">
        <v>0</v>
      </c>
      <c r="AE214" t="n">
        <v>345.5</v>
      </c>
      <c r="AF214" t="n">
        <v>0</v>
      </c>
      <c r="AG214" t="n">
        <v>0</v>
      </c>
      <c r="AH214" t="n">
        <v>0.35</v>
      </c>
      <c r="AI214" t="n">
        <v>17.28</v>
      </c>
      <c r="AJ214" t="n">
        <v>0</v>
      </c>
      <c r="AK214" t="n">
        <v>30.65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102.97</v>
      </c>
      <c r="AV214" t="n">
        <v>0</v>
      </c>
      <c r="AW214" t="n">
        <v>259.81</v>
      </c>
      <c r="AX214" t="inlineStr">
        <is>
          <t>settled</t>
        </is>
      </c>
      <c r="AY214" t="inlineStr">
        <is>
          <t>2025-12-17 05:30:00</t>
        </is>
      </c>
      <c r="AZ214" t="inlineStr">
        <is>
          <t>CITIN25671113204</t>
        </is>
      </c>
      <c r="BA214" t="n">
        <v>0</v>
      </c>
      <c r="BB214" t="inlineStr">
        <is>
          <t>8c4d997ceaf1751c6c00019e8d4f2e6df339f50872a3bd6d7578e74ec443c74c</t>
        </is>
      </c>
    </row>
    <row r="215">
      <c r="A215" t="inlineStr">
        <is>
          <t>555</t>
        </is>
      </c>
      <c r="B215" t="inlineStr">
        <is>
          <t>7563375769</t>
        </is>
      </c>
      <c r="C215" t="inlineStr">
        <is>
          <t>2025-12-12 02:03:05</t>
        </is>
      </c>
      <c r="D215" t="inlineStr">
        <is>
          <t>50</t>
        </is>
      </c>
      <c r="E215" t="inlineStr">
        <is>
          <t>Sha Sha - Shandaar Shawarma</t>
        </is>
      </c>
      <c r="F215" t="inlineStr">
        <is>
          <t>18557902</t>
        </is>
      </c>
      <c r="G215" t="inlineStr">
        <is>
          <t>30% off upto ₹75 (2025-06-25 - 2031-01-01)</t>
        </is>
      </c>
      <c r="H215" t="inlineStr">
        <is>
          <t>ONLINE</t>
        </is>
      </c>
      <c r="I215" t="inlineStr">
        <is>
          <t>DELIVERED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O2</t>
        </is>
      </c>
      <c r="N215" t="inlineStr">
        <is>
          <t>36</t>
        </is>
      </c>
      <c r="O215" t="n">
        <v>219</v>
      </c>
      <c r="P215" t="n">
        <v>3.5</v>
      </c>
      <c r="Q215" t="n">
        <v>0</v>
      </c>
      <c r="R215" t="n">
        <v>65.7</v>
      </c>
      <c r="S215" t="n">
        <v>0</v>
      </c>
      <c r="T215" t="n">
        <v>0</v>
      </c>
      <c r="U215" t="n">
        <v>0</v>
      </c>
      <c r="V215" t="n">
        <v>7.84</v>
      </c>
      <c r="W215" t="n">
        <v>164.64</v>
      </c>
      <c r="X215" t="n">
        <v>156.8</v>
      </c>
      <c r="Y215" t="n">
        <v>19</v>
      </c>
      <c r="Z215" t="n">
        <v>29.79</v>
      </c>
      <c r="AA215" t="n">
        <v>3.03</v>
      </c>
      <c r="AB215" t="n">
        <v>32.82</v>
      </c>
      <c r="AC215" t="n">
        <v>5.91</v>
      </c>
      <c r="AD215" t="n">
        <v>0</v>
      </c>
      <c r="AE215" t="n">
        <v>156.8</v>
      </c>
      <c r="AF215" t="n">
        <v>0</v>
      </c>
      <c r="AG215" t="n">
        <v>0</v>
      </c>
      <c r="AH215" t="n">
        <v>0.16</v>
      </c>
      <c r="AI215" t="n">
        <v>7.85</v>
      </c>
      <c r="AJ215" t="n">
        <v>-0.01</v>
      </c>
      <c r="AK215" t="n">
        <v>13.92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46.74</v>
      </c>
      <c r="AV215" t="n">
        <v>0</v>
      </c>
      <c r="AW215" t="n">
        <v>117.9</v>
      </c>
      <c r="AX215" t="inlineStr">
        <is>
          <t>settled</t>
        </is>
      </c>
      <c r="AY215" t="inlineStr">
        <is>
          <t>2025-12-17 05:30:00</t>
        </is>
      </c>
      <c r="AZ215" t="inlineStr">
        <is>
          <t>CITIN25671113204</t>
        </is>
      </c>
      <c r="BA215" t="n">
        <v>0</v>
      </c>
      <c r="BB215" t="inlineStr">
        <is>
          <t>1658fa7f9474c386de8a5088a813716dfef4e71be857319990539c9d64921ad2</t>
        </is>
      </c>
    </row>
    <row r="216">
      <c r="A216" t="inlineStr">
        <is>
          <t>556</t>
        </is>
      </c>
      <c r="B216" t="inlineStr">
        <is>
          <t>7561256443</t>
        </is>
      </c>
      <c r="C216" t="inlineStr">
        <is>
          <t>2025-12-12 02:11:40</t>
        </is>
      </c>
      <c r="D216" t="inlineStr">
        <is>
          <t>50</t>
        </is>
      </c>
      <c r="E216" t="inlineStr">
        <is>
          <t>Sha Sha - Shandaar Shawarma</t>
        </is>
      </c>
      <c r="F216" t="inlineStr">
        <is>
          <t>18557902</t>
        </is>
      </c>
      <c r="G216" t="inlineStr">
        <is>
          <t>30% off upto ₹75 (2025-06-25 - 2031-01-01)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O2</t>
        </is>
      </c>
      <c r="N216" t="inlineStr">
        <is>
          <t>36</t>
        </is>
      </c>
      <c r="O216" t="n">
        <v>229</v>
      </c>
      <c r="P216" t="n">
        <v>3.5</v>
      </c>
      <c r="Q216" t="n">
        <v>0</v>
      </c>
      <c r="R216" t="n">
        <v>68.7</v>
      </c>
      <c r="S216" t="n">
        <v>0</v>
      </c>
      <c r="T216" t="n">
        <v>0</v>
      </c>
      <c r="U216" t="n">
        <v>0</v>
      </c>
      <c r="V216" t="n">
        <v>8.19</v>
      </c>
      <c r="W216" t="n">
        <v>171.99</v>
      </c>
      <c r="X216" t="n">
        <v>163.8</v>
      </c>
      <c r="Y216" t="n">
        <v>19</v>
      </c>
      <c r="Z216" t="n">
        <v>31.12</v>
      </c>
      <c r="AA216" t="n">
        <v>3.16</v>
      </c>
      <c r="AB216" t="n">
        <v>34.28</v>
      </c>
      <c r="AC216" t="n">
        <v>6.17</v>
      </c>
      <c r="AD216" t="n">
        <v>0</v>
      </c>
      <c r="AE216" t="n">
        <v>163.8</v>
      </c>
      <c r="AF216" t="n">
        <v>0</v>
      </c>
      <c r="AG216" t="n">
        <v>0</v>
      </c>
      <c r="AH216" t="n">
        <v>0.16</v>
      </c>
      <c r="AI216" t="n">
        <v>8.199999999999999</v>
      </c>
      <c r="AJ216" t="n">
        <v>-0.01</v>
      </c>
      <c r="AK216" t="n">
        <v>14.53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48.81</v>
      </c>
      <c r="AV216" t="n">
        <v>0</v>
      </c>
      <c r="AW216" t="n">
        <v>123.18</v>
      </c>
      <c r="AX216" t="inlineStr">
        <is>
          <t>settled</t>
        </is>
      </c>
      <c r="AY216" t="inlineStr">
        <is>
          <t>2025-12-17 05:30:00</t>
        </is>
      </c>
      <c r="AZ216" t="inlineStr">
        <is>
          <t>CITIN25671113204</t>
        </is>
      </c>
      <c r="BA216" t="n">
        <v>0</v>
      </c>
      <c r="BB216" t="inlineStr">
        <is>
          <t>84669bdc488c99801b22a64e4d452e2f0ad8c4734b81ec4de8f6dbc697b5bb11</t>
        </is>
      </c>
    </row>
    <row r="217">
      <c r="A217" t="inlineStr">
        <is>
          <t>557</t>
        </is>
      </c>
      <c r="B217" t="inlineStr">
        <is>
          <t>7573276974</t>
        </is>
      </c>
      <c r="C217" t="inlineStr">
        <is>
          <t>2025-12-12 02:27:15</t>
        </is>
      </c>
      <c r="D217" t="inlineStr">
        <is>
          <t>50</t>
        </is>
      </c>
      <c r="E217" t="inlineStr">
        <is>
          <t>Sha Sha - Shandaar Shawarma</t>
        </is>
      </c>
      <c r="F217" t="inlineStr">
        <is>
          <t>18557902</t>
        </is>
      </c>
      <c r="G217" t="inlineStr">
        <is>
          <t>30% off upto ₹75 (2025-06-25 - 2031-01-01)</t>
        </is>
      </c>
      <c r="H217" t="inlineStr">
        <is>
          <t>ONLINE</t>
        </is>
      </c>
      <c r="I217" t="inlineStr">
        <is>
          <t>DELIVERED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O2</t>
        </is>
      </c>
      <c r="N217" t="inlineStr">
        <is>
          <t>36</t>
        </is>
      </c>
      <c r="O217" t="n">
        <v>584</v>
      </c>
      <c r="P217" t="n">
        <v>3.5</v>
      </c>
      <c r="Q217" t="n">
        <v>0</v>
      </c>
      <c r="R217" t="n">
        <v>75</v>
      </c>
      <c r="S217" t="n">
        <v>0</v>
      </c>
      <c r="T217" t="n">
        <v>0</v>
      </c>
      <c r="U217" t="n">
        <v>0</v>
      </c>
      <c r="V217" t="n">
        <v>25.63</v>
      </c>
      <c r="W217" t="n">
        <v>538.13</v>
      </c>
      <c r="X217" t="n">
        <v>512.5</v>
      </c>
      <c r="Y217" t="n">
        <v>19</v>
      </c>
      <c r="Z217" t="n">
        <v>97.38</v>
      </c>
      <c r="AA217" t="n">
        <v>9.9</v>
      </c>
      <c r="AB217" t="n">
        <v>107.28</v>
      </c>
      <c r="AC217" t="n">
        <v>19.31</v>
      </c>
      <c r="AD217" t="n">
        <v>0</v>
      </c>
      <c r="AE217" t="n">
        <v>512.5</v>
      </c>
      <c r="AF217" t="n">
        <v>0</v>
      </c>
      <c r="AG217" t="n">
        <v>0</v>
      </c>
      <c r="AH217" t="n">
        <v>0.51</v>
      </c>
      <c r="AI217" t="n">
        <v>25.63</v>
      </c>
      <c r="AJ217" t="n">
        <v>0</v>
      </c>
      <c r="AK217" t="n">
        <v>45.45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152.73</v>
      </c>
      <c r="AV217" t="n">
        <v>0</v>
      </c>
      <c r="AW217" t="n">
        <v>385.4</v>
      </c>
      <c r="AX217" t="inlineStr">
        <is>
          <t>settled</t>
        </is>
      </c>
      <c r="AY217" t="inlineStr">
        <is>
          <t>2025-12-17 05:30:00</t>
        </is>
      </c>
      <c r="AZ217" t="inlineStr">
        <is>
          <t>CITIN25671113204</t>
        </is>
      </c>
      <c r="BA217" t="n">
        <v>0</v>
      </c>
      <c r="BB217" t="inlineStr">
        <is>
          <t>d6813a81200776d40d61edfb3af98da23a8d941c4df72991d555bdd0057036d7</t>
        </is>
      </c>
    </row>
    <row r="218">
      <c r="A218" t="inlineStr">
        <is>
          <t>558</t>
        </is>
      </c>
      <c r="B218" t="inlineStr">
        <is>
          <t>7572060414</t>
        </is>
      </c>
      <c r="C218" t="inlineStr">
        <is>
          <t>2025-12-12 02:32:38</t>
        </is>
      </c>
      <c r="D218" t="inlineStr">
        <is>
          <t>50</t>
        </is>
      </c>
      <c r="E218" t="inlineStr">
        <is>
          <t>Sha Sha - Shandaar Shawarma</t>
        </is>
      </c>
      <c r="F218" t="inlineStr">
        <is>
          <t>18557902</t>
        </is>
      </c>
      <c r="G218" t="inlineStr">
        <is>
          <t>NA</t>
        </is>
      </c>
      <c r="H218" t="inlineStr">
        <is>
          <t>ONLINE</t>
        </is>
      </c>
      <c r="I218" t="inlineStr">
        <is>
          <t>DELIVERED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O2</t>
        </is>
      </c>
      <c r="N218" t="inlineStr">
        <is>
          <t>36</t>
        </is>
      </c>
      <c r="O218" t="n">
        <v>219</v>
      </c>
      <c r="P218" t="n">
        <v>3.5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11.13</v>
      </c>
      <c r="W218" t="n">
        <v>233.63</v>
      </c>
      <c r="X218" t="n">
        <v>222.5</v>
      </c>
      <c r="Y218" t="n">
        <v>19</v>
      </c>
      <c r="Z218" t="n">
        <v>42.28</v>
      </c>
      <c r="AA218" t="n">
        <v>4.3</v>
      </c>
      <c r="AB218" t="n">
        <v>46.58</v>
      </c>
      <c r="AC218" t="n">
        <v>8.380000000000001</v>
      </c>
      <c r="AD218" t="n">
        <v>0</v>
      </c>
      <c r="AE218" t="n">
        <v>222.5</v>
      </c>
      <c r="AF218" t="n">
        <v>0</v>
      </c>
      <c r="AG218" t="n">
        <v>0</v>
      </c>
      <c r="AH218" t="n">
        <v>0.22</v>
      </c>
      <c r="AI218" t="n">
        <v>11.13</v>
      </c>
      <c r="AJ218" t="n">
        <v>0</v>
      </c>
      <c r="AK218" t="n">
        <v>19.73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66.31</v>
      </c>
      <c r="AV218" t="n">
        <v>0</v>
      </c>
      <c r="AW218" t="n">
        <v>167.32</v>
      </c>
      <c r="AX218" t="inlineStr">
        <is>
          <t>settled</t>
        </is>
      </c>
      <c r="AY218" t="inlineStr">
        <is>
          <t>2025-12-17 05:30:00</t>
        </is>
      </c>
      <c r="AZ218" t="inlineStr">
        <is>
          <t>CITIN25671113204</t>
        </is>
      </c>
      <c r="BA218" t="n">
        <v>0</v>
      </c>
      <c r="BB218" t="inlineStr">
        <is>
          <t>cc2115f57ee2a71a9490d7e061d0700b69a42779ed5bc8ef7076718b595b0cd7</t>
        </is>
      </c>
    </row>
    <row r="219">
      <c r="A219" t="inlineStr">
        <is>
          <t>559</t>
        </is>
      </c>
      <c r="B219" t="inlineStr">
        <is>
          <t>7572752717</t>
        </is>
      </c>
      <c r="C219" t="inlineStr">
        <is>
          <t>2025-12-12 02:47:16</t>
        </is>
      </c>
      <c r="D219" t="inlineStr">
        <is>
          <t>50</t>
        </is>
      </c>
      <c r="E219" t="inlineStr">
        <is>
          <t>Sha Sha - Shandaar Shawarma</t>
        </is>
      </c>
      <c r="F219" t="inlineStr">
        <is>
          <t>18557902</t>
        </is>
      </c>
      <c r="G219" t="inlineStr">
        <is>
          <t>30% off upto ₹75 (2025-06-25 - 2031-01-01)</t>
        </is>
      </c>
      <c r="H219" t="inlineStr">
        <is>
          <t>ONLINE</t>
        </is>
      </c>
      <c r="I219" t="inlineStr">
        <is>
          <t>DELIVERED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O2</t>
        </is>
      </c>
      <c r="N219" t="inlineStr">
        <is>
          <t>36</t>
        </is>
      </c>
      <c r="O219" t="n">
        <v>497</v>
      </c>
      <c r="P219" t="n">
        <v>3.5</v>
      </c>
      <c r="Q219" t="n">
        <v>0</v>
      </c>
      <c r="R219" t="n">
        <v>75</v>
      </c>
      <c r="S219" t="n">
        <v>0</v>
      </c>
      <c r="T219" t="n">
        <v>0</v>
      </c>
      <c r="U219" t="n">
        <v>0</v>
      </c>
      <c r="V219" t="n">
        <v>21.28</v>
      </c>
      <c r="W219" t="n">
        <v>446.78</v>
      </c>
      <c r="X219" t="n">
        <v>425.5</v>
      </c>
      <c r="Y219" t="n">
        <v>19</v>
      </c>
      <c r="Z219" t="n">
        <v>80.84</v>
      </c>
      <c r="AA219" t="n">
        <v>8.220000000000001</v>
      </c>
      <c r="AB219" t="n">
        <v>89.06</v>
      </c>
      <c r="AC219" t="n">
        <v>16.03</v>
      </c>
      <c r="AD219" t="n">
        <v>0</v>
      </c>
      <c r="AE219" t="n">
        <v>425.5</v>
      </c>
      <c r="AF219" t="n">
        <v>0</v>
      </c>
      <c r="AG219" t="n">
        <v>0</v>
      </c>
      <c r="AH219" t="n">
        <v>0.43</v>
      </c>
      <c r="AI219" t="n">
        <v>21.28</v>
      </c>
      <c r="AJ219" t="n">
        <v>0</v>
      </c>
      <c r="AK219" t="n">
        <v>37.74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126.8</v>
      </c>
      <c r="AV219" t="n">
        <v>0</v>
      </c>
      <c r="AW219" t="n">
        <v>319.98</v>
      </c>
      <c r="AX219" t="inlineStr">
        <is>
          <t>settled</t>
        </is>
      </c>
      <c r="AY219" t="inlineStr">
        <is>
          <t>2025-12-17 05:30:00</t>
        </is>
      </c>
      <c r="AZ219" t="inlineStr">
        <is>
          <t>CITIN25671113204</t>
        </is>
      </c>
      <c r="BA219" t="n">
        <v>0</v>
      </c>
      <c r="BB219" t="inlineStr">
        <is>
          <t>d627d0c11c7ffce4fc3997cf9ccc0a4893d1dc28a82dfabe5e954d857b4197d7</t>
        </is>
      </c>
    </row>
    <row r="220">
      <c r="A220" t="inlineStr">
        <is>
          <t>560</t>
        </is>
      </c>
      <c r="B220" t="inlineStr">
        <is>
          <t>7574058742</t>
        </is>
      </c>
      <c r="C220" t="inlineStr">
        <is>
          <t>2025-12-12 02:48:29</t>
        </is>
      </c>
      <c r="D220" t="inlineStr">
        <is>
          <t>50</t>
        </is>
      </c>
      <c r="E220" t="inlineStr">
        <is>
          <t>Sha Sha - Shandaar Shawarma</t>
        </is>
      </c>
      <c r="F220" t="inlineStr">
        <is>
          <t>18557902</t>
        </is>
      </c>
      <c r="G220" t="inlineStr">
        <is>
          <t>30% off upto ₹75 (2025-06-25 - 2031-01-01)</t>
        </is>
      </c>
      <c r="H220" t="inlineStr">
        <is>
          <t>ONLINE</t>
        </is>
      </c>
      <c r="I220" t="inlineStr">
        <is>
          <t>DELIVERED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O2</t>
        </is>
      </c>
      <c r="N220" t="inlineStr">
        <is>
          <t>36</t>
        </is>
      </c>
      <c r="O220" t="n">
        <v>438</v>
      </c>
      <c r="P220" t="n">
        <v>3.5</v>
      </c>
      <c r="Q220" t="n">
        <v>0</v>
      </c>
      <c r="R220" t="n">
        <v>75</v>
      </c>
      <c r="S220" t="n">
        <v>0</v>
      </c>
      <c r="T220" t="n">
        <v>0</v>
      </c>
      <c r="U220" t="n">
        <v>0</v>
      </c>
      <c r="V220" t="n">
        <v>18.33</v>
      </c>
      <c r="W220" t="n">
        <v>384.83</v>
      </c>
      <c r="X220" t="n">
        <v>366.5</v>
      </c>
      <c r="Y220" t="n">
        <v>19</v>
      </c>
      <c r="Z220" t="n">
        <v>69.64</v>
      </c>
      <c r="AA220" t="n">
        <v>7.08</v>
      </c>
      <c r="AB220" t="n">
        <v>76.72</v>
      </c>
      <c r="AC220" t="n">
        <v>13.81</v>
      </c>
      <c r="AD220" t="n">
        <v>0</v>
      </c>
      <c r="AE220" t="n">
        <v>366.5</v>
      </c>
      <c r="AF220" t="n">
        <v>0</v>
      </c>
      <c r="AG220" t="n">
        <v>0</v>
      </c>
      <c r="AH220" t="n">
        <v>0.37</v>
      </c>
      <c r="AI220" t="n">
        <v>18.33</v>
      </c>
      <c r="AJ220" t="n">
        <v>0</v>
      </c>
      <c r="AK220" t="n">
        <v>32.51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109.23</v>
      </c>
      <c r="AV220" t="n">
        <v>0</v>
      </c>
      <c r="AW220" t="n">
        <v>275.6</v>
      </c>
      <c r="AX220" t="inlineStr">
        <is>
          <t>settled</t>
        </is>
      </c>
      <c r="AY220" t="inlineStr">
        <is>
          <t>2025-12-17 05:30:00</t>
        </is>
      </c>
      <c r="AZ220" t="inlineStr">
        <is>
          <t>CITIN25671113204</t>
        </is>
      </c>
      <c r="BA220" t="n">
        <v>0</v>
      </c>
      <c r="BB220" t="inlineStr">
        <is>
          <t>c24c409334d36647a779ad0ed966e90b6e22f15fb0b34ee1b4e6f3cc093b19bc</t>
        </is>
      </c>
    </row>
    <row r="221">
      <c r="A221" t="inlineStr">
        <is>
          <t>561</t>
        </is>
      </c>
      <c r="B221" t="inlineStr">
        <is>
          <t>7564776282</t>
        </is>
      </c>
      <c r="C221" t="inlineStr">
        <is>
          <t>2025-12-12 03:22:02</t>
        </is>
      </c>
      <c r="D221" t="inlineStr">
        <is>
          <t>50</t>
        </is>
      </c>
      <c r="E221" t="inlineStr">
        <is>
          <t>Sha Sha - Shandaar Shawarma</t>
        </is>
      </c>
      <c r="F221" t="inlineStr">
        <is>
          <t>18557902</t>
        </is>
      </c>
      <c r="G221" t="inlineStr">
        <is>
          <t>30% off upto ₹75 (2025-06-25 - 2031-01-01)</t>
        </is>
      </c>
      <c r="H221" t="inlineStr">
        <is>
          <t>ONLINE</t>
        </is>
      </c>
      <c r="I221" t="inlineStr">
        <is>
          <t>DELIVERED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O2</t>
        </is>
      </c>
      <c r="N221" t="inlineStr">
        <is>
          <t>36</t>
        </is>
      </c>
      <c r="O221" t="n">
        <v>219</v>
      </c>
      <c r="P221" t="n">
        <v>3.5</v>
      </c>
      <c r="Q221" t="n">
        <v>0</v>
      </c>
      <c r="R221" t="n">
        <v>65.7</v>
      </c>
      <c r="S221" t="n">
        <v>0</v>
      </c>
      <c r="T221" t="n">
        <v>0</v>
      </c>
      <c r="U221" t="n">
        <v>0</v>
      </c>
      <c r="V221" t="n">
        <v>7.84</v>
      </c>
      <c r="W221" t="n">
        <v>164.64</v>
      </c>
      <c r="X221" t="n">
        <v>156.8</v>
      </c>
      <c r="Y221" t="n">
        <v>19</v>
      </c>
      <c r="Z221" t="n">
        <v>29.79</v>
      </c>
      <c r="AA221" t="n">
        <v>3.03</v>
      </c>
      <c r="AB221" t="n">
        <v>32.82</v>
      </c>
      <c r="AC221" t="n">
        <v>5.91</v>
      </c>
      <c r="AD221" t="n">
        <v>0</v>
      </c>
      <c r="AE221" t="n">
        <v>156.8</v>
      </c>
      <c r="AF221" t="n">
        <v>0</v>
      </c>
      <c r="AG221" t="n">
        <v>0</v>
      </c>
      <c r="AH221" t="n">
        <v>0.16</v>
      </c>
      <c r="AI221" t="n">
        <v>7.85</v>
      </c>
      <c r="AJ221" t="n">
        <v>-0.01</v>
      </c>
      <c r="AK221" t="n">
        <v>13.92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46.74</v>
      </c>
      <c r="AV221" t="n">
        <v>0</v>
      </c>
      <c r="AW221" t="n">
        <v>117.9</v>
      </c>
      <c r="AX221" t="inlineStr">
        <is>
          <t>settled</t>
        </is>
      </c>
      <c r="AY221" t="inlineStr">
        <is>
          <t>2025-12-17 05:30:00</t>
        </is>
      </c>
      <c r="AZ221" t="inlineStr">
        <is>
          <t>CITIN25671113204</t>
        </is>
      </c>
      <c r="BA221" t="n">
        <v>0</v>
      </c>
      <c r="BB221" t="inlineStr">
        <is>
          <t>b6ec647aacaf1429890008e9b068a9c19a38506b5581c5056353e3933e73d821</t>
        </is>
      </c>
    </row>
    <row r="222">
      <c r="A222" t="inlineStr">
        <is>
          <t>562</t>
        </is>
      </c>
      <c r="B222" t="inlineStr">
        <is>
          <t>7568293824</t>
        </is>
      </c>
      <c r="C222" t="inlineStr">
        <is>
          <t>2025-12-12 03:28:21</t>
        </is>
      </c>
      <c r="D222" t="inlineStr">
        <is>
          <t>50</t>
        </is>
      </c>
      <c r="E222" t="inlineStr">
        <is>
          <t>Sha Sha - Shandaar Shawarma</t>
        </is>
      </c>
      <c r="F222" t="inlineStr">
        <is>
          <t>18557902</t>
        </is>
      </c>
      <c r="G222" t="inlineStr">
        <is>
          <t>30% off upto ₹75 (2025-06-25 - 2031-01-01)</t>
        </is>
      </c>
      <c r="H222" t="inlineStr">
        <is>
          <t>ONLINE</t>
        </is>
      </c>
      <c r="I222" t="inlineStr">
        <is>
          <t>DELIVERED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O2</t>
        </is>
      </c>
      <c r="N222" t="inlineStr">
        <is>
          <t>36</t>
        </is>
      </c>
      <c r="O222" t="n">
        <v>229</v>
      </c>
      <c r="P222" t="n">
        <v>3.5</v>
      </c>
      <c r="Q222" t="n">
        <v>0</v>
      </c>
      <c r="R222" t="n">
        <v>68.7</v>
      </c>
      <c r="S222" t="n">
        <v>0</v>
      </c>
      <c r="T222" t="n">
        <v>0</v>
      </c>
      <c r="U222" t="n">
        <v>0</v>
      </c>
      <c r="V222" t="n">
        <v>8.19</v>
      </c>
      <c r="W222" t="n">
        <v>171.99</v>
      </c>
      <c r="X222" t="n">
        <v>163.8</v>
      </c>
      <c r="Y222" t="n">
        <v>19</v>
      </c>
      <c r="Z222" t="n">
        <v>31.12</v>
      </c>
      <c r="AA222" t="n">
        <v>3.16</v>
      </c>
      <c r="AB222" t="n">
        <v>34.28</v>
      </c>
      <c r="AC222" t="n">
        <v>6.17</v>
      </c>
      <c r="AD222" t="n">
        <v>0</v>
      </c>
      <c r="AE222" t="n">
        <v>163.8</v>
      </c>
      <c r="AF222" t="n">
        <v>0</v>
      </c>
      <c r="AG222" t="n">
        <v>0</v>
      </c>
      <c r="AH222" t="n">
        <v>0.16</v>
      </c>
      <c r="AI222" t="n">
        <v>8.199999999999999</v>
      </c>
      <c r="AJ222" t="n">
        <v>-0.01</v>
      </c>
      <c r="AK222" t="n">
        <v>14.53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48.81</v>
      </c>
      <c r="AV222" t="n">
        <v>0</v>
      </c>
      <c r="AW222" t="n">
        <v>123.18</v>
      </c>
      <c r="AX222" t="inlineStr">
        <is>
          <t>settled</t>
        </is>
      </c>
      <c r="AY222" t="inlineStr">
        <is>
          <t>2025-12-17 05:30:00</t>
        </is>
      </c>
      <c r="AZ222" t="inlineStr">
        <is>
          <t>CITIN25671113204</t>
        </is>
      </c>
      <c r="BA222" t="n">
        <v>0</v>
      </c>
      <c r="BB222" t="inlineStr">
        <is>
          <t>0b1f64839dde88b3d3ab0519641d6d97a9b8021d391c749f398180bfea1d8980</t>
        </is>
      </c>
    </row>
    <row r="223">
      <c r="A223" t="inlineStr">
        <is>
          <t>563</t>
        </is>
      </c>
      <c r="B223" t="inlineStr">
        <is>
          <t>7573382181</t>
        </is>
      </c>
      <c r="C223" t="inlineStr">
        <is>
          <t>2025-12-12 11:10:37</t>
        </is>
      </c>
      <c r="D223" t="inlineStr">
        <is>
          <t>50</t>
        </is>
      </c>
      <c r="E223" t="inlineStr">
        <is>
          <t>Sha Sha - Shandaar Shawarma</t>
        </is>
      </c>
      <c r="F223" t="inlineStr">
        <is>
          <t>18557902</t>
        </is>
      </c>
      <c r="G223" t="inlineStr">
        <is>
          <t>NA</t>
        </is>
      </c>
      <c r="H223" t="inlineStr">
        <is>
          <t>ONLINE</t>
        </is>
      </c>
      <c r="I223" t="inlineStr">
        <is>
          <t>DELIVERED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O2</t>
        </is>
      </c>
      <c r="N223" t="inlineStr">
        <is>
          <t>36</t>
        </is>
      </c>
      <c r="O223" t="n">
        <v>229</v>
      </c>
      <c r="P223" t="n">
        <v>3.5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11.63</v>
      </c>
      <c r="W223" t="n">
        <v>244.13</v>
      </c>
      <c r="X223" t="n">
        <v>232.5</v>
      </c>
      <c r="Y223" t="n">
        <v>19</v>
      </c>
      <c r="Z223" t="n">
        <v>44.18</v>
      </c>
      <c r="AA223" t="n">
        <v>4.49</v>
      </c>
      <c r="AB223" t="n">
        <v>48.67</v>
      </c>
      <c r="AC223" t="n">
        <v>8.76</v>
      </c>
      <c r="AD223" t="n">
        <v>0</v>
      </c>
      <c r="AE223" t="n">
        <v>232.5</v>
      </c>
      <c r="AF223" t="n">
        <v>0</v>
      </c>
      <c r="AG223" t="n">
        <v>0</v>
      </c>
      <c r="AH223" t="n">
        <v>0.23</v>
      </c>
      <c r="AI223" t="n">
        <v>11.63</v>
      </c>
      <c r="AJ223" t="n">
        <v>0</v>
      </c>
      <c r="AK223" t="n">
        <v>20.62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69.29000000000001</v>
      </c>
      <c r="AV223" t="n">
        <v>0</v>
      </c>
      <c r="AW223" t="n">
        <v>174.84</v>
      </c>
      <c r="AX223" t="inlineStr">
        <is>
          <t>settled</t>
        </is>
      </c>
      <c r="AY223" t="inlineStr">
        <is>
          <t>2025-12-17 05:30:00</t>
        </is>
      </c>
      <c r="AZ223" t="inlineStr">
        <is>
          <t>CITIN25671113204</t>
        </is>
      </c>
      <c r="BA223" t="n">
        <v>0</v>
      </c>
      <c r="BB223" t="inlineStr">
        <is>
          <t>f3959076196a642bd7745e07253d7dba59503d0201f2704d06618f2cee92d92f</t>
        </is>
      </c>
    </row>
    <row r="224">
      <c r="A224" t="inlineStr">
        <is>
          <t>564</t>
        </is>
      </c>
      <c r="B224" t="inlineStr">
        <is>
          <t>7572033030</t>
        </is>
      </c>
      <c r="C224" t="inlineStr">
        <is>
          <t>2025-12-12 11:28:27</t>
        </is>
      </c>
      <c r="D224" t="inlineStr">
        <is>
          <t>50</t>
        </is>
      </c>
      <c r="E224" t="inlineStr">
        <is>
          <t>Sha Sha - Shandaar Shawarma</t>
        </is>
      </c>
      <c r="F224" t="inlineStr">
        <is>
          <t>18557902</t>
        </is>
      </c>
      <c r="G224" t="inlineStr">
        <is>
          <t>NA</t>
        </is>
      </c>
      <c r="H224" t="inlineStr">
        <is>
          <t>ONLINE</t>
        </is>
      </c>
      <c r="I224" t="inlineStr">
        <is>
          <t>DELIVERED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O2</t>
        </is>
      </c>
      <c r="N224" t="inlineStr">
        <is>
          <t>36</t>
        </is>
      </c>
      <c r="O224" t="n">
        <v>229</v>
      </c>
      <c r="P224" t="n">
        <v>3.5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11.63</v>
      </c>
      <c r="W224" t="n">
        <v>244.13</v>
      </c>
      <c r="X224" t="n">
        <v>232.5</v>
      </c>
      <c r="Y224" t="n">
        <v>19</v>
      </c>
      <c r="Z224" t="n">
        <v>44.18</v>
      </c>
      <c r="AA224" t="n">
        <v>4.49</v>
      </c>
      <c r="AB224" t="n">
        <v>48.67</v>
      </c>
      <c r="AC224" t="n">
        <v>8.76</v>
      </c>
      <c r="AD224" t="n">
        <v>0</v>
      </c>
      <c r="AE224" t="n">
        <v>232.5</v>
      </c>
      <c r="AF224" t="n">
        <v>0</v>
      </c>
      <c r="AG224" t="n">
        <v>0</v>
      </c>
      <c r="AH224" t="n">
        <v>0.23</v>
      </c>
      <c r="AI224" t="n">
        <v>11.63</v>
      </c>
      <c r="AJ224" t="n">
        <v>0</v>
      </c>
      <c r="AK224" t="n">
        <v>20.62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69.29000000000001</v>
      </c>
      <c r="AV224" t="n">
        <v>0</v>
      </c>
      <c r="AW224" t="n">
        <v>174.84</v>
      </c>
      <c r="AX224" t="inlineStr">
        <is>
          <t>settled</t>
        </is>
      </c>
      <c r="AY224" t="inlineStr">
        <is>
          <t>2025-12-17 05:30:00</t>
        </is>
      </c>
      <c r="AZ224" t="inlineStr">
        <is>
          <t>CITIN25671113204</t>
        </is>
      </c>
      <c r="BA224" t="n">
        <v>0</v>
      </c>
      <c r="BB224" t="inlineStr">
        <is>
          <t>133333d6e7b591b27412fadfc586574fe0ddd838b693f6bb65d904c8674c356b</t>
        </is>
      </c>
    </row>
    <row r="225">
      <c r="A225" t="inlineStr">
        <is>
          <t>565</t>
        </is>
      </c>
      <c r="B225" t="inlineStr">
        <is>
          <t>7574085084</t>
        </is>
      </c>
      <c r="C225" t="inlineStr">
        <is>
          <t>2025-12-12 11:28:32</t>
        </is>
      </c>
      <c r="D225" t="inlineStr">
        <is>
          <t>50</t>
        </is>
      </c>
      <c r="E225" t="inlineStr">
        <is>
          <t>Sha Sha - Shandaar Shawarma</t>
        </is>
      </c>
      <c r="F225" t="inlineStr">
        <is>
          <t>18557902</t>
        </is>
      </c>
      <c r="G225" t="inlineStr">
        <is>
          <t>NA</t>
        </is>
      </c>
      <c r="H225" t="inlineStr">
        <is>
          <t>ONLINE</t>
        </is>
      </c>
      <c r="I225" t="inlineStr">
        <is>
          <t>DELIVERED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O2</t>
        </is>
      </c>
      <c r="N225" t="inlineStr">
        <is>
          <t>36</t>
        </is>
      </c>
      <c r="O225" t="n">
        <v>219</v>
      </c>
      <c r="P225" t="n">
        <v>3.5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11.13</v>
      </c>
      <c r="W225" t="n">
        <v>233.63</v>
      </c>
      <c r="X225" t="n">
        <v>222.5</v>
      </c>
      <c r="Y225" t="n">
        <v>19</v>
      </c>
      <c r="Z225" t="n">
        <v>42.28</v>
      </c>
      <c r="AA225" t="n">
        <v>4.3</v>
      </c>
      <c r="AB225" t="n">
        <v>46.58</v>
      </c>
      <c r="AC225" t="n">
        <v>8.380000000000001</v>
      </c>
      <c r="AD225" t="n">
        <v>0</v>
      </c>
      <c r="AE225" t="n">
        <v>222.5</v>
      </c>
      <c r="AF225" t="n">
        <v>0</v>
      </c>
      <c r="AG225" t="n">
        <v>0</v>
      </c>
      <c r="AH225" t="n">
        <v>0.22</v>
      </c>
      <c r="AI225" t="n">
        <v>11.13</v>
      </c>
      <c r="AJ225" t="n">
        <v>0</v>
      </c>
      <c r="AK225" t="n">
        <v>19.73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66.31</v>
      </c>
      <c r="AV225" t="n">
        <v>0</v>
      </c>
      <c r="AW225" t="n">
        <v>167.32</v>
      </c>
      <c r="AX225" t="inlineStr">
        <is>
          <t>settled</t>
        </is>
      </c>
      <c r="AY225" t="inlineStr">
        <is>
          <t>2025-12-17 05:30:00</t>
        </is>
      </c>
      <c r="AZ225" t="inlineStr">
        <is>
          <t>CITIN25671113204</t>
        </is>
      </c>
      <c r="BA225" t="n">
        <v>0</v>
      </c>
      <c r="BB225" t="inlineStr">
        <is>
          <t>67441d5280df07fd673ef26802a36e6b28a0335149fac2c69cfe92c7ee44785f</t>
        </is>
      </c>
    </row>
    <row r="226">
      <c r="A226" t="inlineStr">
        <is>
          <t>566</t>
        </is>
      </c>
      <c r="B226" t="inlineStr">
        <is>
          <t>7573731302</t>
        </is>
      </c>
      <c r="C226" t="inlineStr">
        <is>
          <t>2025-12-12 12:04:18</t>
        </is>
      </c>
      <c r="D226" t="inlineStr">
        <is>
          <t>50</t>
        </is>
      </c>
      <c r="E226" t="inlineStr">
        <is>
          <t>Sha Sha - Shandaar Shawarma</t>
        </is>
      </c>
      <c r="F226" t="inlineStr">
        <is>
          <t>18557902</t>
        </is>
      </c>
      <c r="G226" t="inlineStr">
        <is>
          <t>30% off upto ₹75 (2025-06-25 - 2031-01-01)</t>
        </is>
      </c>
      <c r="H226" t="inlineStr">
        <is>
          <t>ONLINE</t>
        </is>
      </c>
      <c r="I226" t="inlineStr">
        <is>
          <t>DELIVERED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O2</t>
        </is>
      </c>
      <c r="N226" t="inlineStr">
        <is>
          <t>36</t>
        </is>
      </c>
      <c r="O226" t="n">
        <v>219</v>
      </c>
      <c r="P226" t="n">
        <v>3.5</v>
      </c>
      <c r="Q226" t="n">
        <v>0</v>
      </c>
      <c r="R226" t="n">
        <v>65.7</v>
      </c>
      <c r="S226" t="n">
        <v>0</v>
      </c>
      <c r="T226" t="n">
        <v>0</v>
      </c>
      <c r="U226" t="n">
        <v>0</v>
      </c>
      <c r="V226" t="n">
        <v>7.84</v>
      </c>
      <c r="W226" t="n">
        <v>164.64</v>
      </c>
      <c r="X226" t="n">
        <v>156.8</v>
      </c>
      <c r="Y226" t="n">
        <v>19</v>
      </c>
      <c r="Z226" t="n">
        <v>29.79</v>
      </c>
      <c r="AA226" t="n">
        <v>3.03</v>
      </c>
      <c r="AB226" t="n">
        <v>32.82</v>
      </c>
      <c r="AC226" t="n">
        <v>5.91</v>
      </c>
      <c r="AD226" t="n">
        <v>0</v>
      </c>
      <c r="AE226" t="n">
        <v>156.8</v>
      </c>
      <c r="AF226" t="n">
        <v>0</v>
      </c>
      <c r="AG226" t="n">
        <v>0</v>
      </c>
      <c r="AH226" t="n">
        <v>0.16</v>
      </c>
      <c r="AI226" t="n">
        <v>7.85</v>
      </c>
      <c r="AJ226" t="n">
        <v>-0.01</v>
      </c>
      <c r="AK226" t="n">
        <v>13.92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46.74</v>
      </c>
      <c r="AV226" t="n">
        <v>0</v>
      </c>
      <c r="AW226" t="n">
        <v>117.9</v>
      </c>
      <c r="AX226" t="inlineStr">
        <is>
          <t>settled</t>
        </is>
      </c>
      <c r="AY226" t="inlineStr">
        <is>
          <t>2025-12-17 05:30:00</t>
        </is>
      </c>
      <c r="AZ226" t="inlineStr">
        <is>
          <t>CITIN25671113204</t>
        </is>
      </c>
      <c r="BA226" t="n">
        <v>0</v>
      </c>
      <c r="BB226" t="inlineStr">
        <is>
          <t>945ca1f6d064de469653c6b8a1ed62ad2a5a48141a29e8ea76fcd53e23b21f4b</t>
        </is>
      </c>
    </row>
    <row r="227">
      <c r="A227" t="inlineStr">
        <is>
          <t>567</t>
        </is>
      </c>
      <c r="B227" t="inlineStr">
        <is>
          <t>7569423733</t>
        </is>
      </c>
      <c r="C227" t="inlineStr">
        <is>
          <t>2025-12-12 12:05:46</t>
        </is>
      </c>
      <c r="D227" t="inlineStr">
        <is>
          <t>50</t>
        </is>
      </c>
      <c r="E227" t="inlineStr">
        <is>
          <t>Sha Sha - Shandaar Shawarma</t>
        </is>
      </c>
      <c r="F227" t="inlineStr">
        <is>
          <t>18557902</t>
        </is>
      </c>
      <c r="G227" t="inlineStr">
        <is>
          <t>30% off upto ₹75 (2025-06-25 - 2031-01-01)</t>
        </is>
      </c>
      <c r="H227" t="inlineStr">
        <is>
          <t>ONLINE</t>
        </is>
      </c>
      <c r="I227" t="inlineStr">
        <is>
          <t>DELIVERED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O2</t>
        </is>
      </c>
      <c r="N227" t="inlineStr">
        <is>
          <t>37</t>
        </is>
      </c>
      <c r="O227" t="n">
        <v>289</v>
      </c>
      <c r="P227" t="n">
        <v>3.5</v>
      </c>
      <c r="Q227" t="n">
        <v>0</v>
      </c>
      <c r="R227" t="n">
        <v>75</v>
      </c>
      <c r="S227" t="n">
        <v>0</v>
      </c>
      <c r="T227" t="n">
        <v>0</v>
      </c>
      <c r="U227" t="n">
        <v>0</v>
      </c>
      <c r="V227" t="n">
        <v>10.88</v>
      </c>
      <c r="W227" t="n">
        <v>228.38</v>
      </c>
      <c r="X227" t="n">
        <v>217.5</v>
      </c>
      <c r="Y227" t="n">
        <v>19</v>
      </c>
      <c r="Z227" t="n">
        <v>41.32</v>
      </c>
      <c r="AA227" t="n">
        <v>4.2</v>
      </c>
      <c r="AB227" t="n">
        <v>45.52</v>
      </c>
      <c r="AC227" t="n">
        <v>8.199999999999999</v>
      </c>
      <c r="AD227" t="n">
        <v>0</v>
      </c>
      <c r="AE227" t="n">
        <v>217.5</v>
      </c>
      <c r="AF227" t="n">
        <v>0</v>
      </c>
      <c r="AG227" t="n">
        <v>0</v>
      </c>
      <c r="AH227" t="n">
        <v>0.22</v>
      </c>
      <c r="AI227" t="n">
        <v>10.88</v>
      </c>
      <c r="AJ227" t="n">
        <v>0</v>
      </c>
      <c r="AK227" t="n">
        <v>19.3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64.81999999999999</v>
      </c>
      <c r="AV227" t="n">
        <v>0</v>
      </c>
      <c r="AW227" t="n">
        <v>163.56</v>
      </c>
      <c r="AX227" t="inlineStr">
        <is>
          <t>settled</t>
        </is>
      </c>
      <c r="AY227" t="inlineStr">
        <is>
          <t>2025-12-17 05:30:00</t>
        </is>
      </c>
      <c r="AZ227" t="inlineStr">
        <is>
          <t>CITIN25671113204</t>
        </is>
      </c>
      <c r="BA227" t="n">
        <v>0</v>
      </c>
      <c r="BB227" t="inlineStr">
        <is>
          <t>1c3e9fcc263fa67aec455173fac0d482bff2b132fcec289b49045cf4af01d5e6</t>
        </is>
      </c>
    </row>
    <row r="228">
      <c r="A228" t="inlineStr">
        <is>
          <t>568</t>
        </is>
      </c>
      <c r="B228" t="inlineStr">
        <is>
          <t>7568414990</t>
        </is>
      </c>
      <c r="C228" t="inlineStr">
        <is>
          <t>2025-12-12 12:25:44</t>
        </is>
      </c>
      <c r="D228" t="inlineStr">
        <is>
          <t>50</t>
        </is>
      </c>
      <c r="E228" t="inlineStr">
        <is>
          <t>Sha Sha - Shandaar Shawarma</t>
        </is>
      </c>
      <c r="F228" t="inlineStr">
        <is>
          <t>18557902</t>
        </is>
      </c>
      <c r="G228" t="inlineStr">
        <is>
          <t>30% off upto ₹75 (2025-06-25 - 2031-01-01)</t>
        </is>
      </c>
      <c r="H228" t="inlineStr">
        <is>
          <t>ONLINE</t>
        </is>
      </c>
      <c r="I228" t="inlineStr">
        <is>
          <t>DELIVERED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O2</t>
        </is>
      </c>
      <c r="N228" t="inlineStr">
        <is>
          <t>36</t>
        </is>
      </c>
      <c r="O228" t="n">
        <v>229</v>
      </c>
      <c r="P228" t="n">
        <v>3.5</v>
      </c>
      <c r="Q228" t="n">
        <v>0</v>
      </c>
      <c r="R228" t="n">
        <v>68.7</v>
      </c>
      <c r="S228" t="n">
        <v>0</v>
      </c>
      <c r="T228" t="n">
        <v>0</v>
      </c>
      <c r="U228" t="n">
        <v>0</v>
      </c>
      <c r="V228" t="n">
        <v>8.19</v>
      </c>
      <c r="W228" t="n">
        <v>171.99</v>
      </c>
      <c r="X228" t="n">
        <v>163.8</v>
      </c>
      <c r="Y228" t="n">
        <v>19</v>
      </c>
      <c r="Z228" t="n">
        <v>31.12</v>
      </c>
      <c r="AA228" t="n">
        <v>3.16</v>
      </c>
      <c r="AB228" t="n">
        <v>34.28</v>
      </c>
      <c r="AC228" t="n">
        <v>6.17</v>
      </c>
      <c r="AD228" t="n">
        <v>0</v>
      </c>
      <c r="AE228" t="n">
        <v>163.8</v>
      </c>
      <c r="AF228" t="n">
        <v>0</v>
      </c>
      <c r="AG228" t="n">
        <v>0</v>
      </c>
      <c r="AH228" t="n">
        <v>0.16</v>
      </c>
      <c r="AI228" t="n">
        <v>8.199999999999999</v>
      </c>
      <c r="AJ228" t="n">
        <v>-0.01</v>
      </c>
      <c r="AK228" t="n">
        <v>14.53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48.81</v>
      </c>
      <c r="AV228" t="n">
        <v>0</v>
      </c>
      <c r="AW228" t="n">
        <v>123.18</v>
      </c>
      <c r="AX228" t="inlineStr">
        <is>
          <t>settled</t>
        </is>
      </c>
      <c r="AY228" t="inlineStr">
        <is>
          <t>2025-12-17 05:30:00</t>
        </is>
      </c>
      <c r="AZ228" t="inlineStr">
        <is>
          <t>CITIN25671113204</t>
        </is>
      </c>
      <c r="BA228" t="n">
        <v>0</v>
      </c>
      <c r="BB228" t="inlineStr">
        <is>
          <t>ce56cc7d06d55b38c3e270470e21e7e1526f822b22f21b254e03ce371f27eecc</t>
        </is>
      </c>
    </row>
    <row r="229">
      <c r="A229" t="inlineStr">
        <is>
          <t>569</t>
        </is>
      </c>
      <c r="B229" t="inlineStr">
        <is>
          <t>7574239416</t>
        </is>
      </c>
      <c r="C229" t="inlineStr">
        <is>
          <t>2025-12-12 13:51:55</t>
        </is>
      </c>
      <c r="D229" t="inlineStr">
        <is>
          <t>50</t>
        </is>
      </c>
      <c r="E229" t="inlineStr">
        <is>
          <t>Sha Sha - Shandaar Shawarma</t>
        </is>
      </c>
      <c r="F229" t="inlineStr">
        <is>
          <t>18557902</t>
        </is>
      </c>
      <c r="G229" t="inlineStr">
        <is>
          <t>30% off upto ₹75 (2025-06-25 - 2031-01-01)</t>
        </is>
      </c>
      <c r="H229" t="inlineStr">
        <is>
          <t>ONLINE</t>
        </is>
      </c>
      <c r="I229" t="inlineStr">
        <is>
          <t>DELIVERED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O2</t>
        </is>
      </c>
      <c r="N229" t="inlineStr">
        <is>
          <t>36</t>
        </is>
      </c>
      <c r="O229" t="n">
        <v>355</v>
      </c>
      <c r="P229" t="n">
        <v>3.5</v>
      </c>
      <c r="Q229" t="n">
        <v>0</v>
      </c>
      <c r="R229" t="n">
        <v>75</v>
      </c>
      <c r="S229" t="n">
        <v>0</v>
      </c>
      <c r="T229" t="n">
        <v>0</v>
      </c>
      <c r="U229" t="n">
        <v>0</v>
      </c>
      <c r="V229" t="n">
        <v>14.18</v>
      </c>
      <c r="W229" t="n">
        <v>297.68</v>
      </c>
      <c r="X229" t="n">
        <v>283.5</v>
      </c>
      <c r="Y229" t="n">
        <v>19</v>
      </c>
      <c r="Z229" t="n">
        <v>53.86</v>
      </c>
      <c r="AA229" t="n">
        <v>5.48</v>
      </c>
      <c r="AB229" t="n">
        <v>59.34</v>
      </c>
      <c r="AC229" t="n">
        <v>10.68</v>
      </c>
      <c r="AD229" t="n">
        <v>0</v>
      </c>
      <c r="AE229" t="n">
        <v>283.5</v>
      </c>
      <c r="AF229" t="n">
        <v>0</v>
      </c>
      <c r="AG229" t="n">
        <v>0</v>
      </c>
      <c r="AH229" t="n">
        <v>0.28</v>
      </c>
      <c r="AI229" t="n">
        <v>14.18</v>
      </c>
      <c r="AJ229" t="n">
        <v>0</v>
      </c>
      <c r="AK229" t="n">
        <v>25.14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84.48</v>
      </c>
      <c r="AV229" t="n">
        <v>0</v>
      </c>
      <c r="AW229" t="n">
        <v>213.2</v>
      </c>
      <c r="AX229" t="inlineStr">
        <is>
          <t>settled</t>
        </is>
      </c>
      <c r="AY229" t="inlineStr">
        <is>
          <t>2025-12-17 05:30:00</t>
        </is>
      </c>
      <c r="AZ229" t="inlineStr">
        <is>
          <t>CITIN25671113204</t>
        </is>
      </c>
      <c r="BA229" t="n">
        <v>0</v>
      </c>
      <c r="BB229" t="inlineStr">
        <is>
          <t>1719b4acbcc3243e0387e0aa73d5964456e1780696f9fb3823f39ae20e2de89d</t>
        </is>
      </c>
    </row>
    <row r="230">
      <c r="A230" t="inlineStr">
        <is>
          <t>570</t>
        </is>
      </c>
      <c r="B230" t="inlineStr">
        <is>
          <t>7572811938</t>
        </is>
      </c>
      <c r="C230" t="inlineStr">
        <is>
          <t>2025-12-12 13:52:34</t>
        </is>
      </c>
      <c r="D230" t="inlineStr">
        <is>
          <t>50</t>
        </is>
      </c>
      <c r="E230" t="inlineStr">
        <is>
          <t>Sha Sha - Shandaar Shawarma</t>
        </is>
      </c>
      <c r="F230" t="inlineStr">
        <is>
          <t>18557902</t>
        </is>
      </c>
      <c r="G230" t="inlineStr">
        <is>
          <t>NA</t>
        </is>
      </c>
      <c r="H230" t="inlineStr">
        <is>
          <t>ONLINE</t>
        </is>
      </c>
      <c r="I230" t="inlineStr">
        <is>
          <t>DELIVERED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O2</t>
        </is>
      </c>
      <c r="N230" t="inlineStr">
        <is>
          <t>36</t>
        </is>
      </c>
      <c r="O230" t="n">
        <v>229</v>
      </c>
      <c r="P230" t="n">
        <v>3.5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11.63</v>
      </c>
      <c r="W230" t="n">
        <v>244.13</v>
      </c>
      <c r="X230" t="n">
        <v>232.5</v>
      </c>
      <c r="Y230" t="n">
        <v>19</v>
      </c>
      <c r="Z230" t="n">
        <v>44.18</v>
      </c>
      <c r="AA230" t="n">
        <v>4.49</v>
      </c>
      <c r="AB230" t="n">
        <v>48.67</v>
      </c>
      <c r="AC230" t="n">
        <v>8.76</v>
      </c>
      <c r="AD230" t="n">
        <v>0</v>
      </c>
      <c r="AE230" t="n">
        <v>232.5</v>
      </c>
      <c r="AF230" t="n">
        <v>0</v>
      </c>
      <c r="AG230" t="n">
        <v>0</v>
      </c>
      <c r="AH230" t="n">
        <v>0.23</v>
      </c>
      <c r="AI230" t="n">
        <v>11.63</v>
      </c>
      <c r="AJ230" t="n">
        <v>0</v>
      </c>
      <c r="AK230" t="n">
        <v>20.62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69.29000000000001</v>
      </c>
      <c r="AV230" t="n">
        <v>0</v>
      </c>
      <c r="AW230" t="n">
        <v>174.84</v>
      </c>
      <c r="AX230" t="inlineStr">
        <is>
          <t>settled</t>
        </is>
      </c>
      <c r="AY230" t="inlineStr">
        <is>
          <t>2025-12-17 05:30:00</t>
        </is>
      </c>
      <c r="AZ230" t="inlineStr">
        <is>
          <t>CITIN25671113204</t>
        </is>
      </c>
      <c r="BA230" t="n">
        <v>0</v>
      </c>
      <c r="BB230" t="inlineStr">
        <is>
          <t>691893265855ae972cf7a2fb2d85f59ed26cae6d5093c8e3d36ad78e542be467</t>
        </is>
      </c>
    </row>
    <row r="231">
      <c r="A231" t="inlineStr">
        <is>
          <t>571</t>
        </is>
      </c>
      <c r="B231" t="inlineStr">
        <is>
          <t>7571655846</t>
        </is>
      </c>
      <c r="C231" t="inlineStr">
        <is>
          <t>2025-12-12 13:59:52</t>
        </is>
      </c>
      <c r="D231" t="inlineStr">
        <is>
          <t>50</t>
        </is>
      </c>
      <c r="E231" t="inlineStr">
        <is>
          <t>Sha Sha - Shandaar Shawarma</t>
        </is>
      </c>
      <c r="F231" t="inlineStr">
        <is>
          <t>18557902</t>
        </is>
      </c>
      <c r="G231" t="inlineStr">
        <is>
          <t>30% off upto ₹75 (2025-06-25 - 2031-01-01)</t>
        </is>
      </c>
      <c r="H231" t="inlineStr">
        <is>
          <t>ONLINE</t>
        </is>
      </c>
      <c r="I231" t="inlineStr">
        <is>
          <t>DELIVERED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O2</t>
        </is>
      </c>
      <c r="N231" t="inlineStr">
        <is>
          <t>36</t>
        </is>
      </c>
      <c r="O231" t="n">
        <v>219</v>
      </c>
      <c r="P231" t="n">
        <v>3.5</v>
      </c>
      <c r="Q231" t="n">
        <v>0</v>
      </c>
      <c r="R231" t="n">
        <v>65.7</v>
      </c>
      <c r="S231" t="n">
        <v>0</v>
      </c>
      <c r="T231" t="n">
        <v>0</v>
      </c>
      <c r="U231" t="n">
        <v>0</v>
      </c>
      <c r="V231" t="n">
        <v>7.84</v>
      </c>
      <c r="W231" t="n">
        <v>164.64</v>
      </c>
      <c r="X231" t="n">
        <v>156.8</v>
      </c>
      <c r="Y231" t="n">
        <v>19</v>
      </c>
      <c r="Z231" t="n">
        <v>29.79</v>
      </c>
      <c r="AA231" t="n">
        <v>3.03</v>
      </c>
      <c r="AB231" t="n">
        <v>32.82</v>
      </c>
      <c r="AC231" t="n">
        <v>5.91</v>
      </c>
      <c r="AD231" t="n">
        <v>0</v>
      </c>
      <c r="AE231" t="n">
        <v>156.8</v>
      </c>
      <c r="AF231" t="n">
        <v>0</v>
      </c>
      <c r="AG231" t="n">
        <v>0</v>
      </c>
      <c r="AH231" t="n">
        <v>0.16</v>
      </c>
      <c r="AI231" t="n">
        <v>7.85</v>
      </c>
      <c r="AJ231" t="n">
        <v>-0.01</v>
      </c>
      <c r="AK231" t="n">
        <v>13.92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46.74</v>
      </c>
      <c r="AV231" t="n">
        <v>0</v>
      </c>
      <c r="AW231" t="n">
        <v>117.9</v>
      </c>
      <c r="AX231" t="inlineStr">
        <is>
          <t>settled</t>
        </is>
      </c>
      <c r="AY231" t="inlineStr">
        <is>
          <t>2025-12-17 05:30:00</t>
        </is>
      </c>
      <c r="AZ231" t="inlineStr">
        <is>
          <t>CITIN25671113204</t>
        </is>
      </c>
      <c r="BA231" t="n">
        <v>0</v>
      </c>
      <c r="BB231" t="inlineStr">
        <is>
          <t>ad22c0baf5c753100aceebc53a57b3ddfcfecef5ca6c2794e26fb761618c3ef6</t>
        </is>
      </c>
    </row>
    <row r="232">
      <c r="A232" t="inlineStr">
        <is>
          <t>572</t>
        </is>
      </c>
      <c r="B232" t="inlineStr">
        <is>
          <t>7560243345</t>
        </is>
      </c>
      <c r="C232" t="inlineStr">
        <is>
          <t>2025-12-12 14:09:05</t>
        </is>
      </c>
      <c r="D232" t="inlineStr">
        <is>
          <t>50</t>
        </is>
      </c>
      <c r="E232" t="inlineStr">
        <is>
          <t>Sha Sha - Shandaar Shawarma</t>
        </is>
      </c>
      <c r="F232" t="inlineStr">
        <is>
          <t>18557902</t>
        </is>
      </c>
      <c r="G232" t="inlineStr">
        <is>
          <t>30% off upto ₹75 (2025-06-25 - 2031-01-01)</t>
        </is>
      </c>
      <c r="H232" t="inlineStr">
        <is>
          <t>ONLINE</t>
        </is>
      </c>
      <c r="I232" t="inlineStr">
        <is>
          <t>DELIVERED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O2</t>
        </is>
      </c>
      <c r="N232" t="inlineStr">
        <is>
          <t>36</t>
        </is>
      </c>
      <c r="O232" t="n">
        <v>358</v>
      </c>
      <c r="P232" t="n">
        <v>3.5</v>
      </c>
      <c r="Q232" t="n">
        <v>0</v>
      </c>
      <c r="R232" t="n">
        <v>75</v>
      </c>
      <c r="S232" t="n">
        <v>0</v>
      </c>
      <c r="T232" t="n">
        <v>0</v>
      </c>
      <c r="U232" t="n">
        <v>0</v>
      </c>
      <c r="V232" t="n">
        <v>14.33</v>
      </c>
      <c r="W232" t="n">
        <v>300.83</v>
      </c>
      <c r="X232" t="n">
        <v>286.5</v>
      </c>
      <c r="Y232" t="n">
        <v>19</v>
      </c>
      <c r="Z232" t="n">
        <v>54.44</v>
      </c>
      <c r="AA232" t="n">
        <v>5.54</v>
      </c>
      <c r="AB232" t="n">
        <v>59.98</v>
      </c>
      <c r="AC232" t="n">
        <v>10.8</v>
      </c>
      <c r="AD232" t="n">
        <v>0</v>
      </c>
      <c r="AE232" t="n">
        <v>286.5</v>
      </c>
      <c r="AF232" t="n">
        <v>0</v>
      </c>
      <c r="AG232" t="n">
        <v>0</v>
      </c>
      <c r="AH232" t="n">
        <v>0.29</v>
      </c>
      <c r="AI232" t="n">
        <v>14.33</v>
      </c>
      <c r="AJ232" t="n">
        <v>0</v>
      </c>
      <c r="AK232" t="n">
        <v>25.42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85.40000000000001</v>
      </c>
      <c r="AV232" t="n">
        <v>0</v>
      </c>
      <c r="AW232" t="n">
        <v>215.43</v>
      </c>
      <c r="AX232" t="inlineStr">
        <is>
          <t>settled</t>
        </is>
      </c>
      <c r="AY232" t="inlineStr">
        <is>
          <t>2025-12-17 05:30:00</t>
        </is>
      </c>
      <c r="AZ232" t="inlineStr">
        <is>
          <t>CITIN25671113204</t>
        </is>
      </c>
      <c r="BA232" t="n">
        <v>0</v>
      </c>
      <c r="BB232" t="inlineStr">
        <is>
          <t>190674870aa01e54258cd94a40dcfa457df59b698320b3d0051a74d78f2514d1</t>
        </is>
      </c>
    </row>
    <row r="233">
      <c r="A233" t="inlineStr">
        <is>
          <t>573</t>
        </is>
      </c>
      <c r="B233" t="inlineStr">
        <is>
          <t>7567898430</t>
        </is>
      </c>
      <c r="C233" t="inlineStr">
        <is>
          <t>2025-12-12 14:31:12</t>
        </is>
      </c>
      <c r="D233" t="inlineStr">
        <is>
          <t>50</t>
        </is>
      </c>
      <c r="E233" t="inlineStr">
        <is>
          <t>Sha Sha - Shandaar Shawarma</t>
        </is>
      </c>
      <c r="F233" t="inlineStr">
        <is>
          <t>18557902</t>
        </is>
      </c>
      <c r="G233" t="inlineStr">
        <is>
          <t>30% off upto ₹75 (2025-06-25 - 2031-01-01)</t>
        </is>
      </c>
      <c r="H233" t="inlineStr">
        <is>
          <t>ONLINE</t>
        </is>
      </c>
      <c r="I233" t="inlineStr">
        <is>
          <t>DELIVERED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O2</t>
        </is>
      </c>
      <c r="N233" t="inlineStr">
        <is>
          <t>36</t>
        </is>
      </c>
      <c r="O233" t="n">
        <v>736</v>
      </c>
      <c r="P233" t="n">
        <v>3.5</v>
      </c>
      <c r="Q233" t="n">
        <v>0</v>
      </c>
      <c r="R233" t="n">
        <v>75</v>
      </c>
      <c r="S233" t="n">
        <v>0</v>
      </c>
      <c r="T233" t="n">
        <v>0</v>
      </c>
      <c r="U233" t="n">
        <v>0</v>
      </c>
      <c r="V233" t="n">
        <v>33.23</v>
      </c>
      <c r="W233" t="n">
        <v>697.73</v>
      </c>
      <c r="X233" t="n">
        <v>664.5</v>
      </c>
      <c r="Y233" t="n">
        <v>19</v>
      </c>
      <c r="Z233" t="n">
        <v>126.26</v>
      </c>
      <c r="AA233" t="n">
        <v>12.84</v>
      </c>
      <c r="AB233" t="n">
        <v>139.1</v>
      </c>
      <c r="AC233" t="n">
        <v>25.04</v>
      </c>
      <c r="AD233" t="n">
        <v>0</v>
      </c>
      <c r="AE233" t="n">
        <v>664.5</v>
      </c>
      <c r="AF233" t="n">
        <v>0</v>
      </c>
      <c r="AG233" t="n">
        <v>0</v>
      </c>
      <c r="AH233" t="n">
        <v>0.66</v>
      </c>
      <c r="AI233" t="n">
        <v>33.23</v>
      </c>
      <c r="AJ233" t="n">
        <v>0</v>
      </c>
      <c r="AK233" t="n">
        <v>58.93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198.03</v>
      </c>
      <c r="AV233" t="n">
        <v>0</v>
      </c>
      <c r="AW233" t="n">
        <v>499.7</v>
      </c>
      <c r="AX233" t="inlineStr">
        <is>
          <t>settled</t>
        </is>
      </c>
      <c r="AY233" t="inlineStr">
        <is>
          <t>2025-12-17 05:30:00</t>
        </is>
      </c>
      <c r="AZ233" t="inlineStr">
        <is>
          <t>CITIN25671113204</t>
        </is>
      </c>
      <c r="BA233" t="n">
        <v>0</v>
      </c>
      <c r="BB233" t="inlineStr">
        <is>
          <t>62450902bdaf7db3a73fa3065bf1bc4beb883e3dd2f3c027cba42cc82c7ae996</t>
        </is>
      </c>
    </row>
    <row r="234">
      <c r="A234" t="inlineStr">
        <is>
          <t>574</t>
        </is>
      </c>
      <c r="B234" t="inlineStr">
        <is>
          <t>7574262601</t>
        </is>
      </c>
      <c r="C234" t="inlineStr">
        <is>
          <t>2025-12-12 14:50:07</t>
        </is>
      </c>
      <c r="D234" t="inlineStr">
        <is>
          <t>50</t>
        </is>
      </c>
      <c r="E234" t="inlineStr">
        <is>
          <t>Sha Sha - Shandaar Shawarma</t>
        </is>
      </c>
      <c r="F234" t="inlineStr">
        <is>
          <t>18557902</t>
        </is>
      </c>
      <c r="G234" t="inlineStr">
        <is>
          <t>30% off upto ₹75 (2025-06-25 - 2031-01-01)</t>
        </is>
      </c>
      <c r="H234" t="inlineStr">
        <is>
          <t>ONLINE</t>
        </is>
      </c>
      <c r="I234" t="inlineStr">
        <is>
          <t>DELIVERED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O2</t>
        </is>
      </c>
      <c r="N234" t="inlineStr">
        <is>
          <t>36</t>
        </is>
      </c>
      <c r="O234" t="n">
        <v>229</v>
      </c>
      <c r="P234" t="n">
        <v>3.5</v>
      </c>
      <c r="Q234" t="n">
        <v>0</v>
      </c>
      <c r="R234" t="n">
        <v>68.7</v>
      </c>
      <c r="S234" t="n">
        <v>0</v>
      </c>
      <c r="T234" t="n">
        <v>0</v>
      </c>
      <c r="U234" t="n">
        <v>0</v>
      </c>
      <c r="V234" t="n">
        <v>8.19</v>
      </c>
      <c r="W234" t="n">
        <v>171.99</v>
      </c>
      <c r="X234" t="n">
        <v>163.8</v>
      </c>
      <c r="Y234" t="n">
        <v>19</v>
      </c>
      <c r="Z234" t="n">
        <v>31.12</v>
      </c>
      <c r="AA234" t="n">
        <v>3.16</v>
      </c>
      <c r="AB234" t="n">
        <v>34.28</v>
      </c>
      <c r="AC234" t="n">
        <v>6.17</v>
      </c>
      <c r="AD234" t="n">
        <v>0</v>
      </c>
      <c r="AE234" t="n">
        <v>163.8</v>
      </c>
      <c r="AF234" t="n">
        <v>0</v>
      </c>
      <c r="AG234" t="n">
        <v>0</v>
      </c>
      <c r="AH234" t="n">
        <v>0.16</v>
      </c>
      <c r="AI234" t="n">
        <v>8.199999999999999</v>
      </c>
      <c r="AJ234" t="n">
        <v>-0.01</v>
      </c>
      <c r="AK234" t="n">
        <v>14.53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48.81</v>
      </c>
      <c r="AV234" t="n">
        <v>0</v>
      </c>
      <c r="AW234" t="n">
        <v>123.18</v>
      </c>
      <c r="AX234" t="inlineStr">
        <is>
          <t>settled</t>
        </is>
      </c>
      <c r="AY234" t="inlineStr">
        <is>
          <t>2025-12-17 05:30:00</t>
        </is>
      </c>
      <c r="AZ234" t="inlineStr">
        <is>
          <t>CITIN25671113204</t>
        </is>
      </c>
      <c r="BA234" t="n">
        <v>0</v>
      </c>
      <c r="BB234" t="inlineStr">
        <is>
          <t>daa04af0cebcab8848a2d816fdd79038b7e181e971f49fe06756355fb97e1cc4</t>
        </is>
      </c>
    </row>
    <row r="235">
      <c r="A235" t="inlineStr">
        <is>
          <t>575</t>
        </is>
      </c>
      <c r="B235" t="inlineStr">
        <is>
          <t>7571183185</t>
        </is>
      </c>
      <c r="C235" t="inlineStr">
        <is>
          <t>2025-12-12 15:19:37</t>
        </is>
      </c>
      <c r="D235" t="inlineStr">
        <is>
          <t>50</t>
        </is>
      </c>
      <c r="E235" t="inlineStr">
        <is>
          <t>Sha Sha - Shandaar Shawarma</t>
        </is>
      </c>
      <c r="F235" t="inlineStr">
        <is>
          <t>18557902</t>
        </is>
      </c>
      <c r="G235" t="inlineStr">
        <is>
          <t>30% off upto ₹75 (2025-06-25 - 2031-01-01)</t>
        </is>
      </c>
      <c r="H235" t="inlineStr">
        <is>
          <t>ONLINE</t>
        </is>
      </c>
      <c r="I235" t="inlineStr">
        <is>
          <t>DELIVERED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O2</t>
        </is>
      </c>
      <c r="N235" t="inlineStr">
        <is>
          <t>36</t>
        </is>
      </c>
      <c r="O235" t="n">
        <v>229</v>
      </c>
      <c r="P235" t="n">
        <v>3.5</v>
      </c>
      <c r="Q235" t="n">
        <v>0</v>
      </c>
      <c r="R235" t="n">
        <v>68.7</v>
      </c>
      <c r="S235" t="n">
        <v>0</v>
      </c>
      <c r="T235" t="n">
        <v>0</v>
      </c>
      <c r="U235" t="n">
        <v>0</v>
      </c>
      <c r="V235" t="n">
        <v>8.19</v>
      </c>
      <c r="W235" t="n">
        <v>171.99</v>
      </c>
      <c r="X235" t="n">
        <v>163.8</v>
      </c>
      <c r="Y235" t="n">
        <v>19</v>
      </c>
      <c r="Z235" t="n">
        <v>31.12</v>
      </c>
      <c r="AA235" t="n">
        <v>3.16</v>
      </c>
      <c r="AB235" t="n">
        <v>34.28</v>
      </c>
      <c r="AC235" t="n">
        <v>6.17</v>
      </c>
      <c r="AD235" t="n">
        <v>0</v>
      </c>
      <c r="AE235" t="n">
        <v>163.8</v>
      </c>
      <c r="AF235" t="n">
        <v>0</v>
      </c>
      <c r="AG235" t="n">
        <v>0</v>
      </c>
      <c r="AH235" t="n">
        <v>0.16</v>
      </c>
      <c r="AI235" t="n">
        <v>8.199999999999999</v>
      </c>
      <c r="AJ235" t="n">
        <v>-0.01</v>
      </c>
      <c r="AK235" t="n">
        <v>14.53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48.81</v>
      </c>
      <c r="AV235" t="n">
        <v>0</v>
      </c>
      <c r="AW235" t="n">
        <v>123.18</v>
      </c>
      <c r="AX235" t="inlineStr">
        <is>
          <t>settled</t>
        </is>
      </c>
      <c r="AY235" t="inlineStr">
        <is>
          <t>2025-12-17 05:30:00</t>
        </is>
      </c>
      <c r="AZ235" t="inlineStr">
        <is>
          <t>CITIN25671113204</t>
        </is>
      </c>
      <c r="BA235" t="n">
        <v>0</v>
      </c>
      <c r="BB235" t="inlineStr">
        <is>
          <t>b2f6072246347ab2c505cf0cb9e044bdbea2277cea097a70d770c010c0d2fafe</t>
        </is>
      </c>
    </row>
    <row r="236">
      <c r="A236" t="inlineStr">
        <is>
          <t>576</t>
        </is>
      </c>
      <c r="B236" t="inlineStr">
        <is>
          <t>7569410593</t>
        </is>
      </c>
      <c r="C236" t="inlineStr">
        <is>
          <t>2025-12-12 15:45:47</t>
        </is>
      </c>
      <c r="D236" t="inlineStr">
        <is>
          <t>50</t>
        </is>
      </c>
      <c r="E236" t="inlineStr">
        <is>
          <t>Sha Sha - Shandaar Shawarma</t>
        </is>
      </c>
      <c r="F236" t="inlineStr">
        <is>
          <t>18557902</t>
        </is>
      </c>
      <c r="G236" t="inlineStr">
        <is>
          <t>30% off upto ₹75 (2025-06-25 - 2031-01-01)</t>
        </is>
      </c>
      <c r="H236" t="inlineStr">
        <is>
          <t>ONLINE</t>
        </is>
      </c>
      <c r="I236" t="inlineStr">
        <is>
          <t>DELIVERED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O2</t>
        </is>
      </c>
      <c r="N236" t="inlineStr">
        <is>
          <t>36</t>
        </is>
      </c>
      <c r="O236" t="n">
        <v>348</v>
      </c>
      <c r="P236" t="n">
        <v>3.5</v>
      </c>
      <c r="Q236" t="n">
        <v>0</v>
      </c>
      <c r="R236" t="n">
        <v>75</v>
      </c>
      <c r="S236" t="n">
        <v>0</v>
      </c>
      <c r="T236" t="n">
        <v>0</v>
      </c>
      <c r="U236" t="n">
        <v>0</v>
      </c>
      <c r="V236" t="n">
        <v>13.83</v>
      </c>
      <c r="W236" t="n">
        <v>290.33</v>
      </c>
      <c r="X236" t="n">
        <v>276.5</v>
      </c>
      <c r="Y236" t="n">
        <v>19</v>
      </c>
      <c r="Z236" t="n">
        <v>52.54</v>
      </c>
      <c r="AA236" t="n">
        <v>5.34</v>
      </c>
      <c r="AB236" t="n">
        <v>57.88</v>
      </c>
      <c r="AC236" t="n">
        <v>10.42</v>
      </c>
      <c r="AD236" t="n">
        <v>0</v>
      </c>
      <c r="AE236" t="n">
        <v>276.5</v>
      </c>
      <c r="AF236" t="n">
        <v>0</v>
      </c>
      <c r="AG236" t="n">
        <v>0</v>
      </c>
      <c r="AH236" t="n">
        <v>0.28</v>
      </c>
      <c r="AI236" t="n">
        <v>13.83</v>
      </c>
      <c r="AJ236" t="n">
        <v>0</v>
      </c>
      <c r="AK236" t="n">
        <v>24.53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82.41</v>
      </c>
      <c r="AV236" t="n">
        <v>0</v>
      </c>
      <c r="AW236" t="n">
        <v>207.92</v>
      </c>
      <c r="AX236" t="inlineStr">
        <is>
          <t>settled</t>
        </is>
      </c>
      <c r="AY236" t="inlineStr">
        <is>
          <t>2025-12-17 05:30:00</t>
        </is>
      </c>
      <c r="AZ236" t="inlineStr">
        <is>
          <t>CITIN25671113204</t>
        </is>
      </c>
      <c r="BA236" t="n">
        <v>0</v>
      </c>
      <c r="BB236" t="inlineStr">
        <is>
          <t>04fa2d85ae0bac53c305d505cb2593d9d057e89ffb9071bb2fb965476e1db447</t>
        </is>
      </c>
    </row>
    <row r="237">
      <c r="A237" t="inlineStr">
        <is>
          <t>577</t>
        </is>
      </c>
      <c r="B237" t="inlineStr">
        <is>
          <t>7574967058</t>
        </is>
      </c>
      <c r="C237" t="inlineStr">
        <is>
          <t>2025-12-12 15:46:56</t>
        </is>
      </c>
      <c r="D237" t="inlineStr">
        <is>
          <t>50</t>
        </is>
      </c>
      <c r="E237" t="inlineStr">
        <is>
          <t>Sha Sha - Shandaar Shawarma</t>
        </is>
      </c>
      <c r="F237" t="inlineStr">
        <is>
          <t>18557902</t>
        </is>
      </c>
      <c r="G237" t="inlineStr">
        <is>
          <t>30% off upto ₹75 (2025-06-25 - 2031-01-01)</t>
        </is>
      </c>
      <c r="H237" t="inlineStr">
        <is>
          <t>ONLINE</t>
        </is>
      </c>
      <c r="I237" t="inlineStr">
        <is>
          <t>DELIVERED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O2</t>
        </is>
      </c>
      <c r="N237" t="inlineStr">
        <is>
          <t>36</t>
        </is>
      </c>
      <c r="O237" t="n">
        <v>458</v>
      </c>
      <c r="P237" t="n">
        <v>3.5</v>
      </c>
      <c r="Q237" t="n">
        <v>0</v>
      </c>
      <c r="R237" t="n">
        <v>75</v>
      </c>
      <c r="S237" t="n">
        <v>0</v>
      </c>
      <c r="T237" t="n">
        <v>0</v>
      </c>
      <c r="U237" t="n">
        <v>0</v>
      </c>
      <c r="V237" t="n">
        <v>19.33</v>
      </c>
      <c r="W237" t="n">
        <v>405.83</v>
      </c>
      <c r="X237" t="n">
        <v>386.5</v>
      </c>
      <c r="Y237" t="n">
        <v>19</v>
      </c>
      <c r="Z237" t="n">
        <v>73.44</v>
      </c>
      <c r="AA237" t="n">
        <v>7.47</v>
      </c>
      <c r="AB237" t="n">
        <v>80.91</v>
      </c>
      <c r="AC237" t="n">
        <v>14.56</v>
      </c>
      <c r="AD237" t="n">
        <v>0</v>
      </c>
      <c r="AE237" t="n">
        <v>386.5</v>
      </c>
      <c r="AF237" t="n">
        <v>0</v>
      </c>
      <c r="AG237" t="n">
        <v>0</v>
      </c>
      <c r="AH237" t="n">
        <v>0.39</v>
      </c>
      <c r="AI237" t="n">
        <v>19.33</v>
      </c>
      <c r="AJ237" t="n">
        <v>0</v>
      </c>
      <c r="AK237" t="n">
        <v>34.28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115.19</v>
      </c>
      <c r="AV237" t="n">
        <v>0</v>
      </c>
      <c r="AW237" t="n">
        <v>290.64</v>
      </c>
      <c r="AX237" t="inlineStr">
        <is>
          <t>settled</t>
        </is>
      </c>
      <c r="AY237" t="inlineStr">
        <is>
          <t>2025-12-17 05:30:00</t>
        </is>
      </c>
      <c r="AZ237" t="inlineStr">
        <is>
          <t>CITIN25671113204</t>
        </is>
      </c>
      <c r="BA237" t="n">
        <v>0</v>
      </c>
      <c r="BB237" t="inlineStr">
        <is>
          <t>911df9f0b3290112f2f929f70dc18192b1c8744260cc8d7fc106507872cecf5b</t>
        </is>
      </c>
    </row>
    <row r="238">
      <c r="A238" t="inlineStr">
        <is>
          <t>578</t>
        </is>
      </c>
      <c r="B238" t="inlineStr">
        <is>
          <t>7572509355</t>
        </is>
      </c>
      <c r="C238" t="inlineStr">
        <is>
          <t>2025-12-12 16:07:11</t>
        </is>
      </c>
      <c r="D238" t="inlineStr">
        <is>
          <t>50</t>
        </is>
      </c>
      <c r="E238" t="inlineStr">
        <is>
          <t>Sha Sha - Shandaar Shawarma</t>
        </is>
      </c>
      <c r="F238" t="inlineStr">
        <is>
          <t>18557902</t>
        </is>
      </c>
      <c r="G238" t="inlineStr">
        <is>
          <t>NA</t>
        </is>
      </c>
      <c r="H238" t="inlineStr">
        <is>
          <t>ONLINE</t>
        </is>
      </c>
      <c r="I238" t="inlineStr">
        <is>
          <t>DELIVERED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O2</t>
        </is>
      </c>
      <c r="N238" t="inlineStr">
        <is>
          <t>36</t>
        </is>
      </c>
      <c r="O238" t="n">
        <v>448</v>
      </c>
      <c r="P238" t="n">
        <v>3.5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22.58</v>
      </c>
      <c r="W238" t="n">
        <v>474.08</v>
      </c>
      <c r="X238" t="n">
        <v>451.5</v>
      </c>
      <c r="Y238" t="n">
        <v>19</v>
      </c>
      <c r="Z238" t="n">
        <v>85.78</v>
      </c>
      <c r="AA238" t="n">
        <v>8.720000000000001</v>
      </c>
      <c r="AB238" t="n">
        <v>94.5</v>
      </c>
      <c r="AC238" t="n">
        <v>17.01</v>
      </c>
      <c r="AD238" t="n">
        <v>0</v>
      </c>
      <c r="AE238" t="n">
        <v>451.5</v>
      </c>
      <c r="AF238" t="n">
        <v>0</v>
      </c>
      <c r="AG238" t="n">
        <v>0</v>
      </c>
      <c r="AH238" t="n">
        <v>0.45</v>
      </c>
      <c r="AI238" t="n">
        <v>22.58</v>
      </c>
      <c r="AJ238" t="n">
        <v>0</v>
      </c>
      <c r="AK238" t="n">
        <v>40.04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134.54</v>
      </c>
      <c r="AV238" t="n">
        <v>0</v>
      </c>
      <c r="AW238" t="n">
        <v>339.54</v>
      </c>
      <c r="AX238" t="inlineStr">
        <is>
          <t>settled</t>
        </is>
      </c>
      <c r="AY238" t="inlineStr">
        <is>
          <t>2025-12-17 05:30:00</t>
        </is>
      </c>
      <c r="AZ238" t="inlineStr">
        <is>
          <t>CITIN25671113204</t>
        </is>
      </c>
      <c r="BA238" t="n">
        <v>0</v>
      </c>
      <c r="BB238" t="inlineStr">
        <is>
          <t>6c4f55a52dd953b2aed45ed2d99eadb91631f69c746d4aad94c9b2fd3d21b22b</t>
        </is>
      </c>
    </row>
    <row r="239">
      <c r="A239" t="inlineStr">
        <is>
          <t>579</t>
        </is>
      </c>
      <c r="B239" t="inlineStr">
        <is>
          <t>7573225372</t>
        </is>
      </c>
      <c r="C239" t="inlineStr">
        <is>
          <t>2025-12-12 16:55:43</t>
        </is>
      </c>
      <c r="D239" t="inlineStr">
        <is>
          <t>50</t>
        </is>
      </c>
      <c r="E239" t="inlineStr">
        <is>
          <t>Sha Sha - Shandaar Shawarma</t>
        </is>
      </c>
      <c r="F239" t="inlineStr">
        <is>
          <t>18557902</t>
        </is>
      </c>
      <c r="G239" t="inlineStr">
        <is>
          <t>30% off upto ₹75 (2025-06-25 - 2031-01-01)</t>
        </is>
      </c>
      <c r="H239" t="inlineStr">
        <is>
          <t>ONLINE</t>
        </is>
      </c>
      <c r="I239" t="inlineStr">
        <is>
          <t>DELIVERED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O2</t>
        </is>
      </c>
      <c r="N239" t="inlineStr">
        <is>
          <t>36</t>
        </is>
      </c>
      <c r="O239" t="n">
        <v>229</v>
      </c>
      <c r="P239" t="n">
        <v>3.5</v>
      </c>
      <c r="Q239" t="n">
        <v>0</v>
      </c>
      <c r="R239" t="n">
        <v>68.7</v>
      </c>
      <c r="S239" t="n">
        <v>0</v>
      </c>
      <c r="T239" t="n">
        <v>0</v>
      </c>
      <c r="U239" t="n">
        <v>0</v>
      </c>
      <c r="V239" t="n">
        <v>8.19</v>
      </c>
      <c r="W239" t="n">
        <v>171.99</v>
      </c>
      <c r="X239" t="n">
        <v>163.8</v>
      </c>
      <c r="Y239" t="n">
        <v>19</v>
      </c>
      <c r="Z239" t="n">
        <v>31.12</v>
      </c>
      <c r="AA239" t="n">
        <v>3.16</v>
      </c>
      <c r="AB239" t="n">
        <v>34.28</v>
      </c>
      <c r="AC239" t="n">
        <v>6.17</v>
      </c>
      <c r="AD239" t="n">
        <v>0</v>
      </c>
      <c r="AE239" t="n">
        <v>163.8</v>
      </c>
      <c r="AF239" t="n">
        <v>0</v>
      </c>
      <c r="AG239" t="n">
        <v>0</v>
      </c>
      <c r="AH239" t="n">
        <v>0.16</v>
      </c>
      <c r="AI239" t="n">
        <v>8.199999999999999</v>
      </c>
      <c r="AJ239" t="n">
        <v>-0.01</v>
      </c>
      <c r="AK239" t="n">
        <v>14.53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48.81</v>
      </c>
      <c r="AV239" t="n">
        <v>0</v>
      </c>
      <c r="AW239" t="n">
        <v>123.18</v>
      </c>
      <c r="AX239" t="inlineStr">
        <is>
          <t>settled</t>
        </is>
      </c>
      <c r="AY239" t="inlineStr">
        <is>
          <t>2025-12-17 05:30:00</t>
        </is>
      </c>
      <c r="AZ239" t="inlineStr">
        <is>
          <t>CITIN25671113204</t>
        </is>
      </c>
      <c r="BA239" t="n">
        <v>0</v>
      </c>
      <c r="BB239" t="inlineStr">
        <is>
          <t>7c505b695cc58d12e8968c265a841a83e28173dba653e97c60d091c21a20246f</t>
        </is>
      </c>
    </row>
    <row r="240">
      <c r="A240" t="inlineStr">
        <is>
          <t>580</t>
        </is>
      </c>
      <c r="B240" t="inlineStr">
        <is>
          <t>7568617336</t>
        </is>
      </c>
      <c r="C240" t="inlineStr">
        <is>
          <t>2025-12-12 17:10:26</t>
        </is>
      </c>
      <c r="D240" t="inlineStr">
        <is>
          <t>50</t>
        </is>
      </c>
      <c r="E240" t="inlineStr">
        <is>
          <t>Sha Sha - Shandaar Shawarma</t>
        </is>
      </c>
      <c r="F240" t="inlineStr">
        <is>
          <t>18557902</t>
        </is>
      </c>
      <c r="G240" t="inlineStr">
        <is>
          <t>30% off upto ₹75 (2025-06-25 - 2031-01-01)</t>
        </is>
      </c>
      <c r="H240" t="inlineStr">
        <is>
          <t>ONLINE</t>
        </is>
      </c>
      <c r="I240" t="inlineStr">
        <is>
          <t>DELIVERED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O2</t>
        </is>
      </c>
      <c r="N240" t="inlineStr">
        <is>
          <t>36</t>
        </is>
      </c>
      <c r="O240" t="n">
        <v>458</v>
      </c>
      <c r="P240" t="n">
        <v>3.5</v>
      </c>
      <c r="Q240" t="n">
        <v>0</v>
      </c>
      <c r="R240" t="n">
        <v>75</v>
      </c>
      <c r="S240" t="n">
        <v>0</v>
      </c>
      <c r="T240" t="n">
        <v>0</v>
      </c>
      <c r="U240" t="n">
        <v>0</v>
      </c>
      <c r="V240" t="n">
        <v>19.33</v>
      </c>
      <c r="W240" t="n">
        <v>405.83</v>
      </c>
      <c r="X240" t="n">
        <v>386.5</v>
      </c>
      <c r="Y240" t="n">
        <v>19</v>
      </c>
      <c r="Z240" t="n">
        <v>73.44</v>
      </c>
      <c r="AA240" t="n">
        <v>7.47</v>
      </c>
      <c r="AB240" t="n">
        <v>80.91</v>
      </c>
      <c r="AC240" t="n">
        <v>14.56</v>
      </c>
      <c r="AD240" t="n">
        <v>0</v>
      </c>
      <c r="AE240" t="n">
        <v>386.5</v>
      </c>
      <c r="AF240" t="n">
        <v>0</v>
      </c>
      <c r="AG240" t="n">
        <v>0</v>
      </c>
      <c r="AH240" t="n">
        <v>0.39</v>
      </c>
      <c r="AI240" t="n">
        <v>19.33</v>
      </c>
      <c r="AJ240" t="n">
        <v>0</v>
      </c>
      <c r="AK240" t="n">
        <v>34.28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115.19</v>
      </c>
      <c r="AV240" t="n">
        <v>0</v>
      </c>
      <c r="AW240" t="n">
        <v>290.64</v>
      </c>
      <c r="AX240" t="inlineStr">
        <is>
          <t>settled</t>
        </is>
      </c>
      <c r="AY240" t="inlineStr">
        <is>
          <t>2025-12-17 05:30:00</t>
        </is>
      </c>
      <c r="AZ240" t="inlineStr">
        <is>
          <t>CITIN25671113204</t>
        </is>
      </c>
      <c r="BA240" t="n">
        <v>0</v>
      </c>
      <c r="BB240" t="inlineStr">
        <is>
          <t>30609c8495ef11b472a1e8aeae485b287214bea591e5486b360a6afaee30794c</t>
        </is>
      </c>
    </row>
    <row r="241">
      <c r="A241" t="inlineStr">
        <is>
          <t>581</t>
        </is>
      </c>
      <c r="B241" t="inlineStr">
        <is>
          <t>7555099530</t>
        </is>
      </c>
      <c r="C241" t="inlineStr">
        <is>
          <t>2025-12-12 19:03:22</t>
        </is>
      </c>
      <c r="D241" t="inlineStr">
        <is>
          <t>50</t>
        </is>
      </c>
      <c r="E241" t="inlineStr">
        <is>
          <t>Sha Sha - Shandaar Shawarma</t>
        </is>
      </c>
      <c r="F241" t="inlineStr">
        <is>
          <t>18557902</t>
        </is>
      </c>
      <c r="G241" t="inlineStr">
        <is>
          <t>30% off upto ₹75 (2025-06-25 - 2031-01-01)</t>
        </is>
      </c>
      <c r="H241" t="inlineStr">
        <is>
          <t>ONLINE</t>
        </is>
      </c>
      <c r="I241" t="inlineStr">
        <is>
          <t>DELIVERED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O2</t>
        </is>
      </c>
      <c r="N241" t="inlineStr">
        <is>
          <t>36</t>
        </is>
      </c>
      <c r="O241" t="n">
        <v>687</v>
      </c>
      <c r="P241" t="n">
        <v>3.5</v>
      </c>
      <c r="Q241" t="n">
        <v>0</v>
      </c>
      <c r="R241" t="n">
        <v>75</v>
      </c>
      <c r="S241" t="n">
        <v>0</v>
      </c>
      <c r="T241" t="n">
        <v>0</v>
      </c>
      <c r="U241" t="n">
        <v>0</v>
      </c>
      <c r="V241" t="n">
        <v>30.78</v>
      </c>
      <c r="W241" t="n">
        <v>646.28</v>
      </c>
      <c r="X241" t="n">
        <v>615.5</v>
      </c>
      <c r="Y241" t="n">
        <v>19</v>
      </c>
      <c r="Z241" t="n">
        <v>116.94</v>
      </c>
      <c r="AA241" t="n">
        <v>11.89</v>
      </c>
      <c r="AB241" t="n">
        <v>128.83</v>
      </c>
      <c r="AC241" t="n">
        <v>23.19</v>
      </c>
      <c r="AD241" t="n">
        <v>0</v>
      </c>
      <c r="AE241" t="n">
        <v>615.5</v>
      </c>
      <c r="AF241" t="n">
        <v>0</v>
      </c>
      <c r="AG241" t="n">
        <v>0</v>
      </c>
      <c r="AH241" t="n">
        <v>0.62</v>
      </c>
      <c r="AI241" t="n">
        <v>30.78</v>
      </c>
      <c r="AJ241" t="n">
        <v>0</v>
      </c>
      <c r="AK241" t="n">
        <v>54.59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183.42</v>
      </c>
      <c r="AV241" t="n">
        <v>0</v>
      </c>
      <c r="AW241" t="n">
        <v>462.86</v>
      </c>
      <c r="AX241" t="inlineStr">
        <is>
          <t>settled</t>
        </is>
      </c>
      <c r="AY241" t="inlineStr">
        <is>
          <t>2025-12-17 05:30:00</t>
        </is>
      </c>
      <c r="AZ241" t="inlineStr">
        <is>
          <t>CITIN25671113204</t>
        </is>
      </c>
      <c r="BA241" t="n">
        <v>0</v>
      </c>
      <c r="BB241" t="inlineStr">
        <is>
          <t>02e1df696d255d209948451d19b6925c7875e15f2580eb29123761cae6cdd99c</t>
        </is>
      </c>
    </row>
    <row r="242">
      <c r="A242" t="inlineStr">
        <is>
          <t>582</t>
        </is>
      </c>
      <c r="B242" t="inlineStr">
        <is>
          <t>7570988893</t>
        </is>
      </c>
      <c r="C242" t="inlineStr">
        <is>
          <t>2025-12-12 19:09:12</t>
        </is>
      </c>
      <c r="D242" t="inlineStr">
        <is>
          <t>50</t>
        </is>
      </c>
      <c r="E242" t="inlineStr">
        <is>
          <t>Sha Sha - Shandaar Shawarma</t>
        </is>
      </c>
      <c r="F242" t="inlineStr">
        <is>
          <t>18557902</t>
        </is>
      </c>
      <c r="G242" t="inlineStr">
        <is>
          <t>30% off upto ₹75 (2025-06-25 - 2031-01-01)</t>
        </is>
      </c>
      <c r="H242" t="inlineStr">
        <is>
          <t>ONLINE</t>
        </is>
      </c>
      <c r="I242" t="inlineStr">
        <is>
          <t>DELIVERED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O2</t>
        </is>
      </c>
      <c r="N242" t="inlineStr">
        <is>
          <t>36</t>
        </is>
      </c>
      <c r="O242" t="n">
        <v>355</v>
      </c>
      <c r="P242" t="n">
        <v>3.5</v>
      </c>
      <c r="Q242" t="n">
        <v>0</v>
      </c>
      <c r="R242" t="n">
        <v>75</v>
      </c>
      <c r="S242" t="n">
        <v>0</v>
      </c>
      <c r="T242" t="n">
        <v>0</v>
      </c>
      <c r="U242" t="n">
        <v>0</v>
      </c>
      <c r="V242" t="n">
        <v>14.18</v>
      </c>
      <c r="W242" t="n">
        <v>297.68</v>
      </c>
      <c r="X242" t="n">
        <v>283.5</v>
      </c>
      <c r="Y242" t="n">
        <v>19</v>
      </c>
      <c r="Z242" t="n">
        <v>53.86</v>
      </c>
      <c r="AA242" t="n">
        <v>5.48</v>
      </c>
      <c r="AB242" t="n">
        <v>59.34</v>
      </c>
      <c r="AC242" t="n">
        <v>10.68</v>
      </c>
      <c r="AD242" t="n">
        <v>0</v>
      </c>
      <c r="AE242" t="n">
        <v>283.5</v>
      </c>
      <c r="AF242" t="n">
        <v>0</v>
      </c>
      <c r="AG242" t="n">
        <v>0</v>
      </c>
      <c r="AH242" t="n">
        <v>0.28</v>
      </c>
      <c r="AI242" t="n">
        <v>14.18</v>
      </c>
      <c r="AJ242" t="n">
        <v>0</v>
      </c>
      <c r="AK242" t="n">
        <v>25.14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84.48</v>
      </c>
      <c r="AV242" t="n">
        <v>0</v>
      </c>
      <c r="AW242" t="n">
        <v>213.2</v>
      </c>
      <c r="AX242" t="inlineStr">
        <is>
          <t>settled</t>
        </is>
      </c>
      <c r="AY242" t="inlineStr">
        <is>
          <t>2025-12-17 05:30:00</t>
        </is>
      </c>
      <c r="AZ242" t="inlineStr">
        <is>
          <t>CITIN25671113204</t>
        </is>
      </c>
      <c r="BA242" t="n">
        <v>0</v>
      </c>
      <c r="BB242" t="inlineStr">
        <is>
          <t>df4dec4077a226b1dd7b92df9c67f5a60ca21c19002a2dfdeb6afb9d1ed3a601</t>
        </is>
      </c>
    </row>
    <row r="243">
      <c r="A243" t="inlineStr">
        <is>
          <t>583</t>
        </is>
      </c>
      <c r="B243" t="inlineStr">
        <is>
          <t>7573430034</t>
        </is>
      </c>
      <c r="C243" t="inlineStr">
        <is>
          <t>2025-12-12 19:09:57</t>
        </is>
      </c>
      <c r="D243" t="inlineStr">
        <is>
          <t>50</t>
        </is>
      </c>
      <c r="E243" t="inlineStr">
        <is>
          <t>Sha Sha - Shandaar Shawarma</t>
        </is>
      </c>
      <c r="F243" t="inlineStr">
        <is>
          <t>18557902</t>
        </is>
      </c>
      <c r="G243" t="inlineStr">
        <is>
          <t>30% off upto ₹75 (2025-06-25 - 2031-01-01)</t>
        </is>
      </c>
      <c r="H243" t="inlineStr">
        <is>
          <t>ONLINE</t>
        </is>
      </c>
      <c r="I243" t="inlineStr">
        <is>
          <t>DELIVERED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O2</t>
        </is>
      </c>
      <c r="N243" t="inlineStr">
        <is>
          <t>36</t>
        </is>
      </c>
      <c r="O243" t="n">
        <v>219</v>
      </c>
      <c r="P243" t="n">
        <v>3.5</v>
      </c>
      <c r="Q243" t="n">
        <v>0</v>
      </c>
      <c r="R243" t="n">
        <v>65.7</v>
      </c>
      <c r="S243" t="n">
        <v>0</v>
      </c>
      <c r="T243" t="n">
        <v>0</v>
      </c>
      <c r="U243" t="n">
        <v>0</v>
      </c>
      <c r="V243" t="n">
        <v>7.84</v>
      </c>
      <c r="W243" t="n">
        <v>164.64</v>
      </c>
      <c r="X243" t="n">
        <v>156.8</v>
      </c>
      <c r="Y243" t="n">
        <v>19</v>
      </c>
      <c r="Z243" t="n">
        <v>29.79</v>
      </c>
      <c r="AA243" t="n">
        <v>3.03</v>
      </c>
      <c r="AB243" t="n">
        <v>32.82</v>
      </c>
      <c r="AC243" t="n">
        <v>5.91</v>
      </c>
      <c r="AD243" t="n">
        <v>0</v>
      </c>
      <c r="AE243" t="n">
        <v>156.8</v>
      </c>
      <c r="AF243" t="n">
        <v>0</v>
      </c>
      <c r="AG243" t="n">
        <v>0</v>
      </c>
      <c r="AH243" t="n">
        <v>0.16</v>
      </c>
      <c r="AI243" t="n">
        <v>7.85</v>
      </c>
      <c r="AJ243" t="n">
        <v>-0.01</v>
      </c>
      <c r="AK243" t="n">
        <v>13.92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46.74</v>
      </c>
      <c r="AV243" t="n">
        <v>0</v>
      </c>
      <c r="AW243" t="n">
        <v>117.9</v>
      </c>
      <c r="AX243" t="inlineStr">
        <is>
          <t>settled</t>
        </is>
      </c>
      <c r="AY243" t="inlineStr">
        <is>
          <t>2025-12-17 05:30:00</t>
        </is>
      </c>
      <c r="AZ243" t="inlineStr">
        <is>
          <t>CITIN25671113204</t>
        </is>
      </c>
      <c r="BA243" t="n">
        <v>0</v>
      </c>
      <c r="BB243" t="inlineStr">
        <is>
          <t>812b628641c1bc05b47fb9ea50b808ee14ca4f0581a23886b600392e51bc1b6d</t>
        </is>
      </c>
    </row>
    <row r="244">
      <c r="A244" t="inlineStr">
        <is>
          <t>584</t>
        </is>
      </c>
      <c r="B244" t="inlineStr">
        <is>
          <t>7567822444</t>
        </is>
      </c>
      <c r="C244" t="inlineStr">
        <is>
          <t>2025-12-12 19:10:13</t>
        </is>
      </c>
      <c r="D244" t="inlineStr">
        <is>
          <t>50</t>
        </is>
      </c>
      <c r="E244" t="inlineStr">
        <is>
          <t>Sha Sha - Shandaar Shawarma</t>
        </is>
      </c>
      <c r="F244" t="inlineStr">
        <is>
          <t>18557902</t>
        </is>
      </c>
      <c r="G244" t="inlineStr">
        <is>
          <t>NA</t>
        </is>
      </c>
      <c r="H244" t="inlineStr">
        <is>
          <t>ONLINE</t>
        </is>
      </c>
      <c r="I244" t="inlineStr">
        <is>
          <t>DELIVERED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O2</t>
        </is>
      </c>
      <c r="N244" t="inlineStr">
        <is>
          <t>36</t>
        </is>
      </c>
      <c r="O244" t="n">
        <v>149</v>
      </c>
      <c r="P244" t="n">
        <v>3.5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7.63</v>
      </c>
      <c r="W244" t="n">
        <v>160.13</v>
      </c>
      <c r="X244" t="n">
        <v>152.5</v>
      </c>
      <c r="Y244" t="n">
        <v>19</v>
      </c>
      <c r="Z244" t="n">
        <v>28.98</v>
      </c>
      <c r="AA244" t="n">
        <v>2.95</v>
      </c>
      <c r="AB244" t="n">
        <v>31.93</v>
      </c>
      <c r="AC244" t="n">
        <v>5.75</v>
      </c>
      <c r="AD244" t="n">
        <v>0</v>
      </c>
      <c r="AE244" t="n">
        <v>152.5</v>
      </c>
      <c r="AF244" t="n">
        <v>0</v>
      </c>
      <c r="AG244" t="n">
        <v>0</v>
      </c>
      <c r="AH244" t="n">
        <v>0.15</v>
      </c>
      <c r="AI244" t="n">
        <v>7.63</v>
      </c>
      <c r="AJ244" t="n">
        <v>0</v>
      </c>
      <c r="AK244" t="n">
        <v>13.53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45.46</v>
      </c>
      <c r="AV244" t="n">
        <v>0</v>
      </c>
      <c r="AW244" t="n">
        <v>114.67</v>
      </c>
      <c r="AX244" t="inlineStr">
        <is>
          <t>settled</t>
        </is>
      </c>
      <c r="AY244" t="inlineStr">
        <is>
          <t>2025-12-17 05:30:00</t>
        </is>
      </c>
      <c r="AZ244" t="inlineStr">
        <is>
          <t>CITIN25671113204</t>
        </is>
      </c>
      <c r="BA244" t="n">
        <v>0</v>
      </c>
      <c r="BB244" t="inlineStr">
        <is>
          <t>1b4b5cee8b3ed559c1ca8b4e1a2f531968a5d80bae9639c6319576e6ab7ba86b</t>
        </is>
      </c>
    </row>
    <row r="245">
      <c r="A245" t="inlineStr">
        <is>
          <t>585</t>
        </is>
      </c>
      <c r="B245" t="inlineStr">
        <is>
          <t>7570249532</t>
        </is>
      </c>
      <c r="C245" t="inlineStr">
        <is>
          <t>2025-12-12 19:34:22</t>
        </is>
      </c>
      <c r="D245" t="inlineStr">
        <is>
          <t>50</t>
        </is>
      </c>
      <c r="E245" t="inlineStr">
        <is>
          <t>Sha Sha - Shandaar Shawarma</t>
        </is>
      </c>
      <c r="F245" t="inlineStr">
        <is>
          <t>18557902</t>
        </is>
      </c>
      <c r="G245" t="inlineStr">
        <is>
          <t>NA</t>
        </is>
      </c>
      <c r="H245" t="inlineStr">
        <is>
          <t>ONLINE</t>
        </is>
      </c>
      <c r="I245" t="inlineStr">
        <is>
          <t>DELIVERED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O2</t>
        </is>
      </c>
      <c r="N245" t="inlineStr">
        <is>
          <t>36</t>
        </is>
      </c>
      <c r="O245" t="n">
        <v>219</v>
      </c>
      <c r="P245" t="n">
        <v>3.5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11.13</v>
      </c>
      <c r="W245" t="n">
        <v>233.63</v>
      </c>
      <c r="X245" t="n">
        <v>222.5</v>
      </c>
      <c r="Y245" t="n">
        <v>19</v>
      </c>
      <c r="Z245" t="n">
        <v>42.28</v>
      </c>
      <c r="AA245" t="n">
        <v>4.3</v>
      </c>
      <c r="AB245" t="n">
        <v>46.58</v>
      </c>
      <c r="AC245" t="n">
        <v>8.380000000000001</v>
      </c>
      <c r="AD245" t="n">
        <v>0</v>
      </c>
      <c r="AE245" t="n">
        <v>222.5</v>
      </c>
      <c r="AF245" t="n">
        <v>0</v>
      </c>
      <c r="AG245" t="n">
        <v>0</v>
      </c>
      <c r="AH245" t="n">
        <v>0.22</v>
      </c>
      <c r="AI245" t="n">
        <v>11.13</v>
      </c>
      <c r="AJ245" t="n">
        <v>0</v>
      </c>
      <c r="AK245" t="n">
        <v>19.73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66.31</v>
      </c>
      <c r="AV245" t="n">
        <v>0</v>
      </c>
      <c r="AW245" t="n">
        <v>167.32</v>
      </c>
      <c r="AX245" t="inlineStr">
        <is>
          <t>settled</t>
        </is>
      </c>
      <c r="AY245" t="inlineStr">
        <is>
          <t>2025-12-17 05:30:00</t>
        </is>
      </c>
      <c r="AZ245" t="inlineStr">
        <is>
          <t>CITIN25671113204</t>
        </is>
      </c>
      <c r="BA245" t="n">
        <v>0</v>
      </c>
      <c r="BB245" t="inlineStr">
        <is>
          <t>69801412ceded8e927f004f91e0a0394337c4db7b17276339966851addc4daab</t>
        </is>
      </c>
    </row>
    <row r="246">
      <c r="A246" t="inlineStr">
        <is>
          <t>586</t>
        </is>
      </c>
      <c r="B246" t="inlineStr">
        <is>
          <t>7573623853</t>
        </is>
      </c>
      <c r="C246" t="inlineStr">
        <is>
          <t>2025-12-12 19:36:26</t>
        </is>
      </c>
      <c r="D246" t="inlineStr">
        <is>
          <t>50</t>
        </is>
      </c>
      <c r="E246" t="inlineStr">
        <is>
          <t>Sha Sha - Shandaar Shawarma</t>
        </is>
      </c>
      <c r="F246" t="inlineStr">
        <is>
          <t>18557902</t>
        </is>
      </c>
      <c r="G246" t="inlineStr">
        <is>
          <t>NA</t>
        </is>
      </c>
      <c r="H246" t="inlineStr">
        <is>
          <t>ONLINE</t>
        </is>
      </c>
      <c r="I246" t="inlineStr">
        <is>
          <t>DELIVERED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O2</t>
        </is>
      </c>
      <c r="N246" t="inlineStr">
        <is>
          <t>36</t>
        </is>
      </c>
      <c r="O246" t="n">
        <v>677</v>
      </c>
      <c r="P246" t="n">
        <v>3.5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34.03</v>
      </c>
      <c r="W246" t="n">
        <v>714.53</v>
      </c>
      <c r="X246" t="n">
        <v>680.5</v>
      </c>
      <c r="Y246" t="n">
        <v>19</v>
      </c>
      <c r="Z246" t="n">
        <v>129.3</v>
      </c>
      <c r="AA246" t="n">
        <v>13.15</v>
      </c>
      <c r="AB246" t="n">
        <v>142.45</v>
      </c>
      <c r="AC246" t="n">
        <v>25.64</v>
      </c>
      <c r="AD246" t="n">
        <v>0</v>
      </c>
      <c r="AE246" t="n">
        <v>680.5</v>
      </c>
      <c r="AF246" t="n">
        <v>0</v>
      </c>
      <c r="AG246" t="n">
        <v>0</v>
      </c>
      <c r="AH246" t="n">
        <v>0.68</v>
      </c>
      <c r="AI246" t="n">
        <v>34.03</v>
      </c>
      <c r="AJ246" t="n">
        <v>0</v>
      </c>
      <c r="AK246" t="n">
        <v>60.35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202.8</v>
      </c>
      <c r="AV246" t="n">
        <v>0</v>
      </c>
      <c r="AW246" t="n">
        <v>511.73</v>
      </c>
      <c r="AX246" t="inlineStr">
        <is>
          <t>settled</t>
        </is>
      </c>
      <c r="AY246" t="inlineStr">
        <is>
          <t>2025-12-17 05:30:00</t>
        </is>
      </c>
      <c r="AZ246" t="inlineStr">
        <is>
          <t>CITIN25671113204</t>
        </is>
      </c>
      <c r="BA246" t="n">
        <v>0</v>
      </c>
      <c r="BB246" t="inlineStr">
        <is>
          <t>d99c54c5c05196ffdfc43b4ca8db5dfecca137aeadc857659a2684b0d57c16b0</t>
        </is>
      </c>
    </row>
    <row r="247">
      <c r="A247" t="inlineStr">
        <is>
          <t>587</t>
        </is>
      </c>
      <c r="B247" t="inlineStr">
        <is>
          <t>7574251788</t>
        </is>
      </c>
      <c r="C247" t="inlineStr">
        <is>
          <t>2025-12-12 21:51:11</t>
        </is>
      </c>
      <c r="D247" t="inlineStr">
        <is>
          <t>50</t>
        </is>
      </c>
      <c r="E247" t="inlineStr">
        <is>
          <t>Sha Sha - Shandaar Shawarma</t>
        </is>
      </c>
      <c r="F247" t="inlineStr">
        <is>
          <t>18557902</t>
        </is>
      </c>
      <c r="G247" t="inlineStr">
        <is>
          <t>30% off upto ₹75 (2025-06-25 - 2031-01-01)</t>
        </is>
      </c>
      <c r="H247" t="inlineStr">
        <is>
          <t>ONLINE</t>
        </is>
      </c>
      <c r="I247" t="inlineStr">
        <is>
          <t>DELIVERED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O2</t>
        </is>
      </c>
      <c r="N247" t="inlineStr">
        <is>
          <t>36</t>
        </is>
      </c>
      <c r="O247" t="n">
        <v>229</v>
      </c>
      <c r="P247" t="n">
        <v>3.5</v>
      </c>
      <c r="Q247" t="n">
        <v>0</v>
      </c>
      <c r="R247" t="n">
        <v>68.7</v>
      </c>
      <c r="S247" t="n">
        <v>0</v>
      </c>
      <c r="T247" t="n">
        <v>0</v>
      </c>
      <c r="U247" t="n">
        <v>0</v>
      </c>
      <c r="V247" t="n">
        <v>8.19</v>
      </c>
      <c r="W247" t="n">
        <v>171.99</v>
      </c>
      <c r="X247" t="n">
        <v>163.8</v>
      </c>
      <c r="Y247" t="n">
        <v>19</v>
      </c>
      <c r="Z247" t="n">
        <v>31.12</v>
      </c>
      <c r="AA247" t="n">
        <v>3.16</v>
      </c>
      <c r="AB247" t="n">
        <v>34.28</v>
      </c>
      <c r="AC247" t="n">
        <v>6.17</v>
      </c>
      <c r="AD247" t="n">
        <v>0</v>
      </c>
      <c r="AE247" t="n">
        <v>163.8</v>
      </c>
      <c r="AF247" t="n">
        <v>0</v>
      </c>
      <c r="AG247" t="n">
        <v>0</v>
      </c>
      <c r="AH247" t="n">
        <v>0.16</v>
      </c>
      <c r="AI247" t="n">
        <v>8.199999999999999</v>
      </c>
      <c r="AJ247" t="n">
        <v>-0.01</v>
      </c>
      <c r="AK247" t="n">
        <v>14.53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48.81</v>
      </c>
      <c r="AV247" t="n">
        <v>0</v>
      </c>
      <c r="AW247" t="n">
        <v>123.18</v>
      </c>
      <c r="AX247" t="inlineStr">
        <is>
          <t>settled</t>
        </is>
      </c>
      <c r="AY247" t="inlineStr">
        <is>
          <t>2025-12-17 05:30:00</t>
        </is>
      </c>
      <c r="AZ247" t="inlineStr">
        <is>
          <t>CITIN25671113204</t>
        </is>
      </c>
      <c r="BA247" t="n">
        <v>0</v>
      </c>
      <c r="BB247" t="inlineStr">
        <is>
          <t>683096cdd59dfcee62cbeb1ae20175adbbae62ab5f00ce72767e11af17be732a</t>
        </is>
      </c>
    </row>
    <row r="248">
      <c r="A248" t="inlineStr">
        <is>
          <t>588</t>
        </is>
      </c>
      <c r="B248" t="inlineStr">
        <is>
          <t>7572655153</t>
        </is>
      </c>
      <c r="C248" t="inlineStr">
        <is>
          <t>2025-12-12 22:00:43</t>
        </is>
      </c>
      <c r="D248" t="inlineStr">
        <is>
          <t>50</t>
        </is>
      </c>
      <c r="E248" t="inlineStr">
        <is>
          <t>Sha Sha - Shandaar Shawarma</t>
        </is>
      </c>
      <c r="F248" t="inlineStr">
        <is>
          <t>18557902</t>
        </is>
      </c>
      <c r="G248" t="inlineStr">
        <is>
          <t>NA</t>
        </is>
      </c>
      <c r="H248" t="inlineStr">
        <is>
          <t>ONLINE</t>
        </is>
      </c>
      <c r="I248" t="inlineStr">
        <is>
          <t>DELIVERED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O2</t>
        </is>
      </c>
      <c r="N248" t="inlineStr">
        <is>
          <t>36</t>
        </is>
      </c>
      <c r="O248" t="n">
        <v>219</v>
      </c>
      <c r="P248" t="n">
        <v>3.5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11.13</v>
      </c>
      <c r="W248" t="n">
        <v>233.63</v>
      </c>
      <c r="X248" t="n">
        <v>222.5</v>
      </c>
      <c r="Y248" t="n">
        <v>19</v>
      </c>
      <c r="Z248" t="n">
        <v>42.28</v>
      </c>
      <c r="AA248" t="n">
        <v>4.3</v>
      </c>
      <c r="AB248" t="n">
        <v>46.58</v>
      </c>
      <c r="AC248" t="n">
        <v>8.380000000000001</v>
      </c>
      <c r="AD248" t="n">
        <v>0</v>
      </c>
      <c r="AE248" t="n">
        <v>222.5</v>
      </c>
      <c r="AF248" t="n">
        <v>0</v>
      </c>
      <c r="AG248" t="n">
        <v>0</v>
      </c>
      <c r="AH248" t="n">
        <v>0.22</v>
      </c>
      <c r="AI248" t="n">
        <v>11.13</v>
      </c>
      <c r="AJ248" t="n">
        <v>0</v>
      </c>
      <c r="AK248" t="n">
        <v>19.73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66.31</v>
      </c>
      <c r="AV248" t="n">
        <v>0</v>
      </c>
      <c r="AW248" t="n">
        <v>167.32</v>
      </c>
      <c r="AX248" t="inlineStr">
        <is>
          <t>settled</t>
        </is>
      </c>
      <c r="AY248" t="inlineStr">
        <is>
          <t>2025-12-17 05:30:00</t>
        </is>
      </c>
      <c r="AZ248" t="inlineStr">
        <is>
          <t>CITIN25671113204</t>
        </is>
      </c>
      <c r="BA248" t="n">
        <v>0</v>
      </c>
      <c r="BB248" t="inlineStr">
        <is>
          <t>e359d9e2eb8cae3ff4fb6ebd6f0972be69024569fd361a42fb7a75505108b54d</t>
        </is>
      </c>
    </row>
    <row r="249">
      <c r="A249" t="inlineStr">
        <is>
          <t>589</t>
        </is>
      </c>
      <c r="B249" t="inlineStr">
        <is>
          <t>7574959727</t>
        </is>
      </c>
      <c r="C249" t="inlineStr">
        <is>
          <t>2025-12-12 22:24:55</t>
        </is>
      </c>
      <c r="D249" t="inlineStr">
        <is>
          <t>50</t>
        </is>
      </c>
      <c r="E249" t="inlineStr">
        <is>
          <t>Sha Sha - Shandaar Shawarma</t>
        </is>
      </c>
      <c r="F249" t="inlineStr">
        <is>
          <t>18557902</t>
        </is>
      </c>
      <c r="G249" t="inlineStr">
        <is>
          <t>30% off upto ₹75 (2025-06-25 - 2031-01-01)</t>
        </is>
      </c>
      <c r="H249" t="inlineStr">
        <is>
          <t>ONLINE</t>
        </is>
      </c>
      <c r="I249" t="inlineStr">
        <is>
          <t>DELIVERED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O2</t>
        </is>
      </c>
      <c r="N249" t="inlineStr">
        <is>
          <t>36</t>
        </is>
      </c>
      <c r="O249" t="n">
        <v>636</v>
      </c>
      <c r="P249" t="n">
        <v>3.5</v>
      </c>
      <c r="Q249" t="n">
        <v>0</v>
      </c>
      <c r="R249" t="n">
        <v>75</v>
      </c>
      <c r="S249" t="n">
        <v>0</v>
      </c>
      <c r="T249" t="n">
        <v>0</v>
      </c>
      <c r="U249" t="n">
        <v>0</v>
      </c>
      <c r="V249" t="n">
        <v>28.23</v>
      </c>
      <c r="W249" t="n">
        <v>592.73</v>
      </c>
      <c r="X249" t="n">
        <v>564.5</v>
      </c>
      <c r="Y249" t="n">
        <v>19</v>
      </c>
      <c r="Z249" t="n">
        <v>107.26</v>
      </c>
      <c r="AA249" t="n">
        <v>10.91</v>
      </c>
      <c r="AB249" t="n">
        <v>118.17</v>
      </c>
      <c r="AC249" t="n">
        <v>21.27</v>
      </c>
      <c r="AD249" t="n">
        <v>0</v>
      </c>
      <c r="AE249" t="n">
        <v>564.5</v>
      </c>
      <c r="AF249" t="n">
        <v>0</v>
      </c>
      <c r="AG249" t="n">
        <v>0</v>
      </c>
      <c r="AH249" t="n">
        <v>0.5600000000000001</v>
      </c>
      <c r="AI249" t="n">
        <v>28.23</v>
      </c>
      <c r="AJ249" t="n">
        <v>0</v>
      </c>
      <c r="AK249" t="n">
        <v>50.06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168.23</v>
      </c>
      <c r="AV249" t="n">
        <v>0</v>
      </c>
      <c r="AW249" t="n">
        <v>424.5</v>
      </c>
      <c r="AX249" t="inlineStr">
        <is>
          <t>settled</t>
        </is>
      </c>
      <c r="AY249" t="inlineStr">
        <is>
          <t>2025-12-17 05:30:00</t>
        </is>
      </c>
      <c r="AZ249" t="inlineStr">
        <is>
          <t>CITIN25671113204</t>
        </is>
      </c>
      <c r="BA249" t="n">
        <v>0</v>
      </c>
      <c r="BB249" t="inlineStr">
        <is>
          <t>f798e47790c1e3cb598afa75d7867884dbdf273518feda5a3b49da53165f1fe2</t>
        </is>
      </c>
    </row>
    <row r="250">
      <c r="A250" t="inlineStr">
        <is>
          <t>590</t>
        </is>
      </c>
      <c r="B250" t="inlineStr">
        <is>
          <t>7576492344</t>
        </is>
      </c>
      <c r="C250" t="inlineStr">
        <is>
          <t>2025-12-12 22:44:10</t>
        </is>
      </c>
      <c r="D250" t="inlineStr">
        <is>
          <t>50</t>
        </is>
      </c>
      <c r="E250" t="inlineStr">
        <is>
          <t>Sha Sha - Shandaar Shawarma</t>
        </is>
      </c>
      <c r="F250" t="inlineStr">
        <is>
          <t>18557902</t>
        </is>
      </c>
      <c r="G250" t="inlineStr">
        <is>
          <t>NA</t>
        </is>
      </c>
      <c r="H250" t="inlineStr">
        <is>
          <t>ONLINE</t>
        </is>
      </c>
      <c r="I250" t="inlineStr">
        <is>
          <t>DELIVERED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O2</t>
        </is>
      </c>
      <c r="N250" t="inlineStr">
        <is>
          <t>36</t>
        </is>
      </c>
      <c r="O250" t="n">
        <v>229</v>
      </c>
      <c r="P250" t="n">
        <v>3.5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11.63</v>
      </c>
      <c r="W250" t="n">
        <v>244.13</v>
      </c>
      <c r="X250" t="n">
        <v>232.5</v>
      </c>
      <c r="Y250" t="n">
        <v>19</v>
      </c>
      <c r="Z250" t="n">
        <v>44.18</v>
      </c>
      <c r="AA250" t="n">
        <v>4.49</v>
      </c>
      <c r="AB250" t="n">
        <v>48.67</v>
      </c>
      <c r="AC250" t="n">
        <v>8.76</v>
      </c>
      <c r="AD250" t="n">
        <v>0</v>
      </c>
      <c r="AE250" t="n">
        <v>232.5</v>
      </c>
      <c r="AF250" t="n">
        <v>0</v>
      </c>
      <c r="AG250" t="n">
        <v>0</v>
      </c>
      <c r="AH250" t="n">
        <v>0.23</v>
      </c>
      <c r="AI250" t="n">
        <v>11.63</v>
      </c>
      <c r="AJ250" t="n">
        <v>0</v>
      </c>
      <c r="AK250" t="n">
        <v>20.62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69.29000000000001</v>
      </c>
      <c r="AV250" t="n">
        <v>0</v>
      </c>
      <c r="AW250" t="n">
        <v>174.84</v>
      </c>
      <c r="AX250" t="inlineStr">
        <is>
          <t>settled</t>
        </is>
      </c>
      <c r="AY250" t="inlineStr">
        <is>
          <t>2025-12-17 05:30:00</t>
        </is>
      </c>
      <c r="AZ250" t="inlineStr">
        <is>
          <t>CITIN25671113204</t>
        </is>
      </c>
      <c r="BA250" t="n">
        <v>0</v>
      </c>
      <c r="BB250" t="inlineStr">
        <is>
          <t>61616f9d789b64e78695cd86fa93bc5d06532a6ce6b0a6a3b4e3706d20b3146f</t>
        </is>
      </c>
    </row>
    <row r="251">
      <c r="A251" t="inlineStr">
        <is>
          <t>591</t>
        </is>
      </c>
      <c r="B251" t="inlineStr">
        <is>
          <t>7567622540</t>
        </is>
      </c>
      <c r="C251" t="inlineStr">
        <is>
          <t>2025-12-12 23:38:52</t>
        </is>
      </c>
      <c r="D251" t="inlineStr">
        <is>
          <t>50</t>
        </is>
      </c>
      <c r="E251" t="inlineStr">
        <is>
          <t>Sha Sha - Shandaar Shawarma</t>
        </is>
      </c>
      <c r="F251" t="inlineStr">
        <is>
          <t>18557902</t>
        </is>
      </c>
      <c r="G251" t="inlineStr">
        <is>
          <t>30% off upto ₹75 (2025-06-25 - 2031-01-01)</t>
        </is>
      </c>
      <c r="H251" t="inlineStr">
        <is>
          <t>ONLINE</t>
        </is>
      </c>
      <c r="I251" t="inlineStr">
        <is>
          <t>DELIVERED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O2</t>
        </is>
      </c>
      <c r="N251" t="inlineStr">
        <is>
          <t>36</t>
        </is>
      </c>
      <c r="O251" t="n">
        <v>219</v>
      </c>
      <c r="P251" t="n">
        <v>3.5</v>
      </c>
      <c r="Q251" t="n">
        <v>0</v>
      </c>
      <c r="R251" t="n">
        <v>65.7</v>
      </c>
      <c r="S251" t="n">
        <v>0</v>
      </c>
      <c r="T251" t="n">
        <v>0</v>
      </c>
      <c r="U251" t="n">
        <v>0</v>
      </c>
      <c r="V251" t="n">
        <v>7.84</v>
      </c>
      <c r="W251" t="n">
        <v>164.64</v>
      </c>
      <c r="X251" t="n">
        <v>156.8</v>
      </c>
      <c r="Y251" t="n">
        <v>19</v>
      </c>
      <c r="Z251" t="n">
        <v>29.79</v>
      </c>
      <c r="AA251" t="n">
        <v>3.03</v>
      </c>
      <c r="AB251" t="n">
        <v>32.82</v>
      </c>
      <c r="AC251" t="n">
        <v>5.91</v>
      </c>
      <c r="AD251" t="n">
        <v>0</v>
      </c>
      <c r="AE251" t="n">
        <v>156.8</v>
      </c>
      <c r="AF251" t="n">
        <v>0</v>
      </c>
      <c r="AG251" t="n">
        <v>0</v>
      </c>
      <c r="AH251" t="n">
        <v>0.16</v>
      </c>
      <c r="AI251" t="n">
        <v>7.85</v>
      </c>
      <c r="AJ251" t="n">
        <v>-0.01</v>
      </c>
      <c r="AK251" t="n">
        <v>13.92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46.74</v>
      </c>
      <c r="AV251" t="n">
        <v>0</v>
      </c>
      <c r="AW251" t="n">
        <v>117.9</v>
      </c>
      <c r="AX251" t="inlineStr">
        <is>
          <t>settled</t>
        </is>
      </c>
      <c r="AY251" t="inlineStr">
        <is>
          <t>2025-12-17 05:30:00</t>
        </is>
      </c>
      <c r="AZ251" t="inlineStr">
        <is>
          <t>CITIN25671113204</t>
        </is>
      </c>
      <c r="BA251" t="n">
        <v>0</v>
      </c>
      <c r="BB251" t="inlineStr">
        <is>
          <t>529b5bb4b58d685ae33886a9e0dafce52706ef0fcdd5667164520fd563cdcc57</t>
        </is>
      </c>
    </row>
    <row r="252">
      <c r="A252" t="inlineStr">
        <is>
          <t>592</t>
        </is>
      </c>
      <c r="B252" t="inlineStr">
        <is>
          <t>7568977138</t>
        </is>
      </c>
      <c r="C252" t="inlineStr">
        <is>
          <t>2025-12-12 23:39:03</t>
        </is>
      </c>
      <c r="D252" t="inlineStr">
        <is>
          <t>50</t>
        </is>
      </c>
      <c r="E252" t="inlineStr">
        <is>
          <t>Sha Sha - Shandaar Shawarma</t>
        </is>
      </c>
      <c r="F252" t="inlineStr">
        <is>
          <t>18557902</t>
        </is>
      </c>
      <c r="G252" t="inlineStr">
        <is>
          <t>30% off upto ₹75 (2025-06-25 - 2031-01-01)</t>
        </is>
      </c>
      <c r="H252" t="inlineStr">
        <is>
          <t>ONLINE</t>
        </is>
      </c>
      <c r="I252" t="inlineStr">
        <is>
          <t>DELIVERED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O2</t>
        </is>
      </c>
      <c r="N252" t="inlineStr">
        <is>
          <t>36</t>
        </is>
      </c>
      <c r="O252" t="n">
        <v>458</v>
      </c>
      <c r="P252" t="n">
        <v>3.5</v>
      </c>
      <c r="Q252" t="n">
        <v>0</v>
      </c>
      <c r="R252" t="n">
        <v>75</v>
      </c>
      <c r="S252" t="n">
        <v>0</v>
      </c>
      <c r="T252" t="n">
        <v>0</v>
      </c>
      <c r="U252" t="n">
        <v>0</v>
      </c>
      <c r="V252" t="n">
        <v>19.33</v>
      </c>
      <c r="W252" t="n">
        <v>405.83</v>
      </c>
      <c r="X252" t="n">
        <v>386.5</v>
      </c>
      <c r="Y252" t="n">
        <v>19</v>
      </c>
      <c r="Z252" t="n">
        <v>73.44</v>
      </c>
      <c r="AA252" t="n">
        <v>7.47</v>
      </c>
      <c r="AB252" t="n">
        <v>80.91</v>
      </c>
      <c r="AC252" t="n">
        <v>14.56</v>
      </c>
      <c r="AD252" t="n">
        <v>0</v>
      </c>
      <c r="AE252" t="n">
        <v>386.5</v>
      </c>
      <c r="AF252" t="n">
        <v>0</v>
      </c>
      <c r="AG252" t="n">
        <v>0</v>
      </c>
      <c r="AH252" t="n">
        <v>0.39</v>
      </c>
      <c r="AI252" t="n">
        <v>19.33</v>
      </c>
      <c r="AJ252" t="n">
        <v>0</v>
      </c>
      <c r="AK252" t="n">
        <v>34.28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115.19</v>
      </c>
      <c r="AV252" t="n">
        <v>0</v>
      </c>
      <c r="AW252" t="n">
        <v>290.64</v>
      </c>
      <c r="AX252" t="inlineStr">
        <is>
          <t>settled</t>
        </is>
      </c>
      <c r="AY252" t="inlineStr">
        <is>
          <t>2025-12-17 05:30:00</t>
        </is>
      </c>
      <c r="AZ252" t="inlineStr">
        <is>
          <t>CITIN25671113204</t>
        </is>
      </c>
      <c r="BA252" t="n">
        <v>0</v>
      </c>
      <c r="BB252" t="inlineStr">
        <is>
          <t>96334888512de0e8b4567b68931b5bb071ba8b8ef773b910f7e7f0adee10ae4f</t>
        </is>
      </c>
    </row>
    <row r="253">
      <c r="A253" t="inlineStr">
        <is>
          <t>593</t>
        </is>
      </c>
      <c r="B253" t="inlineStr">
        <is>
          <t>7570376885</t>
        </is>
      </c>
      <c r="C253" t="inlineStr">
        <is>
          <t>2025-12-12 23:41:03</t>
        </is>
      </c>
      <c r="D253" t="inlineStr">
        <is>
          <t>50</t>
        </is>
      </c>
      <c r="E253" t="inlineStr">
        <is>
          <t>Sha Sha - Shandaar Shawarma</t>
        </is>
      </c>
      <c r="F253" t="inlineStr">
        <is>
          <t>18557902</t>
        </is>
      </c>
      <c r="G253" t="inlineStr">
        <is>
          <t>30% off upto ₹75 (2025-06-25 - 2031-01-01)</t>
        </is>
      </c>
      <c r="H253" t="inlineStr">
        <is>
          <t>ONLINE</t>
        </is>
      </c>
      <c r="I253" t="inlineStr">
        <is>
          <t>DELIVERED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O2</t>
        </is>
      </c>
      <c r="N253" t="inlineStr">
        <is>
          <t>36</t>
        </is>
      </c>
      <c r="O253" t="n">
        <v>229</v>
      </c>
      <c r="P253" t="n">
        <v>3.5</v>
      </c>
      <c r="Q253" t="n">
        <v>0</v>
      </c>
      <c r="R253" t="n">
        <v>68.7</v>
      </c>
      <c r="S253" t="n">
        <v>0</v>
      </c>
      <c r="T253" t="n">
        <v>0</v>
      </c>
      <c r="U253" t="n">
        <v>0</v>
      </c>
      <c r="V253" t="n">
        <v>8.19</v>
      </c>
      <c r="W253" t="n">
        <v>171.99</v>
      </c>
      <c r="X253" t="n">
        <v>163.8</v>
      </c>
      <c r="Y253" t="n">
        <v>19</v>
      </c>
      <c r="Z253" t="n">
        <v>31.12</v>
      </c>
      <c r="AA253" t="n">
        <v>3.16</v>
      </c>
      <c r="AB253" t="n">
        <v>34.28</v>
      </c>
      <c r="AC253" t="n">
        <v>6.17</v>
      </c>
      <c r="AD253" t="n">
        <v>0</v>
      </c>
      <c r="AE253" t="n">
        <v>163.8</v>
      </c>
      <c r="AF253" t="n">
        <v>0</v>
      </c>
      <c r="AG253" t="n">
        <v>0</v>
      </c>
      <c r="AH253" t="n">
        <v>0.16</v>
      </c>
      <c r="AI253" t="n">
        <v>8.199999999999999</v>
      </c>
      <c r="AJ253" t="n">
        <v>-0.01</v>
      </c>
      <c r="AK253" t="n">
        <v>14.53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48.81</v>
      </c>
      <c r="AV253" t="n">
        <v>0</v>
      </c>
      <c r="AW253" t="n">
        <v>123.18</v>
      </c>
      <c r="AX253" t="inlineStr">
        <is>
          <t>settled</t>
        </is>
      </c>
      <c r="AY253" t="inlineStr">
        <is>
          <t>2025-12-17 05:30:00</t>
        </is>
      </c>
      <c r="AZ253" t="inlineStr">
        <is>
          <t>CITIN25671113204</t>
        </is>
      </c>
      <c r="BA253" t="n">
        <v>0</v>
      </c>
      <c r="BB253" t="inlineStr">
        <is>
          <t>c7241f6af7bd606ba9c9d7267ebb33e5e2d52940cbba83627603e0bbc83ba96b</t>
        </is>
      </c>
    </row>
    <row r="254">
      <c r="A254" t="inlineStr">
        <is>
          <t>594</t>
        </is>
      </c>
      <c r="B254" t="inlineStr">
        <is>
          <t>7577117499</t>
        </is>
      </c>
      <c r="C254" t="inlineStr">
        <is>
          <t>2025-12-12 23:41:21</t>
        </is>
      </c>
      <c r="D254" t="inlineStr">
        <is>
          <t>50</t>
        </is>
      </c>
      <c r="E254" t="inlineStr">
        <is>
          <t>Sha Sha - Shandaar Shawarma</t>
        </is>
      </c>
      <c r="F254" t="inlineStr">
        <is>
          <t>18557902</t>
        </is>
      </c>
      <c r="G254" t="inlineStr">
        <is>
          <t>NA</t>
        </is>
      </c>
      <c r="H254" t="inlineStr">
        <is>
          <t>ONLINE</t>
        </is>
      </c>
      <c r="I254" t="inlineStr">
        <is>
          <t>DELIVERED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O2</t>
        </is>
      </c>
      <c r="N254" t="inlineStr">
        <is>
          <t>36</t>
        </is>
      </c>
      <c r="O254" t="n">
        <v>229</v>
      </c>
      <c r="P254" t="n">
        <v>3.5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11.63</v>
      </c>
      <c r="W254" t="n">
        <v>244.13</v>
      </c>
      <c r="X254" t="n">
        <v>232.5</v>
      </c>
      <c r="Y254" t="n">
        <v>19</v>
      </c>
      <c r="Z254" t="n">
        <v>44.18</v>
      </c>
      <c r="AA254" t="n">
        <v>4.49</v>
      </c>
      <c r="AB254" t="n">
        <v>48.67</v>
      </c>
      <c r="AC254" t="n">
        <v>8.76</v>
      </c>
      <c r="AD254" t="n">
        <v>0</v>
      </c>
      <c r="AE254" t="n">
        <v>232.5</v>
      </c>
      <c r="AF254" t="n">
        <v>0</v>
      </c>
      <c r="AG254" t="n">
        <v>0</v>
      </c>
      <c r="AH254" t="n">
        <v>0.23</v>
      </c>
      <c r="AI254" t="n">
        <v>11.63</v>
      </c>
      <c r="AJ254" t="n">
        <v>0</v>
      </c>
      <c r="AK254" t="n">
        <v>20.62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69.29000000000001</v>
      </c>
      <c r="AV254" t="n">
        <v>0</v>
      </c>
      <c r="AW254" t="n">
        <v>174.84</v>
      </c>
      <c r="AX254" t="inlineStr">
        <is>
          <t>settled</t>
        </is>
      </c>
      <c r="AY254" t="inlineStr">
        <is>
          <t>2025-12-17 05:30:00</t>
        </is>
      </c>
      <c r="AZ254" t="inlineStr">
        <is>
          <t>CITIN25671113204</t>
        </is>
      </c>
      <c r="BA254" t="n">
        <v>0</v>
      </c>
      <c r="BB254" t="inlineStr">
        <is>
          <t>39b9a606109606826c9fccd2b92e8ca982c85f1c7eb57a9e5d8331ebfc700f4c</t>
        </is>
      </c>
    </row>
    <row r="255">
      <c r="A255" t="inlineStr">
        <is>
          <t>595</t>
        </is>
      </c>
      <c r="B255" t="inlineStr">
        <is>
          <t>7572456093</t>
        </is>
      </c>
      <c r="C255" t="inlineStr">
        <is>
          <t>2025-12-13 00:19:07</t>
        </is>
      </c>
      <c r="D255" t="inlineStr">
        <is>
          <t>50</t>
        </is>
      </c>
      <c r="E255" t="inlineStr">
        <is>
          <t>Sha Sha - Shandaar Shawarma</t>
        </is>
      </c>
      <c r="F255" t="inlineStr">
        <is>
          <t>18557902</t>
        </is>
      </c>
      <c r="G255" t="inlineStr">
        <is>
          <t>NA</t>
        </is>
      </c>
      <c r="H255" t="inlineStr">
        <is>
          <t>ONLINE</t>
        </is>
      </c>
      <c r="I255" t="inlineStr">
        <is>
          <t>DELIVERED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O2</t>
        </is>
      </c>
      <c r="N255" t="inlineStr">
        <is>
          <t>36</t>
        </is>
      </c>
      <c r="O255" t="n">
        <v>219</v>
      </c>
      <c r="P255" t="n">
        <v>3.5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11.13</v>
      </c>
      <c r="W255" t="n">
        <v>233.63</v>
      </c>
      <c r="X255" t="n">
        <v>222.5</v>
      </c>
      <c r="Y255" t="n">
        <v>19</v>
      </c>
      <c r="Z255" t="n">
        <v>42.28</v>
      </c>
      <c r="AA255" t="n">
        <v>4.3</v>
      </c>
      <c r="AB255" t="n">
        <v>46.58</v>
      </c>
      <c r="AC255" t="n">
        <v>8.380000000000001</v>
      </c>
      <c r="AD255" t="n">
        <v>0</v>
      </c>
      <c r="AE255" t="n">
        <v>222.5</v>
      </c>
      <c r="AF255" t="n">
        <v>0</v>
      </c>
      <c r="AG255" t="n">
        <v>0</v>
      </c>
      <c r="AH255" t="n">
        <v>0.22</v>
      </c>
      <c r="AI255" t="n">
        <v>11.13</v>
      </c>
      <c r="AJ255" t="n">
        <v>0</v>
      </c>
      <c r="AK255" t="n">
        <v>19.73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66.31</v>
      </c>
      <c r="AV255" t="n">
        <v>0</v>
      </c>
      <c r="AW255" t="n">
        <v>167.32</v>
      </c>
      <c r="AX255" t="inlineStr">
        <is>
          <t>settled</t>
        </is>
      </c>
      <c r="AY255" t="inlineStr">
        <is>
          <t>2025-12-17 05:30:00</t>
        </is>
      </c>
      <c r="AZ255" t="inlineStr">
        <is>
          <t>CITIN25671113204</t>
        </is>
      </c>
      <c r="BA255" t="n">
        <v>0</v>
      </c>
      <c r="BB255" t="inlineStr">
        <is>
          <t>be410551c27d8c74685bc01e9f17c583ef34df319159c6116c6d63db64fd1b3c</t>
        </is>
      </c>
    </row>
    <row r="256">
      <c r="A256" t="inlineStr">
        <is>
          <t>596</t>
        </is>
      </c>
      <c r="B256" t="inlineStr">
        <is>
          <t>7568251894</t>
        </is>
      </c>
      <c r="C256" t="inlineStr">
        <is>
          <t>2025-12-13 00:21:53</t>
        </is>
      </c>
      <c r="D256" t="inlineStr">
        <is>
          <t>50</t>
        </is>
      </c>
      <c r="E256" t="inlineStr">
        <is>
          <t>Sha Sha - Shandaar Shawarma</t>
        </is>
      </c>
      <c r="F256" t="inlineStr">
        <is>
          <t>18557902</t>
        </is>
      </c>
      <c r="G256" t="inlineStr">
        <is>
          <t>30% off upto ₹75 (2025-06-25 - 2031-01-01)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O2</t>
        </is>
      </c>
      <c r="N256" t="inlineStr">
        <is>
          <t>36</t>
        </is>
      </c>
      <c r="O256" t="n">
        <v>229</v>
      </c>
      <c r="P256" t="n">
        <v>3.5</v>
      </c>
      <c r="Q256" t="n">
        <v>0</v>
      </c>
      <c r="R256" t="n">
        <v>68.7</v>
      </c>
      <c r="S256" t="n">
        <v>0</v>
      </c>
      <c r="T256" t="n">
        <v>0</v>
      </c>
      <c r="U256" t="n">
        <v>0</v>
      </c>
      <c r="V256" t="n">
        <v>8.19</v>
      </c>
      <c r="W256" t="n">
        <v>171.99</v>
      </c>
      <c r="X256" t="n">
        <v>163.8</v>
      </c>
      <c r="Y256" t="n">
        <v>19</v>
      </c>
      <c r="Z256" t="n">
        <v>31.12</v>
      </c>
      <c r="AA256" t="n">
        <v>3.16</v>
      </c>
      <c r="AB256" t="n">
        <v>34.28</v>
      </c>
      <c r="AC256" t="n">
        <v>6.17</v>
      </c>
      <c r="AD256" t="n">
        <v>0</v>
      </c>
      <c r="AE256" t="n">
        <v>163.8</v>
      </c>
      <c r="AF256" t="n">
        <v>0</v>
      </c>
      <c r="AG256" t="n">
        <v>0</v>
      </c>
      <c r="AH256" t="n">
        <v>0.16</v>
      </c>
      <c r="AI256" t="n">
        <v>8.199999999999999</v>
      </c>
      <c r="AJ256" t="n">
        <v>-0.01</v>
      </c>
      <c r="AK256" t="n">
        <v>14.53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48.81</v>
      </c>
      <c r="AV256" t="n">
        <v>0</v>
      </c>
      <c r="AW256" t="n">
        <v>123.18</v>
      </c>
      <c r="AX256" t="inlineStr">
        <is>
          <t>settled</t>
        </is>
      </c>
      <c r="AY256" t="inlineStr">
        <is>
          <t>2025-12-17 05:30:00</t>
        </is>
      </c>
      <c r="AZ256" t="inlineStr">
        <is>
          <t>CITIN25671113204</t>
        </is>
      </c>
      <c r="BA256" t="n">
        <v>0</v>
      </c>
      <c r="BB256" t="inlineStr">
        <is>
          <t>85bd17cbd0ada86010199a813c658435f816542b59ae8e2d101673b0c9e8ee6f</t>
        </is>
      </c>
    </row>
    <row r="257">
      <c r="A257" t="inlineStr">
        <is>
          <t>597</t>
        </is>
      </c>
      <c r="B257" t="inlineStr">
        <is>
          <t>7576382543</t>
        </is>
      </c>
      <c r="C257" t="inlineStr">
        <is>
          <t>2025-12-13 00:33:11</t>
        </is>
      </c>
      <c r="D257" t="inlineStr">
        <is>
          <t>50</t>
        </is>
      </c>
      <c r="E257" t="inlineStr">
        <is>
          <t>Sha Sha - Shandaar Shawarma</t>
        </is>
      </c>
      <c r="F257" t="inlineStr">
        <is>
          <t>18557902</t>
        </is>
      </c>
      <c r="G257" t="inlineStr">
        <is>
          <t>NA</t>
        </is>
      </c>
      <c r="H257" t="inlineStr">
        <is>
          <t>ONLINE</t>
        </is>
      </c>
      <c r="I257" t="inlineStr">
        <is>
          <t>DELIVERED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O2</t>
        </is>
      </c>
      <c r="N257" t="inlineStr">
        <is>
          <t>36</t>
        </is>
      </c>
      <c r="O257" t="n">
        <v>229</v>
      </c>
      <c r="P257" t="n">
        <v>3.5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11.63</v>
      </c>
      <c r="W257" t="n">
        <v>244.13</v>
      </c>
      <c r="X257" t="n">
        <v>232.5</v>
      </c>
      <c r="Y257" t="n">
        <v>19</v>
      </c>
      <c r="Z257" t="n">
        <v>44.18</v>
      </c>
      <c r="AA257" t="n">
        <v>4.49</v>
      </c>
      <c r="AB257" t="n">
        <v>48.67</v>
      </c>
      <c r="AC257" t="n">
        <v>8.76</v>
      </c>
      <c r="AD257" t="n">
        <v>0</v>
      </c>
      <c r="AE257" t="n">
        <v>232.5</v>
      </c>
      <c r="AF257" t="n">
        <v>0</v>
      </c>
      <c r="AG257" t="n">
        <v>0</v>
      </c>
      <c r="AH257" t="n">
        <v>0.23</v>
      </c>
      <c r="AI257" t="n">
        <v>11.63</v>
      </c>
      <c r="AJ257" t="n">
        <v>0</v>
      </c>
      <c r="AK257" t="n">
        <v>20.62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69.29000000000001</v>
      </c>
      <c r="AV257" t="n">
        <v>0</v>
      </c>
      <c r="AW257" t="n">
        <v>174.84</v>
      </c>
      <c r="AX257" t="inlineStr">
        <is>
          <t>settled</t>
        </is>
      </c>
      <c r="AY257" t="inlineStr">
        <is>
          <t>2025-12-17 05:30:00</t>
        </is>
      </c>
      <c r="AZ257" t="inlineStr">
        <is>
          <t>CITIN25671113204</t>
        </is>
      </c>
      <c r="BA257" t="n">
        <v>0</v>
      </c>
      <c r="BB257" t="inlineStr">
        <is>
          <t>309bb604705e8e531de34d484797a413b02eb319660579b3963ab1cf39223249</t>
        </is>
      </c>
    </row>
    <row r="258">
      <c r="A258" t="inlineStr">
        <is>
          <t>598</t>
        </is>
      </c>
      <c r="B258" t="inlineStr">
        <is>
          <t>7557848325</t>
        </is>
      </c>
      <c r="C258" t="inlineStr">
        <is>
          <t>2025-12-13 00:37:45</t>
        </is>
      </c>
      <c r="D258" t="inlineStr">
        <is>
          <t>50</t>
        </is>
      </c>
      <c r="E258" t="inlineStr">
        <is>
          <t>Sha Sha - Shandaar Shawarma</t>
        </is>
      </c>
      <c r="F258" t="inlineStr">
        <is>
          <t>18557902</t>
        </is>
      </c>
      <c r="G258" t="inlineStr">
        <is>
          <t>NA</t>
        </is>
      </c>
      <c r="H258" t="inlineStr">
        <is>
          <t>ONLINE</t>
        </is>
      </c>
      <c r="I258" t="inlineStr">
        <is>
          <t>DELIVERED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O2</t>
        </is>
      </c>
      <c r="N258" t="inlineStr">
        <is>
          <t>36</t>
        </is>
      </c>
      <c r="O258" t="n">
        <v>229</v>
      </c>
      <c r="P258" t="n">
        <v>3.5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11.63</v>
      </c>
      <c r="W258" t="n">
        <v>244.13</v>
      </c>
      <c r="X258" t="n">
        <v>232.5</v>
      </c>
      <c r="Y258" t="n">
        <v>19</v>
      </c>
      <c r="Z258" t="n">
        <v>44.18</v>
      </c>
      <c r="AA258" t="n">
        <v>4.49</v>
      </c>
      <c r="AB258" t="n">
        <v>48.67</v>
      </c>
      <c r="AC258" t="n">
        <v>8.76</v>
      </c>
      <c r="AD258" t="n">
        <v>0</v>
      </c>
      <c r="AE258" t="n">
        <v>232.5</v>
      </c>
      <c r="AF258" t="n">
        <v>0</v>
      </c>
      <c r="AG258" t="n">
        <v>0</v>
      </c>
      <c r="AH258" t="n">
        <v>0.23</v>
      </c>
      <c r="AI258" t="n">
        <v>11.63</v>
      </c>
      <c r="AJ258" t="n">
        <v>0</v>
      </c>
      <c r="AK258" t="n">
        <v>20.62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69.29000000000001</v>
      </c>
      <c r="AV258" t="n">
        <v>0</v>
      </c>
      <c r="AW258" t="n">
        <v>174.84</v>
      </c>
      <c r="AX258" t="inlineStr">
        <is>
          <t>settled</t>
        </is>
      </c>
      <c r="AY258" t="inlineStr">
        <is>
          <t>2025-12-17 05:30:00</t>
        </is>
      </c>
      <c r="AZ258" t="inlineStr">
        <is>
          <t>CITIN25671113204</t>
        </is>
      </c>
      <c r="BA258" t="n">
        <v>0</v>
      </c>
      <c r="BB258" t="inlineStr">
        <is>
          <t>03f31a617c0d0d8ed91969db274e8727355b418a639229b4223eb5e51bbc3770</t>
        </is>
      </c>
    </row>
    <row r="259">
      <c r="A259" t="inlineStr">
        <is>
          <t>599</t>
        </is>
      </c>
      <c r="B259" t="inlineStr">
        <is>
          <t>7575767376</t>
        </is>
      </c>
      <c r="C259" t="inlineStr">
        <is>
          <t>2025-12-13 00:59:14</t>
        </is>
      </c>
      <c r="D259" t="inlineStr">
        <is>
          <t>50</t>
        </is>
      </c>
      <c r="E259" t="inlineStr">
        <is>
          <t>Sha Sha - Shandaar Shawarma</t>
        </is>
      </c>
      <c r="F259" t="inlineStr">
        <is>
          <t>18557902</t>
        </is>
      </c>
      <c r="G259" t="inlineStr">
        <is>
          <t>30% off upto ₹75 (2025-06-25 - 2031-01-01)</t>
        </is>
      </c>
      <c r="H259" t="inlineStr">
        <is>
          <t>ONLINE</t>
        </is>
      </c>
      <c r="I259" t="inlineStr">
        <is>
          <t>DELIVERED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O2</t>
        </is>
      </c>
      <c r="N259" t="inlineStr">
        <is>
          <t>36</t>
        </is>
      </c>
      <c r="O259" t="n">
        <v>229</v>
      </c>
      <c r="P259" t="n">
        <v>3.5</v>
      </c>
      <c r="Q259" t="n">
        <v>0</v>
      </c>
      <c r="R259" t="n">
        <v>68.7</v>
      </c>
      <c r="S259" t="n">
        <v>0</v>
      </c>
      <c r="T259" t="n">
        <v>0</v>
      </c>
      <c r="U259" t="n">
        <v>0</v>
      </c>
      <c r="V259" t="n">
        <v>8.19</v>
      </c>
      <c r="W259" t="n">
        <v>171.99</v>
      </c>
      <c r="X259" t="n">
        <v>163.8</v>
      </c>
      <c r="Y259" t="n">
        <v>19</v>
      </c>
      <c r="Z259" t="n">
        <v>31.12</v>
      </c>
      <c r="AA259" t="n">
        <v>3.16</v>
      </c>
      <c r="AB259" t="n">
        <v>34.28</v>
      </c>
      <c r="AC259" t="n">
        <v>6.17</v>
      </c>
      <c r="AD259" t="n">
        <v>0</v>
      </c>
      <c r="AE259" t="n">
        <v>163.8</v>
      </c>
      <c r="AF259" t="n">
        <v>0</v>
      </c>
      <c r="AG259" t="n">
        <v>0</v>
      </c>
      <c r="AH259" t="n">
        <v>0.16</v>
      </c>
      <c r="AI259" t="n">
        <v>8.199999999999999</v>
      </c>
      <c r="AJ259" t="n">
        <v>-0.01</v>
      </c>
      <c r="AK259" t="n">
        <v>14.53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48.81</v>
      </c>
      <c r="AV259" t="n">
        <v>0</v>
      </c>
      <c r="AW259" t="n">
        <v>123.18</v>
      </c>
      <c r="AX259" t="inlineStr">
        <is>
          <t>settled</t>
        </is>
      </c>
      <c r="AY259" t="inlineStr">
        <is>
          <t>2025-12-17 05:30:00</t>
        </is>
      </c>
      <c r="AZ259" t="inlineStr">
        <is>
          <t>CITIN25671113204</t>
        </is>
      </c>
      <c r="BA259" t="n">
        <v>0</v>
      </c>
      <c r="BB259" t="inlineStr">
        <is>
          <t>9d4245744788e8ea8910a596e24a6fdff99b6bb831043623d51715ae3f4c839c</t>
        </is>
      </c>
    </row>
    <row r="260">
      <c r="A260" t="inlineStr">
        <is>
          <t>600</t>
        </is>
      </c>
      <c r="B260" t="inlineStr">
        <is>
          <t>7576982952</t>
        </is>
      </c>
      <c r="C260" t="inlineStr">
        <is>
          <t>2025-12-13 01:01:19</t>
        </is>
      </c>
      <c r="D260" t="inlineStr">
        <is>
          <t>50</t>
        </is>
      </c>
      <c r="E260" t="inlineStr">
        <is>
          <t>Sha Sha - Shandaar Shawarma</t>
        </is>
      </c>
      <c r="F260" t="inlineStr">
        <is>
          <t>18557902</t>
        </is>
      </c>
      <c r="G260" t="inlineStr">
        <is>
          <t>30% off upto ₹75 (2025-06-25 - 2031-01-01)</t>
        </is>
      </c>
      <c r="H260" t="inlineStr">
        <is>
          <t>ONLINE</t>
        </is>
      </c>
      <c r="I260" t="inlineStr">
        <is>
          <t>DELIVERED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O2</t>
        </is>
      </c>
      <c r="N260" t="inlineStr">
        <is>
          <t>36</t>
        </is>
      </c>
      <c r="O260" t="n">
        <v>355</v>
      </c>
      <c r="P260" t="n">
        <v>3.5</v>
      </c>
      <c r="Q260" t="n">
        <v>0</v>
      </c>
      <c r="R260" t="n">
        <v>75</v>
      </c>
      <c r="S260" t="n">
        <v>0</v>
      </c>
      <c r="T260" t="n">
        <v>0</v>
      </c>
      <c r="U260" t="n">
        <v>0</v>
      </c>
      <c r="V260" t="n">
        <v>14.18</v>
      </c>
      <c r="W260" t="n">
        <v>297.68</v>
      </c>
      <c r="X260" t="n">
        <v>283.5</v>
      </c>
      <c r="Y260" t="n">
        <v>19</v>
      </c>
      <c r="Z260" t="n">
        <v>53.86</v>
      </c>
      <c r="AA260" t="n">
        <v>5.48</v>
      </c>
      <c r="AB260" t="n">
        <v>59.34</v>
      </c>
      <c r="AC260" t="n">
        <v>10.68</v>
      </c>
      <c r="AD260" t="n">
        <v>0</v>
      </c>
      <c r="AE260" t="n">
        <v>283.5</v>
      </c>
      <c r="AF260" t="n">
        <v>0</v>
      </c>
      <c r="AG260" t="n">
        <v>0</v>
      </c>
      <c r="AH260" t="n">
        <v>0.28</v>
      </c>
      <c r="AI260" t="n">
        <v>14.18</v>
      </c>
      <c r="AJ260" t="n">
        <v>0</v>
      </c>
      <c r="AK260" t="n">
        <v>25.14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84.48</v>
      </c>
      <c r="AV260" t="n">
        <v>0</v>
      </c>
      <c r="AW260" t="n">
        <v>213.2</v>
      </c>
      <c r="AX260" t="inlineStr">
        <is>
          <t>settled</t>
        </is>
      </c>
      <c r="AY260" t="inlineStr">
        <is>
          <t>2025-12-17 05:30:00</t>
        </is>
      </c>
      <c r="AZ260" t="inlineStr">
        <is>
          <t>CITIN25671113204</t>
        </is>
      </c>
      <c r="BA260" t="n">
        <v>0</v>
      </c>
      <c r="BB260" t="inlineStr">
        <is>
          <t>48060d7cad8ec19319e8ad76af4208489a3a7acb4c19ab1b9bdeb70c300f4cb3</t>
        </is>
      </c>
    </row>
    <row r="261">
      <c r="A261" t="inlineStr">
        <is>
          <t>601</t>
        </is>
      </c>
      <c r="B261" t="inlineStr">
        <is>
          <t>7574961989</t>
        </is>
      </c>
      <c r="C261" t="inlineStr">
        <is>
          <t>2025-12-13 01:04:33</t>
        </is>
      </c>
      <c r="D261" t="inlineStr">
        <is>
          <t>50</t>
        </is>
      </c>
      <c r="E261" t="inlineStr">
        <is>
          <t>Sha Sha - Shandaar Shawarma</t>
        </is>
      </c>
      <c r="F261" t="inlineStr">
        <is>
          <t>18557902</t>
        </is>
      </c>
      <c r="G261" t="inlineStr">
        <is>
          <t>30% off upto ₹75 (2025-06-25 - 2031-01-01)</t>
        </is>
      </c>
      <c r="H261" t="inlineStr">
        <is>
          <t>ONLINE</t>
        </is>
      </c>
      <c r="I261" t="inlineStr">
        <is>
          <t>DELIVERED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O2</t>
        </is>
      </c>
      <c r="N261" t="inlineStr">
        <is>
          <t>36</t>
        </is>
      </c>
      <c r="O261" t="n">
        <v>229</v>
      </c>
      <c r="P261" t="n">
        <v>3.5</v>
      </c>
      <c r="Q261" t="n">
        <v>0</v>
      </c>
      <c r="R261" t="n">
        <v>68.7</v>
      </c>
      <c r="S261" t="n">
        <v>0</v>
      </c>
      <c r="T261" t="n">
        <v>0</v>
      </c>
      <c r="U261" t="n">
        <v>0</v>
      </c>
      <c r="V261" t="n">
        <v>8.19</v>
      </c>
      <c r="W261" t="n">
        <v>171.99</v>
      </c>
      <c r="X261" t="n">
        <v>163.8</v>
      </c>
      <c r="Y261" t="n">
        <v>19</v>
      </c>
      <c r="Z261" t="n">
        <v>31.12</v>
      </c>
      <c r="AA261" t="n">
        <v>3.16</v>
      </c>
      <c r="AB261" t="n">
        <v>34.28</v>
      </c>
      <c r="AC261" t="n">
        <v>6.17</v>
      </c>
      <c r="AD261" t="n">
        <v>0</v>
      </c>
      <c r="AE261" t="n">
        <v>163.8</v>
      </c>
      <c r="AF261" t="n">
        <v>0</v>
      </c>
      <c r="AG261" t="n">
        <v>0</v>
      </c>
      <c r="AH261" t="n">
        <v>0.16</v>
      </c>
      <c r="AI261" t="n">
        <v>8.199999999999999</v>
      </c>
      <c r="AJ261" t="n">
        <v>-0.01</v>
      </c>
      <c r="AK261" t="n">
        <v>14.53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48.81</v>
      </c>
      <c r="AV261" t="n">
        <v>0</v>
      </c>
      <c r="AW261" t="n">
        <v>123.18</v>
      </c>
      <c r="AX261" t="inlineStr">
        <is>
          <t>settled</t>
        </is>
      </c>
      <c r="AY261" t="inlineStr">
        <is>
          <t>2025-12-17 05:30:00</t>
        </is>
      </c>
      <c r="AZ261" t="inlineStr">
        <is>
          <t>CITIN25671113204</t>
        </is>
      </c>
      <c r="BA261" t="n">
        <v>0</v>
      </c>
      <c r="BB261" t="inlineStr">
        <is>
          <t>5a529d94c19790e201348d815823a6e4553c08000a85263dfb3d8024d944100f</t>
        </is>
      </c>
    </row>
    <row r="262">
      <c r="A262" t="inlineStr">
        <is>
          <t>602</t>
        </is>
      </c>
      <c r="B262" t="inlineStr">
        <is>
          <t>7570595666</t>
        </is>
      </c>
      <c r="C262" t="inlineStr">
        <is>
          <t>2025-12-13 01:38:15</t>
        </is>
      </c>
      <c r="D262" t="inlineStr">
        <is>
          <t>50</t>
        </is>
      </c>
      <c r="E262" t="inlineStr">
        <is>
          <t>Sha Sha - Shandaar Shawarma</t>
        </is>
      </c>
      <c r="F262" t="inlineStr">
        <is>
          <t>18557902</t>
        </is>
      </c>
      <c r="G262" t="inlineStr">
        <is>
          <t>30% off upto ₹75 (2025-06-25 - 2031-01-01)</t>
        </is>
      </c>
      <c r="H262" t="inlineStr">
        <is>
          <t>ONLINE</t>
        </is>
      </c>
      <c r="I262" t="inlineStr">
        <is>
          <t>DELIVERED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O2</t>
        </is>
      </c>
      <c r="N262" t="inlineStr">
        <is>
          <t>36</t>
        </is>
      </c>
      <c r="O262" t="n">
        <v>229</v>
      </c>
      <c r="P262" t="n">
        <v>3.5</v>
      </c>
      <c r="Q262" t="n">
        <v>0</v>
      </c>
      <c r="R262" t="n">
        <v>68.7</v>
      </c>
      <c r="S262" t="n">
        <v>0</v>
      </c>
      <c r="T262" t="n">
        <v>0</v>
      </c>
      <c r="U262" t="n">
        <v>0</v>
      </c>
      <c r="V262" t="n">
        <v>8.19</v>
      </c>
      <c r="W262" t="n">
        <v>171.99</v>
      </c>
      <c r="X262" t="n">
        <v>163.8</v>
      </c>
      <c r="Y262" t="n">
        <v>19</v>
      </c>
      <c r="Z262" t="n">
        <v>31.12</v>
      </c>
      <c r="AA262" t="n">
        <v>3.16</v>
      </c>
      <c r="AB262" t="n">
        <v>34.28</v>
      </c>
      <c r="AC262" t="n">
        <v>6.17</v>
      </c>
      <c r="AD262" t="n">
        <v>0</v>
      </c>
      <c r="AE262" t="n">
        <v>163.8</v>
      </c>
      <c r="AF262" t="n">
        <v>0</v>
      </c>
      <c r="AG262" t="n">
        <v>0</v>
      </c>
      <c r="AH262" t="n">
        <v>0.16</v>
      </c>
      <c r="AI262" t="n">
        <v>8.199999999999999</v>
      </c>
      <c r="AJ262" t="n">
        <v>-0.01</v>
      </c>
      <c r="AK262" t="n">
        <v>14.53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48.81</v>
      </c>
      <c r="AV262" t="n">
        <v>0</v>
      </c>
      <c r="AW262" t="n">
        <v>123.18</v>
      </c>
      <c r="AX262" t="inlineStr">
        <is>
          <t>settled</t>
        </is>
      </c>
      <c r="AY262" t="inlineStr">
        <is>
          <t>2025-12-17 05:30:00</t>
        </is>
      </c>
      <c r="AZ262" t="inlineStr">
        <is>
          <t>CITIN25671113204</t>
        </is>
      </c>
      <c r="BA262" t="n">
        <v>0</v>
      </c>
      <c r="BB262" t="inlineStr">
        <is>
          <t>62dd49bab4a16426c60ab4c18d37ba03540e3c1889f07e5ac4e8f2b7666e603b</t>
        </is>
      </c>
    </row>
    <row r="263">
      <c r="A263" t="inlineStr">
        <is>
          <t>603</t>
        </is>
      </c>
      <c r="B263" t="inlineStr">
        <is>
          <t>7575437787</t>
        </is>
      </c>
      <c r="C263" t="inlineStr">
        <is>
          <t>2025-12-13 01:40:42</t>
        </is>
      </c>
      <c r="D263" t="inlineStr">
        <is>
          <t>50</t>
        </is>
      </c>
      <c r="E263" t="inlineStr">
        <is>
          <t>Sha Sha - Shandaar Shawarma</t>
        </is>
      </c>
      <c r="F263" t="inlineStr">
        <is>
          <t>18557902</t>
        </is>
      </c>
      <c r="G263" t="inlineStr">
        <is>
          <t>NA</t>
        </is>
      </c>
      <c r="H263" t="inlineStr">
        <is>
          <t>ONLINE</t>
        </is>
      </c>
      <c r="I263" t="inlineStr">
        <is>
          <t>DELIVERED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O2</t>
        </is>
      </c>
      <c r="N263" t="inlineStr">
        <is>
          <t>36</t>
        </is>
      </c>
      <c r="O263" t="n">
        <v>1056</v>
      </c>
      <c r="P263" t="n">
        <v>3.5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52.98</v>
      </c>
      <c r="W263" t="n">
        <v>1112.48</v>
      </c>
      <c r="X263" t="n">
        <v>1059.5</v>
      </c>
      <c r="Y263" t="n">
        <v>19</v>
      </c>
      <c r="Z263" t="n">
        <v>201.3</v>
      </c>
      <c r="AA263" t="n">
        <v>20.47</v>
      </c>
      <c r="AB263" t="n">
        <v>221.77</v>
      </c>
      <c r="AC263" t="n">
        <v>39.91</v>
      </c>
      <c r="AD263" t="n">
        <v>0</v>
      </c>
      <c r="AE263" t="n">
        <v>1059.5</v>
      </c>
      <c r="AF263" t="n">
        <v>0</v>
      </c>
      <c r="AG263" t="n">
        <v>0</v>
      </c>
      <c r="AH263" t="n">
        <v>1.06</v>
      </c>
      <c r="AI263" t="n">
        <v>52.98</v>
      </c>
      <c r="AJ263" t="n">
        <v>0</v>
      </c>
      <c r="AK263" t="n">
        <v>93.95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315.72</v>
      </c>
      <c r="AV263" t="n">
        <v>0</v>
      </c>
      <c r="AW263" t="n">
        <v>796.76</v>
      </c>
      <c r="AX263" t="inlineStr">
        <is>
          <t>settled</t>
        </is>
      </c>
      <c r="AY263" t="inlineStr">
        <is>
          <t>2025-12-17 05:30:00</t>
        </is>
      </c>
      <c r="AZ263" t="inlineStr">
        <is>
          <t>CITIN25671113204</t>
        </is>
      </c>
      <c r="BA263" t="n">
        <v>0</v>
      </c>
      <c r="BB263" t="inlineStr">
        <is>
          <t>1c0b32b2fd04adea12c0337192e1e57bd78c3b0ded04e1445cebefe24476e03c</t>
        </is>
      </c>
    </row>
    <row r="264">
      <c r="A264" t="inlineStr">
        <is>
          <t>604</t>
        </is>
      </c>
      <c r="B264" t="inlineStr">
        <is>
          <t>7574065506</t>
        </is>
      </c>
      <c r="C264" t="inlineStr">
        <is>
          <t>2025-12-13 14:16:43</t>
        </is>
      </c>
      <c r="D264" t="inlineStr">
        <is>
          <t>50</t>
        </is>
      </c>
      <c r="E264" t="inlineStr">
        <is>
          <t>Sha Sha - Shandaar Shawarma</t>
        </is>
      </c>
      <c r="F264" t="inlineStr">
        <is>
          <t>18557902</t>
        </is>
      </c>
      <c r="G264" t="inlineStr">
        <is>
          <t>30% off upto ₹75 (2025-06-25 - 2031-01-01)</t>
        </is>
      </c>
      <c r="H264" t="inlineStr">
        <is>
          <t>ONLINE</t>
        </is>
      </c>
      <c r="I264" t="inlineStr">
        <is>
          <t>DELIVERED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O2</t>
        </is>
      </c>
      <c r="N264" t="inlineStr">
        <is>
          <t>36</t>
        </is>
      </c>
      <c r="O264" t="n">
        <v>348</v>
      </c>
      <c r="P264" t="n">
        <v>3.5</v>
      </c>
      <c r="Q264" t="n">
        <v>0</v>
      </c>
      <c r="R264" t="n">
        <v>75</v>
      </c>
      <c r="S264" t="n">
        <v>0</v>
      </c>
      <c r="T264" t="n">
        <v>0</v>
      </c>
      <c r="U264" t="n">
        <v>0</v>
      </c>
      <c r="V264" t="n">
        <v>13.83</v>
      </c>
      <c r="W264" t="n">
        <v>290.33</v>
      </c>
      <c r="X264" t="n">
        <v>276.5</v>
      </c>
      <c r="Y264" t="n">
        <v>19</v>
      </c>
      <c r="Z264" t="n">
        <v>52.54</v>
      </c>
      <c r="AA264" t="n">
        <v>5.34</v>
      </c>
      <c r="AB264" t="n">
        <v>57.88</v>
      </c>
      <c r="AC264" t="n">
        <v>10.42</v>
      </c>
      <c r="AD264" t="n">
        <v>0</v>
      </c>
      <c r="AE264" t="n">
        <v>276.5</v>
      </c>
      <c r="AF264" t="n">
        <v>0</v>
      </c>
      <c r="AG264" t="n">
        <v>0</v>
      </c>
      <c r="AH264" t="n">
        <v>0.28</v>
      </c>
      <c r="AI264" t="n">
        <v>13.83</v>
      </c>
      <c r="AJ264" t="n">
        <v>0</v>
      </c>
      <c r="AK264" t="n">
        <v>24.53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82.41</v>
      </c>
      <c r="AV264" t="n">
        <v>0</v>
      </c>
      <c r="AW264" t="n">
        <v>207.92</v>
      </c>
      <c r="AX264" t="inlineStr">
        <is>
          <t>settled</t>
        </is>
      </c>
      <c r="AY264" t="inlineStr">
        <is>
          <t>2025-12-17 05:30:00</t>
        </is>
      </c>
      <c r="AZ264" t="inlineStr">
        <is>
          <t>CITIN25671113204</t>
        </is>
      </c>
      <c r="BA264" t="n">
        <v>0</v>
      </c>
      <c r="BB264" t="inlineStr">
        <is>
          <t>613b8b4e4ada0c76b2e34d3c2026e1421b6c04ec8eb81557ac457c61d449b7c4</t>
        </is>
      </c>
    </row>
    <row r="265">
      <c r="A265" t="inlineStr">
        <is>
          <t>605</t>
        </is>
      </c>
      <c r="B265" t="inlineStr">
        <is>
          <t>7577797494</t>
        </is>
      </c>
      <c r="C265" t="inlineStr">
        <is>
          <t>2025-12-13 14:17:46</t>
        </is>
      </c>
      <c r="D265" t="inlineStr">
        <is>
          <t>50</t>
        </is>
      </c>
      <c r="E265" t="inlineStr">
        <is>
          <t>Sha Sha - Shandaar Shawarma</t>
        </is>
      </c>
      <c r="F265" t="inlineStr">
        <is>
          <t>18557902</t>
        </is>
      </c>
      <c r="G265" t="inlineStr">
        <is>
          <t>30% off upto ₹75 (2025-06-25 - 2031-01-01)</t>
        </is>
      </c>
      <c r="H265" t="inlineStr">
        <is>
          <t>ONLINE</t>
        </is>
      </c>
      <c r="I265" t="inlineStr">
        <is>
          <t>DELIVERED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O2</t>
        </is>
      </c>
      <c r="N265" t="inlineStr">
        <is>
          <t>36</t>
        </is>
      </c>
      <c r="O265" t="n">
        <v>289</v>
      </c>
      <c r="P265" t="n">
        <v>3.5</v>
      </c>
      <c r="Q265" t="n">
        <v>0</v>
      </c>
      <c r="R265" t="n">
        <v>75</v>
      </c>
      <c r="S265" t="n">
        <v>0</v>
      </c>
      <c r="T265" t="n">
        <v>0</v>
      </c>
      <c r="U265" t="n">
        <v>0</v>
      </c>
      <c r="V265" t="n">
        <v>10.88</v>
      </c>
      <c r="W265" t="n">
        <v>228.38</v>
      </c>
      <c r="X265" t="n">
        <v>217.5</v>
      </c>
      <c r="Y265" t="n">
        <v>19</v>
      </c>
      <c r="Z265" t="n">
        <v>41.32</v>
      </c>
      <c r="AA265" t="n">
        <v>4.2</v>
      </c>
      <c r="AB265" t="n">
        <v>45.52</v>
      </c>
      <c r="AC265" t="n">
        <v>8.199999999999999</v>
      </c>
      <c r="AD265" t="n">
        <v>0</v>
      </c>
      <c r="AE265" t="n">
        <v>217.5</v>
      </c>
      <c r="AF265" t="n">
        <v>0</v>
      </c>
      <c r="AG265" t="n">
        <v>0</v>
      </c>
      <c r="AH265" t="n">
        <v>0.22</v>
      </c>
      <c r="AI265" t="n">
        <v>10.88</v>
      </c>
      <c r="AJ265" t="n">
        <v>0</v>
      </c>
      <c r="AK265" t="n">
        <v>19.3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64.81999999999999</v>
      </c>
      <c r="AV265" t="n">
        <v>0</v>
      </c>
      <c r="AW265" t="n">
        <v>163.56</v>
      </c>
      <c r="AX265" t="inlineStr">
        <is>
          <t>settled</t>
        </is>
      </c>
      <c r="AY265" t="inlineStr">
        <is>
          <t>2025-12-17 05:30:00</t>
        </is>
      </c>
      <c r="AZ265" t="inlineStr">
        <is>
          <t>CITIN25671113204</t>
        </is>
      </c>
      <c r="BA265" t="n">
        <v>0</v>
      </c>
      <c r="BB265" t="inlineStr">
        <is>
          <t>995a933bc6a0f408e9708c1130cebe21ef9d4b47483f7b53836b809e1641aa0f</t>
        </is>
      </c>
    </row>
    <row r="266">
      <c r="A266" t="inlineStr">
        <is>
          <t>606</t>
        </is>
      </c>
      <c r="B266" t="inlineStr">
        <is>
          <t>7571570836</t>
        </is>
      </c>
      <c r="C266" t="inlineStr">
        <is>
          <t>2025-12-13 14:19:29</t>
        </is>
      </c>
      <c r="D266" t="inlineStr">
        <is>
          <t>50</t>
        </is>
      </c>
      <c r="E266" t="inlineStr">
        <is>
          <t>Sha Sha - Shandaar Shawarma</t>
        </is>
      </c>
      <c r="F266" t="inlineStr">
        <is>
          <t>18557902</t>
        </is>
      </c>
      <c r="G266" t="inlineStr">
        <is>
          <t>NA</t>
        </is>
      </c>
      <c r="H266" t="inlineStr">
        <is>
          <t>ONLINE</t>
        </is>
      </c>
      <c r="I266" t="inlineStr">
        <is>
          <t>DELIVERED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O2</t>
        </is>
      </c>
      <c r="N266" t="inlineStr">
        <is>
          <t>36</t>
        </is>
      </c>
      <c r="O266" t="n">
        <v>219</v>
      </c>
      <c r="P266" t="n">
        <v>3.5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11.13</v>
      </c>
      <c r="W266" t="n">
        <v>233.63</v>
      </c>
      <c r="X266" t="n">
        <v>222.5</v>
      </c>
      <c r="Y266" t="n">
        <v>19</v>
      </c>
      <c r="Z266" t="n">
        <v>42.28</v>
      </c>
      <c r="AA266" t="n">
        <v>4.3</v>
      </c>
      <c r="AB266" t="n">
        <v>46.58</v>
      </c>
      <c r="AC266" t="n">
        <v>8.380000000000001</v>
      </c>
      <c r="AD266" t="n">
        <v>0</v>
      </c>
      <c r="AE266" t="n">
        <v>222.5</v>
      </c>
      <c r="AF266" t="n">
        <v>0</v>
      </c>
      <c r="AG266" t="n">
        <v>0</v>
      </c>
      <c r="AH266" t="n">
        <v>0.22</v>
      </c>
      <c r="AI266" t="n">
        <v>11.13</v>
      </c>
      <c r="AJ266" t="n">
        <v>0</v>
      </c>
      <c r="AK266" t="n">
        <v>19.73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66.31</v>
      </c>
      <c r="AV266" t="n">
        <v>0</v>
      </c>
      <c r="AW266" t="n">
        <v>167.32</v>
      </c>
      <c r="AX266" t="inlineStr">
        <is>
          <t>settled</t>
        </is>
      </c>
      <c r="AY266" t="inlineStr">
        <is>
          <t>2025-12-17 05:30:00</t>
        </is>
      </c>
      <c r="AZ266" t="inlineStr">
        <is>
          <t>CITIN25671113204</t>
        </is>
      </c>
      <c r="BA266" t="n">
        <v>0</v>
      </c>
      <c r="BB266" t="inlineStr">
        <is>
          <t>40558a71b3c233144558c3e3dd1c5dd1bfc2e06961769b06886a4045a296ce8d</t>
        </is>
      </c>
    </row>
    <row r="267">
      <c r="A267" t="inlineStr">
        <is>
          <t>607</t>
        </is>
      </c>
      <c r="B267" t="inlineStr">
        <is>
          <t>7578461944</t>
        </is>
      </c>
      <c r="C267" t="inlineStr">
        <is>
          <t>2025-12-13 14:24:14</t>
        </is>
      </c>
      <c r="D267" t="inlineStr">
        <is>
          <t>50</t>
        </is>
      </c>
      <c r="E267" t="inlineStr">
        <is>
          <t>Sha Sha - Shandaar Shawarma</t>
        </is>
      </c>
      <c r="F267" t="inlineStr">
        <is>
          <t>18557902</t>
        </is>
      </c>
      <c r="G267" t="inlineStr">
        <is>
          <t>NA</t>
        </is>
      </c>
      <c r="H267" t="inlineStr">
        <is>
          <t>ONLINE</t>
        </is>
      </c>
      <c r="I267" t="inlineStr">
        <is>
          <t>DELIVERED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O2</t>
        </is>
      </c>
      <c r="N267" t="inlineStr">
        <is>
          <t>36</t>
        </is>
      </c>
      <c r="O267" t="n">
        <v>229</v>
      </c>
      <c r="P267" t="n">
        <v>3.5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11.63</v>
      </c>
      <c r="W267" t="n">
        <v>244.13</v>
      </c>
      <c r="X267" t="n">
        <v>232.5</v>
      </c>
      <c r="Y267" t="n">
        <v>19</v>
      </c>
      <c r="Z267" t="n">
        <v>44.18</v>
      </c>
      <c r="AA267" t="n">
        <v>4.49</v>
      </c>
      <c r="AB267" t="n">
        <v>48.67</v>
      </c>
      <c r="AC267" t="n">
        <v>8.76</v>
      </c>
      <c r="AD267" t="n">
        <v>0</v>
      </c>
      <c r="AE267" t="n">
        <v>232.5</v>
      </c>
      <c r="AF267" t="n">
        <v>0</v>
      </c>
      <c r="AG267" t="n">
        <v>0</v>
      </c>
      <c r="AH267" t="n">
        <v>0.23</v>
      </c>
      <c r="AI267" t="n">
        <v>11.63</v>
      </c>
      <c r="AJ267" t="n">
        <v>0</v>
      </c>
      <c r="AK267" t="n">
        <v>20.62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69.29000000000001</v>
      </c>
      <c r="AV267" t="n">
        <v>0</v>
      </c>
      <c r="AW267" t="n">
        <v>174.84</v>
      </c>
      <c r="AX267" t="inlineStr">
        <is>
          <t>settled</t>
        </is>
      </c>
      <c r="AY267" t="inlineStr">
        <is>
          <t>2025-12-17 05:30:00</t>
        </is>
      </c>
      <c r="AZ267" t="inlineStr">
        <is>
          <t>CITIN25671113204</t>
        </is>
      </c>
      <c r="BA267" t="n">
        <v>0</v>
      </c>
      <c r="BB267" t="inlineStr">
        <is>
          <t>7799c10533c6fd6ca5c53655a10fc1bbf06bf83fc289a56716fc1b6b654911a9</t>
        </is>
      </c>
    </row>
    <row r="268">
      <c r="A268" t="inlineStr">
        <is>
          <t>608</t>
        </is>
      </c>
      <c r="B268" t="inlineStr">
        <is>
          <t>7565895302</t>
        </is>
      </c>
      <c r="C268" t="inlineStr">
        <is>
          <t>2025-12-13 14:31:01</t>
        </is>
      </c>
      <c r="D268" t="inlineStr">
        <is>
          <t>50</t>
        </is>
      </c>
      <c r="E268" t="inlineStr">
        <is>
          <t>Sha Sha - Shandaar Shawarma</t>
        </is>
      </c>
      <c r="F268" t="inlineStr">
        <is>
          <t>18557902</t>
        </is>
      </c>
      <c r="G268" t="inlineStr">
        <is>
          <t>30% off upto ₹75 (2025-06-25 - 2031-01-01)</t>
        </is>
      </c>
      <c r="H268" t="inlineStr">
        <is>
          <t>ONLINE</t>
        </is>
      </c>
      <c r="I268" t="inlineStr">
        <is>
          <t>DELIVERED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O2</t>
        </is>
      </c>
      <c r="N268" t="inlineStr">
        <is>
          <t>36</t>
        </is>
      </c>
      <c r="O268" t="n">
        <v>229</v>
      </c>
      <c r="P268" t="n">
        <v>3.5</v>
      </c>
      <c r="Q268" t="n">
        <v>0</v>
      </c>
      <c r="R268" t="n">
        <v>68.7</v>
      </c>
      <c r="S268" t="n">
        <v>0</v>
      </c>
      <c r="T268" t="n">
        <v>0</v>
      </c>
      <c r="U268" t="n">
        <v>0</v>
      </c>
      <c r="V268" t="n">
        <v>8.19</v>
      </c>
      <c r="W268" t="n">
        <v>171.99</v>
      </c>
      <c r="X268" t="n">
        <v>163.8</v>
      </c>
      <c r="Y268" t="n">
        <v>19</v>
      </c>
      <c r="Z268" t="n">
        <v>31.12</v>
      </c>
      <c r="AA268" t="n">
        <v>3.16</v>
      </c>
      <c r="AB268" t="n">
        <v>34.28</v>
      </c>
      <c r="AC268" t="n">
        <v>6.17</v>
      </c>
      <c r="AD268" t="n">
        <v>0</v>
      </c>
      <c r="AE268" t="n">
        <v>163.8</v>
      </c>
      <c r="AF268" t="n">
        <v>0</v>
      </c>
      <c r="AG268" t="n">
        <v>0</v>
      </c>
      <c r="AH268" t="n">
        <v>0.16</v>
      </c>
      <c r="AI268" t="n">
        <v>8.199999999999999</v>
      </c>
      <c r="AJ268" t="n">
        <v>-0.01</v>
      </c>
      <c r="AK268" t="n">
        <v>14.53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48.81</v>
      </c>
      <c r="AV268" t="n">
        <v>0</v>
      </c>
      <c r="AW268" t="n">
        <v>123.18</v>
      </c>
      <c r="AX268" t="inlineStr">
        <is>
          <t>settled</t>
        </is>
      </c>
      <c r="AY268" t="inlineStr">
        <is>
          <t>2025-12-17 05:30:00</t>
        </is>
      </c>
      <c r="AZ268" t="inlineStr">
        <is>
          <t>CITIN25671113204</t>
        </is>
      </c>
      <c r="BA268" t="n">
        <v>0</v>
      </c>
      <c r="BB268" t="inlineStr">
        <is>
          <t>57a21cc73e8f4d8b6908a4a0649e469429c2ee14bba648ddc44b4cf6f25d7d38</t>
        </is>
      </c>
    </row>
    <row r="269">
      <c r="A269" t="inlineStr">
        <is>
          <t>609</t>
        </is>
      </c>
      <c r="B269" t="inlineStr">
        <is>
          <t>7573307395</t>
        </is>
      </c>
      <c r="C269" t="inlineStr">
        <is>
          <t>2025-12-13 14:47:57</t>
        </is>
      </c>
      <c r="D269" t="inlineStr">
        <is>
          <t>50</t>
        </is>
      </c>
      <c r="E269" t="inlineStr">
        <is>
          <t>Sha Sha - Shandaar Shawarma</t>
        </is>
      </c>
      <c r="F269" t="inlineStr">
        <is>
          <t>18557902</t>
        </is>
      </c>
      <c r="G269" t="inlineStr">
        <is>
          <t>30% off upto ₹75 (2025-06-25 - 2031-01-01)</t>
        </is>
      </c>
      <c r="H269" t="inlineStr">
        <is>
          <t>ONLINE</t>
        </is>
      </c>
      <c r="I269" t="inlineStr">
        <is>
          <t>DELIVERED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O2</t>
        </is>
      </c>
      <c r="N269" t="inlineStr">
        <is>
          <t>36</t>
        </is>
      </c>
      <c r="O269" t="n">
        <v>289</v>
      </c>
      <c r="P269" t="n">
        <v>3.5</v>
      </c>
      <c r="Q269" t="n">
        <v>0</v>
      </c>
      <c r="R269" t="n">
        <v>75</v>
      </c>
      <c r="S269" t="n">
        <v>0</v>
      </c>
      <c r="T269" t="n">
        <v>0</v>
      </c>
      <c r="U269" t="n">
        <v>0</v>
      </c>
      <c r="V269" t="n">
        <v>10.88</v>
      </c>
      <c r="W269" t="n">
        <v>228.38</v>
      </c>
      <c r="X269" t="n">
        <v>217.5</v>
      </c>
      <c r="Y269" t="n">
        <v>19</v>
      </c>
      <c r="Z269" t="n">
        <v>41.32</v>
      </c>
      <c r="AA269" t="n">
        <v>4.2</v>
      </c>
      <c r="AB269" t="n">
        <v>45.52</v>
      </c>
      <c r="AC269" t="n">
        <v>8.199999999999999</v>
      </c>
      <c r="AD269" t="n">
        <v>0</v>
      </c>
      <c r="AE269" t="n">
        <v>217.5</v>
      </c>
      <c r="AF269" t="n">
        <v>0</v>
      </c>
      <c r="AG269" t="n">
        <v>0</v>
      </c>
      <c r="AH269" t="n">
        <v>0.22</v>
      </c>
      <c r="AI269" t="n">
        <v>10.88</v>
      </c>
      <c r="AJ269" t="n">
        <v>0</v>
      </c>
      <c r="AK269" t="n">
        <v>19.3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64.81999999999999</v>
      </c>
      <c r="AV269" t="n">
        <v>0</v>
      </c>
      <c r="AW269" t="n">
        <v>163.56</v>
      </c>
      <c r="AX269" t="inlineStr">
        <is>
          <t>settled</t>
        </is>
      </c>
      <c r="AY269" t="inlineStr">
        <is>
          <t>2025-12-17 05:30:00</t>
        </is>
      </c>
      <c r="AZ269" t="inlineStr">
        <is>
          <t>CITIN25671113204</t>
        </is>
      </c>
      <c r="BA269" t="n">
        <v>0</v>
      </c>
      <c r="BB269" t="inlineStr">
        <is>
          <t>0955750b6de5a37d631c6eb85499d9551d0490c13e2b41d944e722d69e8ac1ca</t>
        </is>
      </c>
    </row>
    <row r="270">
      <c r="A270" t="inlineStr">
        <is>
          <t>610</t>
        </is>
      </c>
      <c r="B270" t="inlineStr">
        <is>
          <t>7572931195</t>
        </is>
      </c>
      <c r="C270" t="inlineStr">
        <is>
          <t>2025-12-13 15:24:00</t>
        </is>
      </c>
      <c r="D270" t="inlineStr">
        <is>
          <t>50</t>
        </is>
      </c>
      <c r="E270" t="inlineStr">
        <is>
          <t>Sha Sha - Shandaar Shawarma</t>
        </is>
      </c>
      <c r="F270" t="inlineStr">
        <is>
          <t>18557902</t>
        </is>
      </c>
      <c r="G270" t="inlineStr">
        <is>
          <t>NA</t>
        </is>
      </c>
      <c r="H270" t="inlineStr">
        <is>
          <t>ONLINE</t>
        </is>
      </c>
      <c r="I270" t="inlineStr">
        <is>
          <t>DELIVERED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O2</t>
        </is>
      </c>
      <c r="N270" t="inlineStr">
        <is>
          <t>36</t>
        </is>
      </c>
      <c r="O270" t="n">
        <v>219</v>
      </c>
      <c r="P270" t="n">
        <v>3.5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11.13</v>
      </c>
      <c r="W270" t="n">
        <v>233.63</v>
      </c>
      <c r="X270" t="n">
        <v>222.5</v>
      </c>
      <c r="Y270" t="n">
        <v>19</v>
      </c>
      <c r="Z270" t="n">
        <v>42.28</v>
      </c>
      <c r="AA270" t="n">
        <v>4.3</v>
      </c>
      <c r="AB270" t="n">
        <v>46.58</v>
      </c>
      <c r="AC270" t="n">
        <v>8.380000000000001</v>
      </c>
      <c r="AD270" t="n">
        <v>0</v>
      </c>
      <c r="AE270" t="n">
        <v>222.5</v>
      </c>
      <c r="AF270" t="n">
        <v>0</v>
      </c>
      <c r="AG270" t="n">
        <v>0</v>
      </c>
      <c r="AH270" t="n">
        <v>0.22</v>
      </c>
      <c r="AI270" t="n">
        <v>11.13</v>
      </c>
      <c r="AJ270" t="n">
        <v>0</v>
      </c>
      <c r="AK270" t="n">
        <v>19.73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66.31</v>
      </c>
      <c r="AV270" t="n">
        <v>0</v>
      </c>
      <c r="AW270" t="n">
        <v>167.32</v>
      </c>
      <c r="AX270" t="inlineStr">
        <is>
          <t>settled</t>
        </is>
      </c>
      <c r="AY270" t="inlineStr">
        <is>
          <t>2025-12-17 05:30:00</t>
        </is>
      </c>
      <c r="AZ270" t="inlineStr">
        <is>
          <t>CITIN25671113204</t>
        </is>
      </c>
      <c r="BA270" t="n">
        <v>0</v>
      </c>
      <c r="BB270" t="inlineStr">
        <is>
          <t>ad22c0baf5c753100aceebc53a57b3ddfcfecef5ca6c2794e26fb761618c3ef6</t>
        </is>
      </c>
    </row>
    <row r="271">
      <c r="A271" t="inlineStr">
        <is>
          <t>611</t>
        </is>
      </c>
      <c r="B271" t="inlineStr">
        <is>
          <t>7577412636</t>
        </is>
      </c>
      <c r="C271" t="inlineStr">
        <is>
          <t>2025-12-13 16:04:01</t>
        </is>
      </c>
      <c r="D271" t="inlineStr">
        <is>
          <t>50</t>
        </is>
      </c>
      <c r="E271" t="inlineStr">
        <is>
          <t>Sha Sha - Shandaar Shawarma</t>
        </is>
      </c>
      <c r="F271" t="inlineStr">
        <is>
          <t>18557902</t>
        </is>
      </c>
      <c r="G271" t="inlineStr">
        <is>
          <t>30% off upto ₹75 (2025-06-25 - 2031-01-01)</t>
        </is>
      </c>
      <c r="H271" t="inlineStr">
        <is>
          <t>ONLINE</t>
        </is>
      </c>
      <c r="I271" t="inlineStr">
        <is>
          <t>DELIVERED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O2</t>
        </is>
      </c>
      <c r="N271" t="inlineStr">
        <is>
          <t>36</t>
        </is>
      </c>
      <c r="O271" t="n">
        <v>219</v>
      </c>
      <c r="P271" t="n">
        <v>3.5</v>
      </c>
      <c r="Q271" t="n">
        <v>0</v>
      </c>
      <c r="R271" t="n">
        <v>65.7</v>
      </c>
      <c r="S271" t="n">
        <v>0</v>
      </c>
      <c r="T271" t="n">
        <v>0</v>
      </c>
      <c r="U271" t="n">
        <v>0</v>
      </c>
      <c r="V271" t="n">
        <v>7.84</v>
      </c>
      <c r="W271" t="n">
        <v>164.64</v>
      </c>
      <c r="X271" t="n">
        <v>156.8</v>
      </c>
      <c r="Y271" t="n">
        <v>19</v>
      </c>
      <c r="Z271" t="n">
        <v>29.79</v>
      </c>
      <c r="AA271" t="n">
        <v>3.03</v>
      </c>
      <c r="AB271" t="n">
        <v>32.82</v>
      </c>
      <c r="AC271" t="n">
        <v>5.91</v>
      </c>
      <c r="AD271" t="n">
        <v>0</v>
      </c>
      <c r="AE271" t="n">
        <v>156.8</v>
      </c>
      <c r="AF271" t="n">
        <v>0</v>
      </c>
      <c r="AG271" t="n">
        <v>0</v>
      </c>
      <c r="AH271" t="n">
        <v>0.16</v>
      </c>
      <c r="AI271" t="n">
        <v>7.85</v>
      </c>
      <c r="AJ271" t="n">
        <v>-0.01</v>
      </c>
      <c r="AK271" t="n">
        <v>13.92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46.74</v>
      </c>
      <c r="AV271" t="n">
        <v>0</v>
      </c>
      <c r="AW271" t="n">
        <v>117.9</v>
      </c>
      <c r="AX271" t="inlineStr">
        <is>
          <t>settled</t>
        </is>
      </c>
      <c r="AY271" t="inlineStr">
        <is>
          <t>2025-12-17 05:30:00</t>
        </is>
      </c>
      <c r="AZ271" t="inlineStr">
        <is>
          <t>CITIN25671113204</t>
        </is>
      </c>
      <c r="BA271" t="n">
        <v>0</v>
      </c>
      <c r="BB271" t="inlineStr">
        <is>
          <t>04b8f8a8eb2c22b10ddec3ee45ecf3d8702d78412ab652defcde3b62639ef4b0</t>
        </is>
      </c>
    </row>
    <row r="272">
      <c r="A272" t="inlineStr">
        <is>
          <t>612</t>
        </is>
      </c>
      <c r="B272" t="inlineStr">
        <is>
          <t>7576081971</t>
        </is>
      </c>
      <c r="C272" t="inlineStr">
        <is>
          <t>2025-12-13 16:06:06</t>
        </is>
      </c>
      <c r="D272" t="inlineStr">
        <is>
          <t>50</t>
        </is>
      </c>
      <c r="E272" t="inlineStr">
        <is>
          <t>Sha Sha - Shandaar Shawarma</t>
        </is>
      </c>
      <c r="F272" t="inlineStr">
        <is>
          <t>18557902</t>
        </is>
      </c>
      <c r="G272" t="inlineStr">
        <is>
          <t>30% off upto ₹75 (2025-06-25 - 2031-01-01)</t>
        </is>
      </c>
      <c r="H272" t="inlineStr">
        <is>
          <t>ONLINE</t>
        </is>
      </c>
      <c r="I272" t="inlineStr">
        <is>
          <t>DELIVERED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O2</t>
        </is>
      </c>
      <c r="N272" t="inlineStr">
        <is>
          <t>36</t>
        </is>
      </c>
      <c r="O272" t="n">
        <v>229</v>
      </c>
      <c r="P272" t="n">
        <v>3.5</v>
      </c>
      <c r="Q272" t="n">
        <v>0</v>
      </c>
      <c r="R272" t="n">
        <v>68.7</v>
      </c>
      <c r="S272" t="n">
        <v>0</v>
      </c>
      <c r="T272" t="n">
        <v>0</v>
      </c>
      <c r="U272" t="n">
        <v>0</v>
      </c>
      <c r="V272" t="n">
        <v>8.19</v>
      </c>
      <c r="W272" t="n">
        <v>171.99</v>
      </c>
      <c r="X272" t="n">
        <v>163.8</v>
      </c>
      <c r="Y272" t="n">
        <v>19</v>
      </c>
      <c r="Z272" t="n">
        <v>31.12</v>
      </c>
      <c r="AA272" t="n">
        <v>3.16</v>
      </c>
      <c r="AB272" t="n">
        <v>34.28</v>
      </c>
      <c r="AC272" t="n">
        <v>6.17</v>
      </c>
      <c r="AD272" t="n">
        <v>0</v>
      </c>
      <c r="AE272" t="n">
        <v>163.8</v>
      </c>
      <c r="AF272" t="n">
        <v>0</v>
      </c>
      <c r="AG272" t="n">
        <v>0</v>
      </c>
      <c r="AH272" t="n">
        <v>0.16</v>
      </c>
      <c r="AI272" t="n">
        <v>8.199999999999999</v>
      </c>
      <c r="AJ272" t="n">
        <v>-0.01</v>
      </c>
      <c r="AK272" t="n">
        <v>14.53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48.81</v>
      </c>
      <c r="AV272" t="n">
        <v>0</v>
      </c>
      <c r="AW272" t="n">
        <v>123.18</v>
      </c>
      <c r="AX272" t="inlineStr">
        <is>
          <t>settled</t>
        </is>
      </c>
      <c r="AY272" t="inlineStr">
        <is>
          <t>2025-12-17 05:30:00</t>
        </is>
      </c>
      <c r="AZ272" t="inlineStr">
        <is>
          <t>CITIN25671113204</t>
        </is>
      </c>
      <c r="BA272" t="n">
        <v>0</v>
      </c>
      <c r="BB272" t="inlineStr">
        <is>
          <t>d7da9c8bff64d5624cfda9e8584ce0cb81d32f3252053c06f3a03a0de45b0a4a</t>
        </is>
      </c>
    </row>
    <row r="273">
      <c r="A273" t="inlineStr">
        <is>
          <t>613</t>
        </is>
      </c>
      <c r="B273" t="inlineStr">
        <is>
          <t>7555997086</t>
        </is>
      </c>
      <c r="C273" t="inlineStr">
        <is>
          <t>2025-12-13 16:07:15</t>
        </is>
      </c>
      <c r="D273" t="inlineStr">
        <is>
          <t>50</t>
        </is>
      </c>
      <c r="E273" t="inlineStr">
        <is>
          <t>Sha Sha - Shandaar Shawarma</t>
        </is>
      </c>
      <c r="F273" t="inlineStr">
        <is>
          <t>18557902</t>
        </is>
      </c>
      <c r="G273" t="inlineStr">
        <is>
          <t>NA</t>
        </is>
      </c>
      <c r="H273" t="inlineStr">
        <is>
          <t>ONLINE</t>
        </is>
      </c>
      <c r="I273" t="inlineStr">
        <is>
          <t>DELIVERED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O2</t>
        </is>
      </c>
      <c r="N273" t="inlineStr">
        <is>
          <t>36</t>
        </is>
      </c>
      <c r="O273" t="n">
        <v>199</v>
      </c>
      <c r="P273" t="n">
        <v>3.5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10.13</v>
      </c>
      <c r="W273" t="n">
        <v>212.63</v>
      </c>
      <c r="X273" t="n">
        <v>202.5</v>
      </c>
      <c r="Y273" t="n">
        <v>19</v>
      </c>
      <c r="Z273" t="n">
        <v>38.48</v>
      </c>
      <c r="AA273" t="n">
        <v>3.91</v>
      </c>
      <c r="AB273" t="n">
        <v>42.39</v>
      </c>
      <c r="AC273" t="n">
        <v>7.63</v>
      </c>
      <c r="AD273" t="n">
        <v>0</v>
      </c>
      <c r="AE273" t="n">
        <v>202.5</v>
      </c>
      <c r="AF273" t="n">
        <v>0</v>
      </c>
      <c r="AG273" t="n">
        <v>0</v>
      </c>
      <c r="AH273" t="n">
        <v>0.2</v>
      </c>
      <c r="AI273" t="n">
        <v>10.13</v>
      </c>
      <c r="AJ273" t="n">
        <v>0</v>
      </c>
      <c r="AK273" t="n">
        <v>17.96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60.35</v>
      </c>
      <c r="AV273" t="n">
        <v>0</v>
      </c>
      <c r="AW273" t="n">
        <v>152.28</v>
      </c>
      <c r="AX273" t="inlineStr">
        <is>
          <t>settled</t>
        </is>
      </c>
      <c r="AY273" t="inlineStr">
        <is>
          <t>2025-12-17 05:30:00</t>
        </is>
      </c>
      <c r="AZ273" t="inlineStr">
        <is>
          <t>CITIN25671113204</t>
        </is>
      </c>
      <c r="BA273" t="n">
        <v>0</v>
      </c>
      <c r="BB273" t="inlineStr">
        <is>
          <t>24402ad9eba5b50acdbd13b01ac70cecf142137feba618785d4b763ebbd60511</t>
        </is>
      </c>
    </row>
    <row r="274">
      <c r="A274" t="inlineStr">
        <is>
          <t>614</t>
        </is>
      </c>
      <c r="B274" t="inlineStr">
        <is>
          <t>7559457433</t>
        </is>
      </c>
      <c r="C274" t="inlineStr">
        <is>
          <t>2025-12-13 16:36:24</t>
        </is>
      </c>
      <c r="D274" t="inlineStr">
        <is>
          <t>50</t>
        </is>
      </c>
      <c r="E274" t="inlineStr">
        <is>
          <t>Sha Sha - Shandaar Shawarma</t>
        </is>
      </c>
      <c r="F274" t="inlineStr">
        <is>
          <t>18557902</t>
        </is>
      </c>
      <c r="G274" t="inlineStr">
        <is>
          <t>30% off upto ₹75 (2025-06-25 - 2031-01-01)</t>
        </is>
      </c>
      <c r="H274" t="inlineStr">
        <is>
          <t>ONLINE</t>
        </is>
      </c>
      <c r="I274" t="inlineStr">
        <is>
          <t>DELIVERED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O2</t>
        </is>
      </c>
      <c r="N274" t="inlineStr">
        <is>
          <t>36</t>
        </is>
      </c>
      <c r="O274" t="n">
        <v>229</v>
      </c>
      <c r="P274" t="n">
        <v>3.5</v>
      </c>
      <c r="Q274" t="n">
        <v>0</v>
      </c>
      <c r="R274" t="n">
        <v>68.7</v>
      </c>
      <c r="S274" t="n">
        <v>0</v>
      </c>
      <c r="T274" t="n">
        <v>0</v>
      </c>
      <c r="U274" t="n">
        <v>0</v>
      </c>
      <c r="V274" t="n">
        <v>8.19</v>
      </c>
      <c r="W274" t="n">
        <v>171.99</v>
      </c>
      <c r="X274" t="n">
        <v>163.8</v>
      </c>
      <c r="Y274" t="n">
        <v>19</v>
      </c>
      <c r="Z274" t="n">
        <v>31.12</v>
      </c>
      <c r="AA274" t="n">
        <v>3.16</v>
      </c>
      <c r="AB274" t="n">
        <v>34.28</v>
      </c>
      <c r="AC274" t="n">
        <v>6.17</v>
      </c>
      <c r="AD274" t="n">
        <v>0</v>
      </c>
      <c r="AE274" t="n">
        <v>163.8</v>
      </c>
      <c r="AF274" t="n">
        <v>0</v>
      </c>
      <c r="AG274" t="n">
        <v>0</v>
      </c>
      <c r="AH274" t="n">
        <v>0.16</v>
      </c>
      <c r="AI274" t="n">
        <v>8.199999999999999</v>
      </c>
      <c r="AJ274" t="n">
        <v>-0.01</v>
      </c>
      <c r="AK274" t="n">
        <v>14.53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48.81</v>
      </c>
      <c r="AV274" t="n">
        <v>0</v>
      </c>
      <c r="AW274" t="n">
        <v>123.18</v>
      </c>
      <c r="AX274" t="inlineStr">
        <is>
          <t>settled</t>
        </is>
      </c>
      <c r="AY274" t="inlineStr">
        <is>
          <t>2025-12-17 05:30:00</t>
        </is>
      </c>
      <c r="AZ274" t="inlineStr">
        <is>
          <t>CITIN25671113204</t>
        </is>
      </c>
      <c r="BA274" t="n">
        <v>0</v>
      </c>
      <c r="BB274" t="inlineStr">
        <is>
          <t>18bc1f1e563cfcf3375dfef91583e368e7b7f362be7fb6af6e930da87e0bed06</t>
        </is>
      </c>
    </row>
    <row r="275">
      <c r="A275" t="inlineStr">
        <is>
          <t>615</t>
        </is>
      </c>
      <c r="B275" t="inlineStr">
        <is>
          <t>7567259535</t>
        </is>
      </c>
      <c r="C275" t="inlineStr">
        <is>
          <t>2025-12-13 17:45:39</t>
        </is>
      </c>
      <c r="D275" t="inlineStr">
        <is>
          <t>50</t>
        </is>
      </c>
      <c r="E275" t="inlineStr">
        <is>
          <t>Sha Sha - Shandaar Shawarma</t>
        </is>
      </c>
      <c r="F275" t="inlineStr">
        <is>
          <t>18557902</t>
        </is>
      </c>
      <c r="G275" t="inlineStr">
        <is>
          <t>NA</t>
        </is>
      </c>
      <c r="H275" t="inlineStr">
        <is>
          <t>ONLINE</t>
        </is>
      </c>
      <c r="I275" t="inlineStr">
        <is>
          <t>DELIVERED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O2</t>
        </is>
      </c>
      <c r="N275" t="inlineStr">
        <is>
          <t>36</t>
        </is>
      </c>
      <c r="O275" t="n">
        <v>229</v>
      </c>
      <c r="P275" t="n">
        <v>3.5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11.63</v>
      </c>
      <c r="W275" t="n">
        <v>244.13</v>
      </c>
      <c r="X275" t="n">
        <v>232.5</v>
      </c>
      <c r="Y275" t="n">
        <v>19</v>
      </c>
      <c r="Z275" t="n">
        <v>44.18</v>
      </c>
      <c r="AA275" t="n">
        <v>4.49</v>
      </c>
      <c r="AB275" t="n">
        <v>48.67</v>
      </c>
      <c r="AC275" t="n">
        <v>8.76</v>
      </c>
      <c r="AD275" t="n">
        <v>0</v>
      </c>
      <c r="AE275" t="n">
        <v>232.5</v>
      </c>
      <c r="AF275" t="n">
        <v>0</v>
      </c>
      <c r="AG275" t="n">
        <v>0</v>
      </c>
      <c r="AH275" t="n">
        <v>0.23</v>
      </c>
      <c r="AI275" t="n">
        <v>11.63</v>
      </c>
      <c r="AJ275" t="n">
        <v>0</v>
      </c>
      <c r="AK275" t="n">
        <v>20.62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69.29000000000001</v>
      </c>
      <c r="AV275" t="n">
        <v>0</v>
      </c>
      <c r="AW275" t="n">
        <v>174.84</v>
      </c>
      <c r="AX275" t="inlineStr">
        <is>
          <t>settled</t>
        </is>
      </c>
      <c r="AY275" t="inlineStr">
        <is>
          <t>2025-12-17 05:30:00</t>
        </is>
      </c>
      <c r="AZ275" t="inlineStr">
        <is>
          <t>CITIN25671113204</t>
        </is>
      </c>
      <c r="BA275" t="n">
        <v>0</v>
      </c>
      <c r="BB275" t="inlineStr">
        <is>
          <t>89124de8a5bf8654d779721c1f4747d66b742c24fb80312fed0e64748abe8ea2</t>
        </is>
      </c>
    </row>
    <row r="276">
      <c r="A276" t="inlineStr">
        <is>
          <t>616</t>
        </is>
      </c>
      <c r="B276" t="inlineStr">
        <is>
          <t>7564088909</t>
        </is>
      </c>
      <c r="C276" t="inlineStr">
        <is>
          <t>2025-12-13 18:05:56</t>
        </is>
      </c>
      <c r="D276" t="inlineStr">
        <is>
          <t>50</t>
        </is>
      </c>
      <c r="E276" t="inlineStr">
        <is>
          <t>Sha Sha - Shandaar Shawarma</t>
        </is>
      </c>
      <c r="F276" t="inlineStr">
        <is>
          <t>18557902</t>
        </is>
      </c>
      <c r="G276" t="inlineStr">
        <is>
          <t>30% off upto ₹75 (2025-06-25 - 2031-01-01)</t>
        </is>
      </c>
      <c r="H276" t="inlineStr">
        <is>
          <t>ONLINE</t>
        </is>
      </c>
      <c r="I276" t="inlineStr">
        <is>
          <t>DELIVERED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O2</t>
        </is>
      </c>
      <c r="N276" t="inlineStr">
        <is>
          <t>36</t>
        </is>
      </c>
      <c r="O276" t="n">
        <v>345</v>
      </c>
      <c r="P276" t="n">
        <v>3.5</v>
      </c>
      <c r="Q276" t="n">
        <v>0</v>
      </c>
      <c r="R276" t="n">
        <v>75</v>
      </c>
      <c r="S276" t="n">
        <v>0</v>
      </c>
      <c r="T276" t="n">
        <v>0</v>
      </c>
      <c r="U276" t="n">
        <v>0</v>
      </c>
      <c r="V276" t="n">
        <v>13.68</v>
      </c>
      <c r="W276" t="n">
        <v>287.18</v>
      </c>
      <c r="X276" t="n">
        <v>273.5</v>
      </c>
      <c r="Y276" t="n">
        <v>19</v>
      </c>
      <c r="Z276" t="n">
        <v>51.96</v>
      </c>
      <c r="AA276" t="n">
        <v>5.28</v>
      </c>
      <c r="AB276" t="n">
        <v>57.24</v>
      </c>
      <c r="AC276" t="n">
        <v>10.3</v>
      </c>
      <c r="AD276" t="n">
        <v>0</v>
      </c>
      <c r="AE276" t="n">
        <v>273.5</v>
      </c>
      <c r="AF276" t="n">
        <v>0</v>
      </c>
      <c r="AG276" t="n">
        <v>0</v>
      </c>
      <c r="AH276" t="n">
        <v>0.27</v>
      </c>
      <c r="AI276" t="n">
        <v>13.68</v>
      </c>
      <c r="AJ276" t="n">
        <v>0</v>
      </c>
      <c r="AK276" t="n">
        <v>24.25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81.48999999999999</v>
      </c>
      <c r="AV276" t="n">
        <v>0</v>
      </c>
      <c r="AW276" t="n">
        <v>205.69</v>
      </c>
      <c r="AX276" t="inlineStr">
        <is>
          <t>settled</t>
        </is>
      </c>
      <c r="AY276" t="inlineStr">
        <is>
          <t>2025-12-17 05:30:00</t>
        </is>
      </c>
      <c r="AZ276" t="inlineStr">
        <is>
          <t>CITIN25671113204</t>
        </is>
      </c>
      <c r="BA276" t="n">
        <v>0</v>
      </c>
      <c r="BB276" t="inlineStr">
        <is>
          <t>08f7fb8c9b34de191093cb4ea335fc67de976c66e9c117ed63db7f1f0528aa4c</t>
        </is>
      </c>
    </row>
    <row r="277">
      <c r="A277" t="inlineStr">
        <is>
          <t>617</t>
        </is>
      </c>
      <c r="B277" t="inlineStr">
        <is>
          <t>7570744967</t>
        </is>
      </c>
      <c r="C277" t="inlineStr">
        <is>
          <t>2025-12-13 19:24:22</t>
        </is>
      </c>
      <c r="D277" t="inlineStr">
        <is>
          <t>50</t>
        </is>
      </c>
      <c r="E277" t="inlineStr">
        <is>
          <t>Sha Sha - Shandaar Shawarma</t>
        </is>
      </c>
      <c r="F277" t="inlineStr">
        <is>
          <t>18557902</t>
        </is>
      </c>
      <c r="G277" t="inlineStr">
        <is>
          <t>30% off upto ₹75 (2025-06-25 - 2031-01-01)</t>
        </is>
      </c>
      <c r="H277" t="inlineStr">
        <is>
          <t>ONLINE</t>
        </is>
      </c>
      <c r="I277" t="inlineStr">
        <is>
          <t>DELIVERED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O2</t>
        </is>
      </c>
      <c r="N277" t="inlineStr">
        <is>
          <t>36</t>
        </is>
      </c>
      <c r="O277" t="n">
        <v>229</v>
      </c>
      <c r="P277" t="n">
        <v>3.5</v>
      </c>
      <c r="Q277" t="n">
        <v>0</v>
      </c>
      <c r="R277" t="n">
        <v>68.7</v>
      </c>
      <c r="S277" t="n">
        <v>0</v>
      </c>
      <c r="T277" t="n">
        <v>0</v>
      </c>
      <c r="U277" t="n">
        <v>0</v>
      </c>
      <c r="V277" t="n">
        <v>8.19</v>
      </c>
      <c r="W277" t="n">
        <v>171.99</v>
      </c>
      <c r="X277" t="n">
        <v>163.8</v>
      </c>
      <c r="Y277" t="n">
        <v>19</v>
      </c>
      <c r="Z277" t="n">
        <v>31.12</v>
      </c>
      <c r="AA277" t="n">
        <v>3.16</v>
      </c>
      <c r="AB277" t="n">
        <v>34.28</v>
      </c>
      <c r="AC277" t="n">
        <v>6.17</v>
      </c>
      <c r="AD277" t="n">
        <v>0</v>
      </c>
      <c r="AE277" t="n">
        <v>163.8</v>
      </c>
      <c r="AF277" t="n">
        <v>0</v>
      </c>
      <c r="AG277" t="n">
        <v>0</v>
      </c>
      <c r="AH277" t="n">
        <v>0.16</v>
      </c>
      <c r="AI277" t="n">
        <v>8.199999999999999</v>
      </c>
      <c r="AJ277" t="n">
        <v>-0.01</v>
      </c>
      <c r="AK277" t="n">
        <v>14.53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48.81</v>
      </c>
      <c r="AV277" t="n">
        <v>0</v>
      </c>
      <c r="AW277" t="n">
        <v>123.18</v>
      </c>
      <c r="AX277" t="inlineStr">
        <is>
          <t>settled</t>
        </is>
      </c>
      <c r="AY277" t="inlineStr">
        <is>
          <t>2025-12-17 05:30:00</t>
        </is>
      </c>
      <c r="AZ277" t="inlineStr">
        <is>
          <t>CITIN25671113204</t>
        </is>
      </c>
      <c r="BA277" t="n">
        <v>0</v>
      </c>
      <c r="BB277" t="inlineStr">
        <is>
          <t>5f8494cf19c395326ad295b3b7a7e644eaa9766a4b9077d3a79b5e885e440af8</t>
        </is>
      </c>
    </row>
    <row r="278">
      <c r="A278" t="inlineStr">
        <is>
          <t>618</t>
        </is>
      </c>
      <c r="B278" t="inlineStr">
        <is>
          <t>7568014415</t>
        </is>
      </c>
      <c r="C278" t="inlineStr">
        <is>
          <t>2025-12-13 19:25:32</t>
        </is>
      </c>
      <c r="D278" t="inlineStr">
        <is>
          <t>50</t>
        </is>
      </c>
      <c r="E278" t="inlineStr">
        <is>
          <t>Sha Sha - Shandaar Shawarma</t>
        </is>
      </c>
      <c r="F278" t="inlineStr">
        <is>
          <t>18557902</t>
        </is>
      </c>
      <c r="G278" t="inlineStr">
        <is>
          <t>NA</t>
        </is>
      </c>
      <c r="H278" t="inlineStr">
        <is>
          <t>ONLINE</t>
        </is>
      </c>
      <c r="I278" t="inlineStr">
        <is>
          <t>DELIVERED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O2</t>
        </is>
      </c>
      <c r="N278" t="inlineStr">
        <is>
          <t>36</t>
        </is>
      </c>
      <c r="O278" t="n">
        <v>289</v>
      </c>
      <c r="P278" t="n">
        <v>3.5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14.63</v>
      </c>
      <c r="W278" t="n">
        <v>307.13</v>
      </c>
      <c r="X278" t="n">
        <v>292.5</v>
      </c>
      <c r="Y278" t="n">
        <v>19</v>
      </c>
      <c r="Z278" t="n">
        <v>55.58</v>
      </c>
      <c r="AA278" t="n">
        <v>5.65</v>
      </c>
      <c r="AB278" t="n">
        <v>61.23</v>
      </c>
      <c r="AC278" t="n">
        <v>11.02</v>
      </c>
      <c r="AD278" t="n">
        <v>0</v>
      </c>
      <c r="AE278" t="n">
        <v>292.5</v>
      </c>
      <c r="AF278" t="n">
        <v>0</v>
      </c>
      <c r="AG278" t="n">
        <v>0</v>
      </c>
      <c r="AH278" t="n">
        <v>0.29</v>
      </c>
      <c r="AI278" t="n">
        <v>14.63</v>
      </c>
      <c r="AJ278" t="n">
        <v>0</v>
      </c>
      <c r="AK278" t="n">
        <v>25.94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87.17</v>
      </c>
      <c r="AV278" t="n">
        <v>0</v>
      </c>
      <c r="AW278" t="n">
        <v>219.96</v>
      </c>
      <c r="AX278" t="inlineStr">
        <is>
          <t>settled</t>
        </is>
      </c>
      <c r="AY278" t="inlineStr">
        <is>
          <t>2025-12-17 05:30:00</t>
        </is>
      </c>
      <c r="AZ278" t="inlineStr">
        <is>
          <t>CITIN25671113204</t>
        </is>
      </c>
      <c r="BA278" t="n">
        <v>0</v>
      </c>
      <c r="BB278" t="inlineStr">
        <is>
          <t>f658ba224ff3f6874f8cd04dd7f8e631f29ba0c51b04cfd52a97836914de00bf</t>
        </is>
      </c>
    </row>
    <row r="279">
      <c r="A279" t="inlineStr">
        <is>
          <t>619</t>
        </is>
      </c>
      <c r="B279" t="inlineStr">
        <is>
          <t>7579393021</t>
        </is>
      </c>
      <c r="C279" t="inlineStr">
        <is>
          <t>2025-12-13 19:47:53</t>
        </is>
      </c>
      <c r="D279" t="inlineStr">
        <is>
          <t>50</t>
        </is>
      </c>
      <c r="E279" t="inlineStr">
        <is>
          <t>Sha Sha - Shandaar Shawarma</t>
        </is>
      </c>
      <c r="F279" t="inlineStr">
        <is>
          <t>18557902</t>
        </is>
      </c>
      <c r="G279" t="inlineStr">
        <is>
          <t>30% off upto ₹75 (2025-06-25 - 2031-01-01)</t>
        </is>
      </c>
      <c r="H279" t="inlineStr">
        <is>
          <t>ONLINE</t>
        </is>
      </c>
      <c r="I279" t="inlineStr">
        <is>
          <t>DELIVERED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O2</t>
        </is>
      </c>
      <c r="N279" t="inlineStr">
        <is>
          <t>36</t>
        </is>
      </c>
      <c r="O279" t="n">
        <v>229</v>
      </c>
      <c r="P279" t="n">
        <v>3.5</v>
      </c>
      <c r="Q279" t="n">
        <v>0</v>
      </c>
      <c r="R279" t="n">
        <v>68.7</v>
      </c>
      <c r="S279" t="n">
        <v>0</v>
      </c>
      <c r="T279" t="n">
        <v>0</v>
      </c>
      <c r="U279" t="n">
        <v>0</v>
      </c>
      <c r="V279" t="n">
        <v>8.19</v>
      </c>
      <c r="W279" t="n">
        <v>171.99</v>
      </c>
      <c r="X279" t="n">
        <v>163.8</v>
      </c>
      <c r="Y279" t="n">
        <v>19</v>
      </c>
      <c r="Z279" t="n">
        <v>31.12</v>
      </c>
      <c r="AA279" t="n">
        <v>3.16</v>
      </c>
      <c r="AB279" t="n">
        <v>34.28</v>
      </c>
      <c r="AC279" t="n">
        <v>6.17</v>
      </c>
      <c r="AD279" t="n">
        <v>0</v>
      </c>
      <c r="AE279" t="n">
        <v>163.8</v>
      </c>
      <c r="AF279" t="n">
        <v>0</v>
      </c>
      <c r="AG279" t="n">
        <v>0</v>
      </c>
      <c r="AH279" t="n">
        <v>0.16</v>
      </c>
      <c r="AI279" t="n">
        <v>8.199999999999999</v>
      </c>
      <c r="AJ279" t="n">
        <v>-0.01</v>
      </c>
      <c r="AK279" t="n">
        <v>14.53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48.81</v>
      </c>
      <c r="AV279" t="n">
        <v>0</v>
      </c>
      <c r="AW279" t="n">
        <v>123.18</v>
      </c>
      <c r="AX279" t="inlineStr">
        <is>
          <t>settled</t>
        </is>
      </c>
      <c r="AY279" t="inlineStr">
        <is>
          <t>2025-12-17 05:30:00</t>
        </is>
      </c>
      <c r="AZ279" t="inlineStr">
        <is>
          <t>CITIN25671113204</t>
        </is>
      </c>
      <c r="BA279" t="n">
        <v>0</v>
      </c>
      <c r="BB279" t="inlineStr">
        <is>
          <t>f9927fffb68d8d1a8b49dfc04e2938ad26e63fe3d88369cfcc670e86a8aa1264</t>
        </is>
      </c>
    </row>
    <row r="280">
      <c r="A280" t="inlineStr">
        <is>
          <t>620</t>
        </is>
      </c>
      <c r="B280" t="inlineStr">
        <is>
          <t>7571314468</t>
        </is>
      </c>
      <c r="C280" t="inlineStr">
        <is>
          <t>2025-12-13 19:53:59</t>
        </is>
      </c>
      <c r="D280" t="inlineStr">
        <is>
          <t>50</t>
        </is>
      </c>
      <c r="E280" t="inlineStr">
        <is>
          <t>Sha Sha - Shandaar Shawarma</t>
        </is>
      </c>
      <c r="F280" t="inlineStr">
        <is>
          <t>18557902</t>
        </is>
      </c>
      <c r="G280" t="inlineStr">
        <is>
          <t>30% off upto ₹75 (2025-06-25 - 2031-01-01)</t>
        </is>
      </c>
      <c r="H280" t="inlineStr">
        <is>
          <t>ONLINE</t>
        </is>
      </c>
      <c r="I280" t="inlineStr">
        <is>
          <t>DELIVERED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O2</t>
        </is>
      </c>
      <c r="N280" t="inlineStr">
        <is>
          <t>37</t>
        </is>
      </c>
      <c r="O280" t="n">
        <v>289</v>
      </c>
      <c r="P280" t="n">
        <v>3.5</v>
      </c>
      <c r="Q280" t="n">
        <v>0</v>
      </c>
      <c r="R280" t="n">
        <v>75</v>
      </c>
      <c r="S280" t="n">
        <v>0</v>
      </c>
      <c r="T280" t="n">
        <v>0</v>
      </c>
      <c r="U280" t="n">
        <v>0</v>
      </c>
      <c r="V280" t="n">
        <v>10.88</v>
      </c>
      <c r="W280" t="n">
        <v>228.38</v>
      </c>
      <c r="X280" t="n">
        <v>217.5</v>
      </c>
      <c r="Y280" t="n">
        <v>19</v>
      </c>
      <c r="Z280" t="n">
        <v>41.32</v>
      </c>
      <c r="AA280" t="n">
        <v>4.2</v>
      </c>
      <c r="AB280" t="n">
        <v>45.52</v>
      </c>
      <c r="AC280" t="n">
        <v>8.199999999999999</v>
      </c>
      <c r="AD280" t="n">
        <v>0</v>
      </c>
      <c r="AE280" t="n">
        <v>217.5</v>
      </c>
      <c r="AF280" t="n">
        <v>0</v>
      </c>
      <c r="AG280" t="n">
        <v>0</v>
      </c>
      <c r="AH280" t="n">
        <v>0.22</v>
      </c>
      <c r="AI280" t="n">
        <v>10.88</v>
      </c>
      <c r="AJ280" t="n">
        <v>0</v>
      </c>
      <c r="AK280" t="n">
        <v>19.3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64.81999999999999</v>
      </c>
      <c r="AV280" t="n">
        <v>0</v>
      </c>
      <c r="AW280" t="n">
        <v>163.56</v>
      </c>
      <c r="AX280" t="inlineStr">
        <is>
          <t>settled</t>
        </is>
      </c>
      <c r="AY280" t="inlineStr">
        <is>
          <t>2025-12-17 05:30:00</t>
        </is>
      </c>
      <c r="AZ280" t="inlineStr">
        <is>
          <t>CITIN25671113204</t>
        </is>
      </c>
      <c r="BA280" t="n">
        <v>0</v>
      </c>
      <c r="BB280" t="inlineStr">
        <is>
          <t>1c3e9fcc263fa67aec455173fac0d482bff2b132fcec289b49045cf4af01d5e6</t>
        </is>
      </c>
    </row>
    <row r="281">
      <c r="A281" t="inlineStr">
        <is>
          <t>621</t>
        </is>
      </c>
      <c r="B281" t="inlineStr">
        <is>
          <t>7579747679</t>
        </is>
      </c>
      <c r="C281" t="inlineStr">
        <is>
          <t>2025-12-13 19:59:40</t>
        </is>
      </c>
      <c r="D281" t="inlineStr">
        <is>
          <t>50</t>
        </is>
      </c>
      <c r="E281" t="inlineStr">
        <is>
          <t>Sha Sha - Shandaar Shawarma</t>
        </is>
      </c>
      <c r="F281" t="inlineStr">
        <is>
          <t>18557902</t>
        </is>
      </c>
      <c r="G281" t="inlineStr">
        <is>
          <t>NA</t>
        </is>
      </c>
      <c r="H281" t="inlineStr">
        <is>
          <t>ONLINE</t>
        </is>
      </c>
      <c r="I281" t="inlineStr">
        <is>
          <t>DELIVERED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O2</t>
        </is>
      </c>
      <c r="N281" t="inlineStr">
        <is>
          <t>36</t>
        </is>
      </c>
      <c r="O281" t="n">
        <v>1013</v>
      </c>
      <c r="P281" t="n">
        <v>3.5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50.83</v>
      </c>
      <c r="W281" t="n">
        <v>1067.33</v>
      </c>
      <c r="X281" t="n">
        <v>1016.5</v>
      </c>
      <c r="Y281" t="n">
        <v>19</v>
      </c>
      <c r="Z281" t="n">
        <v>193.14</v>
      </c>
      <c r="AA281" t="n">
        <v>19.64</v>
      </c>
      <c r="AB281" t="n">
        <v>212.78</v>
      </c>
      <c r="AC281" t="n">
        <v>38.31</v>
      </c>
      <c r="AD281" t="n">
        <v>0</v>
      </c>
      <c r="AE281" t="n">
        <v>1016.5</v>
      </c>
      <c r="AF281" t="n">
        <v>0</v>
      </c>
      <c r="AG281" t="n">
        <v>0</v>
      </c>
      <c r="AH281" t="n">
        <v>1.02</v>
      </c>
      <c r="AI281" t="n">
        <v>50.83</v>
      </c>
      <c r="AJ281" t="n">
        <v>0</v>
      </c>
      <c r="AK281" t="n">
        <v>90.16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302.94</v>
      </c>
      <c r="AV281" t="n">
        <v>0</v>
      </c>
      <c r="AW281" t="n">
        <v>764.39</v>
      </c>
      <c r="AX281" t="inlineStr">
        <is>
          <t>settled</t>
        </is>
      </c>
      <c r="AY281" t="inlineStr">
        <is>
          <t>2025-12-17 05:30:00</t>
        </is>
      </c>
      <c r="AZ281" t="inlineStr">
        <is>
          <t>CITIN25671113204</t>
        </is>
      </c>
      <c r="BA281" t="n">
        <v>0</v>
      </c>
      <c r="BB281" t="inlineStr">
        <is>
          <t>f1ac61948fac01b4c03eb1dd40b2ea5232d7f9cc4653373986e0f5b2ef8aab4d</t>
        </is>
      </c>
    </row>
    <row r="282">
      <c r="A282" t="inlineStr">
        <is>
          <t>622</t>
        </is>
      </c>
      <c r="B282" t="inlineStr">
        <is>
          <t>7578593604</t>
        </is>
      </c>
      <c r="C282" t="inlineStr">
        <is>
          <t>2025-12-13 20:52:27</t>
        </is>
      </c>
      <c r="D282" t="inlineStr">
        <is>
          <t>50</t>
        </is>
      </c>
      <c r="E282" t="inlineStr">
        <is>
          <t>Sha Sha - Shandaar Shawarma</t>
        </is>
      </c>
      <c r="F282" t="inlineStr">
        <is>
          <t>18557902</t>
        </is>
      </c>
      <c r="G282" t="inlineStr">
        <is>
          <t>30% off upto ₹75 (2025-06-25 - 2031-01-01)</t>
        </is>
      </c>
      <c r="H282" t="inlineStr">
        <is>
          <t>ONLINE</t>
        </is>
      </c>
      <c r="I282" t="inlineStr">
        <is>
          <t>DELIVERED</t>
        </is>
      </c>
      <c r="J282" t="inlineStr">
        <is>
          <t>NA</t>
        </is>
      </c>
      <c r="K282" t="inlineStr">
        <is>
          <t>NA</t>
        </is>
      </c>
      <c r="L282" t="inlineStr">
        <is>
          <t>NA</t>
        </is>
      </c>
      <c r="M282" t="inlineStr">
        <is>
          <t>O2</t>
        </is>
      </c>
      <c r="N282" t="inlineStr">
        <is>
          <t>36</t>
        </is>
      </c>
      <c r="O282" t="n">
        <v>229</v>
      </c>
      <c r="P282" t="n">
        <v>3.5</v>
      </c>
      <c r="Q282" t="n">
        <v>0</v>
      </c>
      <c r="R282" t="n">
        <v>68.7</v>
      </c>
      <c r="S282" t="n">
        <v>0</v>
      </c>
      <c r="T282" t="n">
        <v>0</v>
      </c>
      <c r="U282" t="n">
        <v>0</v>
      </c>
      <c r="V282" t="n">
        <v>8.19</v>
      </c>
      <c r="W282" t="n">
        <v>171.99</v>
      </c>
      <c r="X282" t="n">
        <v>163.8</v>
      </c>
      <c r="Y282" t="n">
        <v>19</v>
      </c>
      <c r="Z282" t="n">
        <v>31.12</v>
      </c>
      <c r="AA282" t="n">
        <v>3.16</v>
      </c>
      <c r="AB282" t="n">
        <v>34.28</v>
      </c>
      <c r="AC282" t="n">
        <v>6.17</v>
      </c>
      <c r="AD282" t="n">
        <v>0</v>
      </c>
      <c r="AE282" t="n">
        <v>163.8</v>
      </c>
      <c r="AF282" t="n">
        <v>0</v>
      </c>
      <c r="AG282" t="n">
        <v>0</v>
      </c>
      <c r="AH282" t="n">
        <v>0.16</v>
      </c>
      <c r="AI282" t="n">
        <v>8.199999999999999</v>
      </c>
      <c r="AJ282" t="n">
        <v>-0.01</v>
      </c>
      <c r="AK282" t="n">
        <v>14.53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48.81</v>
      </c>
      <c r="AV282" t="n">
        <v>0</v>
      </c>
      <c r="AW282" t="n">
        <v>123.18</v>
      </c>
      <c r="AX282" t="inlineStr">
        <is>
          <t>settled</t>
        </is>
      </c>
      <c r="AY282" t="inlineStr">
        <is>
          <t>2025-12-17 05:30:00</t>
        </is>
      </c>
      <c r="AZ282" t="inlineStr">
        <is>
          <t>CITIN25671113204</t>
        </is>
      </c>
      <c r="BA282" t="n">
        <v>0</v>
      </c>
      <c r="BB282" t="inlineStr">
        <is>
          <t>4c71ae0641136c1a9d488202e8dda452489a30e273acfccf925684494c0d6f4c</t>
        </is>
      </c>
    </row>
    <row r="283">
      <c r="A283" t="inlineStr">
        <is>
          <t>623</t>
        </is>
      </c>
      <c r="B283" t="inlineStr">
        <is>
          <t>7566077762</t>
        </is>
      </c>
      <c r="C283" t="inlineStr">
        <is>
          <t>2025-12-13 20:57:08</t>
        </is>
      </c>
      <c r="D283" t="inlineStr">
        <is>
          <t>50</t>
        </is>
      </c>
      <c r="E283" t="inlineStr">
        <is>
          <t>Sha Sha - Shandaar Shawarma</t>
        </is>
      </c>
      <c r="F283" t="inlineStr">
        <is>
          <t>18557902</t>
        </is>
      </c>
      <c r="G283" t="inlineStr">
        <is>
          <t>30% off upto ₹75 (2025-06-25 - 2031-01-01)</t>
        </is>
      </c>
      <c r="H283" t="inlineStr">
        <is>
          <t>ONLINE</t>
        </is>
      </c>
      <c r="I283" t="inlineStr">
        <is>
          <t>DELIVERED</t>
        </is>
      </c>
      <c r="J283" t="inlineStr">
        <is>
          <t>NA</t>
        </is>
      </c>
      <c r="K283" t="inlineStr">
        <is>
          <t>NA</t>
        </is>
      </c>
      <c r="L283" t="inlineStr">
        <is>
          <t>NA</t>
        </is>
      </c>
      <c r="M283" t="inlineStr">
        <is>
          <t>O2</t>
        </is>
      </c>
      <c r="N283" t="inlineStr">
        <is>
          <t>36</t>
        </is>
      </c>
      <c r="O283" t="n">
        <v>219</v>
      </c>
      <c r="P283" t="n">
        <v>3.5</v>
      </c>
      <c r="Q283" t="n">
        <v>0</v>
      </c>
      <c r="R283" t="n">
        <v>65.7</v>
      </c>
      <c r="S283" t="n">
        <v>0</v>
      </c>
      <c r="T283" t="n">
        <v>0</v>
      </c>
      <c r="U283" t="n">
        <v>0</v>
      </c>
      <c r="V283" t="n">
        <v>7.84</v>
      </c>
      <c r="W283" t="n">
        <v>164.64</v>
      </c>
      <c r="X283" t="n">
        <v>156.8</v>
      </c>
      <c r="Y283" t="n">
        <v>19</v>
      </c>
      <c r="Z283" t="n">
        <v>29.79</v>
      </c>
      <c r="AA283" t="n">
        <v>3.03</v>
      </c>
      <c r="AB283" t="n">
        <v>32.82</v>
      </c>
      <c r="AC283" t="n">
        <v>5.91</v>
      </c>
      <c r="AD283" t="n">
        <v>0</v>
      </c>
      <c r="AE283" t="n">
        <v>156.8</v>
      </c>
      <c r="AF283" t="n">
        <v>0</v>
      </c>
      <c r="AG283" t="n">
        <v>0</v>
      </c>
      <c r="AH283" t="n">
        <v>0.16</v>
      </c>
      <c r="AI283" t="n">
        <v>7.85</v>
      </c>
      <c r="AJ283" t="n">
        <v>-0.01</v>
      </c>
      <c r="AK283" t="n">
        <v>13.92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46.74</v>
      </c>
      <c r="AV283" t="n">
        <v>0</v>
      </c>
      <c r="AW283" t="n">
        <v>117.9</v>
      </c>
      <c r="AX283" t="inlineStr">
        <is>
          <t>settled</t>
        </is>
      </c>
      <c r="AY283" t="inlineStr">
        <is>
          <t>2025-12-17 05:30:00</t>
        </is>
      </c>
      <c r="AZ283" t="inlineStr">
        <is>
          <t>CITIN25671113204</t>
        </is>
      </c>
      <c r="BA283" t="n">
        <v>0</v>
      </c>
      <c r="BB283" t="inlineStr">
        <is>
          <t>20fc77d309dda6f069bc4639ce0441950571fc26324db90ec1aab701746add75</t>
        </is>
      </c>
    </row>
    <row r="284">
      <c r="A284" t="inlineStr">
        <is>
          <t>624</t>
        </is>
      </c>
      <c r="B284" t="inlineStr">
        <is>
          <t>7577181158</t>
        </is>
      </c>
      <c r="C284" t="inlineStr">
        <is>
          <t>2025-12-13 21:04:54</t>
        </is>
      </c>
      <c r="D284" t="inlineStr">
        <is>
          <t>50</t>
        </is>
      </c>
      <c r="E284" t="inlineStr">
        <is>
          <t>Sha Sha - Shandaar Shawarma</t>
        </is>
      </c>
      <c r="F284" t="inlineStr">
        <is>
          <t>18557902</t>
        </is>
      </c>
      <c r="G284" t="inlineStr">
        <is>
          <t>30% off upto ₹75 (2025-06-25 - 2031-01-01)</t>
        </is>
      </c>
      <c r="H284" t="inlineStr">
        <is>
          <t>ONLINE</t>
        </is>
      </c>
      <c r="I284" t="inlineStr">
        <is>
          <t>DELIVERED</t>
        </is>
      </c>
      <c r="J284" t="inlineStr">
        <is>
          <t>NA</t>
        </is>
      </c>
      <c r="K284" t="inlineStr">
        <is>
          <t>NA</t>
        </is>
      </c>
      <c r="L284" t="inlineStr">
        <is>
          <t>NA</t>
        </is>
      </c>
      <c r="M284" t="inlineStr">
        <is>
          <t>O2</t>
        </is>
      </c>
      <c r="N284" t="inlineStr">
        <is>
          <t>36</t>
        </is>
      </c>
      <c r="O284" t="n">
        <v>219</v>
      </c>
      <c r="P284" t="n">
        <v>3.5</v>
      </c>
      <c r="Q284" t="n">
        <v>0</v>
      </c>
      <c r="R284" t="n">
        <v>65.7</v>
      </c>
      <c r="S284" t="n">
        <v>0</v>
      </c>
      <c r="T284" t="n">
        <v>0</v>
      </c>
      <c r="U284" t="n">
        <v>0</v>
      </c>
      <c r="V284" t="n">
        <v>7.84</v>
      </c>
      <c r="W284" t="n">
        <v>164.64</v>
      </c>
      <c r="X284" t="n">
        <v>156.8</v>
      </c>
      <c r="Y284" t="n">
        <v>19</v>
      </c>
      <c r="Z284" t="n">
        <v>29.79</v>
      </c>
      <c r="AA284" t="n">
        <v>3.03</v>
      </c>
      <c r="AB284" t="n">
        <v>32.82</v>
      </c>
      <c r="AC284" t="n">
        <v>5.91</v>
      </c>
      <c r="AD284" t="n">
        <v>0</v>
      </c>
      <c r="AE284" t="n">
        <v>156.8</v>
      </c>
      <c r="AF284" t="n">
        <v>0</v>
      </c>
      <c r="AG284" t="n">
        <v>0</v>
      </c>
      <c r="AH284" t="n">
        <v>0.16</v>
      </c>
      <c r="AI284" t="n">
        <v>7.85</v>
      </c>
      <c r="AJ284" t="n">
        <v>-0.01</v>
      </c>
      <c r="AK284" t="n">
        <v>13.92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46.74</v>
      </c>
      <c r="AV284" t="n">
        <v>0</v>
      </c>
      <c r="AW284" t="n">
        <v>117.9</v>
      </c>
      <c r="AX284" t="inlineStr">
        <is>
          <t>settled</t>
        </is>
      </c>
      <c r="AY284" t="inlineStr">
        <is>
          <t>2025-12-17 05:30:00</t>
        </is>
      </c>
      <c r="AZ284" t="inlineStr">
        <is>
          <t>CITIN25671113204</t>
        </is>
      </c>
      <c r="BA284" t="n">
        <v>0</v>
      </c>
      <c r="BB284" t="inlineStr">
        <is>
          <t>255b7498145afeb6eb30414fd91befba03cc7026052dc9ed95376e17b424e1f3</t>
        </is>
      </c>
    </row>
    <row r="285">
      <c r="A285" t="inlineStr">
        <is>
          <t>625</t>
        </is>
      </c>
      <c r="B285" t="inlineStr">
        <is>
          <t>7574947387</t>
        </is>
      </c>
      <c r="C285" t="inlineStr">
        <is>
          <t>2025-12-13 21:13:33</t>
        </is>
      </c>
      <c r="D285" t="inlineStr">
        <is>
          <t>50</t>
        </is>
      </c>
      <c r="E285" t="inlineStr">
        <is>
          <t>Sha Sha - Shandaar Shawarma</t>
        </is>
      </c>
      <c r="F285" t="inlineStr">
        <is>
          <t>18557902</t>
        </is>
      </c>
      <c r="G285" t="inlineStr">
        <is>
          <t>30% off upto ₹75 (2025-06-25 - 2031-01-01)</t>
        </is>
      </c>
      <c r="H285" t="inlineStr">
        <is>
          <t>ONLINE</t>
        </is>
      </c>
      <c r="I285" t="inlineStr">
        <is>
          <t>DELIVERED</t>
        </is>
      </c>
      <c r="J285" t="inlineStr">
        <is>
          <t>NA</t>
        </is>
      </c>
      <c r="K285" t="inlineStr">
        <is>
          <t>NA</t>
        </is>
      </c>
      <c r="L285" t="inlineStr">
        <is>
          <t>NA</t>
        </is>
      </c>
      <c r="M285" t="inlineStr">
        <is>
          <t>O2</t>
        </is>
      </c>
      <c r="N285" t="inlineStr">
        <is>
          <t>36</t>
        </is>
      </c>
      <c r="O285" t="n">
        <v>219</v>
      </c>
      <c r="P285" t="n">
        <v>3.5</v>
      </c>
      <c r="Q285" t="n">
        <v>0</v>
      </c>
      <c r="R285" t="n">
        <v>65.7</v>
      </c>
      <c r="S285" t="n">
        <v>0</v>
      </c>
      <c r="T285" t="n">
        <v>0</v>
      </c>
      <c r="U285" t="n">
        <v>0</v>
      </c>
      <c r="V285" t="n">
        <v>7.84</v>
      </c>
      <c r="W285" t="n">
        <v>164.64</v>
      </c>
      <c r="X285" t="n">
        <v>156.8</v>
      </c>
      <c r="Y285" t="n">
        <v>19</v>
      </c>
      <c r="Z285" t="n">
        <v>29.79</v>
      </c>
      <c r="AA285" t="n">
        <v>3.03</v>
      </c>
      <c r="AB285" t="n">
        <v>32.82</v>
      </c>
      <c r="AC285" t="n">
        <v>5.91</v>
      </c>
      <c r="AD285" t="n">
        <v>0</v>
      </c>
      <c r="AE285" t="n">
        <v>156.8</v>
      </c>
      <c r="AF285" t="n">
        <v>0</v>
      </c>
      <c r="AG285" t="n">
        <v>0</v>
      </c>
      <c r="AH285" t="n">
        <v>0.16</v>
      </c>
      <c r="AI285" t="n">
        <v>7.85</v>
      </c>
      <c r="AJ285" t="n">
        <v>-0.01</v>
      </c>
      <c r="AK285" t="n">
        <v>13.92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46.74</v>
      </c>
      <c r="AV285" t="n">
        <v>0</v>
      </c>
      <c r="AW285" t="n">
        <v>117.9</v>
      </c>
      <c r="AX285" t="inlineStr">
        <is>
          <t>settled</t>
        </is>
      </c>
      <c r="AY285" t="inlineStr">
        <is>
          <t>2025-12-17 05:30:00</t>
        </is>
      </c>
      <c r="AZ285" t="inlineStr">
        <is>
          <t>CITIN25671113204</t>
        </is>
      </c>
      <c r="BA285" t="n">
        <v>0</v>
      </c>
      <c r="BB285" t="inlineStr">
        <is>
          <t>04fa2d85ae0bac53c305d505cb2593d9d057e89ffb9071bb2fb965476e1db447</t>
        </is>
      </c>
    </row>
    <row r="286">
      <c r="A286" t="inlineStr">
        <is>
          <t>626</t>
        </is>
      </c>
      <c r="B286" t="inlineStr">
        <is>
          <t>7571184063</t>
        </is>
      </c>
      <c r="C286" t="inlineStr">
        <is>
          <t>2025-12-13 21:55:39</t>
        </is>
      </c>
      <c r="D286" t="inlineStr">
        <is>
          <t>50</t>
        </is>
      </c>
      <c r="E286" t="inlineStr">
        <is>
          <t>Sha Sha - Shandaar Shawarma</t>
        </is>
      </c>
      <c r="F286" t="inlineStr">
        <is>
          <t>18557902</t>
        </is>
      </c>
      <c r="G286" t="inlineStr">
        <is>
          <t>30% off upto ₹75 (2025-06-25 - 2031-01-01)</t>
        </is>
      </c>
      <c r="H286" t="inlineStr">
        <is>
          <t>ONLINE</t>
        </is>
      </c>
      <c r="I286" t="inlineStr">
        <is>
          <t>DELIVERED</t>
        </is>
      </c>
      <c r="J286" t="inlineStr">
        <is>
          <t>NA</t>
        </is>
      </c>
      <c r="K286" t="inlineStr">
        <is>
          <t>NA</t>
        </is>
      </c>
      <c r="L286" t="inlineStr">
        <is>
          <t>NA</t>
        </is>
      </c>
      <c r="M286" t="inlineStr">
        <is>
          <t>O2</t>
        </is>
      </c>
      <c r="N286" t="inlineStr">
        <is>
          <t>36</t>
        </is>
      </c>
      <c r="O286" t="n">
        <v>358</v>
      </c>
      <c r="P286" t="n">
        <v>3.5</v>
      </c>
      <c r="Q286" t="n">
        <v>0</v>
      </c>
      <c r="R286" t="n">
        <v>75</v>
      </c>
      <c r="S286" t="n">
        <v>0</v>
      </c>
      <c r="T286" t="n">
        <v>0</v>
      </c>
      <c r="U286" t="n">
        <v>0</v>
      </c>
      <c r="V286" t="n">
        <v>14.33</v>
      </c>
      <c r="W286" t="n">
        <v>300.83</v>
      </c>
      <c r="X286" t="n">
        <v>286.5</v>
      </c>
      <c r="Y286" t="n">
        <v>19</v>
      </c>
      <c r="Z286" t="n">
        <v>54.44</v>
      </c>
      <c r="AA286" t="n">
        <v>5.54</v>
      </c>
      <c r="AB286" t="n">
        <v>59.98</v>
      </c>
      <c r="AC286" t="n">
        <v>10.8</v>
      </c>
      <c r="AD286" t="n">
        <v>0</v>
      </c>
      <c r="AE286" t="n">
        <v>286.5</v>
      </c>
      <c r="AF286" t="n">
        <v>0</v>
      </c>
      <c r="AG286" t="n">
        <v>0</v>
      </c>
      <c r="AH286" t="n">
        <v>0.29</v>
      </c>
      <c r="AI286" t="n">
        <v>14.33</v>
      </c>
      <c r="AJ286" t="n">
        <v>0</v>
      </c>
      <c r="AK286" t="n">
        <v>25.42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85.40000000000001</v>
      </c>
      <c r="AV286" t="n">
        <v>0</v>
      </c>
      <c r="AW286" t="n">
        <v>215.43</v>
      </c>
      <c r="AX286" t="inlineStr">
        <is>
          <t>settled</t>
        </is>
      </c>
      <c r="AY286" t="inlineStr">
        <is>
          <t>2025-12-17 05:30:00</t>
        </is>
      </c>
      <c r="AZ286" t="inlineStr">
        <is>
          <t>CITIN25671113204</t>
        </is>
      </c>
      <c r="BA286" t="n">
        <v>0</v>
      </c>
      <c r="BB286" t="inlineStr">
        <is>
          <t>e9e433082ea83794512ed7e4fc07a133c7cfcb6428a4435cd6e23b3af450dee8</t>
        </is>
      </c>
    </row>
    <row r="287">
      <c r="A287" t="inlineStr">
        <is>
          <t>627</t>
        </is>
      </c>
      <c r="B287" t="inlineStr">
        <is>
          <t>7579353305</t>
        </is>
      </c>
      <c r="C287" t="inlineStr">
        <is>
          <t>2025-12-13 23:03:07</t>
        </is>
      </c>
      <c r="D287" t="inlineStr">
        <is>
          <t>50</t>
        </is>
      </c>
      <c r="E287" t="inlineStr">
        <is>
          <t>Sha Sha - Shandaar Shawarma</t>
        </is>
      </c>
      <c r="F287" t="inlineStr">
        <is>
          <t>18557902</t>
        </is>
      </c>
      <c r="G287" t="inlineStr">
        <is>
          <t>30% off upto ₹75 (2025-06-25 - 2031-01-01)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NA</t>
        </is>
      </c>
      <c r="K287" t="inlineStr">
        <is>
          <t>NA</t>
        </is>
      </c>
      <c r="L287" t="inlineStr">
        <is>
          <t>NA</t>
        </is>
      </c>
      <c r="M287" t="inlineStr">
        <is>
          <t>O2</t>
        </is>
      </c>
      <c r="N287" t="inlineStr">
        <is>
          <t>36</t>
        </is>
      </c>
      <c r="O287" t="n">
        <v>448</v>
      </c>
      <c r="P287" t="n">
        <v>3.5</v>
      </c>
      <c r="Q287" t="n">
        <v>0</v>
      </c>
      <c r="R287" t="n">
        <v>75</v>
      </c>
      <c r="S287" t="n">
        <v>0</v>
      </c>
      <c r="T287" t="n">
        <v>0</v>
      </c>
      <c r="U287" t="n">
        <v>0</v>
      </c>
      <c r="V287" t="n">
        <v>18.83</v>
      </c>
      <c r="W287" t="n">
        <v>395.33</v>
      </c>
      <c r="X287" t="n">
        <v>376.5</v>
      </c>
      <c r="Y287" t="n">
        <v>19</v>
      </c>
      <c r="Z287" t="n">
        <v>71.54000000000001</v>
      </c>
      <c r="AA287" t="n">
        <v>7.27</v>
      </c>
      <c r="AB287" t="n">
        <v>78.81</v>
      </c>
      <c r="AC287" t="n">
        <v>14.19</v>
      </c>
      <c r="AD287" t="n">
        <v>0</v>
      </c>
      <c r="AE287" t="n">
        <v>376.5</v>
      </c>
      <c r="AF287" t="n">
        <v>0</v>
      </c>
      <c r="AG287" t="n">
        <v>0</v>
      </c>
      <c r="AH287" t="n">
        <v>0.38</v>
      </c>
      <c r="AI287" t="n">
        <v>18.83</v>
      </c>
      <c r="AJ287" t="n">
        <v>0</v>
      </c>
      <c r="AK287" t="n">
        <v>33.4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112.21</v>
      </c>
      <c r="AV287" t="n">
        <v>0</v>
      </c>
      <c r="AW287" t="n">
        <v>283.12</v>
      </c>
      <c r="AX287" t="inlineStr">
        <is>
          <t>settled</t>
        </is>
      </c>
      <c r="AY287" t="inlineStr">
        <is>
          <t>2025-12-17 05:30:00</t>
        </is>
      </c>
      <c r="AZ287" t="inlineStr">
        <is>
          <t>CITIN25671113204</t>
        </is>
      </c>
      <c r="BA287" t="n">
        <v>0</v>
      </c>
      <c r="BB287" t="inlineStr">
        <is>
          <t>2803a5ed412487405372503a65ed749e7e75e376a28121f5127433548620d026</t>
        </is>
      </c>
    </row>
    <row r="288">
      <c r="A288" t="inlineStr">
        <is>
          <t>628</t>
        </is>
      </c>
      <c r="B288" t="inlineStr">
        <is>
          <t>7568451707</t>
        </is>
      </c>
      <c r="C288" t="inlineStr">
        <is>
          <t>2025-12-13 23:08:09</t>
        </is>
      </c>
      <c r="D288" t="inlineStr">
        <is>
          <t>50</t>
        </is>
      </c>
      <c r="E288" t="inlineStr">
        <is>
          <t>Sha Sha - Shandaar Shawarma</t>
        </is>
      </c>
      <c r="F288" t="inlineStr">
        <is>
          <t>18557902</t>
        </is>
      </c>
      <c r="G288" t="inlineStr">
        <is>
          <t>30% off upto ₹75 (2025-06-25 - 2031-01-01)</t>
        </is>
      </c>
      <c r="H288" t="inlineStr">
        <is>
          <t>ONLINE</t>
        </is>
      </c>
      <c r="I288" t="inlineStr">
        <is>
          <t>DELIVERED</t>
        </is>
      </c>
      <c r="J288" t="inlineStr">
        <is>
          <t>NA</t>
        </is>
      </c>
      <c r="K288" t="inlineStr">
        <is>
          <t>NA</t>
        </is>
      </c>
      <c r="L288" t="inlineStr">
        <is>
          <t>NA</t>
        </is>
      </c>
      <c r="M288" t="inlineStr">
        <is>
          <t>O2</t>
        </is>
      </c>
      <c r="N288" t="inlineStr">
        <is>
          <t>36</t>
        </is>
      </c>
      <c r="O288" t="n">
        <v>219</v>
      </c>
      <c r="P288" t="n">
        <v>3.5</v>
      </c>
      <c r="Q288" t="n">
        <v>0</v>
      </c>
      <c r="R288" t="n">
        <v>65.7</v>
      </c>
      <c r="S288" t="n">
        <v>0</v>
      </c>
      <c r="T288" t="n">
        <v>0</v>
      </c>
      <c r="U288" t="n">
        <v>0</v>
      </c>
      <c r="V288" t="n">
        <v>7.84</v>
      </c>
      <c r="W288" t="n">
        <v>164.64</v>
      </c>
      <c r="X288" t="n">
        <v>156.8</v>
      </c>
      <c r="Y288" t="n">
        <v>19</v>
      </c>
      <c r="Z288" t="n">
        <v>29.79</v>
      </c>
      <c r="AA288" t="n">
        <v>3.03</v>
      </c>
      <c r="AB288" t="n">
        <v>32.82</v>
      </c>
      <c r="AC288" t="n">
        <v>5.91</v>
      </c>
      <c r="AD288" t="n">
        <v>0</v>
      </c>
      <c r="AE288" t="n">
        <v>156.8</v>
      </c>
      <c r="AF288" t="n">
        <v>0</v>
      </c>
      <c r="AG288" t="n">
        <v>0</v>
      </c>
      <c r="AH288" t="n">
        <v>0.16</v>
      </c>
      <c r="AI288" t="n">
        <v>7.85</v>
      </c>
      <c r="AJ288" t="n">
        <v>-0.01</v>
      </c>
      <c r="AK288" t="n">
        <v>13.92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46.74</v>
      </c>
      <c r="AV288" t="n">
        <v>0</v>
      </c>
      <c r="AW288" t="n">
        <v>117.9</v>
      </c>
      <c r="AX288" t="inlineStr">
        <is>
          <t>settled</t>
        </is>
      </c>
      <c r="AY288" t="inlineStr">
        <is>
          <t>2025-12-17 05:30:00</t>
        </is>
      </c>
      <c r="AZ288" t="inlineStr">
        <is>
          <t>CITIN25671113204</t>
        </is>
      </c>
      <c r="BA288" t="n">
        <v>0</v>
      </c>
      <c r="BB288" t="inlineStr">
        <is>
          <t>9229d34d7fe8d0d865988b34f2bca66e36c67097421ced0eedc81ef6e3aefe93</t>
        </is>
      </c>
    </row>
    <row r="289">
      <c r="A289" t="inlineStr">
        <is>
          <t>629</t>
        </is>
      </c>
      <c r="B289" t="inlineStr">
        <is>
          <t>7579791032</t>
        </is>
      </c>
      <c r="C289" t="inlineStr">
        <is>
          <t>2025-12-13 23:11:47</t>
        </is>
      </c>
      <c r="D289" t="inlineStr">
        <is>
          <t>50</t>
        </is>
      </c>
      <c r="E289" t="inlineStr">
        <is>
          <t>Sha Sha - Shandaar Shawarma</t>
        </is>
      </c>
      <c r="F289" t="inlineStr">
        <is>
          <t>18557902</t>
        </is>
      </c>
      <c r="G289" t="inlineStr">
        <is>
          <t>30% off upto ₹75 (2025-06-25 - 2031-01-01)</t>
        </is>
      </c>
      <c r="H289" t="inlineStr">
        <is>
          <t>ONLINE</t>
        </is>
      </c>
      <c r="I289" t="inlineStr">
        <is>
          <t>DELIVERED</t>
        </is>
      </c>
      <c r="J289" t="inlineStr">
        <is>
          <t>NA</t>
        </is>
      </c>
      <c r="K289" t="inlineStr">
        <is>
          <t>NA</t>
        </is>
      </c>
      <c r="L289" t="inlineStr">
        <is>
          <t>NA</t>
        </is>
      </c>
      <c r="M289" t="inlineStr">
        <is>
          <t>O2</t>
        </is>
      </c>
      <c r="N289" t="inlineStr">
        <is>
          <t>36</t>
        </is>
      </c>
      <c r="O289" t="n">
        <v>428</v>
      </c>
      <c r="P289" t="n">
        <v>3.5</v>
      </c>
      <c r="Q289" t="n">
        <v>0</v>
      </c>
      <c r="R289" t="n">
        <v>75</v>
      </c>
      <c r="S289" t="n">
        <v>0</v>
      </c>
      <c r="T289" t="n">
        <v>0</v>
      </c>
      <c r="U289" t="n">
        <v>0</v>
      </c>
      <c r="V289" t="n">
        <v>17.83</v>
      </c>
      <c r="W289" t="n">
        <v>374.33</v>
      </c>
      <c r="X289" t="n">
        <v>356.5</v>
      </c>
      <c r="Y289" t="n">
        <v>19</v>
      </c>
      <c r="Z289" t="n">
        <v>67.73999999999999</v>
      </c>
      <c r="AA289" t="n">
        <v>6.89</v>
      </c>
      <c r="AB289" t="n">
        <v>74.63</v>
      </c>
      <c r="AC289" t="n">
        <v>13.43</v>
      </c>
      <c r="AD289" t="n">
        <v>0</v>
      </c>
      <c r="AE289" t="n">
        <v>356.5</v>
      </c>
      <c r="AF289" t="n">
        <v>0</v>
      </c>
      <c r="AG289" t="n">
        <v>0</v>
      </c>
      <c r="AH289" t="n">
        <v>0.36</v>
      </c>
      <c r="AI289" t="n">
        <v>17.83</v>
      </c>
      <c r="AJ289" t="n">
        <v>0</v>
      </c>
      <c r="AK289" t="n">
        <v>31.62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106.25</v>
      </c>
      <c r="AV289" t="n">
        <v>0</v>
      </c>
      <c r="AW289" t="n">
        <v>268.08</v>
      </c>
      <c r="AX289" t="inlineStr">
        <is>
          <t>settled</t>
        </is>
      </c>
      <c r="AY289" t="inlineStr">
        <is>
          <t>2025-12-17 05:30:00</t>
        </is>
      </c>
      <c r="AZ289" t="inlineStr">
        <is>
          <t>CITIN25671113204</t>
        </is>
      </c>
      <c r="BA289" t="n">
        <v>0</v>
      </c>
      <c r="BB289" t="inlineStr">
        <is>
          <t>9636e01cbb15b38e890d3ae105c881ec2692bdd8d500197644707ddc3a3c5b7b</t>
        </is>
      </c>
    </row>
    <row r="290">
      <c r="A290" t="inlineStr">
        <is>
          <t>630</t>
        </is>
      </c>
      <c r="B290" t="inlineStr">
        <is>
          <t>7577985567</t>
        </is>
      </c>
      <c r="C290" t="inlineStr">
        <is>
          <t>2025-12-13 23:18:00</t>
        </is>
      </c>
      <c r="D290" t="inlineStr">
        <is>
          <t>50</t>
        </is>
      </c>
      <c r="E290" t="inlineStr">
        <is>
          <t>Sha Sha - Shandaar Shawarma</t>
        </is>
      </c>
      <c r="F290" t="inlineStr">
        <is>
          <t>18557902</t>
        </is>
      </c>
      <c r="G290" t="inlineStr">
        <is>
          <t>30% off upto ₹75 (2025-06-25 - 2031-01-01)</t>
        </is>
      </c>
      <c r="H290" t="inlineStr">
        <is>
          <t>ONLINE</t>
        </is>
      </c>
      <c r="I290" t="inlineStr">
        <is>
          <t>DELIVERED</t>
        </is>
      </c>
      <c r="J290" t="inlineStr">
        <is>
          <t>NA</t>
        </is>
      </c>
      <c r="K290" t="inlineStr">
        <is>
          <t>NA</t>
        </is>
      </c>
      <c r="L290" t="inlineStr">
        <is>
          <t>NA</t>
        </is>
      </c>
      <c r="M290" t="inlineStr">
        <is>
          <t>O2</t>
        </is>
      </c>
      <c r="N290" t="inlineStr">
        <is>
          <t>36</t>
        </is>
      </c>
      <c r="O290" t="n">
        <v>219</v>
      </c>
      <c r="P290" t="n">
        <v>3.5</v>
      </c>
      <c r="Q290" t="n">
        <v>0</v>
      </c>
      <c r="R290" t="n">
        <v>65.7</v>
      </c>
      <c r="S290" t="n">
        <v>0</v>
      </c>
      <c r="T290" t="n">
        <v>0</v>
      </c>
      <c r="U290" t="n">
        <v>0</v>
      </c>
      <c r="V290" t="n">
        <v>7.84</v>
      </c>
      <c r="W290" t="n">
        <v>164.64</v>
      </c>
      <c r="X290" t="n">
        <v>156.8</v>
      </c>
      <c r="Y290" t="n">
        <v>19</v>
      </c>
      <c r="Z290" t="n">
        <v>29.79</v>
      </c>
      <c r="AA290" t="n">
        <v>3.03</v>
      </c>
      <c r="AB290" t="n">
        <v>32.82</v>
      </c>
      <c r="AC290" t="n">
        <v>5.91</v>
      </c>
      <c r="AD290" t="n">
        <v>0</v>
      </c>
      <c r="AE290" t="n">
        <v>156.8</v>
      </c>
      <c r="AF290" t="n">
        <v>0</v>
      </c>
      <c r="AG290" t="n">
        <v>0</v>
      </c>
      <c r="AH290" t="n">
        <v>0.16</v>
      </c>
      <c r="AI290" t="n">
        <v>7.85</v>
      </c>
      <c r="AJ290" t="n">
        <v>-0.01</v>
      </c>
      <c r="AK290" t="n">
        <v>13.92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46.74</v>
      </c>
      <c r="AV290" t="n">
        <v>0</v>
      </c>
      <c r="AW290" t="n">
        <v>117.9</v>
      </c>
      <c r="AX290" t="inlineStr">
        <is>
          <t>settled</t>
        </is>
      </c>
      <c r="AY290" t="inlineStr">
        <is>
          <t>2025-12-17 05:30:00</t>
        </is>
      </c>
      <c r="AZ290" t="inlineStr">
        <is>
          <t>CITIN25671113204</t>
        </is>
      </c>
      <c r="BA290" t="n">
        <v>0</v>
      </c>
      <c r="BB290" t="inlineStr">
        <is>
          <t>517f7912825b789c9ceb890a4bf48be82ec34eed3743ad2dba9e97563c954737</t>
        </is>
      </c>
    </row>
    <row r="291">
      <c r="A291" t="inlineStr">
        <is>
          <t>631</t>
        </is>
      </c>
      <c r="B291" t="inlineStr">
        <is>
          <t>7579554945</t>
        </is>
      </c>
      <c r="C291" t="inlineStr">
        <is>
          <t>2025-12-13 23:22:36</t>
        </is>
      </c>
      <c r="D291" t="inlineStr">
        <is>
          <t>50</t>
        </is>
      </c>
      <c r="E291" t="inlineStr">
        <is>
          <t>Sha Sha - Shandaar Shawarma</t>
        </is>
      </c>
      <c r="F291" t="inlineStr">
        <is>
          <t>18557902</t>
        </is>
      </c>
      <c r="G291" t="inlineStr">
        <is>
          <t>NA</t>
        </is>
      </c>
      <c r="H291" t="inlineStr">
        <is>
          <t>ONLINE</t>
        </is>
      </c>
      <c r="I291" t="inlineStr">
        <is>
          <t>DELIVERED</t>
        </is>
      </c>
      <c r="J291" t="inlineStr">
        <is>
          <t>NA</t>
        </is>
      </c>
      <c r="K291" t="inlineStr">
        <is>
          <t>NA</t>
        </is>
      </c>
      <c r="L291" t="inlineStr">
        <is>
          <t>NA</t>
        </is>
      </c>
      <c r="M291" t="inlineStr">
        <is>
          <t>O2</t>
        </is>
      </c>
      <c r="N291" t="inlineStr">
        <is>
          <t>36</t>
        </is>
      </c>
      <c r="O291" t="n">
        <v>229</v>
      </c>
      <c r="P291" t="n">
        <v>3.5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11.63</v>
      </c>
      <c r="W291" t="n">
        <v>244.13</v>
      </c>
      <c r="X291" t="n">
        <v>232.5</v>
      </c>
      <c r="Y291" t="n">
        <v>19</v>
      </c>
      <c r="Z291" t="n">
        <v>44.18</v>
      </c>
      <c r="AA291" t="n">
        <v>4.49</v>
      </c>
      <c r="AB291" t="n">
        <v>48.67</v>
      </c>
      <c r="AC291" t="n">
        <v>8.76</v>
      </c>
      <c r="AD291" t="n">
        <v>0</v>
      </c>
      <c r="AE291" t="n">
        <v>232.5</v>
      </c>
      <c r="AF291" t="n">
        <v>0</v>
      </c>
      <c r="AG291" t="n">
        <v>0</v>
      </c>
      <c r="AH291" t="n">
        <v>0.23</v>
      </c>
      <c r="AI291" t="n">
        <v>11.63</v>
      </c>
      <c r="AJ291" t="n">
        <v>0</v>
      </c>
      <c r="AK291" t="n">
        <v>20.62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69.29000000000001</v>
      </c>
      <c r="AV291" t="n">
        <v>0</v>
      </c>
      <c r="AW291" t="n">
        <v>174.84</v>
      </c>
      <c r="AX291" t="inlineStr">
        <is>
          <t>settled</t>
        </is>
      </c>
      <c r="AY291" t="inlineStr">
        <is>
          <t>2025-12-17 05:30:00</t>
        </is>
      </c>
      <c r="AZ291" t="inlineStr">
        <is>
          <t>CITIN25671113204</t>
        </is>
      </c>
      <c r="BA291" t="n">
        <v>0</v>
      </c>
      <c r="BB291" t="inlineStr">
        <is>
          <t>77796fbb8bf08641e77b66e470716d6615e5ffb50f6c5c4b5e72cdaa9a5e9801</t>
        </is>
      </c>
    </row>
    <row r="292">
      <c r="A292" t="inlineStr">
        <is>
          <t>632</t>
        </is>
      </c>
      <c r="B292" t="inlineStr">
        <is>
          <t>7571771407</t>
        </is>
      </c>
      <c r="C292" t="inlineStr">
        <is>
          <t>2025-12-13 23:30:06</t>
        </is>
      </c>
      <c r="D292" t="inlineStr">
        <is>
          <t>50</t>
        </is>
      </c>
      <c r="E292" t="inlineStr">
        <is>
          <t>Sha Sha - Shandaar Shawarma</t>
        </is>
      </c>
      <c r="F292" t="inlineStr">
        <is>
          <t>18557902</t>
        </is>
      </c>
      <c r="G292" t="inlineStr">
        <is>
          <t>30% off upto ₹75 (2025-06-25 - 2031-01-01)</t>
        </is>
      </c>
      <c r="H292" t="inlineStr">
        <is>
          <t>ONLINE</t>
        </is>
      </c>
      <c r="I292" t="inlineStr">
        <is>
          <t>DELIVERED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O2</t>
        </is>
      </c>
      <c r="N292" t="inlineStr">
        <is>
          <t>36</t>
        </is>
      </c>
      <c r="O292" t="n">
        <v>229</v>
      </c>
      <c r="P292" t="n">
        <v>3.5</v>
      </c>
      <c r="Q292" t="n">
        <v>0</v>
      </c>
      <c r="R292" t="n">
        <v>68.7</v>
      </c>
      <c r="S292" t="n">
        <v>0</v>
      </c>
      <c r="T292" t="n">
        <v>0</v>
      </c>
      <c r="U292" t="n">
        <v>0</v>
      </c>
      <c r="V292" t="n">
        <v>8.19</v>
      </c>
      <c r="W292" t="n">
        <v>171.99</v>
      </c>
      <c r="X292" t="n">
        <v>163.8</v>
      </c>
      <c r="Y292" t="n">
        <v>19</v>
      </c>
      <c r="Z292" t="n">
        <v>31.12</v>
      </c>
      <c r="AA292" t="n">
        <v>3.16</v>
      </c>
      <c r="AB292" t="n">
        <v>34.28</v>
      </c>
      <c r="AC292" t="n">
        <v>6.17</v>
      </c>
      <c r="AD292" t="n">
        <v>0</v>
      </c>
      <c r="AE292" t="n">
        <v>163.8</v>
      </c>
      <c r="AF292" t="n">
        <v>0</v>
      </c>
      <c r="AG292" t="n">
        <v>0</v>
      </c>
      <c r="AH292" t="n">
        <v>0.16</v>
      </c>
      <c r="AI292" t="n">
        <v>8.199999999999999</v>
      </c>
      <c r="AJ292" t="n">
        <v>-0.01</v>
      </c>
      <c r="AK292" t="n">
        <v>14.53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48.81</v>
      </c>
      <c r="AV292" t="n">
        <v>0</v>
      </c>
      <c r="AW292" t="n">
        <v>123.18</v>
      </c>
      <c r="AX292" t="inlineStr">
        <is>
          <t>settled</t>
        </is>
      </c>
      <c r="AY292" t="inlineStr">
        <is>
          <t>2025-12-17 05:30:00</t>
        </is>
      </c>
      <c r="AZ292" t="inlineStr">
        <is>
          <t>CITIN25671113204</t>
        </is>
      </c>
      <c r="BA292" t="n">
        <v>0</v>
      </c>
      <c r="BB292" t="inlineStr">
        <is>
          <t>781acd87d11f150909eea3d967d69e33a2aac0d6b38b2c9fa566e411bce6e99c</t>
        </is>
      </c>
    </row>
    <row r="293">
      <c r="A293" t="inlineStr">
        <is>
          <t>633</t>
        </is>
      </c>
      <c r="B293" t="inlineStr">
        <is>
          <t>7577830769</t>
        </is>
      </c>
      <c r="C293" t="inlineStr">
        <is>
          <t>2025-12-13 23:52:12</t>
        </is>
      </c>
      <c r="D293" t="inlineStr">
        <is>
          <t>50</t>
        </is>
      </c>
      <c r="E293" t="inlineStr">
        <is>
          <t>Sha Sha - Shandaar Shawarma</t>
        </is>
      </c>
      <c r="F293" t="inlineStr">
        <is>
          <t>18557902</t>
        </is>
      </c>
      <c r="G293" t="inlineStr">
        <is>
          <t>30% off upto ₹75 (2025-06-25 - 2031-01-01)</t>
        </is>
      </c>
      <c r="H293" t="inlineStr">
        <is>
          <t>ONLINE</t>
        </is>
      </c>
      <c r="I293" t="inlineStr">
        <is>
          <t>DELIVERED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O2</t>
        </is>
      </c>
      <c r="N293" t="inlineStr">
        <is>
          <t>36</t>
        </is>
      </c>
      <c r="O293" t="n">
        <v>219</v>
      </c>
      <c r="P293" t="n">
        <v>3.5</v>
      </c>
      <c r="Q293" t="n">
        <v>0</v>
      </c>
      <c r="R293" t="n">
        <v>65.7</v>
      </c>
      <c r="S293" t="n">
        <v>0</v>
      </c>
      <c r="T293" t="n">
        <v>0</v>
      </c>
      <c r="U293" t="n">
        <v>0</v>
      </c>
      <c r="V293" t="n">
        <v>7.84</v>
      </c>
      <c r="W293" t="n">
        <v>164.64</v>
      </c>
      <c r="X293" t="n">
        <v>156.8</v>
      </c>
      <c r="Y293" t="n">
        <v>19</v>
      </c>
      <c r="Z293" t="n">
        <v>29.79</v>
      </c>
      <c r="AA293" t="n">
        <v>3.03</v>
      </c>
      <c r="AB293" t="n">
        <v>32.82</v>
      </c>
      <c r="AC293" t="n">
        <v>5.91</v>
      </c>
      <c r="AD293" t="n">
        <v>0</v>
      </c>
      <c r="AE293" t="n">
        <v>156.8</v>
      </c>
      <c r="AF293" t="n">
        <v>0</v>
      </c>
      <c r="AG293" t="n">
        <v>0</v>
      </c>
      <c r="AH293" t="n">
        <v>0.16</v>
      </c>
      <c r="AI293" t="n">
        <v>7.85</v>
      </c>
      <c r="AJ293" t="n">
        <v>-0.01</v>
      </c>
      <c r="AK293" t="n">
        <v>13.92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46.74</v>
      </c>
      <c r="AV293" t="n">
        <v>0</v>
      </c>
      <c r="AW293" t="n">
        <v>117.9</v>
      </c>
      <c r="AX293" t="inlineStr">
        <is>
          <t>settled</t>
        </is>
      </c>
      <c r="AY293" t="inlineStr">
        <is>
          <t>2025-12-17 05:30:00</t>
        </is>
      </c>
      <c r="AZ293" t="inlineStr">
        <is>
          <t>CITIN25671113204</t>
        </is>
      </c>
      <c r="BA293" t="n">
        <v>0</v>
      </c>
      <c r="BB293" t="inlineStr">
        <is>
          <t>bfc2bf6ae13de40bd0da3820b47e074a6e7136d44cb2dcd41414a574726bfb74</t>
        </is>
      </c>
    </row>
    <row r="294">
      <c r="A294" t="inlineStr">
        <is>
          <t>634</t>
        </is>
      </c>
      <c r="B294" t="inlineStr">
        <is>
          <t>7573269335</t>
        </is>
      </c>
      <c r="C294" t="inlineStr">
        <is>
          <t>2025-12-14 00:28:45</t>
        </is>
      </c>
      <c r="D294" t="inlineStr">
        <is>
          <t>50</t>
        </is>
      </c>
      <c r="E294" t="inlineStr">
        <is>
          <t>Sha Sha - Shandaar Shawarma</t>
        </is>
      </c>
      <c r="F294" t="inlineStr">
        <is>
          <t>18557902</t>
        </is>
      </c>
      <c r="G294" t="inlineStr">
        <is>
          <t>30% off upto ₹75 (2025-06-25 - 2031-01-01)</t>
        </is>
      </c>
      <c r="H294" t="inlineStr">
        <is>
          <t>ONLINE</t>
        </is>
      </c>
      <c r="I294" t="inlineStr">
        <is>
          <t>DELIVERED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O2</t>
        </is>
      </c>
      <c r="N294" t="inlineStr">
        <is>
          <t>36</t>
        </is>
      </c>
      <c r="O294" t="n">
        <v>229</v>
      </c>
      <c r="P294" t="n">
        <v>3.5</v>
      </c>
      <c r="Q294" t="n">
        <v>0</v>
      </c>
      <c r="R294" t="n">
        <v>68.7</v>
      </c>
      <c r="S294" t="n">
        <v>0</v>
      </c>
      <c r="T294" t="n">
        <v>0</v>
      </c>
      <c r="U294" t="n">
        <v>0</v>
      </c>
      <c r="V294" t="n">
        <v>8.19</v>
      </c>
      <c r="W294" t="n">
        <v>171.99</v>
      </c>
      <c r="X294" t="n">
        <v>163.8</v>
      </c>
      <c r="Y294" t="n">
        <v>19</v>
      </c>
      <c r="Z294" t="n">
        <v>31.12</v>
      </c>
      <c r="AA294" t="n">
        <v>3.16</v>
      </c>
      <c r="AB294" t="n">
        <v>34.28</v>
      </c>
      <c r="AC294" t="n">
        <v>6.17</v>
      </c>
      <c r="AD294" t="n">
        <v>0</v>
      </c>
      <c r="AE294" t="n">
        <v>163.8</v>
      </c>
      <c r="AF294" t="n">
        <v>0</v>
      </c>
      <c r="AG294" t="n">
        <v>0</v>
      </c>
      <c r="AH294" t="n">
        <v>0.16</v>
      </c>
      <c r="AI294" t="n">
        <v>8.199999999999999</v>
      </c>
      <c r="AJ294" t="n">
        <v>-0.01</v>
      </c>
      <c r="AK294" t="n">
        <v>14.53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48.81</v>
      </c>
      <c r="AV294" t="n">
        <v>0</v>
      </c>
      <c r="AW294" t="n">
        <v>123.18</v>
      </c>
      <c r="AX294" t="inlineStr">
        <is>
          <t>settled</t>
        </is>
      </c>
      <c r="AY294" t="inlineStr">
        <is>
          <t>2025-12-17 05:30:00</t>
        </is>
      </c>
      <c r="AZ294" t="inlineStr">
        <is>
          <t>CITIN25671113204</t>
        </is>
      </c>
      <c r="BA294" t="n">
        <v>0</v>
      </c>
      <c r="BB294" t="inlineStr">
        <is>
          <t>c0a2bc8dc070c036901923570dbd6bafc97c0f85dbdc227f0ad3faf3aec9e73b</t>
        </is>
      </c>
    </row>
    <row r="295">
      <c r="A295" t="inlineStr">
        <is>
          <t>635</t>
        </is>
      </c>
      <c r="B295" t="inlineStr">
        <is>
          <t>7578206057</t>
        </is>
      </c>
      <c r="C295" t="inlineStr">
        <is>
          <t>2025-12-14 00:32:37</t>
        </is>
      </c>
      <c r="D295" t="inlineStr">
        <is>
          <t>50</t>
        </is>
      </c>
      <c r="E295" t="inlineStr">
        <is>
          <t>Sha Sha - Shandaar Shawarma</t>
        </is>
      </c>
      <c r="F295" t="inlineStr">
        <is>
          <t>18557902</t>
        </is>
      </c>
      <c r="G295" t="inlineStr">
        <is>
          <t>NA</t>
        </is>
      </c>
      <c r="H295" t="inlineStr">
        <is>
          <t>ONLINE</t>
        </is>
      </c>
      <c r="I295" t="inlineStr">
        <is>
          <t>DELIVERED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O2</t>
        </is>
      </c>
      <c r="N295" t="inlineStr">
        <is>
          <t>36</t>
        </is>
      </c>
      <c r="O295" t="n">
        <v>258</v>
      </c>
      <c r="P295" t="n">
        <v>3.5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13.08</v>
      </c>
      <c r="W295" t="n">
        <v>274.58</v>
      </c>
      <c r="X295" t="n">
        <v>261.5</v>
      </c>
      <c r="Y295" t="n">
        <v>19</v>
      </c>
      <c r="Z295" t="n">
        <v>49.68</v>
      </c>
      <c r="AA295" t="n">
        <v>5.05</v>
      </c>
      <c r="AB295" t="n">
        <v>54.73</v>
      </c>
      <c r="AC295" t="n">
        <v>9.85</v>
      </c>
      <c r="AD295" t="n">
        <v>0</v>
      </c>
      <c r="AE295" t="n">
        <v>261.5</v>
      </c>
      <c r="AF295" t="n">
        <v>0</v>
      </c>
      <c r="AG295" t="n">
        <v>0</v>
      </c>
      <c r="AH295" t="n">
        <v>0.26</v>
      </c>
      <c r="AI295" t="n">
        <v>13.08</v>
      </c>
      <c r="AJ295" t="n">
        <v>0</v>
      </c>
      <c r="AK295" t="n">
        <v>23.19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77.92</v>
      </c>
      <c r="AV295" t="n">
        <v>0</v>
      </c>
      <c r="AW295" t="n">
        <v>196.66</v>
      </c>
      <c r="AX295" t="inlineStr">
        <is>
          <t>settled</t>
        </is>
      </c>
      <c r="AY295" t="inlineStr">
        <is>
          <t>2025-12-17 05:30:00</t>
        </is>
      </c>
      <c r="AZ295" t="inlineStr">
        <is>
          <t>CITIN25671113204</t>
        </is>
      </c>
      <c r="BA295" t="n">
        <v>0</v>
      </c>
      <c r="BB295" t="inlineStr">
        <is>
          <t>c3a643806cc8cf3efea81b016f3a911f5bd2e902905bf75e927c5e995e683953</t>
        </is>
      </c>
    </row>
    <row r="296">
      <c r="A296" t="inlineStr">
        <is>
          <t>636</t>
        </is>
      </c>
      <c r="B296" t="inlineStr">
        <is>
          <t>7580272957</t>
        </is>
      </c>
      <c r="C296" t="inlineStr">
        <is>
          <t>2025-12-14 00:37:11</t>
        </is>
      </c>
      <c r="D296" t="inlineStr">
        <is>
          <t>50</t>
        </is>
      </c>
      <c r="E296" t="inlineStr">
        <is>
          <t>Sha Sha - Shandaar Shawarma</t>
        </is>
      </c>
      <c r="F296" t="inlineStr">
        <is>
          <t>18557902</t>
        </is>
      </c>
      <c r="G296" t="inlineStr">
        <is>
          <t>30% off upto ₹75 (2025-06-25 - 2031-01-01)</t>
        </is>
      </c>
      <c r="H296" t="inlineStr">
        <is>
          <t>ONLINE</t>
        </is>
      </c>
      <c r="I296" t="inlineStr">
        <is>
          <t>DELIVERED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O2</t>
        </is>
      </c>
      <c r="N296" t="inlineStr">
        <is>
          <t>36</t>
        </is>
      </c>
      <c r="O296" t="n">
        <v>229</v>
      </c>
      <c r="P296" t="n">
        <v>3.5</v>
      </c>
      <c r="Q296" t="n">
        <v>0</v>
      </c>
      <c r="R296" t="n">
        <v>68.7</v>
      </c>
      <c r="S296" t="n">
        <v>0</v>
      </c>
      <c r="T296" t="n">
        <v>0</v>
      </c>
      <c r="U296" t="n">
        <v>0</v>
      </c>
      <c r="V296" t="n">
        <v>8.19</v>
      </c>
      <c r="W296" t="n">
        <v>171.99</v>
      </c>
      <c r="X296" t="n">
        <v>163.8</v>
      </c>
      <c r="Y296" t="n">
        <v>19</v>
      </c>
      <c r="Z296" t="n">
        <v>31.12</v>
      </c>
      <c r="AA296" t="n">
        <v>3.16</v>
      </c>
      <c r="AB296" t="n">
        <v>34.28</v>
      </c>
      <c r="AC296" t="n">
        <v>6.17</v>
      </c>
      <c r="AD296" t="n">
        <v>0</v>
      </c>
      <c r="AE296" t="n">
        <v>163.8</v>
      </c>
      <c r="AF296" t="n">
        <v>0</v>
      </c>
      <c r="AG296" t="n">
        <v>0</v>
      </c>
      <c r="AH296" t="n">
        <v>0.16</v>
      </c>
      <c r="AI296" t="n">
        <v>8.199999999999999</v>
      </c>
      <c r="AJ296" t="n">
        <v>-0.01</v>
      </c>
      <c r="AK296" t="n">
        <v>14.53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48.81</v>
      </c>
      <c r="AV296" t="n">
        <v>0</v>
      </c>
      <c r="AW296" t="n">
        <v>123.18</v>
      </c>
      <c r="AX296" t="inlineStr">
        <is>
          <t>settled</t>
        </is>
      </c>
      <c r="AY296" t="inlineStr">
        <is>
          <t>2025-12-17 05:30:00</t>
        </is>
      </c>
      <c r="AZ296" t="inlineStr">
        <is>
          <t>CITIN25671113204</t>
        </is>
      </c>
      <c r="BA296" t="n">
        <v>0</v>
      </c>
      <c r="BB296" t="inlineStr">
        <is>
          <t>3f1685fa440588aeb10be3df016fbecbaaf9ca2e6f13c25dd8a1d0cff481966b</t>
        </is>
      </c>
    </row>
    <row r="297">
      <c r="A297" t="inlineStr">
        <is>
          <t>637</t>
        </is>
      </c>
      <c r="B297" t="inlineStr">
        <is>
          <t>7563908438</t>
        </is>
      </c>
      <c r="C297" t="inlineStr">
        <is>
          <t>2025-12-14 01:22:11</t>
        </is>
      </c>
      <c r="D297" t="inlineStr">
        <is>
          <t>50</t>
        </is>
      </c>
      <c r="E297" t="inlineStr">
        <is>
          <t>Sha Sha - Shandaar Shawarma</t>
        </is>
      </c>
      <c r="F297" t="inlineStr">
        <is>
          <t>18557902</t>
        </is>
      </c>
      <c r="G297" t="inlineStr">
        <is>
          <t>NA</t>
        </is>
      </c>
      <c r="H297" t="inlineStr">
        <is>
          <t>ONLINE</t>
        </is>
      </c>
      <c r="I297" t="inlineStr">
        <is>
          <t>DELIVERED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O2</t>
        </is>
      </c>
      <c r="N297" t="inlineStr">
        <is>
          <t>36</t>
        </is>
      </c>
      <c r="O297" t="n">
        <v>229</v>
      </c>
      <c r="P297" t="n">
        <v>3.5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11.63</v>
      </c>
      <c r="W297" t="n">
        <v>244.13</v>
      </c>
      <c r="X297" t="n">
        <v>232.5</v>
      </c>
      <c r="Y297" t="n">
        <v>19</v>
      </c>
      <c r="Z297" t="n">
        <v>44.18</v>
      </c>
      <c r="AA297" t="n">
        <v>4.49</v>
      </c>
      <c r="AB297" t="n">
        <v>48.67</v>
      </c>
      <c r="AC297" t="n">
        <v>8.76</v>
      </c>
      <c r="AD297" t="n">
        <v>0</v>
      </c>
      <c r="AE297" t="n">
        <v>232.5</v>
      </c>
      <c r="AF297" t="n">
        <v>0</v>
      </c>
      <c r="AG297" t="n">
        <v>0</v>
      </c>
      <c r="AH297" t="n">
        <v>0.23</v>
      </c>
      <c r="AI297" t="n">
        <v>11.63</v>
      </c>
      <c r="AJ297" t="n">
        <v>0</v>
      </c>
      <c r="AK297" t="n">
        <v>20.62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69.29000000000001</v>
      </c>
      <c r="AV297" t="n">
        <v>0</v>
      </c>
      <c r="AW297" t="n">
        <v>174.84</v>
      </c>
      <c r="AX297" t="inlineStr">
        <is>
          <t>settled</t>
        </is>
      </c>
      <c r="AY297" t="inlineStr">
        <is>
          <t>2025-12-17 05:30:00</t>
        </is>
      </c>
      <c r="AZ297" t="inlineStr">
        <is>
          <t>CITIN25671113204</t>
        </is>
      </c>
      <c r="BA297" t="n">
        <v>0</v>
      </c>
      <c r="BB297" t="inlineStr">
        <is>
          <t>d4163c78a184a238123a0b5926894cf3c6b567ec869731de4f1717d5fa771972</t>
        </is>
      </c>
    </row>
    <row r="298">
      <c r="A298" t="inlineStr">
        <is>
          <t>638</t>
        </is>
      </c>
      <c r="B298" t="inlineStr">
        <is>
          <t>7577731714</t>
        </is>
      </c>
      <c r="C298" t="inlineStr">
        <is>
          <t>2025-12-14 01:36:01</t>
        </is>
      </c>
      <c r="D298" t="inlineStr">
        <is>
          <t>50</t>
        </is>
      </c>
      <c r="E298" t="inlineStr">
        <is>
          <t>Sha Sha - Shandaar Shawarma</t>
        </is>
      </c>
      <c r="F298" t="inlineStr">
        <is>
          <t>18557902</t>
        </is>
      </c>
      <c r="G298" t="inlineStr">
        <is>
          <t>30% off upto ₹75 (2025-06-25 - 2031-01-01)</t>
        </is>
      </c>
      <c r="H298" t="inlineStr">
        <is>
          <t>ONLINE</t>
        </is>
      </c>
      <c r="I298" t="inlineStr">
        <is>
          <t>DELIVERED</t>
        </is>
      </c>
      <c r="J298" t="inlineStr">
        <is>
          <t>NA</t>
        </is>
      </c>
      <c r="K298" t="inlineStr">
        <is>
          <t>NA</t>
        </is>
      </c>
      <c r="L298" t="inlineStr">
        <is>
          <t>NA</t>
        </is>
      </c>
      <c r="M298" t="inlineStr">
        <is>
          <t>O2</t>
        </is>
      </c>
      <c r="N298" t="inlineStr">
        <is>
          <t>36</t>
        </is>
      </c>
      <c r="O298" t="n">
        <v>229</v>
      </c>
      <c r="P298" t="n">
        <v>3.5</v>
      </c>
      <c r="Q298" t="n">
        <v>0</v>
      </c>
      <c r="R298" t="n">
        <v>68.7</v>
      </c>
      <c r="S298" t="n">
        <v>0</v>
      </c>
      <c r="T298" t="n">
        <v>0</v>
      </c>
      <c r="U298" t="n">
        <v>0</v>
      </c>
      <c r="V298" t="n">
        <v>8.19</v>
      </c>
      <c r="W298" t="n">
        <v>171.99</v>
      </c>
      <c r="X298" t="n">
        <v>163.8</v>
      </c>
      <c r="Y298" t="n">
        <v>19</v>
      </c>
      <c r="Z298" t="n">
        <v>31.12</v>
      </c>
      <c r="AA298" t="n">
        <v>3.16</v>
      </c>
      <c r="AB298" t="n">
        <v>34.28</v>
      </c>
      <c r="AC298" t="n">
        <v>6.17</v>
      </c>
      <c r="AD298" t="n">
        <v>0</v>
      </c>
      <c r="AE298" t="n">
        <v>163.8</v>
      </c>
      <c r="AF298" t="n">
        <v>0</v>
      </c>
      <c r="AG298" t="n">
        <v>0</v>
      </c>
      <c r="AH298" t="n">
        <v>0.16</v>
      </c>
      <c r="AI298" t="n">
        <v>8.199999999999999</v>
      </c>
      <c r="AJ298" t="n">
        <v>-0.01</v>
      </c>
      <c r="AK298" t="n">
        <v>14.53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48.81</v>
      </c>
      <c r="AV298" t="n">
        <v>0</v>
      </c>
      <c r="AW298" t="n">
        <v>123.18</v>
      </c>
      <c r="AX298" t="inlineStr">
        <is>
          <t>settled</t>
        </is>
      </c>
      <c r="AY298" t="inlineStr">
        <is>
          <t>2025-12-17 05:30:00</t>
        </is>
      </c>
      <c r="AZ298" t="inlineStr">
        <is>
          <t>CITIN25671113204</t>
        </is>
      </c>
      <c r="BA298" t="n">
        <v>0</v>
      </c>
      <c r="BB298" t="inlineStr">
        <is>
          <t>ddef4b09a995faf1a7c029127e6cae660aa4270e28b7001af7e61b4566c3e820</t>
        </is>
      </c>
    </row>
    <row r="299">
      <c r="A299" t="inlineStr">
        <is>
          <t>639</t>
        </is>
      </c>
      <c r="B299" t="inlineStr">
        <is>
          <t>7577790235</t>
        </is>
      </c>
      <c r="C299" t="inlineStr">
        <is>
          <t>2025-12-14 01:48:07</t>
        </is>
      </c>
      <c r="D299" t="inlineStr">
        <is>
          <t>50</t>
        </is>
      </c>
      <c r="E299" t="inlineStr">
        <is>
          <t>Sha Sha - Shandaar Shawarma</t>
        </is>
      </c>
      <c r="F299" t="inlineStr">
        <is>
          <t>18557902</t>
        </is>
      </c>
      <c r="G299" t="inlineStr">
        <is>
          <t>NA</t>
        </is>
      </c>
      <c r="H299" t="inlineStr">
        <is>
          <t>ONLINE</t>
        </is>
      </c>
      <c r="I299" t="inlineStr">
        <is>
          <t>DELIVERED</t>
        </is>
      </c>
      <c r="J299" t="inlineStr">
        <is>
          <t>NA</t>
        </is>
      </c>
      <c r="K299" t="inlineStr">
        <is>
          <t>NA</t>
        </is>
      </c>
      <c r="L299" t="inlineStr">
        <is>
          <t>NA</t>
        </is>
      </c>
      <c r="M299" t="inlineStr">
        <is>
          <t>O2</t>
        </is>
      </c>
      <c r="N299" t="inlineStr">
        <is>
          <t>36</t>
        </is>
      </c>
      <c r="O299" t="n">
        <v>229</v>
      </c>
      <c r="P299" t="n">
        <v>3.5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11.63</v>
      </c>
      <c r="W299" t="n">
        <v>244.13</v>
      </c>
      <c r="X299" t="n">
        <v>232.5</v>
      </c>
      <c r="Y299" t="n">
        <v>19</v>
      </c>
      <c r="Z299" t="n">
        <v>44.18</v>
      </c>
      <c r="AA299" t="n">
        <v>4.49</v>
      </c>
      <c r="AB299" t="n">
        <v>48.67</v>
      </c>
      <c r="AC299" t="n">
        <v>8.76</v>
      </c>
      <c r="AD299" t="n">
        <v>0</v>
      </c>
      <c r="AE299" t="n">
        <v>232.5</v>
      </c>
      <c r="AF299" t="n">
        <v>0</v>
      </c>
      <c r="AG299" t="n">
        <v>0</v>
      </c>
      <c r="AH299" t="n">
        <v>0.23</v>
      </c>
      <c r="AI299" t="n">
        <v>11.63</v>
      </c>
      <c r="AJ299" t="n">
        <v>0</v>
      </c>
      <c r="AK299" t="n">
        <v>20.62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69.29000000000001</v>
      </c>
      <c r="AV299" t="n">
        <v>0</v>
      </c>
      <c r="AW299" t="n">
        <v>174.84</v>
      </c>
      <c r="AX299" t="inlineStr">
        <is>
          <t>settled</t>
        </is>
      </c>
      <c r="AY299" t="inlineStr">
        <is>
          <t>2025-12-17 05:30:00</t>
        </is>
      </c>
      <c r="AZ299" t="inlineStr">
        <is>
          <t>CITIN25671113204</t>
        </is>
      </c>
      <c r="BA299" t="n">
        <v>0</v>
      </c>
      <c r="BB299" t="inlineStr">
        <is>
          <t>8f398f3c8fd644966aae4bf9d48aeafb330c9c56f05f3bb53a494021f6c470c6</t>
        </is>
      </c>
    </row>
    <row r="300">
      <c r="A300" t="inlineStr">
        <is>
          <t>640</t>
        </is>
      </c>
      <c r="B300" t="inlineStr">
        <is>
          <t>7575498783</t>
        </is>
      </c>
      <c r="C300" t="inlineStr">
        <is>
          <t>2025-12-14 01:50:10</t>
        </is>
      </c>
      <c r="D300" t="inlineStr">
        <is>
          <t>50</t>
        </is>
      </c>
      <c r="E300" t="inlineStr">
        <is>
          <t>Sha Sha - Shandaar Shawarma</t>
        </is>
      </c>
      <c r="F300" t="inlineStr">
        <is>
          <t>18557902</t>
        </is>
      </c>
      <c r="G300" t="inlineStr">
        <is>
          <t>NA</t>
        </is>
      </c>
      <c r="H300" t="inlineStr">
        <is>
          <t>ONLINE</t>
        </is>
      </c>
      <c r="I300" t="inlineStr">
        <is>
          <t>DELIVERED</t>
        </is>
      </c>
      <c r="J300" t="inlineStr">
        <is>
          <t>NA</t>
        </is>
      </c>
      <c r="K300" t="inlineStr">
        <is>
          <t>NA</t>
        </is>
      </c>
      <c r="L300" t="inlineStr">
        <is>
          <t>NA</t>
        </is>
      </c>
      <c r="M300" t="inlineStr">
        <is>
          <t>O2</t>
        </is>
      </c>
      <c r="N300" t="inlineStr">
        <is>
          <t>36</t>
        </is>
      </c>
      <c r="O300" t="n">
        <v>219</v>
      </c>
      <c r="P300" t="n">
        <v>3.5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11.13</v>
      </c>
      <c r="W300" t="n">
        <v>233.63</v>
      </c>
      <c r="X300" t="n">
        <v>222.5</v>
      </c>
      <c r="Y300" t="n">
        <v>19</v>
      </c>
      <c r="Z300" t="n">
        <v>42.28</v>
      </c>
      <c r="AA300" t="n">
        <v>4.3</v>
      </c>
      <c r="AB300" t="n">
        <v>46.58</v>
      </c>
      <c r="AC300" t="n">
        <v>8.380000000000001</v>
      </c>
      <c r="AD300" t="n">
        <v>0</v>
      </c>
      <c r="AE300" t="n">
        <v>222.5</v>
      </c>
      <c r="AF300" t="n">
        <v>0</v>
      </c>
      <c r="AG300" t="n">
        <v>0</v>
      </c>
      <c r="AH300" t="n">
        <v>0.22</v>
      </c>
      <c r="AI300" t="n">
        <v>11.13</v>
      </c>
      <c r="AJ300" t="n">
        <v>0</v>
      </c>
      <c r="AK300" t="n">
        <v>19.73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66.31</v>
      </c>
      <c r="AV300" t="n">
        <v>0</v>
      </c>
      <c r="AW300" t="n">
        <v>167.32</v>
      </c>
      <c r="AX300" t="inlineStr">
        <is>
          <t>settled</t>
        </is>
      </c>
      <c r="AY300" t="inlineStr">
        <is>
          <t>2025-12-17 05:30:00</t>
        </is>
      </c>
      <c r="AZ300" t="inlineStr">
        <is>
          <t>CITIN25671113204</t>
        </is>
      </c>
      <c r="BA300" t="n">
        <v>0</v>
      </c>
      <c r="BB300" t="inlineStr">
        <is>
          <t>f960ddb09f10152bceb7f8d3e87abb5849df925b8dc060acb204705699b7dfdb</t>
        </is>
      </c>
    </row>
    <row r="301">
      <c r="A301" t="inlineStr">
        <is>
          <t>641</t>
        </is>
      </c>
      <c r="B301" t="inlineStr">
        <is>
          <t>7575976984</t>
        </is>
      </c>
      <c r="C301" t="inlineStr">
        <is>
          <t>2025-12-14 02:30:46</t>
        </is>
      </c>
      <c r="D301" t="inlineStr">
        <is>
          <t>50</t>
        </is>
      </c>
      <c r="E301" t="inlineStr">
        <is>
          <t>Sha Sha - Shandaar Shawarma</t>
        </is>
      </c>
      <c r="F301" t="inlineStr">
        <is>
          <t>18557902</t>
        </is>
      </c>
      <c r="G301" t="inlineStr">
        <is>
          <t>30% off upto ₹75 (2025-06-25 - 2031-01-01)</t>
        </is>
      </c>
      <c r="H301" t="inlineStr">
        <is>
          <t>ONLINE</t>
        </is>
      </c>
      <c r="I301" t="inlineStr">
        <is>
          <t>DELIVERED</t>
        </is>
      </c>
      <c r="J301" t="inlineStr">
        <is>
          <t>NA</t>
        </is>
      </c>
      <c r="K301" t="inlineStr">
        <is>
          <t>NA</t>
        </is>
      </c>
      <c r="L301" t="inlineStr">
        <is>
          <t>NA</t>
        </is>
      </c>
      <c r="M301" t="inlineStr">
        <is>
          <t>O2</t>
        </is>
      </c>
      <c r="N301" t="inlineStr">
        <is>
          <t>36</t>
        </is>
      </c>
      <c r="O301" t="n">
        <v>229</v>
      </c>
      <c r="P301" t="n">
        <v>3.5</v>
      </c>
      <c r="Q301" t="n">
        <v>0</v>
      </c>
      <c r="R301" t="n">
        <v>68.7</v>
      </c>
      <c r="S301" t="n">
        <v>0</v>
      </c>
      <c r="T301" t="n">
        <v>0</v>
      </c>
      <c r="U301" t="n">
        <v>0</v>
      </c>
      <c r="V301" t="n">
        <v>8.19</v>
      </c>
      <c r="W301" t="n">
        <v>171.99</v>
      </c>
      <c r="X301" t="n">
        <v>163.8</v>
      </c>
      <c r="Y301" t="n">
        <v>19</v>
      </c>
      <c r="Z301" t="n">
        <v>31.12</v>
      </c>
      <c r="AA301" t="n">
        <v>3.16</v>
      </c>
      <c r="AB301" t="n">
        <v>34.28</v>
      </c>
      <c r="AC301" t="n">
        <v>6.17</v>
      </c>
      <c r="AD301" t="n">
        <v>0</v>
      </c>
      <c r="AE301" t="n">
        <v>163.8</v>
      </c>
      <c r="AF301" t="n">
        <v>0</v>
      </c>
      <c r="AG301" t="n">
        <v>0</v>
      </c>
      <c r="AH301" t="n">
        <v>0.16</v>
      </c>
      <c r="AI301" t="n">
        <v>8.199999999999999</v>
      </c>
      <c r="AJ301" t="n">
        <v>-0.01</v>
      </c>
      <c r="AK301" t="n">
        <v>14.53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48.81</v>
      </c>
      <c r="AV301" t="n">
        <v>0</v>
      </c>
      <c r="AW301" t="n">
        <v>123.18</v>
      </c>
      <c r="AX301" t="inlineStr">
        <is>
          <t>settled</t>
        </is>
      </c>
      <c r="AY301" t="inlineStr">
        <is>
          <t>2025-12-17 05:30:00</t>
        </is>
      </c>
      <c r="AZ301" t="inlineStr">
        <is>
          <t>CITIN25671113204</t>
        </is>
      </c>
      <c r="BA301" t="n">
        <v>0</v>
      </c>
      <c r="BB301" t="inlineStr">
        <is>
          <t>9d0a0e20f036f70f5cb30ef7dd78cc41e55223f1b0af1e57aa96d54a15cde3de</t>
        </is>
      </c>
    </row>
    <row r="302">
      <c r="A302" t="inlineStr">
        <is>
          <t>642</t>
        </is>
      </c>
      <c r="B302" t="inlineStr">
        <is>
          <t>7569140342</t>
        </is>
      </c>
      <c r="C302" t="inlineStr">
        <is>
          <t>2025-12-14 02:46:16</t>
        </is>
      </c>
      <c r="D302" t="inlineStr">
        <is>
          <t>50</t>
        </is>
      </c>
      <c r="E302" t="inlineStr">
        <is>
          <t>Sha Sha - Shandaar Shawarma</t>
        </is>
      </c>
      <c r="F302" t="inlineStr">
        <is>
          <t>18557902</t>
        </is>
      </c>
      <c r="G302" t="inlineStr">
        <is>
          <t>30% off upto ₹75 (2025-06-25 - 2031-01-01)</t>
        </is>
      </c>
      <c r="H302" t="inlineStr">
        <is>
          <t>ONLINE</t>
        </is>
      </c>
      <c r="I302" t="inlineStr">
        <is>
          <t>DELIVERED</t>
        </is>
      </c>
      <c r="J302" t="inlineStr">
        <is>
          <t>NA</t>
        </is>
      </c>
      <c r="K302" t="inlineStr">
        <is>
          <t>NA</t>
        </is>
      </c>
      <c r="L302" t="inlineStr">
        <is>
          <t>NA</t>
        </is>
      </c>
      <c r="M302" t="inlineStr">
        <is>
          <t>O2</t>
        </is>
      </c>
      <c r="N302" t="inlineStr">
        <is>
          <t>36</t>
        </is>
      </c>
      <c r="O302" t="n">
        <v>229</v>
      </c>
      <c r="P302" t="n">
        <v>3.5</v>
      </c>
      <c r="Q302" t="n">
        <v>0</v>
      </c>
      <c r="R302" t="n">
        <v>68.7</v>
      </c>
      <c r="S302" t="n">
        <v>0</v>
      </c>
      <c r="T302" t="n">
        <v>0</v>
      </c>
      <c r="U302" t="n">
        <v>0</v>
      </c>
      <c r="V302" t="n">
        <v>8.19</v>
      </c>
      <c r="W302" t="n">
        <v>171.99</v>
      </c>
      <c r="X302" t="n">
        <v>163.8</v>
      </c>
      <c r="Y302" t="n">
        <v>19</v>
      </c>
      <c r="Z302" t="n">
        <v>31.12</v>
      </c>
      <c r="AA302" t="n">
        <v>3.16</v>
      </c>
      <c r="AB302" t="n">
        <v>34.28</v>
      </c>
      <c r="AC302" t="n">
        <v>6.17</v>
      </c>
      <c r="AD302" t="n">
        <v>0</v>
      </c>
      <c r="AE302" t="n">
        <v>163.8</v>
      </c>
      <c r="AF302" t="n">
        <v>0</v>
      </c>
      <c r="AG302" t="n">
        <v>0</v>
      </c>
      <c r="AH302" t="n">
        <v>0.16</v>
      </c>
      <c r="AI302" t="n">
        <v>8.199999999999999</v>
      </c>
      <c r="AJ302" t="n">
        <v>-0.01</v>
      </c>
      <c r="AK302" t="n">
        <v>14.53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48.81</v>
      </c>
      <c r="AV302" t="n">
        <v>0</v>
      </c>
      <c r="AW302" t="n">
        <v>123.18</v>
      </c>
      <c r="AX302" t="inlineStr">
        <is>
          <t>settled</t>
        </is>
      </c>
      <c r="AY302" t="inlineStr">
        <is>
          <t>2025-12-17 05:30:00</t>
        </is>
      </c>
      <c r="AZ302" t="inlineStr">
        <is>
          <t>CITIN25671113204</t>
        </is>
      </c>
      <c r="BA302" t="n">
        <v>0</v>
      </c>
      <c r="BB302" t="inlineStr">
        <is>
          <t>660e9e05c09b31bf6278d60a90b91c9dd39b92996cd95da8ef4c1c0b27f8500e</t>
        </is>
      </c>
    </row>
    <row r="303">
      <c r="A303" t="inlineStr">
        <is>
          <t>643</t>
        </is>
      </c>
      <c r="B303" t="inlineStr">
        <is>
          <t>7581371448</t>
        </is>
      </c>
      <c r="C303" t="inlineStr">
        <is>
          <t>2025-12-14 02:53:21</t>
        </is>
      </c>
      <c r="D303" t="inlineStr">
        <is>
          <t>50</t>
        </is>
      </c>
      <c r="E303" t="inlineStr">
        <is>
          <t>Sha Sha - Shandaar Shawarma</t>
        </is>
      </c>
      <c r="F303" t="inlineStr">
        <is>
          <t>18557902</t>
        </is>
      </c>
      <c r="G303" t="inlineStr">
        <is>
          <t>NA</t>
        </is>
      </c>
      <c r="H303" t="inlineStr">
        <is>
          <t>ONLINE</t>
        </is>
      </c>
      <c r="I303" t="inlineStr">
        <is>
          <t>DELIVERED</t>
        </is>
      </c>
      <c r="J303" t="inlineStr">
        <is>
          <t>NA</t>
        </is>
      </c>
      <c r="K303" t="inlineStr">
        <is>
          <t>NA</t>
        </is>
      </c>
      <c r="L303" t="inlineStr">
        <is>
          <t>NA</t>
        </is>
      </c>
      <c r="M303" t="inlineStr">
        <is>
          <t>O2</t>
        </is>
      </c>
      <c r="N303" t="inlineStr">
        <is>
          <t>36</t>
        </is>
      </c>
      <c r="O303" t="n">
        <v>358</v>
      </c>
      <c r="P303" t="n">
        <v>3.5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18.08</v>
      </c>
      <c r="W303" t="n">
        <v>379.58</v>
      </c>
      <c r="X303" t="n">
        <v>361.5</v>
      </c>
      <c r="Y303" t="n">
        <v>19</v>
      </c>
      <c r="Z303" t="n">
        <v>68.68000000000001</v>
      </c>
      <c r="AA303" t="n">
        <v>6.98</v>
      </c>
      <c r="AB303" t="n">
        <v>75.66</v>
      </c>
      <c r="AC303" t="n">
        <v>13.62</v>
      </c>
      <c r="AD303" t="n">
        <v>0</v>
      </c>
      <c r="AE303" t="n">
        <v>361.5</v>
      </c>
      <c r="AF303" t="n">
        <v>0</v>
      </c>
      <c r="AG303" t="n">
        <v>0</v>
      </c>
      <c r="AH303" t="n">
        <v>0.36</v>
      </c>
      <c r="AI303" t="n">
        <v>18.08</v>
      </c>
      <c r="AJ303" t="n">
        <v>0</v>
      </c>
      <c r="AK303" t="n">
        <v>32.06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107.72</v>
      </c>
      <c r="AV303" t="n">
        <v>0</v>
      </c>
      <c r="AW303" t="n">
        <v>271.86</v>
      </c>
      <c r="AX303" t="inlineStr">
        <is>
          <t>settled</t>
        </is>
      </c>
      <c r="AY303" t="inlineStr">
        <is>
          <t>2025-12-17 05:30:00</t>
        </is>
      </c>
      <c r="AZ303" t="inlineStr">
        <is>
          <t>CITIN25671113204</t>
        </is>
      </c>
      <c r="BA303" t="n">
        <v>0</v>
      </c>
      <c r="BB303" t="inlineStr">
        <is>
          <t>2db960296aefcf9e03751406087d67b0edc6830d23f3996e801d97ecb1e2fb15</t>
        </is>
      </c>
    </row>
    <row r="304">
      <c r="A304" t="inlineStr">
        <is>
          <t>644</t>
        </is>
      </c>
      <c r="B304" t="inlineStr">
        <is>
          <t>7573742132</t>
        </is>
      </c>
      <c r="C304" t="inlineStr">
        <is>
          <t>2025-12-14 03:01:05</t>
        </is>
      </c>
      <c r="D304" t="inlineStr">
        <is>
          <t>50</t>
        </is>
      </c>
      <c r="E304" t="inlineStr">
        <is>
          <t>Sha Sha - Shandaar Shawarma</t>
        </is>
      </c>
      <c r="F304" t="inlineStr">
        <is>
          <t>18557902</t>
        </is>
      </c>
      <c r="G304" t="inlineStr">
        <is>
          <t>30% off upto ₹75 (2025-06-25 - 2031-01-01)</t>
        </is>
      </c>
      <c r="H304" t="inlineStr">
        <is>
          <t>ONLINE</t>
        </is>
      </c>
      <c r="I304" t="inlineStr">
        <is>
          <t>DELIVERED</t>
        </is>
      </c>
      <c r="J304" t="inlineStr">
        <is>
          <t>NA</t>
        </is>
      </c>
      <c r="K304" t="inlineStr">
        <is>
          <t>NA</t>
        </is>
      </c>
      <c r="L304" t="inlineStr">
        <is>
          <t>NA</t>
        </is>
      </c>
      <c r="M304" t="inlineStr">
        <is>
          <t>O2</t>
        </is>
      </c>
      <c r="N304" t="inlineStr">
        <is>
          <t>36</t>
        </is>
      </c>
      <c r="O304" t="n">
        <v>229</v>
      </c>
      <c r="P304" t="n">
        <v>3.5</v>
      </c>
      <c r="Q304" t="n">
        <v>0</v>
      </c>
      <c r="R304" t="n">
        <v>68.7</v>
      </c>
      <c r="S304" t="n">
        <v>0</v>
      </c>
      <c r="T304" t="n">
        <v>0</v>
      </c>
      <c r="U304" t="n">
        <v>0</v>
      </c>
      <c r="V304" t="n">
        <v>8.19</v>
      </c>
      <c r="W304" t="n">
        <v>171.99</v>
      </c>
      <c r="X304" t="n">
        <v>163.8</v>
      </c>
      <c r="Y304" t="n">
        <v>19</v>
      </c>
      <c r="Z304" t="n">
        <v>31.12</v>
      </c>
      <c r="AA304" t="n">
        <v>3.16</v>
      </c>
      <c r="AB304" t="n">
        <v>34.28</v>
      </c>
      <c r="AC304" t="n">
        <v>6.17</v>
      </c>
      <c r="AD304" t="n">
        <v>0</v>
      </c>
      <c r="AE304" t="n">
        <v>163.8</v>
      </c>
      <c r="AF304" t="n">
        <v>0</v>
      </c>
      <c r="AG304" t="n">
        <v>0</v>
      </c>
      <c r="AH304" t="n">
        <v>0.16</v>
      </c>
      <c r="AI304" t="n">
        <v>8.199999999999999</v>
      </c>
      <c r="AJ304" t="n">
        <v>-0.01</v>
      </c>
      <c r="AK304" t="n">
        <v>14.53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48.81</v>
      </c>
      <c r="AV304" t="n">
        <v>0</v>
      </c>
      <c r="AW304" t="n">
        <v>123.18</v>
      </c>
      <c r="AX304" t="inlineStr">
        <is>
          <t>settled</t>
        </is>
      </c>
      <c r="AY304" t="inlineStr">
        <is>
          <t>2025-12-17 05:30:00</t>
        </is>
      </c>
      <c r="AZ304" t="inlineStr">
        <is>
          <t>CITIN25671113204</t>
        </is>
      </c>
      <c r="BA304" t="n">
        <v>0</v>
      </c>
      <c r="BB304" t="inlineStr">
        <is>
          <t>d6bdca01376662cf76887906d695a4b52679712ccc7cb8d1e46ba8cf59fc0617</t>
        </is>
      </c>
    </row>
    <row r="305">
      <c r="A305" t="inlineStr">
        <is>
          <t>645</t>
        </is>
      </c>
      <c r="B305" t="inlineStr">
        <is>
          <t>7574983015</t>
        </is>
      </c>
      <c r="C305" t="inlineStr">
        <is>
          <t>2025-12-14 03:17:21</t>
        </is>
      </c>
      <c r="D305" t="inlineStr">
        <is>
          <t>50</t>
        </is>
      </c>
      <c r="E305" t="inlineStr">
        <is>
          <t>Sha Sha - Shandaar Shawarma</t>
        </is>
      </c>
      <c r="F305" t="inlineStr">
        <is>
          <t>18557902</t>
        </is>
      </c>
      <c r="G305" t="inlineStr">
        <is>
          <t>30% off upto ₹75 (2025-06-25 - 2031-01-01)</t>
        </is>
      </c>
      <c r="H305" t="inlineStr">
        <is>
          <t>ONLINE</t>
        </is>
      </c>
      <c r="I305" t="inlineStr">
        <is>
          <t>DELIVERED</t>
        </is>
      </c>
      <c r="J305" t="inlineStr">
        <is>
          <t>NA</t>
        </is>
      </c>
      <c r="K305" t="inlineStr">
        <is>
          <t>NA</t>
        </is>
      </c>
      <c r="L305" t="inlineStr">
        <is>
          <t>NA</t>
        </is>
      </c>
      <c r="M305" t="inlineStr">
        <is>
          <t>O2</t>
        </is>
      </c>
      <c r="N305" t="inlineStr">
        <is>
          <t>36</t>
        </is>
      </c>
      <c r="O305" t="n">
        <v>219</v>
      </c>
      <c r="P305" t="n">
        <v>3.5</v>
      </c>
      <c r="Q305" t="n">
        <v>0</v>
      </c>
      <c r="R305" t="n">
        <v>65.7</v>
      </c>
      <c r="S305" t="n">
        <v>0</v>
      </c>
      <c r="T305" t="n">
        <v>0</v>
      </c>
      <c r="U305" t="n">
        <v>0</v>
      </c>
      <c r="V305" t="n">
        <v>7.84</v>
      </c>
      <c r="W305" t="n">
        <v>164.64</v>
      </c>
      <c r="X305" t="n">
        <v>156.8</v>
      </c>
      <c r="Y305" t="n">
        <v>19</v>
      </c>
      <c r="Z305" t="n">
        <v>29.79</v>
      </c>
      <c r="AA305" t="n">
        <v>3.03</v>
      </c>
      <c r="AB305" t="n">
        <v>32.82</v>
      </c>
      <c r="AC305" t="n">
        <v>5.91</v>
      </c>
      <c r="AD305" t="n">
        <v>0</v>
      </c>
      <c r="AE305" t="n">
        <v>156.8</v>
      </c>
      <c r="AF305" t="n">
        <v>0</v>
      </c>
      <c r="AG305" t="n">
        <v>0</v>
      </c>
      <c r="AH305" t="n">
        <v>0.16</v>
      </c>
      <c r="AI305" t="n">
        <v>7.85</v>
      </c>
      <c r="AJ305" t="n">
        <v>-0.01</v>
      </c>
      <c r="AK305" t="n">
        <v>13.92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46.74</v>
      </c>
      <c r="AV305" t="n">
        <v>0</v>
      </c>
      <c r="AW305" t="n">
        <v>117.9</v>
      </c>
      <c r="AX305" t="inlineStr">
        <is>
          <t>settled</t>
        </is>
      </c>
      <c r="AY305" t="inlineStr">
        <is>
          <t>2025-12-17 05:30:00</t>
        </is>
      </c>
      <c r="AZ305" t="inlineStr">
        <is>
          <t>CITIN25671113204</t>
        </is>
      </c>
      <c r="BA305" t="n">
        <v>0</v>
      </c>
      <c r="BB305" t="inlineStr">
        <is>
          <t>bad7ff62f0c6df688dc4ebc58b889f131b3ac549efb3e9d89f0539a32b85a35f</t>
        </is>
      </c>
    </row>
    <row r="306">
      <c r="A306" t="inlineStr">
        <is>
          <t>646</t>
        </is>
      </c>
      <c r="B306" t="inlineStr">
        <is>
          <t>7563634646</t>
        </is>
      </c>
      <c r="C306" t="inlineStr">
        <is>
          <t>2025-12-14 03:30:17</t>
        </is>
      </c>
      <c r="D306" t="inlineStr">
        <is>
          <t>50</t>
        </is>
      </c>
      <c r="E306" t="inlineStr">
        <is>
          <t>Sha Sha - Shandaar Shawarma</t>
        </is>
      </c>
      <c r="F306" t="inlineStr">
        <is>
          <t>18557902</t>
        </is>
      </c>
      <c r="G306" t="inlineStr">
        <is>
          <t>NA</t>
        </is>
      </c>
      <c r="H306" t="inlineStr">
        <is>
          <t>ONLINE</t>
        </is>
      </c>
      <c r="I306" t="inlineStr">
        <is>
          <t>DELIVERED</t>
        </is>
      </c>
      <c r="J306" t="inlineStr">
        <is>
          <t>NA</t>
        </is>
      </c>
      <c r="K306" t="inlineStr">
        <is>
          <t>NA</t>
        </is>
      </c>
      <c r="L306" t="inlineStr">
        <is>
          <t>NA</t>
        </is>
      </c>
      <c r="M306" t="inlineStr">
        <is>
          <t>O2</t>
        </is>
      </c>
      <c r="N306" t="inlineStr">
        <is>
          <t>36</t>
        </is>
      </c>
      <c r="O306" t="n">
        <v>229</v>
      </c>
      <c r="P306" t="n">
        <v>3.5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11.63</v>
      </c>
      <c r="W306" t="n">
        <v>244.13</v>
      </c>
      <c r="X306" t="n">
        <v>232.5</v>
      </c>
      <c r="Y306" t="n">
        <v>19</v>
      </c>
      <c r="Z306" t="n">
        <v>44.18</v>
      </c>
      <c r="AA306" t="n">
        <v>4.49</v>
      </c>
      <c r="AB306" t="n">
        <v>48.67</v>
      </c>
      <c r="AC306" t="n">
        <v>8.76</v>
      </c>
      <c r="AD306" t="n">
        <v>0</v>
      </c>
      <c r="AE306" t="n">
        <v>232.5</v>
      </c>
      <c r="AF306" t="n">
        <v>0</v>
      </c>
      <c r="AG306" t="n">
        <v>0</v>
      </c>
      <c r="AH306" t="n">
        <v>0.23</v>
      </c>
      <c r="AI306" t="n">
        <v>11.63</v>
      </c>
      <c r="AJ306" t="n">
        <v>0</v>
      </c>
      <c r="AK306" t="n">
        <v>20.62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69.29000000000001</v>
      </c>
      <c r="AV306" t="n">
        <v>0</v>
      </c>
      <c r="AW306" t="n">
        <v>174.84</v>
      </c>
      <c r="AX306" t="inlineStr">
        <is>
          <t>settled</t>
        </is>
      </c>
      <c r="AY306" t="inlineStr">
        <is>
          <t>2025-12-17 05:30:00</t>
        </is>
      </c>
      <c r="AZ306" t="inlineStr">
        <is>
          <t>CITIN25671113204</t>
        </is>
      </c>
      <c r="BA306" t="n">
        <v>0</v>
      </c>
      <c r="BB306" t="inlineStr">
        <is>
          <t>619261653cb818831acd2f9ba323f4510ba3046187f95f207bb13c97f65de116</t>
        </is>
      </c>
    </row>
    <row r="307">
      <c r="A307" t="inlineStr">
        <is>
          <t>647</t>
        </is>
      </c>
      <c r="B307" t="inlineStr">
        <is>
          <t>7564129918</t>
        </is>
      </c>
      <c r="C307" t="inlineStr">
        <is>
          <t>2025-12-14 03:33:12</t>
        </is>
      </c>
      <c r="D307" t="inlineStr">
        <is>
          <t>50</t>
        </is>
      </c>
      <c r="E307" t="inlineStr">
        <is>
          <t>Sha Sha - Shandaar Shawarma</t>
        </is>
      </c>
      <c r="F307" t="inlineStr">
        <is>
          <t>18557902</t>
        </is>
      </c>
      <c r="G307" t="inlineStr">
        <is>
          <t>30% off upto ₹75 (2025-06-25 - 2031-01-01)</t>
        </is>
      </c>
      <c r="H307" t="inlineStr">
        <is>
          <t>ONLINE</t>
        </is>
      </c>
      <c r="I307" t="inlineStr">
        <is>
          <t>DELIVERED</t>
        </is>
      </c>
      <c r="J307" t="inlineStr">
        <is>
          <t>NA</t>
        </is>
      </c>
      <c r="K307" t="inlineStr">
        <is>
          <t>NA</t>
        </is>
      </c>
      <c r="L307" t="inlineStr">
        <is>
          <t>NA</t>
        </is>
      </c>
      <c r="M307" t="inlineStr">
        <is>
          <t>O2</t>
        </is>
      </c>
      <c r="N307" t="inlineStr">
        <is>
          <t>36</t>
        </is>
      </c>
      <c r="O307" t="n">
        <v>677</v>
      </c>
      <c r="P307" t="n">
        <v>3.5</v>
      </c>
      <c r="Q307" t="n">
        <v>0</v>
      </c>
      <c r="R307" t="n">
        <v>75</v>
      </c>
      <c r="S307" t="n">
        <v>0</v>
      </c>
      <c r="T307" t="n">
        <v>0</v>
      </c>
      <c r="U307" t="n">
        <v>0</v>
      </c>
      <c r="V307" t="n">
        <v>30.28</v>
      </c>
      <c r="W307" t="n">
        <v>635.78</v>
      </c>
      <c r="X307" t="n">
        <v>605.5</v>
      </c>
      <c r="Y307" t="n">
        <v>19</v>
      </c>
      <c r="Z307" t="n">
        <v>115.04</v>
      </c>
      <c r="AA307" t="n">
        <v>11.7</v>
      </c>
      <c r="AB307" t="n">
        <v>126.74</v>
      </c>
      <c r="AC307" t="n">
        <v>22.82</v>
      </c>
      <c r="AD307" t="n">
        <v>0</v>
      </c>
      <c r="AE307" t="n">
        <v>605.5</v>
      </c>
      <c r="AF307" t="n">
        <v>0</v>
      </c>
      <c r="AG307" t="n">
        <v>0</v>
      </c>
      <c r="AH307" t="n">
        <v>0.61</v>
      </c>
      <c r="AI307" t="n">
        <v>30.28</v>
      </c>
      <c r="AJ307" t="n">
        <v>0</v>
      </c>
      <c r="AK307" t="n">
        <v>53.71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180.45</v>
      </c>
      <c r="AV307" t="n">
        <v>0</v>
      </c>
      <c r="AW307" t="n">
        <v>455.33</v>
      </c>
      <c r="AX307" t="inlineStr">
        <is>
          <t>settled</t>
        </is>
      </c>
      <c r="AY307" t="inlineStr">
        <is>
          <t>2025-12-17 05:30:00</t>
        </is>
      </c>
      <c r="AZ307" t="inlineStr">
        <is>
          <t>CITIN25671113204</t>
        </is>
      </c>
      <c r="BA307" t="n">
        <v>0</v>
      </c>
      <c r="BB307" t="inlineStr">
        <is>
          <t>5eca1526f5429ef277beb9d45c40d0523a957783c02c98ca7f76c47b7cbaa27f</t>
        </is>
      </c>
    </row>
    <row r="308">
      <c r="A308" t="inlineStr">
        <is>
          <t>648</t>
        </is>
      </c>
      <c r="B308" t="inlineStr">
        <is>
          <t>7581230699</t>
        </is>
      </c>
      <c r="C308" t="inlineStr">
        <is>
          <t>2025-12-14 03:47:11</t>
        </is>
      </c>
      <c r="D308" t="inlineStr">
        <is>
          <t>50</t>
        </is>
      </c>
      <c r="E308" t="inlineStr">
        <is>
          <t>Sha Sha - Shandaar Shawarma</t>
        </is>
      </c>
      <c r="F308" t="inlineStr">
        <is>
          <t>18557902</t>
        </is>
      </c>
      <c r="G308" t="inlineStr">
        <is>
          <t>30% off upto ₹75 (2025-06-25 - 2031-01-01)</t>
        </is>
      </c>
      <c r="H308" t="inlineStr">
        <is>
          <t>ONLINE</t>
        </is>
      </c>
      <c r="I308" t="inlineStr">
        <is>
          <t>DELIVERED</t>
        </is>
      </c>
      <c r="J308" t="inlineStr">
        <is>
          <t>NA</t>
        </is>
      </c>
      <c r="K308" t="inlineStr">
        <is>
          <t>NA</t>
        </is>
      </c>
      <c r="L308" t="inlineStr">
        <is>
          <t>NA</t>
        </is>
      </c>
      <c r="M308" t="inlineStr">
        <is>
          <t>O2</t>
        </is>
      </c>
      <c r="N308" t="inlineStr">
        <is>
          <t>36</t>
        </is>
      </c>
      <c r="O308" t="n">
        <v>229</v>
      </c>
      <c r="P308" t="n">
        <v>3.5</v>
      </c>
      <c r="Q308" t="n">
        <v>0</v>
      </c>
      <c r="R308" t="n">
        <v>68.7</v>
      </c>
      <c r="S308" t="n">
        <v>0</v>
      </c>
      <c r="T308" t="n">
        <v>0</v>
      </c>
      <c r="U308" t="n">
        <v>0</v>
      </c>
      <c r="V308" t="n">
        <v>8.19</v>
      </c>
      <c r="W308" t="n">
        <v>171.99</v>
      </c>
      <c r="X308" t="n">
        <v>163.8</v>
      </c>
      <c r="Y308" t="n">
        <v>19</v>
      </c>
      <c r="Z308" t="n">
        <v>31.12</v>
      </c>
      <c r="AA308" t="n">
        <v>3.16</v>
      </c>
      <c r="AB308" t="n">
        <v>34.28</v>
      </c>
      <c r="AC308" t="n">
        <v>6.17</v>
      </c>
      <c r="AD308" t="n">
        <v>0</v>
      </c>
      <c r="AE308" t="n">
        <v>163.8</v>
      </c>
      <c r="AF308" t="n">
        <v>0</v>
      </c>
      <c r="AG308" t="n">
        <v>0</v>
      </c>
      <c r="AH308" t="n">
        <v>0.16</v>
      </c>
      <c r="AI308" t="n">
        <v>8.199999999999999</v>
      </c>
      <c r="AJ308" t="n">
        <v>-0.01</v>
      </c>
      <c r="AK308" t="n">
        <v>14.53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48.81</v>
      </c>
      <c r="AV308" t="n">
        <v>0</v>
      </c>
      <c r="AW308" t="n">
        <v>123.18</v>
      </c>
      <c r="AX308" t="inlineStr">
        <is>
          <t>settled</t>
        </is>
      </c>
      <c r="AY308" t="inlineStr">
        <is>
          <t>2025-12-17 05:30:00</t>
        </is>
      </c>
      <c r="AZ308" t="inlineStr">
        <is>
          <t>CITIN25671113204</t>
        </is>
      </c>
      <c r="BA308" t="n">
        <v>0</v>
      </c>
      <c r="BB308" t="inlineStr">
        <is>
          <t>1908510bfd776e11b9f37a99b1dc3b6dd7b1f5e3a4a1ebe6e3284915c9d3f504</t>
        </is>
      </c>
    </row>
    <row r="309">
      <c r="A309" t="inlineStr">
        <is>
          <t>649</t>
        </is>
      </c>
      <c r="B309" t="inlineStr">
        <is>
          <t>7579065520</t>
        </is>
      </c>
      <c r="C309" t="inlineStr">
        <is>
          <t>2025-12-14 03:47:55</t>
        </is>
      </c>
      <c r="D309" t="inlineStr">
        <is>
          <t>50</t>
        </is>
      </c>
      <c r="E309" t="inlineStr">
        <is>
          <t>Sha Sha - Shandaar Shawarma</t>
        </is>
      </c>
      <c r="F309" t="inlineStr">
        <is>
          <t>18557902</t>
        </is>
      </c>
      <c r="G309" t="inlineStr">
        <is>
          <t>30% off upto ₹75 (2025-06-25 - 2031-01-01)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NA</t>
        </is>
      </c>
      <c r="K309" t="inlineStr">
        <is>
          <t>NA</t>
        </is>
      </c>
      <c r="L309" t="inlineStr">
        <is>
          <t>NA</t>
        </is>
      </c>
      <c r="M309" t="inlineStr">
        <is>
          <t>O2</t>
        </is>
      </c>
      <c r="N309" t="inlineStr">
        <is>
          <t>36</t>
        </is>
      </c>
      <c r="O309" t="n">
        <v>229</v>
      </c>
      <c r="P309" t="n">
        <v>3.5</v>
      </c>
      <c r="Q309" t="n">
        <v>0</v>
      </c>
      <c r="R309" t="n">
        <v>68.7</v>
      </c>
      <c r="S309" t="n">
        <v>0</v>
      </c>
      <c r="T309" t="n">
        <v>0</v>
      </c>
      <c r="U309" t="n">
        <v>0</v>
      </c>
      <c r="V309" t="n">
        <v>8.19</v>
      </c>
      <c r="W309" t="n">
        <v>171.99</v>
      </c>
      <c r="X309" t="n">
        <v>163.8</v>
      </c>
      <c r="Y309" t="n">
        <v>19</v>
      </c>
      <c r="Z309" t="n">
        <v>31.12</v>
      </c>
      <c r="AA309" t="n">
        <v>3.16</v>
      </c>
      <c r="AB309" t="n">
        <v>34.28</v>
      </c>
      <c r="AC309" t="n">
        <v>6.17</v>
      </c>
      <c r="AD309" t="n">
        <v>0</v>
      </c>
      <c r="AE309" t="n">
        <v>163.8</v>
      </c>
      <c r="AF309" t="n">
        <v>0</v>
      </c>
      <c r="AG309" t="n">
        <v>0</v>
      </c>
      <c r="AH309" t="n">
        <v>0.16</v>
      </c>
      <c r="AI309" t="n">
        <v>8.199999999999999</v>
      </c>
      <c r="AJ309" t="n">
        <v>-0.01</v>
      </c>
      <c r="AK309" t="n">
        <v>14.53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48.81</v>
      </c>
      <c r="AV309" t="n">
        <v>0</v>
      </c>
      <c r="AW309" t="n">
        <v>123.18</v>
      </c>
      <c r="AX309" t="inlineStr">
        <is>
          <t>settled</t>
        </is>
      </c>
      <c r="AY309" t="inlineStr">
        <is>
          <t>2025-12-17 05:30:00</t>
        </is>
      </c>
      <c r="AZ309" t="inlineStr">
        <is>
          <t>CITIN25671113204</t>
        </is>
      </c>
      <c r="BA309" t="n">
        <v>0</v>
      </c>
      <c r="BB309" t="inlineStr">
        <is>
          <t>e1b7fbdc713c775572e4dc7faaf1373852b61d14d3039a7fbd99274495e30d88</t>
        </is>
      </c>
    </row>
    <row r="310">
      <c r="A310" t="inlineStr">
        <is>
          <t>650</t>
        </is>
      </c>
      <c r="B310" t="inlineStr">
        <is>
          <t>7569519202</t>
        </is>
      </c>
      <c r="C310" t="inlineStr">
        <is>
          <t>2025-12-14 03:57:59</t>
        </is>
      </c>
      <c r="D310" t="inlineStr">
        <is>
          <t>50</t>
        </is>
      </c>
      <c r="E310" t="inlineStr">
        <is>
          <t>Sha Sha - Shandaar Shawarma</t>
        </is>
      </c>
      <c r="F310" t="inlineStr">
        <is>
          <t>18557902</t>
        </is>
      </c>
      <c r="G310" t="inlineStr">
        <is>
          <t>30% off upto ₹75 (2025-06-25 - 2031-01-01)</t>
        </is>
      </c>
      <c r="H310" t="inlineStr">
        <is>
          <t>ONLINE</t>
        </is>
      </c>
      <c r="I310" t="inlineStr">
        <is>
          <t>DELIVERED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O2</t>
        </is>
      </c>
      <c r="N310" t="inlineStr">
        <is>
          <t>36</t>
        </is>
      </c>
      <c r="O310" t="n">
        <v>687</v>
      </c>
      <c r="P310" t="n">
        <v>3.5</v>
      </c>
      <c r="Q310" t="n">
        <v>0</v>
      </c>
      <c r="R310" t="n">
        <v>75</v>
      </c>
      <c r="S310" t="n">
        <v>0</v>
      </c>
      <c r="T310" t="n">
        <v>0</v>
      </c>
      <c r="U310" t="n">
        <v>0</v>
      </c>
      <c r="V310" t="n">
        <v>30.78</v>
      </c>
      <c r="W310" t="n">
        <v>646.28</v>
      </c>
      <c r="X310" t="n">
        <v>615.5</v>
      </c>
      <c r="Y310" t="n">
        <v>19</v>
      </c>
      <c r="Z310" t="n">
        <v>116.94</v>
      </c>
      <c r="AA310" t="n">
        <v>11.89</v>
      </c>
      <c r="AB310" t="n">
        <v>128.83</v>
      </c>
      <c r="AC310" t="n">
        <v>23.19</v>
      </c>
      <c r="AD310" t="n">
        <v>0</v>
      </c>
      <c r="AE310" t="n">
        <v>615.5</v>
      </c>
      <c r="AF310" t="n">
        <v>0</v>
      </c>
      <c r="AG310" t="n">
        <v>0</v>
      </c>
      <c r="AH310" t="n">
        <v>0.62</v>
      </c>
      <c r="AI310" t="n">
        <v>30.78</v>
      </c>
      <c r="AJ310" t="n">
        <v>0</v>
      </c>
      <c r="AK310" t="n">
        <v>54.59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183.42</v>
      </c>
      <c r="AV310" t="n">
        <v>0</v>
      </c>
      <c r="AW310" t="n">
        <v>462.86</v>
      </c>
      <c r="AX310" t="inlineStr">
        <is>
          <t>settled</t>
        </is>
      </c>
      <c r="AY310" t="inlineStr">
        <is>
          <t>2025-12-17 05:30:00</t>
        </is>
      </c>
      <c r="AZ310" t="inlineStr">
        <is>
          <t>CITIN25671113204</t>
        </is>
      </c>
      <c r="BA310" t="n">
        <v>0</v>
      </c>
      <c r="BB310" t="inlineStr">
        <is>
          <t>9f33eb47b64a37dedf9c3b0c421f896046af97d2b080639c80e2df9e21f231ca</t>
        </is>
      </c>
    </row>
    <row r="311">
      <c r="A311" t="inlineStr">
        <is>
          <t>651</t>
        </is>
      </c>
      <c r="B311" t="inlineStr">
        <is>
          <t>7576842875</t>
        </is>
      </c>
      <c r="C311" t="inlineStr">
        <is>
          <t>2025-12-14 04:03:26</t>
        </is>
      </c>
      <c r="D311" t="inlineStr">
        <is>
          <t>50</t>
        </is>
      </c>
      <c r="E311" t="inlineStr">
        <is>
          <t>Sha Sha - Shandaar Shawarma</t>
        </is>
      </c>
      <c r="F311" t="inlineStr">
        <is>
          <t>18557902</t>
        </is>
      </c>
      <c r="G311" t="inlineStr">
        <is>
          <t>NA</t>
        </is>
      </c>
      <c r="H311" t="inlineStr">
        <is>
          <t>ONLINE</t>
        </is>
      </c>
      <c r="I311" t="inlineStr">
        <is>
          <t>DELIVERED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O2</t>
        </is>
      </c>
      <c r="N311" t="inlineStr">
        <is>
          <t>36</t>
        </is>
      </c>
      <c r="O311" t="n">
        <v>229</v>
      </c>
      <c r="P311" t="n">
        <v>3.5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11.63</v>
      </c>
      <c r="W311" t="n">
        <v>244.13</v>
      </c>
      <c r="X311" t="n">
        <v>232.5</v>
      </c>
      <c r="Y311" t="n">
        <v>19</v>
      </c>
      <c r="Z311" t="n">
        <v>44.18</v>
      </c>
      <c r="AA311" t="n">
        <v>4.49</v>
      </c>
      <c r="AB311" t="n">
        <v>48.67</v>
      </c>
      <c r="AC311" t="n">
        <v>8.76</v>
      </c>
      <c r="AD311" t="n">
        <v>0</v>
      </c>
      <c r="AE311" t="n">
        <v>232.5</v>
      </c>
      <c r="AF311" t="n">
        <v>0</v>
      </c>
      <c r="AG311" t="n">
        <v>0</v>
      </c>
      <c r="AH311" t="n">
        <v>0.23</v>
      </c>
      <c r="AI311" t="n">
        <v>11.63</v>
      </c>
      <c r="AJ311" t="n">
        <v>0</v>
      </c>
      <c r="AK311" t="n">
        <v>20.62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69.29000000000001</v>
      </c>
      <c r="AV311" t="n">
        <v>0</v>
      </c>
      <c r="AW311" t="n">
        <v>174.84</v>
      </c>
      <c r="AX311" t="inlineStr">
        <is>
          <t>settled</t>
        </is>
      </c>
      <c r="AY311" t="inlineStr">
        <is>
          <t>2025-12-17 05:30:00</t>
        </is>
      </c>
      <c r="AZ311" t="inlineStr">
        <is>
          <t>CITIN25671113204</t>
        </is>
      </c>
      <c r="BA311" t="n">
        <v>0</v>
      </c>
      <c r="BB311" t="inlineStr">
        <is>
          <t>ff6175da2ca225a6f0cc23b65e73712810fb7249bb56a3b4a5e09c0f5f134095</t>
        </is>
      </c>
    </row>
    <row r="312">
      <c r="A312" t="inlineStr">
        <is>
          <t>652</t>
        </is>
      </c>
      <c r="B312" t="inlineStr">
        <is>
          <t>7579867715</t>
        </is>
      </c>
      <c r="C312" t="inlineStr">
        <is>
          <t>2025-12-14 04:14:24</t>
        </is>
      </c>
      <c r="D312" t="inlineStr">
        <is>
          <t>50</t>
        </is>
      </c>
      <c r="E312" t="inlineStr">
        <is>
          <t>Sha Sha - Shandaar Shawarma</t>
        </is>
      </c>
      <c r="F312" t="inlineStr">
        <is>
          <t>18557902</t>
        </is>
      </c>
      <c r="G312" t="inlineStr">
        <is>
          <t>NA</t>
        </is>
      </c>
      <c r="H312" t="inlineStr">
        <is>
          <t>ONLINE</t>
        </is>
      </c>
      <c r="I312" t="inlineStr">
        <is>
          <t>DELIVERED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O2</t>
        </is>
      </c>
      <c r="N312" t="inlineStr">
        <is>
          <t>36</t>
        </is>
      </c>
      <c r="O312" t="n">
        <v>229</v>
      </c>
      <c r="P312" t="n">
        <v>3.5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11.63</v>
      </c>
      <c r="W312" t="n">
        <v>244.13</v>
      </c>
      <c r="X312" t="n">
        <v>232.5</v>
      </c>
      <c r="Y312" t="n">
        <v>19</v>
      </c>
      <c r="Z312" t="n">
        <v>44.18</v>
      </c>
      <c r="AA312" t="n">
        <v>4.49</v>
      </c>
      <c r="AB312" t="n">
        <v>48.67</v>
      </c>
      <c r="AC312" t="n">
        <v>8.76</v>
      </c>
      <c r="AD312" t="n">
        <v>0</v>
      </c>
      <c r="AE312" t="n">
        <v>232.5</v>
      </c>
      <c r="AF312" t="n">
        <v>0</v>
      </c>
      <c r="AG312" t="n">
        <v>0</v>
      </c>
      <c r="AH312" t="n">
        <v>0.23</v>
      </c>
      <c r="AI312" t="n">
        <v>11.63</v>
      </c>
      <c r="AJ312" t="n">
        <v>0</v>
      </c>
      <c r="AK312" t="n">
        <v>20.62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69.29000000000001</v>
      </c>
      <c r="AV312" t="n">
        <v>0</v>
      </c>
      <c r="AW312" t="n">
        <v>174.84</v>
      </c>
      <c r="AX312" t="inlineStr">
        <is>
          <t>settled</t>
        </is>
      </c>
      <c r="AY312" t="inlineStr">
        <is>
          <t>2025-12-17 05:30:00</t>
        </is>
      </c>
      <c r="AZ312" t="inlineStr">
        <is>
          <t>CITIN25671113204</t>
        </is>
      </c>
      <c r="BA312" t="n">
        <v>0</v>
      </c>
      <c r="BB312" t="inlineStr">
        <is>
          <t>a0bb6c2710286337307a5dec883177fce7b4fb9169de6ebd56d48ba4050b2330</t>
        </is>
      </c>
    </row>
    <row r="313">
      <c r="A313" t="inlineStr">
        <is>
          <t>653</t>
        </is>
      </c>
      <c r="B313" t="inlineStr">
        <is>
          <t>7562267405</t>
        </is>
      </c>
      <c r="C313" t="inlineStr">
        <is>
          <t>2025-12-14 04:29:51</t>
        </is>
      </c>
      <c r="D313" t="inlineStr">
        <is>
          <t>50</t>
        </is>
      </c>
      <c r="E313" t="inlineStr">
        <is>
          <t>Sha Sha - Shandaar Shawarma</t>
        </is>
      </c>
      <c r="F313" t="inlineStr">
        <is>
          <t>18557902</t>
        </is>
      </c>
      <c r="G313" t="inlineStr">
        <is>
          <t>NA</t>
        </is>
      </c>
      <c r="H313" t="inlineStr">
        <is>
          <t>ONLINE</t>
        </is>
      </c>
      <c r="I313" t="inlineStr">
        <is>
          <t>DELIVERED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O2</t>
        </is>
      </c>
      <c r="N313" t="inlineStr">
        <is>
          <t>36</t>
        </is>
      </c>
      <c r="O313" t="n">
        <v>229</v>
      </c>
      <c r="P313" t="n">
        <v>3.5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11.63</v>
      </c>
      <c r="W313" t="n">
        <v>244.13</v>
      </c>
      <c r="X313" t="n">
        <v>232.5</v>
      </c>
      <c r="Y313" t="n">
        <v>19</v>
      </c>
      <c r="Z313" t="n">
        <v>44.18</v>
      </c>
      <c r="AA313" t="n">
        <v>4.49</v>
      </c>
      <c r="AB313" t="n">
        <v>48.67</v>
      </c>
      <c r="AC313" t="n">
        <v>8.76</v>
      </c>
      <c r="AD313" t="n">
        <v>0</v>
      </c>
      <c r="AE313" t="n">
        <v>232.5</v>
      </c>
      <c r="AF313" t="n">
        <v>0</v>
      </c>
      <c r="AG313" t="n">
        <v>0</v>
      </c>
      <c r="AH313" t="n">
        <v>0.23</v>
      </c>
      <c r="AI313" t="n">
        <v>11.63</v>
      </c>
      <c r="AJ313" t="n">
        <v>0</v>
      </c>
      <c r="AK313" t="n">
        <v>20.62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69.29000000000001</v>
      </c>
      <c r="AV313" t="n">
        <v>0</v>
      </c>
      <c r="AW313" t="n">
        <v>174.84</v>
      </c>
      <c r="AX313" t="inlineStr">
        <is>
          <t>settled</t>
        </is>
      </c>
      <c r="AY313" t="inlineStr">
        <is>
          <t>2025-12-17 05:30:00</t>
        </is>
      </c>
      <c r="AZ313" t="inlineStr">
        <is>
          <t>CITIN25671113204</t>
        </is>
      </c>
      <c r="BA313" t="n">
        <v>0</v>
      </c>
      <c r="BB313" t="inlineStr">
        <is>
          <t>aca3ea8829f35f32eeb9c617b1f572fd528973fe5d98cd8653b3eae979a66190</t>
        </is>
      </c>
    </row>
    <row r="314">
      <c r="A314" t="inlineStr">
        <is>
          <t>654</t>
        </is>
      </c>
      <c r="B314" t="inlineStr">
        <is>
          <t>7557249738</t>
        </is>
      </c>
      <c r="C314" t="inlineStr">
        <is>
          <t>2025-12-14 04:41:56</t>
        </is>
      </c>
      <c r="D314" t="inlineStr">
        <is>
          <t>50</t>
        </is>
      </c>
      <c r="E314" t="inlineStr">
        <is>
          <t>Sha Sha - Shandaar Shawarma</t>
        </is>
      </c>
      <c r="F314" t="inlineStr">
        <is>
          <t>18557902</t>
        </is>
      </c>
      <c r="G314" t="inlineStr">
        <is>
          <t>30% off upto ₹75 (2025-06-25 - 2031-01-01)</t>
        </is>
      </c>
      <c r="H314" t="inlineStr">
        <is>
          <t>ONLINE</t>
        </is>
      </c>
      <c r="I314" t="inlineStr">
        <is>
          <t>DELIVERED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O2</t>
        </is>
      </c>
      <c r="N314" t="inlineStr">
        <is>
          <t>36</t>
        </is>
      </c>
      <c r="O314" t="n">
        <v>219</v>
      </c>
      <c r="P314" t="n">
        <v>3.5</v>
      </c>
      <c r="Q314" t="n">
        <v>0</v>
      </c>
      <c r="R314" t="n">
        <v>65.7</v>
      </c>
      <c r="S314" t="n">
        <v>0</v>
      </c>
      <c r="T314" t="n">
        <v>0</v>
      </c>
      <c r="U314" t="n">
        <v>0</v>
      </c>
      <c r="V314" t="n">
        <v>7.84</v>
      </c>
      <c r="W314" t="n">
        <v>164.64</v>
      </c>
      <c r="X314" t="n">
        <v>156.8</v>
      </c>
      <c r="Y314" t="n">
        <v>19</v>
      </c>
      <c r="Z314" t="n">
        <v>29.79</v>
      </c>
      <c r="AA314" t="n">
        <v>3.03</v>
      </c>
      <c r="AB314" t="n">
        <v>32.82</v>
      </c>
      <c r="AC314" t="n">
        <v>5.91</v>
      </c>
      <c r="AD314" t="n">
        <v>0</v>
      </c>
      <c r="AE314" t="n">
        <v>156.8</v>
      </c>
      <c r="AF314" t="n">
        <v>0</v>
      </c>
      <c r="AG314" t="n">
        <v>0</v>
      </c>
      <c r="AH314" t="n">
        <v>0.16</v>
      </c>
      <c r="AI314" t="n">
        <v>7.85</v>
      </c>
      <c r="AJ314" t="n">
        <v>-0.01</v>
      </c>
      <c r="AK314" t="n">
        <v>13.92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46.74</v>
      </c>
      <c r="AV314" t="n">
        <v>0</v>
      </c>
      <c r="AW314" t="n">
        <v>117.9</v>
      </c>
      <c r="AX314" t="inlineStr">
        <is>
          <t>settled</t>
        </is>
      </c>
      <c r="AY314" t="inlineStr">
        <is>
          <t>2025-12-17 05:30:00</t>
        </is>
      </c>
      <c r="AZ314" t="inlineStr">
        <is>
          <t>CITIN25671113204</t>
        </is>
      </c>
      <c r="BA314" t="n">
        <v>0</v>
      </c>
      <c r="BB314" t="inlineStr">
        <is>
          <t>ae4e3ace301681305cdd1474814d2c4f326eb34dbf82ac3ba7fc41853f94f20b</t>
        </is>
      </c>
    </row>
    <row r="315">
      <c r="A315" t="inlineStr">
        <is>
          <t>655</t>
        </is>
      </c>
      <c r="B315" t="inlineStr">
        <is>
          <t>7576621578</t>
        </is>
      </c>
      <c r="C315" t="inlineStr">
        <is>
          <t>2025-12-14 12:11:09</t>
        </is>
      </c>
      <c r="D315" t="inlineStr">
        <is>
          <t>50</t>
        </is>
      </c>
      <c r="E315" t="inlineStr">
        <is>
          <t>Sha Sha - Shandaar Shawarma</t>
        </is>
      </c>
      <c r="F315" t="inlineStr">
        <is>
          <t>18557902</t>
        </is>
      </c>
      <c r="G315" t="inlineStr">
        <is>
          <t>NA</t>
        </is>
      </c>
      <c r="H315" t="inlineStr">
        <is>
          <t>ONLINE</t>
        </is>
      </c>
      <c r="I315" t="inlineStr">
        <is>
          <t>DELIVERED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O2</t>
        </is>
      </c>
      <c r="N315" t="inlineStr">
        <is>
          <t>36</t>
        </is>
      </c>
      <c r="O315" t="n">
        <v>229</v>
      </c>
      <c r="P315" t="n">
        <v>3.5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11.63</v>
      </c>
      <c r="W315" t="n">
        <v>244.13</v>
      </c>
      <c r="X315" t="n">
        <v>232.5</v>
      </c>
      <c r="Y315" t="n">
        <v>19</v>
      </c>
      <c r="Z315" t="n">
        <v>44.18</v>
      </c>
      <c r="AA315" t="n">
        <v>4.49</v>
      </c>
      <c r="AB315" t="n">
        <v>48.67</v>
      </c>
      <c r="AC315" t="n">
        <v>8.76</v>
      </c>
      <c r="AD315" t="n">
        <v>0</v>
      </c>
      <c r="AE315" t="n">
        <v>232.5</v>
      </c>
      <c r="AF315" t="n">
        <v>0</v>
      </c>
      <c r="AG315" t="n">
        <v>0</v>
      </c>
      <c r="AH315" t="n">
        <v>0.23</v>
      </c>
      <c r="AI315" t="n">
        <v>11.63</v>
      </c>
      <c r="AJ315" t="n">
        <v>0</v>
      </c>
      <c r="AK315" t="n">
        <v>20.62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69.29000000000001</v>
      </c>
      <c r="AV315" t="n">
        <v>0</v>
      </c>
      <c r="AW315" t="n">
        <v>174.84</v>
      </c>
      <c r="AX315" t="inlineStr">
        <is>
          <t>settled</t>
        </is>
      </c>
      <c r="AY315" t="inlineStr">
        <is>
          <t>2025-12-17 05:30:00</t>
        </is>
      </c>
      <c r="AZ315" t="inlineStr">
        <is>
          <t>CITIN25671113204</t>
        </is>
      </c>
      <c r="BA315" t="n">
        <v>0</v>
      </c>
      <c r="BB315" t="inlineStr">
        <is>
          <t>0aa7f8a083cb543c7870622cd1431cb48d81eebec6727c5e0c8be81da6c65f25</t>
        </is>
      </c>
    </row>
    <row r="316">
      <c r="A316" t="inlineStr">
        <is>
          <t>656</t>
        </is>
      </c>
      <c r="B316" t="inlineStr">
        <is>
          <t>7580915391</t>
        </is>
      </c>
      <c r="C316" t="inlineStr">
        <is>
          <t>2025-12-14 12:30:03</t>
        </is>
      </c>
      <c r="D316" t="inlineStr">
        <is>
          <t>50</t>
        </is>
      </c>
      <c r="E316" t="inlineStr">
        <is>
          <t>Sha Sha - Shandaar Shawarma</t>
        </is>
      </c>
      <c r="F316" t="inlineStr">
        <is>
          <t>18557902</t>
        </is>
      </c>
      <c r="G316" t="inlineStr">
        <is>
          <t>NA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NA</t>
        </is>
      </c>
      <c r="K316" t="inlineStr">
        <is>
          <t>NA</t>
        </is>
      </c>
      <c r="L316" t="inlineStr">
        <is>
          <t>NA</t>
        </is>
      </c>
      <c r="M316" t="inlineStr">
        <is>
          <t>O2</t>
        </is>
      </c>
      <c r="N316" t="inlineStr">
        <is>
          <t>36</t>
        </is>
      </c>
      <c r="O316" t="n">
        <v>229</v>
      </c>
      <c r="P316" t="n">
        <v>3.5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11.63</v>
      </c>
      <c r="W316" t="n">
        <v>244.13</v>
      </c>
      <c r="X316" t="n">
        <v>232.5</v>
      </c>
      <c r="Y316" t="n">
        <v>19</v>
      </c>
      <c r="Z316" t="n">
        <v>44.18</v>
      </c>
      <c r="AA316" t="n">
        <v>4.49</v>
      </c>
      <c r="AB316" t="n">
        <v>48.67</v>
      </c>
      <c r="AC316" t="n">
        <v>8.76</v>
      </c>
      <c r="AD316" t="n">
        <v>0</v>
      </c>
      <c r="AE316" t="n">
        <v>232.5</v>
      </c>
      <c r="AF316" t="n">
        <v>0</v>
      </c>
      <c r="AG316" t="n">
        <v>0</v>
      </c>
      <c r="AH316" t="n">
        <v>0.23</v>
      </c>
      <c r="AI316" t="n">
        <v>11.63</v>
      </c>
      <c r="AJ316" t="n">
        <v>0</v>
      </c>
      <c r="AK316" t="n">
        <v>20.62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69.29000000000001</v>
      </c>
      <c r="AV316" t="n">
        <v>0</v>
      </c>
      <c r="AW316" t="n">
        <v>174.84</v>
      </c>
      <c r="AX316" t="inlineStr">
        <is>
          <t>settled</t>
        </is>
      </c>
      <c r="AY316" t="inlineStr">
        <is>
          <t>2025-12-17 05:30:00</t>
        </is>
      </c>
      <c r="AZ316" t="inlineStr">
        <is>
          <t>CITIN25671113204</t>
        </is>
      </c>
      <c r="BA316" t="n">
        <v>0</v>
      </c>
      <c r="BB316" t="inlineStr">
        <is>
          <t>9b6ef8b21fa9279045abd325f71c0c37d62a3f2de728b2d673a46eb984071f4a</t>
        </is>
      </c>
    </row>
    <row r="317">
      <c r="A317" t="inlineStr">
        <is>
          <t>657</t>
        </is>
      </c>
      <c r="B317" t="inlineStr">
        <is>
          <t>7573229617</t>
        </is>
      </c>
      <c r="C317" t="inlineStr">
        <is>
          <t>2025-12-14 12:34:44</t>
        </is>
      </c>
      <c r="D317" t="inlineStr">
        <is>
          <t>50</t>
        </is>
      </c>
      <c r="E317" t="inlineStr">
        <is>
          <t>Sha Sha - Shandaar Shawarma</t>
        </is>
      </c>
      <c r="F317" t="inlineStr">
        <is>
          <t>18557902</t>
        </is>
      </c>
      <c r="G317" t="inlineStr">
        <is>
          <t>30% off upto ₹75 (2025-06-25 - 2031-01-01)</t>
        </is>
      </c>
      <c r="H317" t="inlineStr">
        <is>
          <t>ONLINE</t>
        </is>
      </c>
      <c r="I317" t="inlineStr">
        <is>
          <t>DELIVERED</t>
        </is>
      </c>
      <c r="J317" t="inlineStr">
        <is>
          <t>NA</t>
        </is>
      </c>
      <c r="K317" t="inlineStr">
        <is>
          <t>NA</t>
        </is>
      </c>
      <c r="L317" t="inlineStr">
        <is>
          <t>NA</t>
        </is>
      </c>
      <c r="M317" t="inlineStr">
        <is>
          <t>O2</t>
        </is>
      </c>
      <c r="N317" t="inlineStr">
        <is>
          <t>36</t>
        </is>
      </c>
      <c r="O317" t="n">
        <v>219</v>
      </c>
      <c r="P317" t="n">
        <v>3.5</v>
      </c>
      <c r="Q317" t="n">
        <v>0</v>
      </c>
      <c r="R317" t="n">
        <v>65.7</v>
      </c>
      <c r="S317" t="n">
        <v>0</v>
      </c>
      <c r="T317" t="n">
        <v>0</v>
      </c>
      <c r="U317" t="n">
        <v>0</v>
      </c>
      <c r="V317" t="n">
        <v>7.84</v>
      </c>
      <c r="W317" t="n">
        <v>164.64</v>
      </c>
      <c r="X317" t="n">
        <v>156.8</v>
      </c>
      <c r="Y317" t="n">
        <v>19</v>
      </c>
      <c r="Z317" t="n">
        <v>29.79</v>
      </c>
      <c r="AA317" t="n">
        <v>3.03</v>
      </c>
      <c r="AB317" t="n">
        <v>32.82</v>
      </c>
      <c r="AC317" t="n">
        <v>5.91</v>
      </c>
      <c r="AD317" t="n">
        <v>0</v>
      </c>
      <c r="AE317" t="n">
        <v>156.8</v>
      </c>
      <c r="AF317" t="n">
        <v>0</v>
      </c>
      <c r="AG317" t="n">
        <v>0</v>
      </c>
      <c r="AH317" t="n">
        <v>0.16</v>
      </c>
      <c r="AI317" t="n">
        <v>7.85</v>
      </c>
      <c r="AJ317" t="n">
        <v>-0.01</v>
      </c>
      <c r="AK317" t="n">
        <v>13.92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46.74</v>
      </c>
      <c r="AV317" t="n">
        <v>0</v>
      </c>
      <c r="AW317" t="n">
        <v>117.9</v>
      </c>
      <c r="AX317" t="inlineStr">
        <is>
          <t>settled</t>
        </is>
      </c>
      <c r="AY317" t="inlineStr">
        <is>
          <t>2025-12-17 05:30:00</t>
        </is>
      </c>
      <c r="AZ317" t="inlineStr">
        <is>
          <t>CITIN25671113204</t>
        </is>
      </c>
      <c r="BA317" t="n">
        <v>0</v>
      </c>
      <c r="BB317" t="inlineStr">
        <is>
          <t>45e8346a7c417ad2c6f67ea512b75959462f8ea1649ea80de203e4cac5ba7614</t>
        </is>
      </c>
    </row>
    <row r="318">
      <c r="A318" t="inlineStr">
        <is>
          <t>658</t>
        </is>
      </c>
      <c r="B318" t="inlineStr">
        <is>
          <t>7577944639</t>
        </is>
      </c>
      <c r="C318" t="inlineStr">
        <is>
          <t>2025-12-14 12:52:55</t>
        </is>
      </c>
      <c r="D318" t="inlineStr">
        <is>
          <t>50</t>
        </is>
      </c>
      <c r="E318" t="inlineStr">
        <is>
          <t>Sha Sha - Shandaar Shawarma</t>
        </is>
      </c>
      <c r="F318" t="inlineStr">
        <is>
          <t>18557902</t>
        </is>
      </c>
      <c r="G318" t="inlineStr">
        <is>
          <t>30% off upto ₹75 (2025-06-25 - 2031-01-01)</t>
        </is>
      </c>
      <c r="H318" t="inlineStr">
        <is>
          <t>ONLINE</t>
        </is>
      </c>
      <c r="I318" t="inlineStr">
        <is>
          <t>DELIVERED</t>
        </is>
      </c>
      <c r="J318" t="inlineStr">
        <is>
          <t>NA</t>
        </is>
      </c>
      <c r="K318" t="inlineStr">
        <is>
          <t>NA</t>
        </is>
      </c>
      <c r="L318" t="inlineStr">
        <is>
          <t>NA</t>
        </is>
      </c>
      <c r="M318" t="inlineStr">
        <is>
          <t>O2</t>
        </is>
      </c>
      <c r="N318" t="inlineStr">
        <is>
          <t>36</t>
        </is>
      </c>
      <c r="O318" t="n">
        <v>229</v>
      </c>
      <c r="P318" t="n">
        <v>3.5</v>
      </c>
      <c r="Q318" t="n">
        <v>0</v>
      </c>
      <c r="R318" t="n">
        <v>68.7</v>
      </c>
      <c r="S318" t="n">
        <v>0</v>
      </c>
      <c r="T318" t="n">
        <v>0</v>
      </c>
      <c r="U318" t="n">
        <v>0</v>
      </c>
      <c r="V318" t="n">
        <v>8.19</v>
      </c>
      <c r="W318" t="n">
        <v>171.99</v>
      </c>
      <c r="X318" t="n">
        <v>163.8</v>
      </c>
      <c r="Y318" t="n">
        <v>19</v>
      </c>
      <c r="Z318" t="n">
        <v>31.12</v>
      </c>
      <c r="AA318" t="n">
        <v>3.16</v>
      </c>
      <c r="AB318" t="n">
        <v>34.28</v>
      </c>
      <c r="AC318" t="n">
        <v>6.17</v>
      </c>
      <c r="AD318" t="n">
        <v>0</v>
      </c>
      <c r="AE318" t="n">
        <v>163.8</v>
      </c>
      <c r="AF318" t="n">
        <v>0</v>
      </c>
      <c r="AG318" t="n">
        <v>0</v>
      </c>
      <c r="AH318" t="n">
        <v>0.16</v>
      </c>
      <c r="AI318" t="n">
        <v>8.199999999999999</v>
      </c>
      <c r="AJ318" t="n">
        <v>-0.01</v>
      </c>
      <c r="AK318" t="n">
        <v>14.53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48.81</v>
      </c>
      <c r="AV318" t="n">
        <v>0</v>
      </c>
      <c r="AW318" t="n">
        <v>123.18</v>
      </c>
      <c r="AX318" t="inlineStr">
        <is>
          <t>settled</t>
        </is>
      </c>
      <c r="AY318" t="inlineStr">
        <is>
          <t>2025-12-17 05:30:00</t>
        </is>
      </c>
      <c r="AZ318" t="inlineStr">
        <is>
          <t>CITIN25671113204</t>
        </is>
      </c>
      <c r="BA318" t="n">
        <v>0</v>
      </c>
      <c r="BB318" t="inlineStr">
        <is>
          <t>ae4ea7d3a40af9abbf2d064b79aca12513bf919e074844ca05debe38fa841775</t>
        </is>
      </c>
    </row>
    <row r="319">
      <c r="A319" t="inlineStr">
        <is>
          <t>659</t>
        </is>
      </c>
      <c r="B319" t="inlineStr">
        <is>
          <t>7581647277</t>
        </is>
      </c>
      <c r="C319" t="inlineStr">
        <is>
          <t>2025-12-14 13:37:14</t>
        </is>
      </c>
      <c r="D319" t="inlineStr">
        <is>
          <t>50</t>
        </is>
      </c>
      <c r="E319" t="inlineStr">
        <is>
          <t>Sha Sha - Shandaar Shawarma</t>
        </is>
      </c>
      <c r="F319" t="inlineStr">
        <is>
          <t>18557902</t>
        </is>
      </c>
      <c r="G319" t="inlineStr">
        <is>
          <t>NA</t>
        </is>
      </c>
      <c r="H319" t="inlineStr">
        <is>
          <t>ONLINE</t>
        </is>
      </c>
      <c r="I319" t="inlineStr">
        <is>
          <t>DELIVERED</t>
        </is>
      </c>
      <c r="J319" t="inlineStr">
        <is>
          <t>NA</t>
        </is>
      </c>
      <c r="K319" t="inlineStr">
        <is>
          <t>NA</t>
        </is>
      </c>
      <c r="L319" t="inlineStr">
        <is>
          <t>NA</t>
        </is>
      </c>
      <c r="M319" t="inlineStr">
        <is>
          <t>O2</t>
        </is>
      </c>
      <c r="N319" t="inlineStr">
        <is>
          <t>36</t>
        </is>
      </c>
      <c r="O319" t="n">
        <v>229</v>
      </c>
      <c r="P319" t="n">
        <v>3.5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11.63</v>
      </c>
      <c r="W319" t="n">
        <v>244.13</v>
      </c>
      <c r="X319" t="n">
        <v>232.5</v>
      </c>
      <c r="Y319" t="n">
        <v>19</v>
      </c>
      <c r="Z319" t="n">
        <v>44.18</v>
      </c>
      <c r="AA319" t="n">
        <v>4.49</v>
      </c>
      <c r="AB319" t="n">
        <v>48.67</v>
      </c>
      <c r="AC319" t="n">
        <v>8.76</v>
      </c>
      <c r="AD319" t="n">
        <v>0</v>
      </c>
      <c r="AE319" t="n">
        <v>232.5</v>
      </c>
      <c r="AF319" t="n">
        <v>0</v>
      </c>
      <c r="AG319" t="n">
        <v>0</v>
      </c>
      <c r="AH319" t="n">
        <v>0.23</v>
      </c>
      <c r="AI319" t="n">
        <v>11.63</v>
      </c>
      <c r="AJ319" t="n">
        <v>0</v>
      </c>
      <c r="AK319" t="n">
        <v>20.62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69.29000000000001</v>
      </c>
      <c r="AV319" t="n">
        <v>0</v>
      </c>
      <c r="AW319" t="n">
        <v>174.84</v>
      </c>
      <c r="AX319" t="inlineStr">
        <is>
          <t>settled</t>
        </is>
      </c>
      <c r="AY319" t="inlineStr">
        <is>
          <t>2025-12-17 05:30:00</t>
        </is>
      </c>
      <c r="AZ319" t="inlineStr">
        <is>
          <t>CITIN25671113204</t>
        </is>
      </c>
      <c r="BA319" t="n">
        <v>0</v>
      </c>
      <c r="BB319" t="inlineStr">
        <is>
          <t>0a86d74f2bfed76971fbbaa4478d3d827d4c7e7de80068906ee3a38abbcd4ad0</t>
        </is>
      </c>
    </row>
    <row r="320">
      <c r="A320" t="inlineStr">
        <is>
          <t>660</t>
        </is>
      </c>
      <c r="B320" t="inlineStr">
        <is>
          <t>7566211515</t>
        </is>
      </c>
      <c r="C320" t="inlineStr">
        <is>
          <t>2025-12-14 13:40:20</t>
        </is>
      </c>
      <c r="D320" t="inlineStr">
        <is>
          <t>50</t>
        </is>
      </c>
      <c r="E320" t="inlineStr">
        <is>
          <t>Sha Sha - Shandaar Shawarma</t>
        </is>
      </c>
      <c r="F320" t="inlineStr">
        <is>
          <t>18557902</t>
        </is>
      </c>
      <c r="G320" t="inlineStr">
        <is>
          <t>30% off upto ₹75 (2025-06-25 - 2031-01-01)</t>
        </is>
      </c>
      <c r="H320" t="inlineStr">
        <is>
          <t>ONLINE</t>
        </is>
      </c>
      <c r="I320" t="inlineStr">
        <is>
          <t>DELIVERED</t>
        </is>
      </c>
      <c r="J320" t="inlineStr">
        <is>
          <t>NA</t>
        </is>
      </c>
      <c r="K320" t="inlineStr">
        <is>
          <t>NA</t>
        </is>
      </c>
      <c r="L320" t="inlineStr">
        <is>
          <t>NA</t>
        </is>
      </c>
      <c r="M320" t="inlineStr">
        <is>
          <t>O2</t>
        </is>
      </c>
      <c r="N320" t="inlineStr">
        <is>
          <t>36</t>
        </is>
      </c>
      <c r="O320" t="n">
        <v>229</v>
      </c>
      <c r="P320" t="n">
        <v>3.5</v>
      </c>
      <c r="Q320" t="n">
        <v>0</v>
      </c>
      <c r="R320" t="n">
        <v>68.7</v>
      </c>
      <c r="S320" t="n">
        <v>0</v>
      </c>
      <c r="T320" t="n">
        <v>0</v>
      </c>
      <c r="U320" t="n">
        <v>0</v>
      </c>
      <c r="V320" t="n">
        <v>8.19</v>
      </c>
      <c r="W320" t="n">
        <v>171.99</v>
      </c>
      <c r="X320" t="n">
        <v>163.8</v>
      </c>
      <c r="Y320" t="n">
        <v>19</v>
      </c>
      <c r="Z320" t="n">
        <v>31.12</v>
      </c>
      <c r="AA320" t="n">
        <v>3.16</v>
      </c>
      <c r="AB320" t="n">
        <v>34.28</v>
      </c>
      <c r="AC320" t="n">
        <v>6.17</v>
      </c>
      <c r="AD320" t="n">
        <v>0</v>
      </c>
      <c r="AE320" t="n">
        <v>163.8</v>
      </c>
      <c r="AF320" t="n">
        <v>0</v>
      </c>
      <c r="AG320" t="n">
        <v>0</v>
      </c>
      <c r="AH320" t="n">
        <v>0.16</v>
      </c>
      <c r="AI320" t="n">
        <v>8.199999999999999</v>
      </c>
      <c r="AJ320" t="n">
        <v>-0.01</v>
      </c>
      <c r="AK320" t="n">
        <v>14.53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48.81</v>
      </c>
      <c r="AV320" t="n">
        <v>0</v>
      </c>
      <c r="AW320" t="n">
        <v>123.18</v>
      </c>
      <c r="AX320" t="inlineStr">
        <is>
          <t>settled</t>
        </is>
      </c>
      <c r="AY320" t="inlineStr">
        <is>
          <t>2025-12-17 05:30:00</t>
        </is>
      </c>
      <c r="AZ320" t="inlineStr">
        <is>
          <t>CITIN25671113204</t>
        </is>
      </c>
      <c r="BA320" t="n">
        <v>0</v>
      </c>
      <c r="BB320" t="inlineStr">
        <is>
          <t>a628653b9d379b87691f9dc03d335420270917612f7e18a1d99bc2c5ee40d54f</t>
        </is>
      </c>
    </row>
    <row r="321">
      <c r="A321" t="inlineStr">
        <is>
          <t>661</t>
        </is>
      </c>
      <c r="B321" t="inlineStr">
        <is>
          <t>7581879235</t>
        </is>
      </c>
      <c r="C321" t="inlineStr">
        <is>
          <t>2025-12-14 14:29:33</t>
        </is>
      </c>
      <c r="D321" t="inlineStr">
        <is>
          <t>50</t>
        </is>
      </c>
      <c r="E321" t="inlineStr">
        <is>
          <t>Sha Sha - Shandaar Shawarma</t>
        </is>
      </c>
      <c r="F321" t="inlineStr">
        <is>
          <t>18557902</t>
        </is>
      </c>
      <c r="G321" t="inlineStr">
        <is>
          <t>30% off upto ₹75 (2025-06-25 - 2031-01-01)</t>
        </is>
      </c>
      <c r="H321" t="inlineStr">
        <is>
          <t>ONLINE</t>
        </is>
      </c>
      <c r="I321" t="inlineStr">
        <is>
          <t>DELIVERED</t>
        </is>
      </c>
      <c r="J321" t="inlineStr">
        <is>
          <t>NA</t>
        </is>
      </c>
      <c r="K321" t="inlineStr">
        <is>
          <t>NA</t>
        </is>
      </c>
      <c r="L321" t="inlineStr">
        <is>
          <t>NA</t>
        </is>
      </c>
      <c r="M321" t="inlineStr">
        <is>
          <t>O2</t>
        </is>
      </c>
      <c r="N321" t="inlineStr">
        <is>
          <t>36</t>
        </is>
      </c>
      <c r="O321" t="n">
        <v>458</v>
      </c>
      <c r="P321" t="n">
        <v>3.5</v>
      </c>
      <c r="Q321" t="n">
        <v>0</v>
      </c>
      <c r="R321" t="n">
        <v>75</v>
      </c>
      <c r="S321" t="n">
        <v>0</v>
      </c>
      <c r="T321" t="n">
        <v>0</v>
      </c>
      <c r="U321" t="n">
        <v>0</v>
      </c>
      <c r="V321" t="n">
        <v>19.33</v>
      </c>
      <c r="W321" t="n">
        <v>405.83</v>
      </c>
      <c r="X321" t="n">
        <v>386.5</v>
      </c>
      <c r="Y321" t="n">
        <v>19</v>
      </c>
      <c r="Z321" t="n">
        <v>73.44</v>
      </c>
      <c r="AA321" t="n">
        <v>7.47</v>
      </c>
      <c r="AB321" t="n">
        <v>80.91</v>
      </c>
      <c r="AC321" t="n">
        <v>14.56</v>
      </c>
      <c r="AD321" t="n">
        <v>0</v>
      </c>
      <c r="AE321" t="n">
        <v>386.5</v>
      </c>
      <c r="AF321" t="n">
        <v>0</v>
      </c>
      <c r="AG321" t="n">
        <v>0</v>
      </c>
      <c r="AH321" t="n">
        <v>0.39</v>
      </c>
      <c r="AI321" t="n">
        <v>19.33</v>
      </c>
      <c r="AJ321" t="n">
        <v>0</v>
      </c>
      <c r="AK321" t="n">
        <v>34.28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115.19</v>
      </c>
      <c r="AV321" t="n">
        <v>0</v>
      </c>
      <c r="AW321" t="n">
        <v>290.64</v>
      </c>
      <c r="AX321" t="inlineStr">
        <is>
          <t>settled</t>
        </is>
      </c>
      <c r="AY321" t="inlineStr">
        <is>
          <t>2025-12-17 05:30:00</t>
        </is>
      </c>
      <c r="AZ321" t="inlineStr">
        <is>
          <t>CITIN25671113204</t>
        </is>
      </c>
      <c r="BA321" t="n">
        <v>0</v>
      </c>
      <c r="BB321" t="inlineStr">
        <is>
          <t>91c9cd9672284e078e8d700234c54b3ee76d45c537b2851b4911477c3a994c91</t>
        </is>
      </c>
    </row>
    <row r="322">
      <c r="A322" t="inlineStr">
        <is>
          <t>662</t>
        </is>
      </c>
      <c r="B322" t="inlineStr">
        <is>
          <t>7569997227</t>
        </is>
      </c>
      <c r="C322" t="inlineStr">
        <is>
          <t>2025-12-14 15:29:18</t>
        </is>
      </c>
      <c r="D322" t="inlineStr">
        <is>
          <t>50</t>
        </is>
      </c>
      <c r="E322" t="inlineStr">
        <is>
          <t>Sha Sha - Shandaar Shawarma</t>
        </is>
      </c>
      <c r="F322" t="inlineStr">
        <is>
          <t>18557902</t>
        </is>
      </c>
      <c r="G322" t="inlineStr">
        <is>
          <t>NA</t>
        </is>
      </c>
      <c r="H322" t="inlineStr">
        <is>
          <t>ONLINE</t>
        </is>
      </c>
      <c r="I322" t="inlineStr">
        <is>
          <t>DELIVERED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O2</t>
        </is>
      </c>
      <c r="N322" t="inlineStr">
        <is>
          <t>36</t>
        </is>
      </c>
      <c r="O322" t="n">
        <v>229</v>
      </c>
      <c r="P322" t="n">
        <v>3.5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11.63</v>
      </c>
      <c r="W322" t="n">
        <v>244.13</v>
      </c>
      <c r="X322" t="n">
        <v>232.5</v>
      </c>
      <c r="Y322" t="n">
        <v>19</v>
      </c>
      <c r="Z322" t="n">
        <v>44.18</v>
      </c>
      <c r="AA322" t="n">
        <v>4.49</v>
      </c>
      <c r="AB322" t="n">
        <v>48.67</v>
      </c>
      <c r="AC322" t="n">
        <v>8.76</v>
      </c>
      <c r="AD322" t="n">
        <v>0</v>
      </c>
      <c r="AE322" t="n">
        <v>232.5</v>
      </c>
      <c r="AF322" t="n">
        <v>0</v>
      </c>
      <c r="AG322" t="n">
        <v>0</v>
      </c>
      <c r="AH322" t="n">
        <v>0.23</v>
      </c>
      <c r="AI322" t="n">
        <v>11.63</v>
      </c>
      <c r="AJ322" t="n">
        <v>0</v>
      </c>
      <c r="AK322" t="n">
        <v>20.62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69.29000000000001</v>
      </c>
      <c r="AV322" t="n">
        <v>0</v>
      </c>
      <c r="AW322" t="n">
        <v>174.84</v>
      </c>
      <c r="AX322" t="inlineStr">
        <is>
          <t>settled</t>
        </is>
      </c>
      <c r="AY322" t="inlineStr">
        <is>
          <t>2025-12-17 05:30:00</t>
        </is>
      </c>
      <c r="AZ322" t="inlineStr">
        <is>
          <t>CITIN25671113204</t>
        </is>
      </c>
      <c r="BA322" t="n">
        <v>0</v>
      </c>
      <c r="BB322" t="inlineStr">
        <is>
          <t>2f50cf3809e6f6caf05703838219f5cb0db9c3e5d7d40fb1d227783766fc7906</t>
        </is>
      </c>
    </row>
    <row r="323">
      <c r="A323" t="inlineStr">
        <is>
          <t>663</t>
        </is>
      </c>
      <c r="B323" t="inlineStr">
        <is>
          <t>7582630771</t>
        </is>
      </c>
      <c r="C323" t="inlineStr">
        <is>
          <t>2025-12-14 15:32:40</t>
        </is>
      </c>
      <c r="D323" t="inlineStr">
        <is>
          <t>50</t>
        </is>
      </c>
      <c r="E323" t="inlineStr">
        <is>
          <t>Sha Sha - Shandaar Shawarma</t>
        </is>
      </c>
      <c r="F323" t="inlineStr">
        <is>
          <t>18557902</t>
        </is>
      </c>
      <c r="G323" t="inlineStr">
        <is>
          <t>30% off upto ₹75 (2025-06-25 - 2031-01-01)</t>
        </is>
      </c>
      <c r="H323" t="inlineStr">
        <is>
          <t>ONLINE</t>
        </is>
      </c>
      <c r="I323" t="inlineStr">
        <is>
          <t>DELIVERED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O2</t>
        </is>
      </c>
      <c r="N323" t="inlineStr">
        <is>
          <t>36</t>
        </is>
      </c>
      <c r="O323" t="n">
        <v>458</v>
      </c>
      <c r="P323" t="n">
        <v>3.5</v>
      </c>
      <c r="Q323" t="n">
        <v>0</v>
      </c>
      <c r="R323" t="n">
        <v>75</v>
      </c>
      <c r="S323" t="n">
        <v>0</v>
      </c>
      <c r="T323" t="n">
        <v>0</v>
      </c>
      <c r="U323" t="n">
        <v>0</v>
      </c>
      <c r="V323" t="n">
        <v>19.33</v>
      </c>
      <c r="W323" t="n">
        <v>405.83</v>
      </c>
      <c r="X323" t="n">
        <v>386.5</v>
      </c>
      <c r="Y323" t="n">
        <v>19</v>
      </c>
      <c r="Z323" t="n">
        <v>73.44</v>
      </c>
      <c r="AA323" t="n">
        <v>7.47</v>
      </c>
      <c r="AB323" t="n">
        <v>80.91</v>
      </c>
      <c r="AC323" t="n">
        <v>14.56</v>
      </c>
      <c r="AD323" t="n">
        <v>0</v>
      </c>
      <c r="AE323" t="n">
        <v>386.5</v>
      </c>
      <c r="AF323" t="n">
        <v>0</v>
      </c>
      <c r="AG323" t="n">
        <v>0</v>
      </c>
      <c r="AH323" t="n">
        <v>0.39</v>
      </c>
      <c r="AI323" t="n">
        <v>19.33</v>
      </c>
      <c r="AJ323" t="n">
        <v>0</v>
      </c>
      <c r="AK323" t="n">
        <v>34.28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115.19</v>
      </c>
      <c r="AV323" t="n">
        <v>0</v>
      </c>
      <c r="AW323" t="n">
        <v>290.64</v>
      </c>
      <c r="AX323" t="inlineStr">
        <is>
          <t>settled</t>
        </is>
      </c>
      <c r="AY323" t="inlineStr">
        <is>
          <t>2025-12-17 05:30:00</t>
        </is>
      </c>
      <c r="AZ323" t="inlineStr">
        <is>
          <t>CITIN25671113204</t>
        </is>
      </c>
      <c r="BA323" t="n">
        <v>0</v>
      </c>
      <c r="BB323" t="inlineStr">
        <is>
          <t>2bb0d410ce2e2dccee778f409402ec867df7887e581d9bbf720913a6e41c3867</t>
        </is>
      </c>
    </row>
    <row r="324">
      <c r="A324" t="inlineStr">
        <is>
          <t>664</t>
        </is>
      </c>
      <c r="B324" t="inlineStr">
        <is>
          <t>7582167120</t>
        </is>
      </c>
      <c r="C324" t="inlineStr">
        <is>
          <t>2025-12-14 15:39:24</t>
        </is>
      </c>
      <c r="D324" t="inlineStr">
        <is>
          <t>50</t>
        </is>
      </c>
      <c r="E324" t="inlineStr">
        <is>
          <t>Sha Sha - Shandaar Shawarma</t>
        </is>
      </c>
      <c r="F324" t="inlineStr">
        <is>
          <t>18557902</t>
        </is>
      </c>
      <c r="G324" t="inlineStr">
        <is>
          <t>30% off upto ₹75 (2025-06-25 - 2031-01-01)</t>
        </is>
      </c>
      <c r="H324" t="inlineStr">
        <is>
          <t>ONLINE</t>
        </is>
      </c>
      <c r="I324" t="inlineStr">
        <is>
          <t>DELIVERED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O2</t>
        </is>
      </c>
      <c r="N324" t="inlineStr">
        <is>
          <t>36</t>
        </is>
      </c>
      <c r="O324" t="n">
        <v>219</v>
      </c>
      <c r="P324" t="n">
        <v>3.5</v>
      </c>
      <c r="Q324" t="n">
        <v>0</v>
      </c>
      <c r="R324" t="n">
        <v>65.7</v>
      </c>
      <c r="S324" t="n">
        <v>0</v>
      </c>
      <c r="T324" t="n">
        <v>0</v>
      </c>
      <c r="U324" t="n">
        <v>0</v>
      </c>
      <c r="V324" t="n">
        <v>7.84</v>
      </c>
      <c r="W324" t="n">
        <v>164.64</v>
      </c>
      <c r="X324" t="n">
        <v>156.8</v>
      </c>
      <c r="Y324" t="n">
        <v>19</v>
      </c>
      <c r="Z324" t="n">
        <v>29.79</v>
      </c>
      <c r="AA324" t="n">
        <v>3.03</v>
      </c>
      <c r="AB324" t="n">
        <v>32.82</v>
      </c>
      <c r="AC324" t="n">
        <v>5.91</v>
      </c>
      <c r="AD324" t="n">
        <v>0</v>
      </c>
      <c r="AE324" t="n">
        <v>156.8</v>
      </c>
      <c r="AF324" t="n">
        <v>0</v>
      </c>
      <c r="AG324" t="n">
        <v>0</v>
      </c>
      <c r="AH324" t="n">
        <v>0.16</v>
      </c>
      <c r="AI324" t="n">
        <v>7.85</v>
      </c>
      <c r="AJ324" t="n">
        <v>-0.01</v>
      </c>
      <c r="AK324" t="n">
        <v>13.92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46.74</v>
      </c>
      <c r="AV324" t="n">
        <v>0</v>
      </c>
      <c r="AW324" t="n">
        <v>117.9</v>
      </c>
      <c r="AX324" t="inlineStr">
        <is>
          <t>settled</t>
        </is>
      </c>
      <c r="AY324" t="inlineStr">
        <is>
          <t>2025-12-17 05:30:00</t>
        </is>
      </c>
      <c r="AZ324" t="inlineStr">
        <is>
          <t>CITIN25671113204</t>
        </is>
      </c>
      <c r="BA324" t="n">
        <v>0</v>
      </c>
      <c r="BB324" t="inlineStr">
        <is>
          <t>981bd64341e87ed3054732db2783bb812130cd2ac7b5dd59f85f8feb76874edc</t>
        </is>
      </c>
    </row>
    <row r="325">
      <c r="A325" t="inlineStr">
        <is>
          <t>665</t>
        </is>
      </c>
      <c r="B325" t="inlineStr">
        <is>
          <t>7581960840</t>
        </is>
      </c>
      <c r="C325" t="inlineStr">
        <is>
          <t>2025-12-14 16:28:30</t>
        </is>
      </c>
      <c r="D325" t="inlineStr">
        <is>
          <t>50</t>
        </is>
      </c>
      <c r="E325" t="inlineStr">
        <is>
          <t>Sha Sha - Shandaar Shawarma</t>
        </is>
      </c>
      <c r="F325" t="inlineStr">
        <is>
          <t>18557902</t>
        </is>
      </c>
      <c r="G325" t="inlineStr">
        <is>
          <t>30% off upto ₹75 (2025-06-25 - 2031-01-01)</t>
        </is>
      </c>
      <c r="H325" t="inlineStr">
        <is>
          <t>ONLINE</t>
        </is>
      </c>
      <c r="I325" t="inlineStr">
        <is>
          <t>DELIVERED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O2</t>
        </is>
      </c>
      <c r="N325" t="inlineStr">
        <is>
          <t>36</t>
        </is>
      </c>
      <c r="O325" t="n">
        <v>229</v>
      </c>
      <c r="P325" t="n">
        <v>3.5</v>
      </c>
      <c r="Q325" t="n">
        <v>0</v>
      </c>
      <c r="R325" t="n">
        <v>68.7</v>
      </c>
      <c r="S325" t="n">
        <v>0</v>
      </c>
      <c r="T325" t="n">
        <v>0</v>
      </c>
      <c r="U325" t="n">
        <v>0</v>
      </c>
      <c r="V325" t="n">
        <v>8.19</v>
      </c>
      <c r="W325" t="n">
        <v>171.99</v>
      </c>
      <c r="X325" t="n">
        <v>163.8</v>
      </c>
      <c r="Y325" t="n">
        <v>19</v>
      </c>
      <c r="Z325" t="n">
        <v>31.12</v>
      </c>
      <c r="AA325" t="n">
        <v>3.16</v>
      </c>
      <c r="AB325" t="n">
        <v>34.28</v>
      </c>
      <c r="AC325" t="n">
        <v>6.17</v>
      </c>
      <c r="AD325" t="n">
        <v>0</v>
      </c>
      <c r="AE325" t="n">
        <v>163.8</v>
      </c>
      <c r="AF325" t="n">
        <v>0</v>
      </c>
      <c r="AG325" t="n">
        <v>0</v>
      </c>
      <c r="AH325" t="n">
        <v>0.16</v>
      </c>
      <c r="AI325" t="n">
        <v>8.199999999999999</v>
      </c>
      <c r="AJ325" t="n">
        <v>-0.01</v>
      </c>
      <c r="AK325" t="n">
        <v>14.53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48.81</v>
      </c>
      <c r="AV325" t="n">
        <v>0</v>
      </c>
      <c r="AW325" t="n">
        <v>123.18</v>
      </c>
      <c r="AX325" t="inlineStr">
        <is>
          <t>settled</t>
        </is>
      </c>
      <c r="AY325" t="inlineStr">
        <is>
          <t>2025-12-17 05:30:00</t>
        </is>
      </c>
      <c r="AZ325" t="inlineStr">
        <is>
          <t>CITIN25671113204</t>
        </is>
      </c>
      <c r="BA325" t="n">
        <v>0</v>
      </c>
      <c r="BB325" t="inlineStr">
        <is>
          <t>3552da779c785d0a8860cbe9ca2982ae6fc8925d2181761d89b88896fde0d5ee</t>
        </is>
      </c>
    </row>
    <row r="326">
      <c r="A326" t="inlineStr">
        <is>
          <t>666</t>
        </is>
      </c>
      <c r="B326" t="inlineStr">
        <is>
          <t>7580558325</t>
        </is>
      </c>
      <c r="C326" t="inlineStr">
        <is>
          <t>2025-12-14 16:49:17</t>
        </is>
      </c>
      <c r="D326" t="inlineStr">
        <is>
          <t>50</t>
        </is>
      </c>
      <c r="E326" t="inlineStr">
        <is>
          <t>Sha Sha - Shandaar Shawarma</t>
        </is>
      </c>
      <c r="F326" t="inlineStr">
        <is>
          <t>18557902</t>
        </is>
      </c>
      <c r="G326" t="inlineStr">
        <is>
          <t>NA</t>
        </is>
      </c>
      <c r="H326" t="inlineStr">
        <is>
          <t>ONLINE</t>
        </is>
      </c>
      <c r="I326" t="inlineStr">
        <is>
          <t>DELIVERED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O2</t>
        </is>
      </c>
      <c r="N326" t="inlineStr">
        <is>
          <t>36</t>
        </is>
      </c>
      <c r="O326" t="n">
        <v>229</v>
      </c>
      <c r="P326" t="n">
        <v>3.5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11.63</v>
      </c>
      <c r="W326" t="n">
        <v>244.13</v>
      </c>
      <c r="X326" t="n">
        <v>232.5</v>
      </c>
      <c r="Y326" t="n">
        <v>19</v>
      </c>
      <c r="Z326" t="n">
        <v>44.18</v>
      </c>
      <c r="AA326" t="n">
        <v>4.49</v>
      </c>
      <c r="AB326" t="n">
        <v>48.67</v>
      </c>
      <c r="AC326" t="n">
        <v>8.76</v>
      </c>
      <c r="AD326" t="n">
        <v>0</v>
      </c>
      <c r="AE326" t="n">
        <v>232.5</v>
      </c>
      <c r="AF326" t="n">
        <v>0</v>
      </c>
      <c r="AG326" t="n">
        <v>0</v>
      </c>
      <c r="AH326" t="n">
        <v>0.23</v>
      </c>
      <c r="AI326" t="n">
        <v>11.63</v>
      </c>
      <c r="AJ326" t="n">
        <v>0</v>
      </c>
      <c r="AK326" t="n">
        <v>20.62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69.29000000000001</v>
      </c>
      <c r="AV326" t="n">
        <v>0</v>
      </c>
      <c r="AW326" t="n">
        <v>174.84</v>
      </c>
      <c r="AX326" t="inlineStr">
        <is>
          <t>settled</t>
        </is>
      </c>
      <c r="AY326" t="inlineStr">
        <is>
          <t>2025-12-17 05:30:00</t>
        </is>
      </c>
      <c r="AZ326" t="inlineStr">
        <is>
          <t>CITIN25671113204</t>
        </is>
      </c>
      <c r="BA326" t="n">
        <v>0</v>
      </c>
      <c r="BB326" t="inlineStr">
        <is>
          <t>d0c135f0a4fd915375e8847a25f90ce022ae2813383fe9dca07454d1d8f637b3</t>
        </is>
      </c>
    </row>
    <row r="327">
      <c r="A327" t="inlineStr">
        <is>
          <t>667</t>
        </is>
      </c>
      <c r="B327" t="inlineStr">
        <is>
          <t>7581250223</t>
        </is>
      </c>
      <c r="C327" t="inlineStr">
        <is>
          <t>2025-12-14 17:23:30</t>
        </is>
      </c>
      <c r="D327" t="inlineStr">
        <is>
          <t>50</t>
        </is>
      </c>
      <c r="E327" t="inlineStr">
        <is>
          <t>Sha Sha - Shandaar Shawarma</t>
        </is>
      </c>
      <c r="F327" t="inlineStr">
        <is>
          <t>18557902</t>
        </is>
      </c>
      <c r="G327" t="inlineStr">
        <is>
          <t>30% off upto ₹75 (2025-06-25 - 2031-01-01)</t>
        </is>
      </c>
      <c r="H327" t="inlineStr">
        <is>
          <t>ONLINE</t>
        </is>
      </c>
      <c r="I327" t="inlineStr">
        <is>
          <t>DELIVERED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O2</t>
        </is>
      </c>
      <c r="N327" t="inlineStr">
        <is>
          <t>36</t>
        </is>
      </c>
      <c r="O327" t="n">
        <v>368</v>
      </c>
      <c r="P327" t="n">
        <v>3.5</v>
      </c>
      <c r="Q327" t="n">
        <v>0</v>
      </c>
      <c r="R327" t="n">
        <v>75</v>
      </c>
      <c r="S327" t="n">
        <v>0</v>
      </c>
      <c r="T327" t="n">
        <v>0</v>
      </c>
      <c r="U327" t="n">
        <v>0</v>
      </c>
      <c r="V327" t="n">
        <v>14.83</v>
      </c>
      <c r="W327" t="n">
        <v>311.33</v>
      </c>
      <c r="X327" t="n">
        <v>296.5</v>
      </c>
      <c r="Y327" t="n">
        <v>19</v>
      </c>
      <c r="Z327" t="n">
        <v>56.34</v>
      </c>
      <c r="AA327" t="n">
        <v>5.73</v>
      </c>
      <c r="AB327" t="n">
        <v>62.07</v>
      </c>
      <c r="AC327" t="n">
        <v>11.17</v>
      </c>
      <c r="AD327" t="n">
        <v>0</v>
      </c>
      <c r="AE327" t="n">
        <v>296.5</v>
      </c>
      <c r="AF327" t="n">
        <v>0</v>
      </c>
      <c r="AG327" t="n">
        <v>0</v>
      </c>
      <c r="AH327" t="n">
        <v>0.3</v>
      </c>
      <c r="AI327" t="n">
        <v>14.83</v>
      </c>
      <c r="AJ327" t="n">
        <v>0</v>
      </c>
      <c r="AK327" t="n">
        <v>26.3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88.37</v>
      </c>
      <c r="AV327" t="n">
        <v>0</v>
      </c>
      <c r="AW327" t="n">
        <v>222.96</v>
      </c>
      <c r="AX327" t="inlineStr">
        <is>
          <t>settled</t>
        </is>
      </c>
      <c r="AY327" t="inlineStr">
        <is>
          <t>2025-12-17 05:30:00</t>
        </is>
      </c>
      <c r="AZ327" t="inlineStr">
        <is>
          <t>CITIN25671113204</t>
        </is>
      </c>
      <c r="BA327" t="n">
        <v>0</v>
      </c>
      <c r="BB327" t="inlineStr">
        <is>
          <t>201032450817a9583bae504ee32e6707e6c26bbaaaff46ddbe4e7d040f728800</t>
        </is>
      </c>
    </row>
    <row r="328">
      <c r="A328" t="inlineStr">
        <is>
          <t>668</t>
        </is>
      </c>
      <c r="B328" t="inlineStr">
        <is>
          <t>7577838998</t>
        </is>
      </c>
      <c r="C328" t="inlineStr">
        <is>
          <t>2025-12-14 17:49:53</t>
        </is>
      </c>
      <c r="D328" t="inlineStr">
        <is>
          <t>50</t>
        </is>
      </c>
      <c r="E328" t="inlineStr">
        <is>
          <t>Sha Sha - Shandaar Shawarma</t>
        </is>
      </c>
      <c r="F328" t="inlineStr">
        <is>
          <t>18557902</t>
        </is>
      </c>
      <c r="G328" t="inlineStr">
        <is>
          <t>30% off upto ₹75 (2025-06-25 - 2031-01-01)</t>
        </is>
      </c>
      <c r="H328" t="inlineStr">
        <is>
          <t>ONLINE</t>
        </is>
      </c>
      <c r="I328" t="inlineStr">
        <is>
          <t>DELIVERED</t>
        </is>
      </c>
      <c r="J328" t="inlineStr">
        <is>
          <t>NA</t>
        </is>
      </c>
      <c r="K328" t="inlineStr">
        <is>
          <t>NA</t>
        </is>
      </c>
      <c r="L328" t="inlineStr">
        <is>
          <t>NA</t>
        </is>
      </c>
      <c r="M328" t="inlineStr">
        <is>
          <t>O2</t>
        </is>
      </c>
      <c r="N328" t="inlineStr">
        <is>
          <t>36</t>
        </is>
      </c>
      <c r="O328" t="n">
        <v>229</v>
      </c>
      <c r="P328" t="n">
        <v>3.5</v>
      </c>
      <c r="Q328" t="n">
        <v>0</v>
      </c>
      <c r="R328" t="n">
        <v>68.7</v>
      </c>
      <c r="S328" t="n">
        <v>0</v>
      </c>
      <c r="T328" t="n">
        <v>0</v>
      </c>
      <c r="U328" t="n">
        <v>0</v>
      </c>
      <c r="V328" t="n">
        <v>8.19</v>
      </c>
      <c r="W328" t="n">
        <v>171.99</v>
      </c>
      <c r="X328" t="n">
        <v>163.8</v>
      </c>
      <c r="Y328" t="n">
        <v>19</v>
      </c>
      <c r="Z328" t="n">
        <v>31.12</v>
      </c>
      <c r="AA328" t="n">
        <v>3.16</v>
      </c>
      <c r="AB328" t="n">
        <v>34.28</v>
      </c>
      <c r="AC328" t="n">
        <v>6.17</v>
      </c>
      <c r="AD328" t="n">
        <v>0</v>
      </c>
      <c r="AE328" t="n">
        <v>163.8</v>
      </c>
      <c r="AF328" t="n">
        <v>0</v>
      </c>
      <c r="AG328" t="n">
        <v>0</v>
      </c>
      <c r="AH328" t="n">
        <v>0.16</v>
      </c>
      <c r="AI328" t="n">
        <v>8.199999999999999</v>
      </c>
      <c r="AJ328" t="n">
        <v>-0.01</v>
      </c>
      <c r="AK328" t="n">
        <v>14.53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48.81</v>
      </c>
      <c r="AV328" t="n">
        <v>0</v>
      </c>
      <c r="AW328" t="n">
        <v>123.18</v>
      </c>
      <c r="AX328" t="inlineStr">
        <is>
          <t>settled</t>
        </is>
      </c>
      <c r="AY328" t="inlineStr">
        <is>
          <t>2025-12-17 05:30:00</t>
        </is>
      </c>
      <c r="AZ328" t="inlineStr">
        <is>
          <t>CITIN25671113204</t>
        </is>
      </c>
      <c r="BA328" t="n">
        <v>0</v>
      </c>
      <c r="BB328" t="inlineStr">
        <is>
          <t>2f3bb0f0464791739c71745f3bf86766d7d06efc48eb2efcbf5989f0b145c71c</t>
        </is>
      </c>
    </row>
    <row r="329">
      <c r="A329" t="inlineStr">
        <is>
          <t>669</t>
        </is>
      </c>
      <c r="B329" t="inlineStr">
        <is>
          <t>7582621830</t>
        </is>
      </c>
      <c r="C329" t="inlineStr">
        <is>
          <t>2025-12-14 18:45:37</t>
        </is>
      </c>
      <c r="D329" t="inlineStr">
        <is>
          <t>50</t>
        </is>
      </c>
      <c r="E329" t="inlineStr">
        <is>
          <t>Sha Sha - Shandaar Shawarma</t>
        </is>
      </c>
      <c r="F329" t="inlineStr">
        <is>
          <t>18557902</t>
        </is>
      </c>
      <c r="G329" t="inlineStr">
        <is>
          <t>NA</t>
        </is>
      </c>
      <c r="H329" t="inlineStr">
        <is>
          <t>ONLINE</t>
        </is>
      </c>
      <c r="I329" t="inlineStr">
        <is>
          <t>DELIVERED</t>
        </is>
      </c>
      <c r="J329" t="inlineStr">
        <is>
          <t>NA</t>
        </is>
      </c>
      <c r="K329" t="inlineStr">
        <is>
          <t>NA</t>
        </is>
      </c>
      <c r="L329" t="inlineStr">
        <is>
          <t>NA</t>
        </is>
      </c>
      <c r="M329" t="inlineStr">
        <is>
          <t>O2</t>
        </is>
      </c>
      <c r="N329" t="inlineStr">
        <is>
          <t>36</t>
        </is>
      </c>
      <c r="O329" t="n">
        <v>623</v>
      </c>
      <c r="P329" t="n">
        <v>3.5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31.33</v>
      </c>
      <c r="W329" t="n">
        <v>657.83</v>
      </c>
      <c r="X329" t="n">
        <v>626.5</v>
      </c>
      <c r="Y329" t="n">
        <v>19</v>
      </c>
      <c r="Z329" t="n">
        <v>119.04</v>
      </c>
      <c r="AA329" t="n">
        <v>12.1</v>
      </c>
      <c r="AB329" t="n">
        <v>131.14</v>
      </c>
      <c r="AC329" t="n">
        <v>23.61</v>
      </c>
      <c r="AD329" t="n">
        <v>0</v>
      </c>
      <c r="AE329" t="n">
        <v>626.5</v>
      </c>
      <c r="AF329" t="n">
        <v>0</v>
      </c>
      <c r="AG329" t="n">
        <v>0</v>
      </c>
      <c r="AH329" t="n">
        <v>0.63</v>
      </c>
      <c r="AI329" t="n">
        <v>31.33</v>
      </c>
      <c r="AJ329" t="n">
        <v>0</v>
      </c>
      <c r="AK329" t="n">
        <v>55.57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186.71</v>
      </c>
      <c r="AV329" t="n">
        <v>0</v>
      </c>
      <c r="AW329" t="n">
        <v>471.12</v>
      </c>
      <c r="AX329" t="inlineStr">
        <is>
          <t>settled</t>
        </is>
      </c>
      <c r="AY329" t="inlineStr">
        <is>
          <t>2025-12-17 05:30:00</t>
        </is>
      </c>
      <c r="AZ329" t="inlineStr">
        <is>
          <t>CITIN25671113204</t>
        </is>
      </c>
      <c r="BA329" t="n">
        <v>0</v>
      </c>
      <c r="BB329" t="inlineStr">
        <is>
          <t>00ea0f9d5c357df8db5c69cae60b66e4f11559c0fdcef508ab3ac2e0068053f7</t>
        </is>
      </c>
    </row>
    <row r="330">
      <c r="A330" t="inlineStr">
        <is>
          <t>670</t>
        </is>
      </c>
      <c r="B330" t="inlineStr">
        <is>
          <t>7581048171</t>
        </is>
      </c>
      <c r="C330" t="inlineStr">
        <is>
          <t>2025-12-14 19:01:32</t>
        </is>
      </c>
      <c r="D330" t="inlineStr">
        <is>
          <t>50</t>
        </is>
      </c>
      <c r="E330" t="inlineStr">
        <is>
          <t>Sha Sha - Shandaar Shawarma</t>
        </is>
      </c>
      <c r="F330" t="inlineStr">
        <is>
          <t>18557902</t>
        </is>
      </c>
      <c r="G330" t="inlineStr">
        <is>
          <t>30% off upto ₹75 (2025-06-25 - 2031-01-01)</t>
        </is>
      </c>
      <c r="H330" t="inlineStr">
        <is>
          <t>ONLINE</t>
        </is>
      </c>
      <c r="I330" t="inlineStr">
        <is>
          <t>DELIVERED</t>
        </is>
      </c>
      <c r="J330" t="inlineStr">
        <is>
          <t>NA</t>
        </is>
      </c>
      <c r="K330" t="inlineStr">
        <is>
          <t>NA</t>
        </is>
      </c>
      <c r="L330" t="inlineStr">
        <is>
          <t>NA</t>
        </is>
      </c>
      <c r="M330" t="inlineStr">
        <is>
          <t>O2</t>
        </is>
      </c>
      <c r="N330" t="inlineStr">
        <is>
          <t>36</t>
        </is>
      </c>
      <c r="O330" t="n">
        <v>229</v>
      </c>
      <c r="P330" t="n">
        <v>3.5</v>
      </c>
      <c r="Q330" t="n">
        <v>0</v>
      </c>
      <c r="R330" t="n">
        <v>68.7</v>
      </c>
      <c r="S330" t="n">
        <v>0</v>
      </c>
      <c r="T330" t="n">
        <v>0</v>
      </c>
      <c r="U330" t="n">
        <v>0</v>
      </c>
      <c r="V330" t="n">
        <v>8.19</v>
      </c>
      <c r="W330" t="n">
        <v>171.99</v>
      </c>
      <c r="X330" t="n">
        <v>163.8</v>
      </c>
      <c r="Y330" t="n">
        <v>19</v>
      </c>
      <c r="Z330" t="n">
        <v>31.12</v>
      </c>
      <c r="AA330" t="n">
        <v>3.16</v>
      </c>
      <c r="AB330" t="n">
        <v>34.28</v>
      </c>
      <c r="AC330" t="n">
        <v>6.17</v>
      </c>
      <c r="AD330" t="n">
        <v>0</v>
      </c>
      <c r="AE330" t="n">
        <v>163.8</v>
      </c>
      <c r="AF330" t="n">
        <v>0</v>
      </c>
      <c r="AG330" t="n">
        <v>0</v>
      </c>
      <c r="AH330" t="n">
        <v>0.16</v>
      </c>
      <c r="AI330" t="n">
        <v>8.199999999999999</v>
      </c>
      <c r="AJ330" t="n">
        <v>-0.01</v>
      </c>
      <c r="AK330" t="n">
        <v>14.53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48.81</v>
      </c>
      <c r="AV330" t="n">
        <v>0</v>
      </c>
      <c r="AW330" t="n">
        <v>123.18</v>
      </c>
      <c r="AX330" t="inlineStr">
        <is>
          <t>settled</t>
        </is>
      </c>
      <c r="AY330" t="inlineStr">
        <is>
          <t>2025-12-17 05:30:00</t>
        </is>
      </c>
      <c r="AZ330" t="inlineStr">
        <is>
          <t>CITIN25671113204</t>
        </is>
      </c>
      <c r="BA330" t="n">
        <v>0</v>
      </c>
      <c r="BB330" t="inlineStr">
        <is>
          <t>89124de8a5bf8654d779721c1f4747d66b742c24fb80312fed0e64748abe8ea2</t>
        </is>
      </c>
    </row>
    <row r="331">
      <c r="A331" t="inlineStr">
        <is>
          <t>671</t>
        </is>
      </c>
      <c r="B331" t="inlineStr">
        <is>
          <t>7579914688</t>
        </is>
      </c>
      <c r="C331" t="inlineStr">
        <is>
          <t>2025-12-14 19:12:59</t>
        </is>
      </c>
      <c r="D331" t="inlineStr">
        <is>
          <t>50</t>
        </is>
      </c>
      <c r="E331" t="inlineStr">
        <is>
          <t>Sha Sha - Shandaar Shawarma</t>
        </is>
      </c>
      <c r="F331" t="inlineStr">
        <is>
          <t>18557902</t>
        </is>
      </c>
      <c r="G331" t="inlineStr">
        <is>
          <t>30% off upto ₹75 (2025-06-25 - 2031-01-01)</t>
        </is>
      </c>
      <c r="H331" t="inlineStr">
        <is>
          <t>ONLINE</t>
        </is>
      </c>
      <c r="I331" t="inlineStr">
        <is>
          <t>DELIVERED</t>
        </is>
      </c>
      <c r="J331" t="inlineStr">
        <is>
          <t>NA</t>
        </is>
      </c>
      <c r="K331" t="inlineStr">
        <is>
          <t>NA</t>
        </is>
      </c>
      <c r="L331" t="inlineStr">
        <is>
          <t>NA</t>
        </is>
      </c>
      <c r="M331" t="inlineStr">
        <is>
          <t>O2</t>
        </is>
      </c>
      <c r="N331" t="inlineStr">
        <is>
          <t>36</t>
        </is>
      </c>
      <c r="O331" t="n">
        <v>219</v>
      </c>
      <c r="P331" t="n">
        <v>3.5</v>
      </c>
      <c r="Q331" t="n">
        <v>0</v>
      </c>
      <c r="R331" t="n">
        <v>65.7</v>
      </c>
      <c r="S331" t="n">
        <v>0</v>
      </c>
      <c r="T331" t="n">
        <v>0</v>
      </c>
      <c r="U331" t="n">
        <v>0</v>
      </c>
      <c r="V331" t="n">
        <v>7.84</v>
      </c>
      <c r="W331" t="n">
        <v>164.64</v>
      </c>
      <c r="X331" t="n">
        <v>156.8</v>
      </c>
      <c r="Y331" t="n">
        <v>19</v>
      </c>
      <c r="Z331" t="n">
        <v>29.79</v>
      </c>
      <c r="AA331" t="n">
        <v>3.03</v>
      </c>
      <c r="AB331" t="n">
        <v>32.82</v>
      </c>
      <c r="AC331" t="n">
        <v>5.91</v>
      </c>
      <c r="AD331" t="n">
        <v>0</v>
      </c>
      <c r="AE331" t="n">
        <v>156.8</v>
      </c>
      <c r="AF331" t="n">
        <v>0</v>
      </c>
      <c r="AG331" t="n">
        <v>0</v>
      </c>
      <c r="AH331" t="n">
        <v>0.16</v>
      </c>
      <c r="AI331" t="n">
        <v>7.85</v>
      </c>
      <c r="AJ331" t="n">
        <v>-0.01</v>
      </c>
      <c r="AK331" t="n">
        <v>13.92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46.74</v>
      </c>
      <c r="AV331" t="n">
        <v>0</v>
      </c>
      <c r="AW331" t="n">
        <v>117.9</v>
      </c>
      <c r="AX331" t="inlineStr">
        <is>
          <t>settled</t>
        </is>
      </c>
      <c r="AY331" t="inlineStr">
        <is>
          <t>2025-12-17 05:30:00</t>
        </is>
      </c>
      <c r="AZ331" t="inlineStr">
        <is>
          <t>CITIN25671113204</t>
        </is>
      </c>
      <c r="BA331" t="n">
        <v>0</v>
      </c>
      <c r="BB331" t="inlineStr">
        <is>
          <t>6bf00c88504265967c88ce88d715de2a785da7997fc1d261df4a5d0cb5bc78ac</t>
        </is>
      </c>
    </row>
    <row r="332">
      <c r="A332" t="inlineStr">
        <is>
          <t>672</t>
        </is>
      </c>
      <c r="B332" t="inlineStr">
        <is>
          <t>7583430081</t>
        </is>
      </c>
      <c r="C332" t="inlineStr">
        <is>
          <t>2025-12-14 19:19:38</t>
        </is>
      </c>
      <c r="D332" t="inlineStr">
        <is>
          <t>50</t>
        </is>
      </c>
      <c r="E332" t="inlineStr">
        <is>
          <t>Sha Sha - Shandaar Shawarma</t>
        </is>
      </c>
      <c r="F332" t="inlineStr">
        <is>
          <t>18557902</t>
        </is>
      </c>
      <c r="G332" t="inlineStr">
        <is>
          <t>30% off upto ₹75 (2025-06-25 - 2031-01-01)</t>
        </is>
      </c>
      <c r="H332" t="inlineStr">
        <is>
          <t>ONLINE</t>
        </is>
      </c>
      <c r="I332" t="inlineStr">
        <is>
          <t>DELIVERED</t>
        </is>
      </c>
      <c r="J332" t="inlineStr">
        <is>
          <t>NA</t>
        </is>
      </c>
      <c r="K332" t="inlineStr">
        <is>
          <t>NA</t>
        </is>
      </c>
      <c r="L332" t="inlineStr">
        <is>
          <t>NA</t>
        </is>
      </c>
      <c r="M332" t="inlineStr">
        <is>
          <t>O2</t>
        </is>
      </c>
      <c r="N332" t="inlineStr">
        <is>
          <t>36</t>
        </is>
      </c>
      <c r="O332" t="n">
        <v>219</v>
      </c>
      <c r="P332" t="n">
        <v>3.5</v>
      </c>
      <c r="Q332" t="n">
        <v>0</v>
      </c>
      <c r="R332" t="n">
        <v>65.7</v>
      </c>
      <c r="S332" t="n">
        <v>0</v>
      </c>
      <c r="T332" t="n">
        <v>0</v>
      </c>
      <c r="U332" t="n">
        <v>0</v>
      </c>
      <c r="V332" t="n">
        <v>7.84</v>
      </c>
      <c r="W332" t="n">
        <v>164.64</v>
      </c>
      <c r="X332" t="n">
        <v>156.8</v>
      </c>
      <c r="Y332" t="n">
        <v>19</v>
      </c>
      <c r="Z332" t="n">
        <v>29.79</v>
      </c>
      <c r="AA332" t="n">
        <v>3.03</v>
      </c>
      <c r="AB332" t="n">
        <v>32.82</v>
      </c>
      <c r="AC332" t="n">
        <v>5.91</v>
      </c>
      <c r="AD332" t="n">
        <v>0</v>
      </c>
      <c r="AE332" t="n">
        <v>156.8</v>
      </c>
      <c r="AF332" t="n">
        <v>0</v>
      </c>
      <c r="AG332" t="n">
        <v>0</v>
      </c>
      <c r="AH332" t="n">
        <v>0.16</v>
      </c>
      <c r="AI332" t="n">
        <v>7.85</v>
      </c>
      <c r="AJ332" t="n">
        <v>-0.01</v>
      </c>
      <c r="AK332" t="n">
        <v>13.92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46.74</v>
      </c>
      <c r="AV332" t="n">
        <v>0</v>
      </c>
      <c r="AW332" t="n">
        <v>117.9</v>
      </c>
      <c r="AX332" t="inlineStr">
        <is>
          <t>settled</t>
        </is>
      </c>
      <c r="AY332" t="inlineStr">
        <is>
          <t>2025-12-17 05:30:00</t>
        </is>
      </c>
      <c r="AZ332" t="inlineStr">
        <is>
          <t>CITIN25671113204</t>
        </is>
      </c>
      <c r="BA332" t="n">
        <v>0</v>
      </c>
      <c r="BB332" t="inlineStr">
        <is>
          <t>142523c857dcd1b605826a92b5f9cc338d94e80ac458f93cd9e2d40146054c1d</t>
        </is>
      </c>
    </row>
    <row r="333">
      <c r="A333" t="inlineStr">
        <is>
          <t>673</t>
        </is>
      </c>
      <c r="B333" t="inlineStr">
        <is>
          <t>7579368461</t>
        </is>
      </c>
      <c r="C333" t="inlineStr">
        <is>
          <t>2025-12-14 19:20:40</t>
        </is>
      </c>
      <c r="D333" t="inlineStr">
        <is>
          <t>50</t>
        </is>
      </c>
      <c r="E333" t="inlineStr">
        <is>
          <t>Sha Sha - Shandaar Shawarma</t>
        </is>
      </c>
      <c r="F333" t="inlineStr">
        <is>
          <t>18557902</t>
        </is>
      </c>
      <c r="G333" t="inlineStr">
        <is>
          <t>NA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NA</t>
        </is>
      </c>
      <c r="K333" t="inlineStr">
        <is>
          <t>NA</t>
        </is>
      </c>
      <c r="L333" t="inlineStr">
        <is>
          <t>NA</t>
        </is>
      </c>
      <c r="M333" t="inlineStr">
        <is>
          <t>O2</t>
        </is>
      </c>
      <c r="N333" t="inlineStr">
        <is>
          <t>36</t>
        </is>
      </c>
      <c r="O333" t="n">
        <v>368</v>
      </c>
      <c r="P333" t="n">
        <v>3.5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18.58</v>
      </c>
      <c r="W333" t="n">
        <v>390.08</v>
      </c>
      <c r="X333" t="n">
        <v>371.5</v>
      </c>
      <c r="Y333" t="n">
        <v>19</v>
      </c>
      <c r="Z333" t="n">
        <v>70.58</v>
      </c>
      <c r="AA333" t="n">
        <v>7.18</v>
      </c>
      <c r="AB333" t="n">
        <v>77.76000000000001</v>
      </c>
      <c r="AC333" t="n">
        <v>13.99</v>
      </c>
      <c r="AD333" t="n">
        <v>0</v>
      </c>
      <c r="AE333" t="n">
        <v>371.5</v>
      </c>
      <c r="AF333" t="n">
        <v>0</v>
      </c>
      <c r="AG333" t="n">
        <v>0</v>
      </c>
      <c r="AH333" t="n">
        <v>0.37</v>
      </c>
      <c r="AI333" t="n">
        <v>18.58</v>
      </c>
      <c r="AJ333" t="n">
        <v>0</v>
      </c>
      <c r="AK333" t="n">
        <v>32.94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110.7</v>
      </c>
      <c r="AV333" t="n">
        <v>0</v>
      </c>
      <c r="AW333" t="n">
        <v>279.38</v>
      </c>
      <c r="AX333" t="inlineStr">
        <is>
          <t>settled</t>
        </is>
      </c>
      <c r="AY333" t="inlineStr">
        <is>
          <t>2025-12-17 05:30:00</t>
        </is>
      </c>
      <c r="AZ333" t="inlineStr">
        <is>
          <t>CITIN25671113204</t>
        </is>
      </c>
      <c r="BA333" t="n">
        <v>0</v>
      </c>
      <c r="BB333" t="inlineStr">
        <is>
          <t>85c429d96e1263cec7c9bb67fd222eb538edb689ca542ad1266468d641aa6153</t>
        </is>
      </c>
    </row>
    <row r="334">
      <c r="A334" t="inlineStr">
        <is>
          <t>674</t>
        </is>
      </c>
      <c r="B334" t="inlineStr">
        <is>
          <t>7576891581</t>
        </is>
      </c>
      <c r="C334" t="inlineStr">
        <is>
          <t>2025-12-14 19:24:50</t>
        </is>
      </c>
      <c r="D334" t="inlineStr">
        <is>
          <t>50</t>
        </is>
      </c>
      <c r="E334" t="inlineStr">
        <is>
          <t>Sha Sha - Shandaar Shawarma</t>
        </is>
      </c>
      <c r="F334" t="inlineStr">
        <is>
          <t>18557902</t>
        </is>
      </c>
      <c r="G334" t="inlineStr">
        <is>
          <t>30% off upto ₹75 (2025-06-25 - 2031-01-01)</t>
        </is>
      </c>
      <c r="H334" t="inlineStr">
        <is>
          <t>ONLINE</t>
        </is>
      </c>
      <c r="I334" t="inlineStr">
        <is>
          <t>DELIVERED</t>
        </is>
      </c>
      <c r="J334" t="inlineStr">
        <is>
          <t>NA</t>
        </is>
      </c>
      <c r="K334" t="inlineStr">
        <is>
          <t>NA</t>
        </is>
      </c>
      <c r="L334" t="inlineStr">
        <is>
          <t>NA</t>
        </is>
      </c>
      <c r="M334" t="inlineStr">
        <is>
          <t>O2</t>
        </is>
      </c>
      <c r="N334" t="inlineStr">
        <is>
          <t>36</t>
        </is>
      </c>
      <c r="O334" t="n">
        <v>229</v>
      </c>
      <c r="P334" t="n">
        <v>3.5</v>
      </c>
      <c r="Q334" t="n">
        <v>0</v>
      </c>
      <c r="R334" t="n">
        <v>68.7</v>
      </c>
      <c r="S334" t="n">
        <v>0</v>
      </c>
      <c r="T334" t="n">
        <v>0</v>
      </c>
      <c r="U334" t="n">
        <v>0</v>
      </c>
      <c r="V334" t="n">
        <v>8.19</v>
      </c>
      <c r="W334" t="n">
        <v>171.99</v>
      </c>
      <c r="X334" t="n">
        <v>163.8</v>
      </c>
      <c r="Y334" t="n">
        <v>19</v>
      </c>
      <c r="Z334" t="n">
        <v>31.12</v>
      </c>
      <c r="AA334" t="n">
        <v>3.16</v>
      </c>
      <c r="AB334" t="n">
        <v>34.28</v>
      </c>
      <c r="AC334" t="n">
        <v>6.17</v>
      </c>
      <c r="AD334" t="n">
        <v>0</v>
      </c>
      <c r="AE334" t="n">
        <v>163.8</v>
      </c>
      <c r="AF334" t="n">
        <v>0</v>
      </c>
      <c r="AG334" t="n">
        <v>0</v>
      </c>
      <c r="AH334" t="n">
        <v>0.16</v>
      </c>
      <c r="AI334" t="n">
        <v>8.199999999999999</v>
      </c>
      <c r="AJ334" t="n">
        <v>-0.01</v>
      </c>
      <c r="AK334" t="n">
        <v>14.53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48.81</v>
      </c>
      <c r="AV334" t="n">
        <v>0</v>
      </c>
      <c r="AW334" t="n">
        <v>123.18</v>
      </c>
      <c r="AX334" t="inlineStr">
        <is>
          <t>settled</t>
        </is>
      </c>
      <c r="AY334" t="inlineStr">
        <is>
          <t>2025-12-17 05:30:00</t>
        </is>
      </c>
      <c r="AZ334" t="inlineStr">
        <is>
          <t>CITIN25671113204</t>
        </is>
      </c>
      <c r="BA334" t="n">
        <v>0</v>
      </c>
      <c r="BB334" t="inlineStr">
        <is>
          <t>222a2d02a88e825aef80bb19b06e44dceb1ab73c27c0a3d58589746f24b7deb3</t>
        </is>
      </c>
    </row>
    <row r="335">
      <c r="A335" t="inlineStr">
        <is>
          <t>675</t>
        </is>
      </c>
      <c r="B335" t="inlineStr">
        <is>
          <t>7570998584</t>
        </is>
      </c>
      <c r="C335" t="inlineStr">
        <is>
          <t>2025-12-14 19:33:11</t>
        </is>
      </c>
      <c r="D335" t="inlineStr">
        <is>
          <t>50</t>
        </is>
      </c>
      <c r="E335" t="inlineStr">
        <is>
          <t>Sha Sha - Shandaar Shawarma</t>
        </is>
      </c>
      <c r="F335" t="inlineStr">
        <is>
          <t>18557902</t>
        </is>
      </c>
      <c r="G335" t="inlineStr">
        <is>
          <t>NA</t>
        </is>
      </c>
      <c r="H335" t="inlineStr">
        <is>
          <t>ONLINE</t>
        </is>
      </c>
      <c r="I335" t="inlineStr">
        <is>
          <t>DELIVERED</t>
        </is>
      </c>
      <c r="J335" t="inlineStr">
        <is>
          <t>NA</t>
        </is>
      </c>
      <c r="K335" t="inlineStr">
        <is>
          <t>NA</t>
        </is>
      </c>
      <c r="L335" t="inlineStr">
        <is>
          <t>NA</t>
        </is>
      </c>
      <c r="M335" t="inlineStr">
        <is>
          <t>O2</t>
        </is>
      </c>
      <c r="N335" t="inlineStr">
        <is>
          <t>36</t>
        </is>
      </c>
      <c r="O335" t="n">
        <v>229</v>
      </c>
      <c r="P335" t="n">
        <v>3.5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11.63</v>
      </c>
      <c r="W335" t="n">
        <v>244.13</v>
      </c>
      <c r="X335" t="n">
        <v>232.5</v>
      </c>
      <c r="Y335" t="n">
        <v>19</v>
      </c>
      <c r="Z335" t="n">
        <v>44.18</v>
      </c>
      <c r="AA335" t="n">
        <v>4.49</v>
      </c>
      <c r="AB335" t="n">
        <v>48.67</v>
      </c>
      <c r="AC335" t="n">
        <v>8.76</v>
      </c>
      <c r="AD335" t="n">
        <v>0</v>
      </c>
      <c r="AE335" t="n">
        <v>232.5</v>
      </c>
      <c r="AF335" t="n">
        <v>0</v>
      </c>
      <c r="AG335" t="n">
        <v>0</v>
      </c>
      <c r="AH335" t="n">
        <v>0.23</v>
      </c>
      <c r="AI335" t="n">
        <v>11.63</v>
      </c>
      <c r="AJ335" t="n">
        <v>0</v>
      </c>
      <c r="AK335" t="n">
        <v>20.62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69.29000000000001</v>
      </c>
      <c r="AV335" t="n">
        <v>0</v>
      </c>
      <c r="AW335" t="n">
        <v>174.84</v>
      </c>
      <c r="AX335" t="inlineStr">
        <is>
          <t>settled</t>
        </is>
      </c>
      <c r="AY335" t="inlineStr">
        <is>
          <t>2025-12-17 05:30:00</t>
        </is>
      </c>
      <c r="AZ335" t="inlineStr">
        <is>
          <t>CITIN25671113204</t>
        </is>
      </c>
      <c r="BA335" t="n">
        <v>0</v>
      </c>
      <c r="BB335" t="inlineStr">
        <is>
          <t>eb3d5adebb4151d8281a3c7610dae43705008d336f4234542f76a0a1b03fe0ed</t>
        </is>
      </c>
    </row>
    <row r="336">
      <c r="A336" t="inlineStr">
        <is>
          <t>676</t>
        </is>
      </c>
      <c r="B336" t="inlineStr">
        <is>
          <t>7581446203</t>
        </is>
      </c>
      <c r="C336" t="inlineStr">
        <is>
          <t>2025-12-14 19:41:18</t>
        </is>
      </c>
      <c r="D336" t="inlineStr">
        <is>
          <t>50</t>
        </is>
      </c>
      <c r="E336" t="inlineStr">
        <is>
          <t>Sha Sha - Shandaar Shawarma</t>
        </is>
      </c>
      <c r="F336" t="inlineStr">
        <is>
          <t>18557902</t>
        </is>
      </c>
      <c r="G336" t="inlineStr">
        <is>
          <t>NA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NA</t>
        </is>
      </c>
      <c r="K336" t="inlineStr">
        <is>
          <t>NA</t>
        </is>
      </c>
      <c r="L336" t="inlineStr">
        <is>
          <t>NA</t>
        </is>
      </c>
      <c r="M336" t="inlineStr">
        <is>
          <t>O2</t>
        </is>
      </c>
      <c r="N336" t="inlineStr">
        <is>
          <t>36</t>
        </is>
      </c>
      <c r="O336" t="n">
        <v>229</v>
      </c>
      <c r="P336" t="n">
        <v>3.5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11.63</v>
      </c>
      <c r="W336" t="n">
        <v>244.13</v>
      </c>
      <c r="X336" t="n">
        <v>232.5</v>
      </c>
      <c r="Y336" t="n">
        <v>19</v>
      </c>
      <c r="Z336" t="n">
        <v>44.18</v>
      </c>
      <c r="AA336" t="n">
        <v>4.49</v>
      </c>
      <c r="AB336" t="n">
        <v>48.67</v>
      </c>
      <c r="AC336" t="n">
        <v>8.76</v>
      </c>
      <c r="AD336" t="n">
        <v>0</v>
      </c>
      <c r="AE336" t="n">
        <v>232.5</v>
      </c>
      <c r="AF336" t="n">
        <v>0</v>
      </c>
      <c r="AG336" t="n">
        <v>0</v>
      </c>
      <c r="AH336" t="n">
        <v>0.23</v>
      </c>
      <c r="AI336" t="n">
        <v>11.63</v>
      </c>
      <c r="AJ336" t="n">
        <v>0</v>
      </c>
      <c r="AK336" t="n">
        <v>20.62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69.29000000000001</v>
      </c>
      <c r="AV336" t="n">
        <v>0</v>
      </c>
      <c r="AW336" t="n">
        <v>174.84</v>
      </c>
      <c r="AX336" t="inlineStr">
        <is>
          <t>settled</t>
        </is>
      </c>
      <c r="AY336" t="inlineStr">
        <is>
          <t>2025-12-17 05:30:00</t>
        </is>
      </c>
      <c r="AZ336" t="inlineStr">
        <is>
          <t>CITIN25671113204</t>
        </is>
      </c>
      <c r="BA336" t="n">
        <v>0</v>
      </c>
      <c r="BB336" t="inlineStr">
        <is>
          <t>d96a8a51efdb26c730aeaa60b3e462779344642b93964408e0752f4ddee8e684</t>
        </is>
      </c>
    </row>
    <row r="337">
      <c r="A337" t="inlineStr">
        <is>
          <t>677</t>
        </is>
      </c>
      <c r="B337" t="inlineStr">
        <is>
          <t>7583885019</t>
        </is>
      </c>
      <c r="C337" t="inlineStr">
        <is>
          <t>2025-12-14 19:50:17</t>
        </is>
      </c>
      <c r="D337" t="inlineStr">
        <is>
          <t>50</t>
        </is>
      </c>
      <c r="E337" t="inlineStr">
        <is>
          <t>Sha Sha - Shandaar Shawarma</t>
        </is>
      </c>
      <c r="F337" t="inlineStr">
        <is>
          <t>18557902</t>
        </is>
      </c>
      <c r="G337" t="inlineStr">
        <is>
          <t>NA</t>
        </is>
      </c>
      <c r="H337" t="inlineStr">
        <is>
          <t>ONLINE</t>
        </is>
      </c>
      <c r="I337" t="inlineStr">
        <is>
          <t>DELIVERED</t>
        </is>
      </c>
      <c r="J337" t="inlineStr">
        <is>
          <t>NA</t>
        </is>
      </c>
      <c r="K337" t="inlineStr">
        <is>
          <t>NA</t>
        </is>
      </c>
      <c r="L337" t="inlineStr">
        <is>
          <t>NA</t>
        </is>
      </c>
      <c r="M337" t="inlineStr">
        <is>
          <t>O2</t>
        </is>
      </c>
      <c r="N337" t="inlineStr">
        <is>
          <t>36</t>
        </is>
      </c>
      <c r="O337" t="n">
        <v>229</v>
      </c>
      <c r="P337" t="n">
        <v>3.5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11.63</v>
      </c>
      <c r="W337" t="n">
        <v>244.13</v>
      </c>
      <c r="X337" t="n">
        <v>232.5</v>
      </c>
      <c r="Y337" t="n">
        <v>19</v>
      </c>
      <c r="Z337" t="n">
        <v>44.18</v>
      </c>
      <c r="AA337" t="n">
        <v>4.49</v>
      </c>
      <c r="AB337" t="n">
        <v>48.67</v>
      </c>
      <c r="AC337" t="n">
        <v>8.76</v>
      </c>
      <c r="AD337" t="n">
        <v>0</v>
      </c>
      <c r="AE337" t="n">
        <v>232.5</v>
      </c>
      <c r="AF337" t="n">
        <v>0</v>
      </c>
      <c r="AG337" t="n">
        <v>0</v>
      </c>
      <c r="AH337" t="n">
        <v>0.23</v>
      </c>
      <c r="AI337" t="n">
        <v>11.63</v>
      </c>
      <c r="AJ337" t="n">
        <v>0</v>
      </c>
      <c r="AK337" t="n">
        <v>20.62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69.29000000000001</v>
      </c>
      <c r="AV337" t="n">
        <v>0</v>
      </c>
      <c r="AW337" t="n">
        <v>174.84</v>
      </c>
      <c r="AX337" t="inlineStr">
        <is>
          <t>settled</t>
        </is>
      </c>
      <c r="AY337" t="inlineStr">
        <is>
          <t>2025-12-17 05:30:00</t>
        </is>
      </c>
      <c r="AZ337" t="inlineStr">
        <is>
          <t>CITIN25671113204</t>
        </is>
      </c>
      <c r="BA337" t="n">
        <v>0</v>
      </c>
      <c r="BB337" t="inlineStr">
        <is>
          <t>195797f6ca2779aff95e2e0db805d8190ec99b83e6997df3d20b15cd99e431fc</t>
        </is>
      </c>
    </row>
    <row r="338">
      <c r="A338" t="inlineStr">
        <is>
          <t>678</t>
        </is>
      </c>
      <c r="B338" t="inlineStr">
        <is>
          <t>7583505456</t>
        </is>
      </c>
      <c r="C338" t="inlineStr">
        <is>
          <t>2025-12-14 20:08:19</t>
        </is>
      </c>
      <c r="D338" t="inlineStr">
        <is>
          <t>50</t>
        </is>
      </c>
      <c r="E338" t="inlineStr">
        <is>
          <t>Sha Sha - Shandaar Shawarma</t>
        </is>
      </c>
      <c r="F338" t="inlineStr">
        <is>
          <t>18557902</t>
        </is>
      </c>
      <c r="G338" t="inlineStr">
        <is>
          <t>30% off upto ₹75 (2025-06-25 - 2031-01-01)</t>
        </is>
      </c>
      <c r="H338" t="inlineStr">
        <is>
          <t>ONLINE</t>
        </is>
      </c>
      <c r="I338" t="inlineStr">
        <is>
          <t>DELIVERED</t>
        </is>
      </c>
      <c r="J338" t="inlineStr">
        <is>
          <t>NA</t>
        </is>
      </c>
      <c r="K338" t="inlineStr">
        <is>
          <t>NA</t>
        </is>
      </c>
      <c r="L338" t="inlineStr">
        <is>
          <t>NA</t>
        </is>
      </c>
      <c r="M338" t="inlineStr">
        <is>
          <t>O2</t>
        </is>
      </c>
      <c r="N338" t="inlineStr">
        <is>
          <t>36</t>
        </is>
      </c>
      <c r="O338" t="n">
        <v>458</v>
      </c>
      <c r="P338" t="n">
        <v>3.5</v>
      </c>
      <c r="Q338" t="n">
        <v>0</v>
      </c>
      <c r="R338" t="n">
        <v>75</v>
      </c>
      <c r="S338" t="n">
        <v>0</v>
      </c>
      <c r="T338" t="n">
        <v>0</v>
      </c>
      <c r="U338" t="n">
        <v>0</v>
      </c>
      <c r="V338" t="n">
        <v>19.33</v>
      </c>
      <c r="W338" t="n">
        <v>405.83</v>
      </c>
      <c r="X338" t="n">
        <v>386.5</v>
      </c>
      <c r="Y338" t="n">
        <v>19</v>
      </c>
      <c r="Z338" t="n">
        <v>73.44</v>
      </c>
      <c r="AA338" t="n">
        <v>7.47</v>
      </c>
      <c r="AB338" t="n">
        <v>80.91</v>
      </c>
      <c r="AC338" t="n">
        <v>14.56</v>
      </c>
      <c r="AD338" t="n">
        <v>0</v>
      </c>
      <c r="AE338" t="n">
        <v>386.5</v>
      </c>
      <c r="AF338" t="n">
        <v>0</v>
      </c>
      <c r="AG338" t="n">
        <v>0</v>
      </c>
      <c r="AH338" t="n">
        <v>0.39</v>
      </c>
      <c r="AI338" t="n">
        <v>19.33</v>
      </c>
      <c r="AJ338" t="n">
        <v>0</v>
      </c>
      <c r="AK338" t="n">
        <v>34.28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115.19</v>
      </c>
      <c r="AV338" t="n">
        <v>0</v>
      </c>
      <c r="AW338" t="n">
        <v>290.64</v>
      </c>
      <c r="AX338" t="inlineStr">
        <is>
          <t>settled</t>
        </is>
      </c>
      <c r="AY338" t="inlineStr">
        <is>
          <t>2025-12-17 05:30:00</t>
        </is>
      </c>
      <c r="AZ338" t="inlineStr">
        <is>
          <t>CITIN25671113204</t>
        </is>
      </c>
      <c r="BA338" t="n">
        <v>0</v>
      </c>
      <c r="BB338" t="inlineStr">
        <is>
          <t>c5515036ea2ea4504158062f894dd6b0f1ea6d5980fc2cc6ef2d484d0d80cf67</t>
        </is>
      </c>
    </row>
    <row r="339">
      <c r="A339" t="inlineStr">
        <is>
          <t>679</t>
        </is>
      </c>
      <c r="B339" t="inlineStr">
        <is>
          <t>7581963851</t>
        </is>
      </c>
      <c r="C339" t="inlineStr">
        <is>
          <t>2025-12-14 20:13:13</t>
        </is>
      </c>
      <c r="D339" t="inlineStr">
        <is>
          <t>50</t>
        </is>
      </c>
      <c r="E339" t="inlineStr">
        <is>
          <t>Sha Sha - Shandaar Shawarma</t>
        </is>
      </c>
      <c r="F339" t="inlineStr">
        <is>
          <t>18557902</t>
        </is>
      </c>
      <c r="G339" t="inlineStr">
        <is>
          <t>30% off upto ₹75 (2025-06-25 - 2031-01-01)</t>
        </is>
      </c>
      <c r="H339" t="inlineStr">
        <is>
          <t>ONLINE</t>
        </is>
      </c>
      <c r="I339" t="inlineStr">
        <is>
          <t>DELIVERED</t>
        </is>
      </c>
      <c r="J339" t="inlineStr">
        <is>
          <t>NA</t>
        </is>
      </c>
      <c r="K339" t="inlineStr">
        <is>
          <t>NA</t>
        </is>
      </c>
      <c r="L339" t="inlineStr">
        <is>
          <t>NA</t>
        </is>
      </c>
      <c r="M339" t="inlineStr">
        <is>
          <t>O2</t>
        </is>
      </c>
      <c r="N339" t="inlineStr">
        <is>
          <t>36</t>
        </is>
      </c>
      <c r="O339" t="n">
        <v>407</v>
      </c>
      <c r="P339" t="n">
        <v>3.5</v>
      </c>
      <c r="Q339" t="n">
        <v>0</v>
      </c>
      <c r="R339" t="n">
        <v>75</v>
      </c>
      <c r="S339" t="n">
        <v>0</v>
      </c>
      <c r="T339" t="n">
        <v>0</v>
      </c>
      <c r="U339" t="n">
        <v>0</v>
      </c>
      <c r="V339" t="n">
        <v>16.78</v>
      </c>
      <c r="W339" t="n">
        <v>352.28</v>
      </c>
      <c r="X339" t="n">
        <v>335.5</v>
      </c>
      <c r="Y339" t="n">
        <v>19</v>
      </c>
      <c r="Z339" t="n">
        <v>63.74</v>
      </c>
      <c r="AA339" t="n">
        <v>6.48</v>
      </c>
      <c r="AB339" t="n">
        <v>70.22</v>
      </c>
      <c r="AC339" t="n">
        <v>12.64</v>
      </c>
      <c r="AD339" t="n">
        <v>0</v>
      </c>
      <c r="AE339" t="n">
        <v>335.5</v>
      </c>
      <c r="AF339" t="n">
        <v>0</v>
      </c>
      <c r="AG339" t="n">
        <v>0</v>
      </c>
      <c r="AH339" t="n">
        <v>0.34</v>
      </c>
      <c r="AI339" t="n">
        <v>16.78</v>
      </c>
      <c r="AJ339" t="n">
        <v>0</v>
      </c>
      <c r="AK339" t="n">
        <v>29.76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99.98</v>
      </c>
      <c r="AV339" t="n">
        <v>0</v>
      </c>
      <c r="AW339" t="n">
        <v>252.3</v>
      </c>
      <c r="AX339" t="inlineStr">
        <is>
          <t>settled</t>
        </is>
      </c>
      <c r="AY339" t="inlineStr">
        <is>
          <t>2025-12-17 05:30:00</t>
        </is>
      </c>
      <c r="AZ339" t="inlineStr">
        <is>
          <t>CITIN25671113204</t>
        </is>
      </c>
      <c r="BA339" t="n">
        <v>0</v>
      </c>
      <c r="BB339" t="inlineStr">
        <is>
          <t>c3a643806cc8cf3efea81b016f3a911f5bd2e902905bf75e927c5e995e683953</t>
        </is>
      </c>
    </row>
    <row r="340">
      <c r="A340" t="inlineStr">
        <is>
          <t>680</t>
        </is>
      </c>
      <c r="B340" t="inlineStr">
        <is>
          <t>7583338413</t>
        </is>
      </c>
      <c r="C340" t="inlineStr">
        <is>
          <t>2025-12-14 20:13:24</t>
        </is>
      </c>
      <c r="D340" t="inlineStr">
        <is>
          <t>50</t>
        </is>
      </c>
      <c r="E340" t="inlineStr">
        <is>
          <t>Sha Sha - Shandaar Shawarma</t>
        </is>
      </c>
      <c r="F340" t="inlineStr">
        <is>
          <t>18557902</t>
        </is>
      </c>
      <c r="G340" t="inlineStr">
        <is>
          <t>30% off upto ₹75 (2025-06-25 - 2031-01-01)</t>
        </is>
      </c>
      <c r="H340" t="inlineStr">
        <is>
          <t>ONLINE</t>
        </is>
      </c>
      <c r="I340" t="inlineStr">
        <is>
          <t>DELIVERED</t>
        </is>
      </c>
      <c r="J340" t="inlineStr">
        <is>
          <t>NA</t>
        </is>
      </c>
      <c r="K340" t="inlineStr">
        <is>
          <t>NA</t>
        </is>
      </c>
      <c r="L340" t="inlineStr">
        <is>
          <t>NA</t>
        </is>
      </c>
      <c r="M340" t="inlineStr">
        <is>
          <t>O2</t>
        </is>
      </c>
      <c r="N340" t="inlineStr">
        <is>
          <t>36</t>
        </is>
      </c>
      <c r="O340" t="n">
        <v>229</v>
      </c>
      <c r="P340" t="n">
        <v>3.5</v>
      </c>
      <c r="Q340" t="n">
        <v>0</v>
      </c>
      <c r="R340" t="n">
        <v>68.7</v>
      </c>
      <c r="S340" t="n">
        <v>0</v>
      </c>
      <c r="T340" t="n">
        <v>0</v>
      </c>
      <c r="U340" t="n">
        <v>0</v>
      </c>
      <c r="V340" t="n">
        <v>8.19</v>
      </c>
      <c r="W340" t="n">
        <v>171.99</v>
      </c>
      <c r="X340" t="n">
        <v>163.8</v>
      </c>
      <c r="Y340" t="n">
        <v>19</v>
      </c>
      <c r="Z340" t="n">
        <v>31.12</v>
      </c>
      <c r="AA340" t="n">
        <v>3.16</v>
      </c>
      <c r="AB340" t="n">
        <v>34.28</v>
      </c>
      <c r="AC340" t="n">
        <v>6.17</v>
      </c>
      <c r="AD340" t="n">
        <v>0</v>
      </c>
      <c r="AE340" t="n">
        <v>163.8</v>
      </c>
      <c r="AF340" t="n">
        <v>0</v>
      </c>
      <c r="AG340" t="n">
        <v>0</v>
      </c>
      <c r="AH340" t="n">
        <v>0.16</v>
      </c>
      <c r="AI340" t="n">
        <v>8.199999999999999</v>
      </c>
      <c r="AJ340" t="n">
        <v>-0.01</v>
      </c>
      <c r="AK340" t="n">
        <v>14.53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48.81</v>
      </c>
      <c r="AV340" t="n">
        <v>0</v>
      </c>
      <c r="AW340" t="n">
        <v>123.18</v>
      </c>
      <c r="AX340" t="inlineStr">
        <is>
          <t>settled</t>
        </is>
      </c>
      <c r="AY340" t="inlineStr">
        <is>
          <t>2025-12-17 05:30:00</t>
        </is>
      </c>
      <c r="AZ340" t="inlineStr">
        <is>
          <t>CITIN25671113204</t>
        </is>
      </c>
      <c r="BA340" t="n">
        <v>0</v>
      </c>
      <c r="BB340" t="inlineStr">
        <is>
          <t>9785cb4444f4e89852dd1360ec552999f02af9c59cc1710378756d589942dc12</t>
        </is>
      </c>
    </row>
    <row r="341">
      <c r="A341" t="inlineStr">
        <is>
          <t>681</t>
        </is>
      </c>
      <c r="B341" t="inlineStr">
        <is>
          <t>7580925344</t>
        </is>
      </c>
      <c r="C341" t="inlineStr">
        <is>
          <t>2025-12-14 20:21:08</t>
        </is>
      </c>
      <c r="D341" t="inlineStr">
        <is>
          <t>50</t>
        </is>
      </c>
      <c r="E341" t="inlineStr">
        <is>
          <t>Sha Sha - Shandaar Shawarma</t>
        </is>
      </c>
      <c r="F341" t="inlineStr">
        <is>
          <t>18557902</t>
        </is>
      </c>
      <c r="G341" t="inlineStr">
        <is>
          <t>NA</t>
        </is>
      </c>
      <c r="H341" t="inlineStr">
        <is>
          <t>ONLINE</t>
        </is>
      </c>
      <c r="I341" t="inlineStr">
        <is>
          <t>DELIVERED</t>
        </is>
      </c>
      <c r="J341" t="inlineStr">
        <is>
          <t>NA</t>
        </is>
      </c>
      <c r="K341" t="inlineStr">
        <is>
          <t>NA</t>
        </is>
      </c>
      <c r="L341" t="inlineStr">
        <is>
          <t>NA</t>
        </is>
      </c>
      <c r="M341" t="inlineStr">
        <is>
          <t>O2</t>
        </is>
      </c>
      <c r="N341" t="inlineStr">
        <is>
          <t>36</t>
        </is>
      </c>
      <c r="O341" t="n">
        <v>229</v>
      </c>
      <c r="P341" t="n">
        <v>3.5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11.63</v>
      </c>
      <c r="W341" t="n">
        <v>244.13</v>
      </c>
      <c r="X341" t="n">
        <v>232.5</v>
      </c>
      <c r="Y341" t="n">
        <v>19</v>
      </c>
      <c r="Z341" t="n">
        <v>44.18</v>
      </c>
      <c r="AA341" t="n">
        <v>4.49</v>
      </c>
      <c r="AB341" t="n">
        <v>48.67</v>
      </c>
      <c r="AC341" t="n">
        <v>8.76</v>
      </c>
      <c r="AD341" t="n">
        <v>0</v>
      </c>
      <c r="AE341" t="n">
        <v>232.5</v>
      </c>
      <c r="AF341" t="n">
        <v>0</v>
      </c>
      <c r="AG341" t="n">
        <v>0</v>
      </c>
      <c r="AH341" t="n">
        <v>0.23</v>
      </c>
      <c r="AI341" t="n">
        <v>11.63</v>
      </c>
      <c r="AJ341" t="n">
        <v>0</v>
      </c>
      <c r="AK341" t="n">
        <v>20.62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69.29000000000001</v>
      </c>
      <c r="AV341" t="n">
        <v>0</v>
      </c>
      <c r="AW341" t="n">
        <v>174.84</v>
      </c>
      <c r="AX341" t="inlineStr">
        <is>
          <t>settled</t>
        </is>
      </c>
      <c r="AY341" t="inlineStr">
        <is>
          <t>2025-12-17 05:30:00</t>
        </is>
      </c>
      <c r="AZ341" t="inlineStr">
        <is>
          <t>CITIN25671113204</t>
        </is>
      </c>
      <c r="BA341" t="n">
        <v>0</v>
      </c>
      <c r="BB341" t="inlineStr">
        <is>
          <t>23555c3ca4ca2721b4634bda442720e9dafc4e7208782196d9cb746b1bc8406b</t>
        </is>
      </c>
    </row>
    <row r="342">
      <c r="A342" t="inlineStr">
        <is>
          <t>682</t>
        </is>
      </c>
      <c r="B342" t="inlineStr">
        <is>
          <t>7580246584</t>
        </is>
      </c>
      <c r="C342" t="inlineStr">
        <is>
          <t>2025-12-14 20:39:54</t>
        </is>
      </c>
      <c r="D342" t="inlineStr">
        <is>
          <t>50</t>
        </is>
      </c>
      <c r="E342" t="inlineStr">
        <is>
          <t>Sha Sha - Shandaar Shawarma</t>
        </is>
      </c>
      <c r="F342" t="inlineStr">
        <is>
          <t>18557902</t>
        </is>
      </c>
      <c r="G342" t="inlineStr">
        <is>
          <t>NA</t>
        </is>
      </c>
      <c r="H342" t="inlineStr">
        <is>
          <t>ONLINE</t>
        </is>
      </c>
      <c r="I342" t="inlineStr">
        <is>
          <t>DELIVERED</t>
        </is>
      </c>
      <c r="J342" t="inlineStr">
        <is>
          <t>NA</t>
        </is>
      </c>
      <c r="K342" t="inlineStr">
        <is>
          <t>NA</t>
        </is>
      </c>
      <c r="L342" t="inlineStr">
        <is>
          <t>NA</t>
        </is>
      </c>
      <c r="M342" t="inlineStr">
        <is>
          <t>O2</t>
        </is>
      </c>
      <c r="N342" t="inlineStr">
        <is>
          <t>36</t>
        </is>
      </c>
      <c r="O342" t="n">
        <v>229</v>
      </c>
      <c r="P342" t="n">
        <v>3.5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11.63</v>
      </c>
      <c r="W342" t="n">
        <v>244.13</v>
      </c>
      <c r="X342" t="n">
        <v>232.5</v>
      </c>
      <c r="Y342" t="n">
        <v>19</v>
      </c>
      <c r="Z342" t="n">
        <v>44.18</v>
      </c>
      <c r="AA342" t="n">
        <v>4.49</v>
      </c>
      <c r="AB342" t="n">
        <v>48.67</v>
      </c>
      <c r="AC342" t="n">
        <v>8.76</v>
      </c>
      <c r="AD342" t="n">
        <v>0</v>
      </c>
      <c r="AE342" t="n">
        <v>232.5</v>
      </c>
      <c r="AF342" t="n">
        <v>0</v>
      </c>
      <c r="AG342" t="n">
        <v>0</v>
      </c>
      <c r="AH342" t="n">
        <v>0.23</v>
      </c>
      <c r="AI342" t="n">
        <v>11.63</v>
      </c>
      <c r="AJ342" t="n">
        <v>0</v>
      </c>
      <c r="AK342" t="n">
        <v>20.62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69.29000000000001</v>
      </c>
      <c r="AV342" t="n">
        <v>0</v>
      </c>
      <c r="AW342" t="n">
        <v>174.84</v>
      </c>
      <c r="AX342" t="inlineStr">
        <is>
          <t>settled</t>
        </is>
      </c>
      <c r="AY342" t="inlineStr">
        <is>
          <t>2025-12-17 05:30:00</t>
        </is>
      </c>
      <c r="AZ342" t="inlineStr">
        <is>
          <t>CITIN25671113204</t>
        </is>
      </c>
      <c r="BA342" t="n">
        <v>0</v>
      </c>
      <c r="BB342" t="inlineStr">
        <is>
          <t>59e9fead599dab81b52fba492ccedfc6b19629fe686f81b00ad7c83217c08c86</t>
        </is>
      </c>
    </row>
    <row r="343">
      <c r="A343" t="inlineStr">
        <is>
          <t>683</t>
        </is>
      </c>
      <c r="B343" t="inlineStr">
        <is>
          <t>7584366307</t>
        </is>
      </c>
      <c r="C343" t="inlineStr">
        <is>
          <t>2025-12-14 21:05:37</t>
        </is>
      </c>
      <c r="D343" t="inlineStr">
        <is>
          <t>50</t>
        </is>
      </c>
      <c r="E343" t="inlineStr">
        <is>
          <t>Sha Sha - Shandaar Shawarma</t>
        </is>
      </c>
      <c r="F343" t="inlineStr">
        <is>
          <t>18557902</t>
        </is>
      </c>
      <c r="G343" t="inlineStr">
        <is>
          <t>NA</t>
        </is>
      </c>
      <c r="H343" t="inlineStr">
        <is>
          <t>ONLINE</t>
        </is>
      </c>
      <c r="I343" t="inlineStr">
        <is>
          <t>DELIVERED</t>
        </is>
      </c>
      <c r="J343" t="inlineStr">
        <is>
          <t>NA</t>
        </is>
      </c>
      <c r="K343" t="inlineStr">
        <is>
          <t>NA</t>
        </is>
      </c>
      <c r="L343" t="inlineStr">
        <is>
          <t>NA</t>
        </is>
      </c>
      <c r="M343" t="inlineStr">
        <is>
          <t>O2</t>
        </is>
      </c>
      <c r="N343" t="inlineStr">
        <is>
          <t>36</t>
        </is>
      </c>
      <c r="O343" t="n">
        <v>916</v>
      </c>
      <c r="P343" t="n">
        <v>3.5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45.98</v>
      </c>
      <c r="W343" t="n">
        <v>965.48</v>
      </c>
      <c r="X343" t="n">
        <v>919.5</v>
      </c>
      <c r="Y343" t="n">
        <v>19</v>
      </c>
      <c r="Z343" t="n">
        <v>174.7</v>
      </c>
      <c r="AA343" t="n">
        <v>17.76</v>
      </c>
      <c r="AB343" t="n">
        <v>192.46</v>
      </c>
      <c r="AC343" t="n">
        <v>34.65</v>
      </c>
      <c r="AD343" t="n">
        <v>0</v>
      </c>
      <c r="AE343" t="n">
        <v>919.5</v>
      </c>
      <c r="AF343" t="n">
        <v>0</v>
      </c>
      <c r="AG343" t="n">
        <v>0</v>
      </c>
      <c r="AH343" t="n">
        <v>0.92</v>
      </c>
      <c r="AI343" t="n">
        <v>45.98</v>
      </c>
      <c r="AJ343" t="n">
        <v>0</v>
      </c>
      <c r="AK343" t="n">
        <v>81.55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274.01</v>
      </c>
      <c r="AV343" t="n">
        <v>0</v>
      </c>
      <c r="AW343" t="n">
        <v>691.47</v>
      </c>
      <c r="AX343" t="inlineStr">
        <is>
          <t>settled</t>
        </is>
      </c>
      <c r="AY343" t="inlineStr">
        <is>
          <t>2025-12-17 05:30:00</t>
        </is>
      </c>
      <c r="AZ343" t="inlineStr">
        <is>
          <t>CITIN25671113204</t>
        </is>
      </c>
      <c r="BA343" t="n">
        <v>0</v>
      </c>
      <c r="BB343" t="inlineStr">
        <is>
          <t>a7e392d84625fd9f70aa84f9c5699caca58184d2077295d1106ce2872012134c</t>
        </is>
      </c>
    </row>
    <row r="344">
      <c r="A344" t="inlineStr">
        <is>
          <t>684</t>
        </is>
      </c>
      <c r="B344" t="inlineStr">
        <is>
          <t>7583457161</t>
        </is>
      </c>
      <c r="C344" t="inlineStr">
        <is>
          <t>2025-12-14 21:45:22</t>
        </is>
      </c>
      <c r="D344" t="inlineStr">
        <is>
          <t>50</t>
        </is>
      </c>
      <c r="E344" t="inlineStr">
        <is>
          <t>Sha Sha - Shandaar Shawarma</t>
        </is>
      </c>
      <c r="F344" t="inlineStr">
        <is>
          <t>18557902</t>
        </is>
      </c>
      <c r="G344" t="inlineStr">
        <is>
          <t>30% off upto ₹75 (2025-06-25 - 2031-01-01)</t>
        </is>
      </c>
      <c r="H344" t="inlineStr">
        <is>
          <t>ONLINE</t>
        </is>
      </c>
      <c r="I344" t="inlineStr">
        <is>
          <t>DELIVERED</t>
        </is>
      </c>
      <c r="J344" t="inlineStr">
        <is>
          <t>NA</t>
        </is>
      </c>
      <c r="K344" t="inlineStr">
        <is>
          <t>NA</t>
        </is>
      </c>
      <c r="L344" t="inlineStr">
        <is>
          <t>NA</t>
        </is>
      </c>
      <c r="M344" t="inlineStr">
        <is>
          <t>O2</t>
        </is>
      </c>
      <c r="N344" t="inlineStr">
        <is>
          <t>36</t>
        </is>
      </c>
      <c r="O344" t="n">
        <v>229</v>
      </c>
      <c r="P344" t="n">
        <v>3.5</v>
      </c>
      <c r="Q344" t="n">
        <v>0</v>
      </c>
      <c r="R344" t="n">
        <v>68.7</v>
      </c>
      <c r="S344" t="n">
        <v>0</v>
      </c>
      <c r="T344" t="n">
        <v>0</v>
      </c>
      <c r="U344" t="n">
        <v>0</v>
      </c>
      <c r="V344" t="n">
        <v>8.19</v>
      </c>
      <c r="W344" t="n">
        <v>171.99</v>
      </c>
      <c r="X344" t="n">
        <v>163.8</v>
      </c>
      <c r="Y344" t="n">
        <v>19</v>
      </c>
      <c r="Z344" t="n">
        <v>31.12</v>
      </c>
      <c r="AA344" t="n">
        <v>3.16</v>
      </c>
      <c r="AB344" t="n">
        <v>34.28</v>
      </c>
      <c r="AC344" t="n">
        <v>6.17</v>
      </c>
      <c r="AD344" t="n">
        <v>0</v>
      </c>
      <c r="AE344" t="n">
        <v>163.8</v>
      </c>
      <c r="AF344" t="n">
        <v>0</v>
      </c>
      <c r="AG344" t="n">
        <v>0</v>
      </c>
      <c r="AH344" t="n">
        <v>0.16</v>
      </c>
      <c r="AI344" t="n">
        <v>8.199999999999999</v>
      </c>
      <c r="AJ344" t="n">
        <v>-0.01</v>
      </c>
      <c r="AK344" t="n">
        <v>14.53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48.81</v>
      </c>
      <c r="AV344" t="n">
        <v>0</v>
      </c>
      <c r="AW344" t="n">
        <v>123.18</v>
      </c>
      <c r="AX344" t="inlineStr">
        <is>
          <t>settled</t>
        </is>
      </c>
      <c r="AY344" t="inlineStr">
        <is>
          <t>2025-12-17 05:30:00</t>
        </is>
      </c>
      <c r="AZ344" t="inlineStr">
        <is>
          <t>CITIN25671113204</t>
        </is>
      </c>
      <c r="BA344" t="n">
        <v>0</v>
      </c>
      <c r="BB344" t="inlineStr">
        <is>
          <t>1dc0977af2b154aa773f0ff3a120db27e36a8747508fd927b59ac8764e3e0f42</t>
        </is>
      </c>
    </row>
    <row r="345">
      <c r="A345" t="inlineStr">
        <is>
          <t>685</t>
        </is>
      </c>
      <c r="B345" t="inlineStr">
        <is>
          <t>7580908563</t>
        </is>
      </c>
      <c r="C345" t="inlineStr">
        <is>
          <t>2025-12-14 22:13:50</t>
        </is>
      </c>
      <c r="D345" t="inlineStr">
        <is>
          <t>50</t>
        </is>
      </c>
      <c r="E345" t="inlineStr">
        <is>
          <t>Sha Sha - Shandaar Shawarma</t>
        </is>
      </c>
      <c r="F345" t="inlineStr">
        <is>
          <t>18557902</t>
        </is>
      </c>
      <c r="G345" t="inlineStr">
        <is>
          <t>30% off upto ₹75 (2025-06-25 - 2031-01-01)</t>
        </is>
      </c>
      <c r="H345" t="inlineStr">
        <is>
          <t>ONLINE</t>
        </is>
      </c>
      <c r="I345" t="inlineStr">
        <is>
          <t>DELIVERED</t>
        </is>
      </c>
      <c r="J345" t="inlineStr">
        <is>
          <t>NA</t>
        </is>
      </c>
      <c r="K345" t="inlineStr">
        <is>
          <t>NA</t>
        </is>
      </c>
      <c r="L345" t="inlineStr">
        <is>
          <t>NA</t>
        </is>
      </c>
      <c r="M345" t="inlineStr">
        <is>
          <t>O2</t>
        </is>
      </c>
      <c r="N345" t="inlineStr">
        <is>
          <t>36</t>
        </is>
      </c>
      <c r="O345" t="n">
        <v>229</v>
      </c>
      <c r="P345" t="n">
        <v>3.5</v>
      </c>
      <c r="Q345" t="n">
        <v>0</v>
      </c>
      <c r="R345" t="n">
        <v>68.7</v>
      </c>
      <c r="S345" t="n">
        <v>0</v>
      </c>
      <c r="T345" t="n">
        <v>0</v>
      </c>
      <c r="U345" t="n">
        <v>0</v>
      </c>
      <c r="V345" t="n">
        <v>8.19</v>
      </c>
      <c r="W345" t="n">
        <v>171.99</v>
      </c>
      <c r="X345" t="n">
        <v>163.8</v>
      </c>
      <c r="Y345" t="n">
        <v>19</v>
      </c>
      <c r="Z345" t="n">
        <v>31.12</v>
      </c>
      <c r="AA345" t="n">
        <v>3.16</v>
      </c>
      <c r="AB345" t="n">
        <v>34.28</v>
      </c>
      <c r="AC345" t="n">
        <v>6.17</v>
      </c>
      <c r="AD345" t="n">
        <v>0</v>
      </c>
      <c r="AE345" t="n">
        <v>163.8</v>
      </c>
      <c r="AF345" t="n">
        <v>0</v>
      </c>
      <c r="AG345" t="n">
        <v>0</v>
      </c>
      <c r="AH345" t="n">
        <v>0.16</v>
      </c>
      <c r="AI345" t="n">
        <v>8.199999999999999</v>
      </c>
      <c r="AJ345" t="n">
        <v>-0.01</v>
      </c>
      <c r="AK345" t="n">
        <v>14.53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48.81</v>
      </c>
      <c r="AV345" t="n">
        <v>0</v>
      </c>
      <c r="AW345" t="n">
        <v>123.18</v>
      </c>
      <c r="AX345" t="inlineStr">
        <is>
          <t>settled</t>
        </is>
      </c>
      <c r="AY345" t="inlineStr">
        <is>
          <t>2025-12-17 05:30:00</t>
        </is>
      </c>
      <c r="AZ345" t="inlineStr">
        <is>
          <t>CITIN25671113204</t>
        </is>
      </c>
      <c r="BA345" t="n">
        <v>0</v>
      </c>
      <c r="BB345" t="inlineStr">
        <is>
          <t>72f68faa2968972597743946ed559d1bc87474bb5b1dd88c1fe7589597c2c178</t>
        </is>
      </c>
    </row>
    <row r="346">
      <c r="A346" t="inlineStr">
        <is>
          <t>686</t>
        </is>
      </c>
      <c r="B346" t="inlineStr">
        <is>
          <t>7583382624</t>
        </is>
      </c>
      <c r="C346" t="inlineStr">
        <is>
          <t>2025-12-14 22:28:55</t>
        </is>
      </c>
      <c r="D346" t="inlineStr">
        <is>
          <t>50</t>
        </is>
      </c>
      <c r="E346" t="inlineStr">
        <is>
          <t>Sha Sha - Shandaar Shawarma</t>
        </is>
      </c>
      <c r="F346" t="inlineStr">
        <is>
          <t>18557902</t>
        </is>
      </c>
      <c r="G346" t="inlineStr">
        <is>
          <t>NA</t>
        </is>
      </c>
      <c r="H346" t="inlineStr">
        <is>
          <t>ONLINE</t>
        </is>
      </c>
      <c r="I346" t="inlineStr">
        <is>
          <t>DELIVERED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O2</t>
        </is>
      </c>
      <c r="N346" t="inlineStr">
        <is>
          <t>36</t>
        </is>
      </c>
      <c r="O346" t="n">
        <v>229</v>
      </c>
      <c r="P346" t="n">
        <v>3.5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11.63</v>
      </c>
      <c r="W346" t="n">
        <v>244.13</v>
      </c>
      <c r="X346" t="n">
        <v>232.5</v>
      </c>
      <c r="Y346" t="n">
        <v>19</v>
      </c>
      <c r="Z346" t="n">
        <v>44.18</v>
      </c>
      <c r="AA346" t="n">
        <v>4.49</v>
      </c>
      <c r="AB346" t="n">
        <v>48.67</v>
      </c>
      <c r="AC346" t="n">
        <v>8.76</v>
      </c>
      <c r="AD346" t="n">
        <v>0</v>
      </c>
      <c r="AE346" t="n">
        <v>232.5</v>
      </c>
      <c r="AF346" t="n">
        <v>0</v>
      </c>
      <c r="AG346" t="n">
        <v>0</v>
      </c>
      <c r="AH346" t="n">
        <v>0.23</v>
      </c>
      <c r="AI346" t="n">
        <v>11.63</v>
      </c>
      <c r="AJ346" t="n">
        <v>0</v>
      </c>
      <c r="AK346" t="n">
        <v>20.62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69.29000000000001</v>
      </c>
      <c r="AV346" t="n">
        <v>0</v>
      </c>
      <c r="AW346" t="n">
        <v>174.84</v>
      </c>
      <c r="AX346" t="inlineStr">
        <is>
          <t>settled</t>
        </is>
      </c>
      <c r="AY346" t="inlineStr">
        <is>
          <t>2025-12-17 05:30:00</t>
        </is>
      </c>
      <c r="AZ346" t="inlineStr">
        <is>
          <t>CITIN25671113204</t>
        </is>
      </c>
      <c r="BA346" t="n">
        <v>0</v>
      </c>
      <c r="BB346" t="inlineStr">
        <is>
          <t>d138b2217ff3d8acbea71619b9396d440858ed8e5a463a8a14330d1697341c24</t>
        </is>
      </c>
    </row>
    <row r="347">
      <c r="A347" t="inlineStr">
        <is>
          <t>687</t>
        </is>
      </c>
      <c r="B347" t="inlineStr">
        <is>
          <t>7581428185</t>
        </is>
      </c>
      <c r="C347" t="inlineStr">
        <is>
          <t>2025-12-14 23:20:36</t>
        </is>
      </c>
      <c r="D347" t="inlineStr">
        <is>
          <t>50</t>
        </is>
      </c>
      <c r="E347" t="inlineStr">
        <is>
          <t>Sha Sha - Shandaar Shawarma</t>
        </is>
      </c>
      <c r="F347" t="inlineStr">
        <is>
          <t>18557902</t>
        </is>
      </c>
      <c r="G347" t="inlineStr">
        <is>
          <t>30% off upto ₹75 (2025-06-25 - 2031-01-01)</t>
        </is>
      </c>
      <c r="H347" t="inlineStr">
        <is>
          <t>ONLINE</t>
        </is>
      </c>
      <c r="I347" t="inlineStr">
        <is>
          <t>DELIVERED</t>
        </is>
      </c>
      <c r="J347" t="inlineStr">
        <is>
          <t>NA</t>
        </is>
      </c>
      <c r="K347" t="inlineStr">
        <is>
          <t>NA</t>
        </is>
      </c>
      <c r="L347" t="inlineStr">
        <is>
          <t>NA</t>
        </is>
      </c>
      <c r="M347" t="inlineStr">
        <is>
          <t>O2</t>
        </is>
      </c>
      <c r="N347" t="inlineStr">
        <is>
          <t>36</t>
        </is>
      </c>
      <c r="O347" t="n">
        <v>229</v>
      </c>
      <c r="P347" t="n">
        <v>3.5</v>
      </c>
      <c r="Q347" t="n">
        <v>0</v>
      </c>
      <c r="R347" t="n">
        <v>68.7</v>
      </c>
      <c r="S347" t="n">
        <v>0</v>
      </c>
      <c r="T347" t="n">
        <v>0</v>
      </c>
      <c r="U347" t="n">
        <v>0</v>
      </c>
      <c r="V347" t="n">
        <v>8.19</v>
      </c>
      <c r="W347" t="n">
        <v>171.99</v>
      </c>
      <c r="X347" t="n">
        <v>163.8</v>
      </c>
      <c r="Y347" t="n">
        <v>19</v>
      </c>
      <c r="Z347" t="n">
        <v>31.12</v>
      </c>
      <c r="AA347" t="n">
        <v>3.16</v>
      </c>
      <c r="AB347" t="n">
        <v>34.28</v>
      </c>
      <c r="AC347" t="n">
        <v>6.17</v>
      </c>
      <c r="AD347" t="n">
        <v>0</v>
      </c>
      <c r="AE347" t="n">
        <v>163.8</v>
      </c>
      <c r="AF347" t="n">
        <v>0</v>
      </c>
      <c r="AG347" t="n">
        <v>0</v>
      </c>
      <c r="AH347" t="n">
        <v>0.16</v>
      </c>
      <c r="AI347" t="n">
        <v>8.199999999999999</v>
      </c>
      <c r="AJ347" t="n">
        <v>-0.01</v>
      </c>
      <c r="AK347" t="n">
        <v>14.53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48.81</v>
      </c>
      <c r="AV347" t="n">
        <v>0</v>
      </c>
      <c r="AW347" t="n">
        <v>123.18</v>
      </c>
      <c r="AX347" t="inlineStr">
        <is>
          <t>settled</t>
        </is>
      </c>
      <c r="AY347" t="inlineStr">
        <is>
          <t>2025-12-17 05:30:00</t>
        </is>
      </c>
      <c r="AZ347" t="inlineStr">
        <is>
          <t>CITIN25671113204</t>
        </is>
      </c>
      <c r="BA347" t="n">
        <v>0</v>
      </c>
      <c r="BB347" t="inlineStr">
        <is>
          <t>60f070d6ea3da5e3867e9524959dd928e17c462e2fc640e18cfe06ebdc7dfddf</t>
        </is>
      </c>
    </row>
    <row r="348">
      <c r="A348" t="inlineStr">
        <is>
          <t>688</t>
        </is>
      </c>
      <c r="B348" t="inlineStr">
        <is>
          <t>7583359811</t>
        </is>
      </c>
      <c r="C348" t="inlineStr">
        <is>
          <t>2025-12-14 23:28:53</t>
        </is>
      </c>
      <c r="D348" t="inlineStr">
        <is>
          <t>50</t>
        </is>
      </c>
      <c r="E348" t="inlineStr">
        <is>
          <t>Sha Sha - Shandaar Shawarma</t>
        </is>
      </c>
      <c r="F348" t="inlineStr">
        <is>
          <t>18557902</t>
        </is>
      </c>
      <c r="G348" t="inlineStr">
        <is>
          <t>30% off upto ₹75 (2025-06-25 - 2031-01-01)</t>
        </is>
      </c>
      <c r="H348" t="inlineStr">
        <is>
          <t>ONLINE</t>
        </is>
      </c>
      <c r="I348" t="inlineStr">
        <is>
          <t>DELIVERED</t>
        </is>
      </c>
      <c r="J348" t="inlineStr">
        <is>
          <t>NA</t>
        </is>
      </c>
      <c r="K348" t="inlineStr">
        <is>
          <t>NA</t>
        </is>
      </c>
      <c r="L348" t="inlineStr">
        <is>
          <t>NA</t>
        </is>
      </c>
      <c r="M348" t="inlineStr">
        <is>
          <t>O2</t>
        </is>
      </c>
      <c r="N348" t="inlineStr">
        <is>
          <t>36</t>
        </is>
      </c>
      <c r="O348" t="n">
        <v>219</v>
      </c>
      <c r="P348" t="n">
        <v>3.5</v>
      </c>
      <c r="Q348" t="n">
        <v>0</v>
      </c>
      <c r="R348" t="n">
        <v>65.7</v>
      </c>
      <c r="S348" t="n">
        <v>0</v>
      </c>
      <c r="T348" t="n">
        <v>0</v>
      </c>
      <c r="U348" t="n">
        <v>0</v>
      </c>
      <c r="V348" t="n">
        <v>7.84</v>
      </c>
      <c r="W348" t="n">
        <v>164.64</v>
      </c>
      <c r="X348" t="n">
        <v>156.8</v>
      </c>
      <c r="Y348" t="n">
        <v>19</v>
      </c>
      <c r="Z348" t="n">
        <v>29.79</v>
      </c>
      <c r="AA348" t="n">
        <v>3.03</v>
      </c>
      <c r="AB348" t="n">
        <v>32.82</v>
      </c>
      <c r="AC348" t="n">
        <v>5.91</v>
      </c>
      <c r="AD348" t="n">
        <v>0</v>
      </c>
      <c r="AE348" t="n">
        <v>156.8</v>
      </c>
      <c r="AF348" t="n">
        <v>0</v>
      </c>
      <c r="AG348" t="n">
        <v>0</v>
      </c>
      <c r="AH348" t="n">
        <v>0.16</v>
      </c>
      <c r="AI348" t="n">
        <v>7.85</v>
      </c>
      <c r="AJ348" t="n">
        <v>-0.01</v>
      </c>
      <c r="AK348" t="n">
        <v>13.92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46.74</v>
      </c>
      <c r="AV348" t="n">
        <v>0</v>
      </c>
      <c r="AW348" t="n">
        <v>117.9</v>
      </c>
      <c r="AX348" t="inlineStr">
        <is>
          <t>settled</t>
        </is>
      </c>
      <c r="AY348" t="inlineStr">
        <is>
          <t>2025-12-17 05:30:00</t>
        </is>
      </c>
      <c r="AZ348" t="inlineStr">
        <is>
          <t>CITIN25671113204</t>
        </is>
      </c>
      <c r="BA348" t="n">
        <v>0</v>
      </c>
      <c r="BB348" t="inlineStr">
        <is>
          <t>340aaffb5428c4daebe50db09a990a3ac0585a0731f23187484b00bd9b299b33</t>
        </is>
      </c>
    </row>
    <row r="349">
      <c r="A349" t="inlineStr">
        <is>
          <t>689</t>
        </is>
      </c>
      <c r="B349" t="inlineStr">
        <is>
          <t>7584900397</t>
        </is>
      </c>
      <c r="C349" t="inlineStr">
        <is>
          <t>2025-12-14 23:43:40</t>
        </is>
      </c>
      <c r="D349" t="inlineStr">
        <is>
          <t>50</t>
        </is>
      </c>
      <c r="E349" t="inlineStr">
        <is>
          <t>Sha Sha - Shandaar Shawarma</t>
        </is>
      </c>
      <c r="F349" t="inlineStr">
        <is>
          <t>18557902</t>
        </is>
      </c>
      <c r="G349" t="inlineStr">
        <is>
          <t>30% off upto ₹75 (2025-06-25 - 2031-01-01)</t>
        </is>
      </c>
      <c r="H349" t="inlineStr">
        <is>
          <t>ONLINE</t>
        </is>
      </c>
      <c r="I349" t="inlineStr">
        <is>
          <t>DELIVERED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O2</t>
        </is>
      </c>
      <c r="N349" t="inlineStr">
        <is>
          <t>36</t>
        </is>
      </c>
      <c r="O349" t="n">
        <v>367</v>
      </c>
      <c r="P349" t="n">
        <v>3.5</v>
      </c>
      <c r="Q349" t="n">
        <v>0</v>
      </c>
      <c r="R349" t="n">
        <v>75</v>
      </c>
      <c r="S349" t="n">
        <v>0</v>
      </c>
      <c r="T349" t="n">
        <v>0</v>
      </c>
      <c r="U349" t="n">
        <v>0</v>
      </c>
      <c r="V349" t="n">
        <v>14.78</v>
      </c>
      <c r="W349" t="n">
        <v>310.28</v>
      </c>
      <c r="X349" t="n">
        <v>295.5</v>
      </c>
      <c r="Y349" t="n">
        <v>19</v>
      </c>
      <c r="Z349" t="n">
        <v>56.14</v>
      </c>
      <c r="AA349" t="n">
        <v>5.71</v>
      </c>
      <c r="AB349" t="n">
        <v>61.85</v>
      </c>
      <c r="AC349" t="n">
        <v>11.14</v>
      </c>
      <c r="AD349" t="n">
        <v>0</v>
      </c>
      <c r="AE349" t="n">
        <v>295.5</v>
      </c>
      <c r="AF349" t="n">
        <v>0</v>
      </c>
      <c r="AG349" t="n">
        <v>0</v>
      </c>
      <c r="AH349" t="n">
        <v>0.3</v>
      </c>
      <c r="AI349" t="n">
        <v>14.78</v>
      </c>
      <c r="AJ349" t="n">
        <v>0</v>
      </c>
      <c r="AK349" t="n">
        <v>26.22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88.06999999999999</v>
      </c>
      <c r="AV349" t="n">
        <v>0</v>
      </c>
      <c r="AW349" t="n">
        <v>222.21</v>
      </c>
      <c r="AX349" t="inlineStr">
        <is>
          <t>settled</t>
        </is>
      </c>
      <c r="AY349" t="inlineStr">
        <is>
          <t>2025-12-17 05:30:00</t>
        </is>
      </c>
      <c r="AZ349" t="inlineStr">
        <is>
          <t>CITIN25671113204</t>
        </is>
      </c>
      <c r="BA349" t="n">
        <v>0</v>
      </c>
      <c r="BB349" t="inlineStr">
        <is>
          <t>b0153e97325404c7b58a46be3cee32d0623a2bc45b2060c6376b838bd794e016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B351"/>
  <sheetViews>
    <sheetView workbookViewId="0">
      <selection activeCell="A1" sqref="A1"/>
    </sheetView>
  </sheetViews>
  <sheetFormatPr baseColWidth="8" defaultRowHeight="15"/>
  <sheetData>
    <row r="1">
      <c r="O1" t="n">
        <v>229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229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174.84</v>
      </c>
      <c r="AW1" t="n">
        <v>174.84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</row>
    <row r="2">
      <c r="O2" t="n">
        <v>98038</v>
      </c>
      <c r="P2" t="n">
        <v>1204</v>
      </c>
      <c r="Q2" t="n">
        <v>0</v>
      </c>
      <c r="R2" t="n">
        <v>16947.30000000005</v>
      </c>
      <c r="S2" t="n">
        <v>0</v>
      </c>
      <c r="T2" t="n">
        <v>0</v>
      </c>
      <c r="U2" t="n">
        <v>0</v>
      </c>
      <c r="V2" t="n">
        <v>4115.610000000014</v>
      </c>
      <c r="W2" t="n">
        <v>86410.3100000001</v>
      </c>
      <c r="X2" t="n">
        <v>82294.7000000002</v>
      </c>
      <c r="Y2" t="n">
        <v>6610.34</v>
      </c>
      <c r="Z2" t="n">
        <v>15762.90000000006</v>
      </c>
      <c r="AA2" t="n">
        <v>1589.380000000002</v>
      </c>
      <c r="AB2" t="n">
        <v>17352.28000000001</v>
      </c>
      <c r="AC2" t="n">
        <v>3123.280000000007</v>
      </c>
      <c r="AD2" t="n">
        <v>0</v>
      </c>
      <c r="AE2" t="n">
        <v>82294.7000000002</v>
      </c>
      <c r="AF2" t="n">
        <v>0</v>
      </c>
      <c r="AG2" t="n">
        <v>0</v>
      </c>
      <c r="AH2" t="n">
        <v>81.88999999999972</v>
      </c>
      <c r="AI2" t="n">
        <v>4117.299999999997</v>
      </c>
      <c r="AJ2" t="n">
        <v>-1.690000000000001</v>
      </c>
      <c r="AK2" t="n">
        <v>7322.469999999992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24674.75000000008</v>
      </c>
      <c r="AV2" t="n">
        <v>0</v>
      </c>
      <c r="AW2" t="n">
        <v>61735.55999999998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O3" t="n">
        <v>115684.84</v>
      </c>
      <c r="P3" t="n">
        <v>1420.72</v>
      </c>
      <c r="Q3" t="n">
        <v>0</v>
      </c>
      <c r="R3" t="n">
        <v>19997.81400000006</v>
      </c>
      <c r="S3" t="n">
        <v>0</v>
      </c>
      <c r="T3" t="n">
        <v>0</v>
      </c>
      <c r="U3" t="n">
        <v>0</v>
      </c>
      <c r="V3" t="n">
        <v>4856.419800000017</v>
      </c>
      <c r="W3" t="n">
        <v>101964.1658000001</v>
      </c>
      <c r="X3" t="n">
        <v>97107.74600000023</v>
      </c>
      <c r="Y3" t="n">
        <v>7800.2012</v>
      </c>
      <c r="Z3" t="n">
        <v>18600.22200000007</v>
      </c>
      <c r="AA3" t="n">
        <v>1875.468400000002</v>
      </c>
      <c r="AB3" t="n">
        <v>20475.69040000001</v>
      </c>
      <c r="AC3" t="n">
        <v>3685.470400000009</v>
      </c>
      <c r="AD3" t="n">
        <v>0</v>
      </c>
      <c r="AE3" t="n">
        <v>97107.74600000023</v>
      </c>
      <c r="AF3" t="n">
        <v>0</v>
      </c>
      <c r="AG3" t="n">
        <v>0</v>
      </c>
      <c r="AH3" t="n">
        <v>96.63019999999966</v>
      </c>
      <c r="AI3" t="n">
        <v>4858.413999999995</v>
      </c>
      <c r="AJ3" t="n">
        <v>-1.994200000000001</v>
      </c>
      <c r="AK3" t="n">
        <v>8640.51459999999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29116.20500000009</v>
      </c>
      <c r="AV3" t="n">
        <v>0</v>
      </c>
      <c r="AW3" t="n">
        <v>72847.96079999997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O4" t="n">
        <v>98267</v>
      </c>
      <c r="P4" t="n">
        <v>1204</v>
      </c>
      <c r="Q4" t="n">
        <v>0</v>
      </c>
      <c r="R4" t="n">
        <v>16947.30000000005</v>
      </c>
      <c r="S4" t="n">
        <v>0</v>
      </c>
      <c r="T4" t="n">
        <v>0</v>
      </c>
      <c r="U4" t="n">
        <v>0</v>
      </c>
      <c r="V4" t="n">
        <v>4115.610000000014</v>
      </c>
      <c r="W4" t="n">
        <v>86639.3100000001</v>
      </c>
      <c r="X4" t="n">
        <v>82294.7000000002</v>
      </c>
      <c r="Y4" t="n">
        <v>6610.34</v>
      </c>
      <c r="Z4" t="n">
        <v>15762.90000000006</v>
      </c>
      <c r="AA4" t="n">
        <v>1589.380000000002</v>
      </c>
      <c r="AB4" t="n">
        <v>17352.28000000001</v>
      </c>
      <c r="AC4" t="n">
        <v>3123.280000000007</v>
      </c>
      <c r="AD4" t="n">
        <v>0</v>
      </c>
      <c r="AE4" t="n">
        <v>82294.7000000002</v>
      </c>
      <c r="AF4" t="n">
        <v>0</v>
      </c>
      <c r="AG4" t="n">
        <v>0</v>
      </c>
      <c r="AH4" t="n">
        <v>81.88999999999972</v>
      </c>
      <c r="AI4" t="n">
        <v>4117.299999999997</v>
      </c>
      <c r="AJ4" t="n">
        <v>-1.690000000000001</v>
      </c>
      <c r="AK4" t="n">
        <v>7322.469999999992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24674.75000000008</v>
      </c>
      <c r="AV4" t="n">
        <v>174.84</v>
      </c>
      <c r="AW4" t="n">
        <v>61910.39999999997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[Promo]</t>
        </is>
      </c>
      <c r="S5" t="inlineStr">
        <is>
          <t>Restaurant Discount [BOGO, Freebies, Gold, Brand pack &amp; others]</t>
        </is>
      </c>
      <c r="T5" t="inlineStr">
        <is>
          <t xml:space="preserve">Brand pack subscription fee </t>
        </is>
      </c>
      <c r="U5" t="inlineStr">
        <is>
          <t xml:space="preserve">Delivery charge discount 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(excludes customer GST)
[(A) + (7) - (8) - (6) - (3)]</t>
        </is>
      </c>
      <c r="Y5" t="inlineStr">
        <is>
          <t>Service fees %</t>
        </is>
      </c>
      <c r="Z5" t="inlineStr">
        <is>
          <t>Service fee
[ (9) * (10) ]</t>
        </is>
      </c>
      <c r="AA5" t="inlineStr">
        <is>
          <t>Payment mechanism fee</t>
        </is>
      </c>
      <c r="AB5" t="inlineStr">
        <is>
          <t>Service fee &amp; payment mechanism fees
[(11) + (12)]</t>
        </is>
      </c>
      <c r="AC5" t="inlineStr">
        <is>
          <t>Taxes on service &amp; payment mechanism fees
(B) * 18%</t>
        </is>
      </c>
      <c r="AD5" t="inlineStr">
        <is>
          <t>Applicable amount for TCS</t>
        </is>
      </c>
      <c r="AE5" t="inlineStr">
        <is>
          <t>Applicable amount for 9(5)</t>
        </is>
      </c>
      <c r="AF5" t="inlineStr">
        <is>
          <t>Tax collected at source</t>
        </is>
      </c>
      <c r="AG5" t="inlineStr">
        <is>
          <t>TCS IGST amount</t>
        </is>
      </c>
      <c r="AH5" t="inlineStr">
        <is>
          <t>TDS 194O amount</t>
        </is>
      </c>
      <c r="AI5" t="inlineStr">
        <is>
          <t>GST paid by Zomato on behalf of restaurant - under section 9(5)</t>
        </is>
      </c>
      <c r="AJ5" t="inlineStr">
        <is>
          <t>GST to be paid by Restaurant partner to Govt.</t>
        </is>
      </c>
      <c r="AK5" t="inlineStr">
        <is>
          <t>Government charges
[(13) + (16) + (17) + (18) + (19)]</t>
        </is>
      </c>
      <c r="AL5" t="inlineStr">
        <is>
          <t>Customer Compensation/Recoupment</t>
        </is>
      </c>
      <c r="AM5" t="inlineStr">
        <is>
          <t>Delivery Charges Recovery</t>
        </is>
      </c>
      <c r="AN5" t="inlineStr">
        <is>
          <t>Amount received in cash (on self delivery orders)</t>
        </is>
      </c>
      <c r="AO5" t="inlineStr">
        <is>
          <t>Credit note/(Debit Note) adjustment</t>
        </is>
      </c>
      <c r="AP5" t="inlineStr">
        <is>
          <t>Promo recovery adjustment</t>
        </is>
      </c>
      <c r="AQ5" t="inlineStr">
        <is>
          <t>Extra Inventory Ads and Misc. (order level deduction)</t>
        </is>
      </c>
      <c r="AR5" t="inlineStr">
        <is>
          <t>Brand loyalty points redemption</t>
        </is>
      </c>
      <c r="AS5" t="inlineStr">
        <is>
          <t>Express Order Fee</t>
        </is>
      </c>
      <c r="AT5" t="inlineStr">
        <is>
          <t>Other order-level deductions
[(21) + (22) + (23) + (24) + (25) + (26) + (27) + (28)]</t>
        </is>
      </c>
      <c r="AU5" t="inlineStr">
        <is>
          <t>Net Deductions
(B) + (C) + (D)</t>
        </is>
      </c>
      <c r="AV5" t="inlineStr">
        <is>
          <t>Net Additions 
(cancellation refund for cancelled orders/Tip for Kitchen Staff for delivered orders)</t>
        </is>
      </c>
      <c r="AW5" t="inlineStr">
        <is>
          <t>Order level Payout
(A) - (E) + (F)</t>
        </is>
      </c>
      <c r="AX5" t="inlineStr">
        <is>
          <t>Settlement status</t>
        </is>
      </c>
      <c r="AY5" t="inlineStr">
        <is>
          <t>Settlement date</t>
        </is>
      </c>
      <c r="AZ5" t="inlineStr">
        <is>
          <t>Bank UTR</t>
        </is>
      </c>
      <c r="BA5" t="inlineStr">
        <is>
          <t>Unsettled Amount</t>
        </is>
      </c>
      <c r="BB5" t="inlineStr">
        <is>
          <t>Customer ID</t>
        </is>
      </c>
    </row>
    <row r="6">
      <c r="A6" t="inlineStr">
        <is>
          <t>690</t>
        </is>
      </c>
      <c r="B6" t="inlineStr">
        <is>
          <t>7584074658</t>
        </is>
      </c>
      <c r="C6" t="inlineStr">
        <is>
          <t>2025-12-15 00:14:24</t>
        </is>
      </c>
      <c r="D6" t="inlineStr">
        <is>
          <t>51</t>
        </is>
      </c>
      <c r="E6" t="inlineStr">
        <is>
          <t>Sha Sha - Shandaar Shawarma</t>
        </is>
      </c>
      <c r="F6" t="inlineStr">
        <is>
          <t>18557902</t>
        </is>
      </c>
      <c r="G6" t="inlineStr">
        <is>
          <t>30% off upto ₹75 (2025-06-25 - 2031-01-01)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36</t>
        </is>
      </c>
      <c r="O6" t="n">
        <v>355</v>
      </c>
      <c r="P6" t="n">
        <v>3.5</v>
      </c>
      <c r="Q6" t="n">
        <v>0</v>
      </c>
      <c r="R6" t="n">
        <v>75</v>
      </c>
      <c r="S6" t="n">
        <v>0</v>
      </c>
      <c r="T6" t="n">
        <v>0</v>
      </c>
      <c r="U6" t="n">
        <v>0</v>
      </c>
      <c r="V6" t="n">
        <v>14.18</v>
      </c>
      <c r="W6" t="n">
        <v>297.68</v>
      </c>
      <c r="X6" t="n">
        <v>283.5</v>
      </c>
      <c r="Y6" t="n">
        <v>19</v>
      </c>
      <c r="Z6" t="n">
        <v>53.86</v>
      </c>
      <c r="AA6" t="n">
        <v>5.48</v>
      </c>
      <c r="AB6" t="n">
        <v>59.34</v>
      </c>
      <c r="AC6" t="n">
        <v>10.68</v>
      </c>
      <c r="AD6" t="n">
        <v>0</v>
      </c>
      <c r="AE6" t="n">
        <v>283.5</v>
      </c>
      <c r="AF6" t="n">
        <v>0</v>
      </c>
      <c r="AG6" t="n">
        <v>0</v>
      </c>
      <c r="AH6" t="n">
        <v>0.28</v>
      </c>
      <c r="AI6" t="n">
        <v>14.18</v>
      </c>
      <c r="AJ6" t="n">
        <v>0</v>
      </c>
      <c r="AK6" t="n">
        <v>25.14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84.48</v>
      </c>
      <c r="AV6" t="n">
        <v>0</v>
      </c>
      <c r="AW6" t="n">
        <v>213.2</v>
      </c>
      <c r="AX6" t="inlineStr">
        <is>
          <t>settled</t>
        </is>
      </c>
      <c r="AY6" t="inlineStr">
        <is>
          <t>NA</t>
        </is>
      </c>
      <c r="AZ6" t="inlineStr">
        <is>
          <t>NA</t>
        </is>
      </c>
      <c r="BA6" t="n">
        <v>0</v>
      </c>
      <c r="BB6" t="inlineStr">
        <is>
          <t>ca2073d82db9e89f4a26732742a23f8dc42cbadc0d57d6b416fdcd9d6a851df1</t>
        </is>
      </c>
    </row>
    <row r="7">
      <c r="A7" t="inlineStr">
        <is>
          <t>691</t>
        </is>
      </c>
      <c r="B7" t="inlineStr">
        <is>
          <t>7585018723</t>
        </is>
      </c>
      <c r="C7" t="inlineStr">
        <is>
          <t>2025-12-15 00:18:10</t>
        </is>
      </c>
      <c r="D7" t="inlineStr">
        <is>
          <t>51</t>
        </is>
      </c>
      <c r="E7" t="inlineStr">
        <is>
          <t>Sha Sha - Shandaar Shawarma</t>
        </is>
      </c>
      <c r="F7" t="inlineStr">
        <is>
          <t>18557902</t>
        </is>
      </c>
      <c r="G7" t="inlineStr">
        <is>
          <t>NA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36</t>
        </is>
      </c>
      <c r="O7" t="n">
        <v>229</v>
      </c>
      <c r="P7" t="n">
        <v>3.5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11.63</v>
      </c>
      <c r="W7" t="n">
        <v>244.13</v>
      </c>
      <c r="X7" t="n">
        <v>232.5</v>
      </c>
      <c r="Y7" t="n">
        <v>19</v>
      </c>
      <c r="Z7" t="n">
        <v>44.18</v>
      </c>
      <c r="AA7" t="n">
        <v>4.49</v>
      </c>
      <c r="AB7" t="n">
        <v>48.67</v>
      </c>
      <c r="AC7" t="n">
        <v>8.76</v>
      </c>
      <c r="AD7" t="n">
        <v>0</v>
      </c>
      <c r="AE7" t="n">
        <v>232.5</v>
      </c>
      <c r="AF7" t="n">
        <v>0</v>
      </c>
      <c r="AG7" t="n">
        <v>0</v>
      </c>
      <c r="AH7" t="n">
        <v>0.23</v>
      </c>
      <c r="AI7" t="n">
        <v>11.63</v>
      </c>
      <c r="AJ7" t="n">
        <v>0</v>
      </c>
      <c r="AK7" t="n">
        <v>20.62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69.29000000000001</v>
      </c>
      <c r="AV7" t="n">
        <v>0</v>
      </c>
      <c r="AW7" t="n">
        <v>174.84</v>
      </c>
      <c r="AX7" t="inlineStr">
        <is>
          <t>settled</t>
        </is>
      </c>
      <c r="AY7" t="inlineStr">
        <is>
          <t>NA</t>
        </is>
      </c>
      <c r="AZ7" t="inlineStr">
        <is>
          <t>NA</t>
        </is>
      </c>
      <c r="BA7" t="n">
        <v>0</v>
      </c>
      <c r="BB7" t="inlineStr">
        <is>
          <t>d0bddad9a77b4332b4608b9ba1ef6aa4763ae219357859d94d940c5b77839fb1</t>
        </is>
      </c>
    </row>
    <row r="8">
      <c r="A8" t="inlineStr">
        <is>
          <t>692</t>
        </is>
      </c>
      <c r="B8" t="inlineStr">
        <is>
          <t>7581454492</t>
        </is>
      </c>
      <c r="C8" t="inlineStr">
        <is>
          <t>2025-12-15 00:19:25</t>
        </is>
      </c>
      <c r="D8" t="inlineStr">
        <is>
          <t>51</t>
        </is>
      </c>
      <c r="E8" t="inlineStr">
        <is>
          <t>Sha Sha - Shandaar Shawarma</t>
        </is>
      </c>
      <c r="F8" t="inlineStr">
        <is>
          <t>18557902</t>
        </is>
      </c>
      <c r="G8" t="inlineStr">
        <is>
          <t>30% off upto ₹75 (2025-06-25 - 2031-01-01)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36</t>
        </is>
      </c>
      <c r="O8" t="n">
        <v>229</v>
      </c>
      <c r="P8" t="n">
        <v>3.5</v>
      </c>
      <c r="Q8" t="n">
        <v>0</v>
      </c>
      <c r="R8" t="n">
        <v>68.7</v>
      </c>
      <c r="S8" t="n">
        <v>0</v>
      </c>
      <c r="T8" t="n">
        <v>0</v>
      </c>
      <c r="U8" t="n">
        <v>0</v>
      </c>
      <c r="V8" t="n">
        <v>8.19</v>
      </c>
      <c r="W8" t="n">
        <v>171.99</v>
      </c>
      <c r="X8" t="n">
        <v>163.8</v>
      </c>
      <c r="Y8" t="n">
        <v>19</v>
      </c>
      <c r="Z8" t="n">
        <v>31.12</v>
      </c>
      <c r="AA8" t="n">
        <v>3.16</v>
      </c>
      <c r="AB8" t="n">
        <v>34.28</v>
      </c>
      <c r="AC8" t="n">
        <v>6.17</v>
      </c>
      <c r="AD8" t="n">
        <v>0</v>
      </c>
      <c r="AE8" t="n">
        <v>163.8</v>
      </c>
      <c r="AF8" t="n">
        <v>0</v>
      </c>
      <c r="AG8" t="n">
        <v>0</v>
      </c>
      <c r="AH8" t="n">
        <v>0.16</v>
      </c>
      <c r="AI8" t="n">
        <v>8.199999999999999</v>
      </c>
      <c r="AJ8" t="n">
        <v>-0.01</v>
      </c>
      <c r="AK8" t="n">
        <v>14.53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48.81</v>
      </c>
      <c r="AV8" t="n">
        <v>0</v>
      </c>
      <c r="AW8" t="n">
        <v>123.18</v>
      </c>
      <c r="AX8" t="inlineStr">
        <is>
          <t>settled</t>
        </is>
      </c>
      <c r="AY8" t="inlineStr">
        <is>
          <t>NA</t>
        </is>
      </c>
      <c r="AZ8" t="inlineStr">
        <is>
          <t>NA</t>
        </is>
      </c>
      <c r="BA8" t="n">
        <v>0</v>
      </c>
      <c r="BB8" t="inlineStr">
        <is>
          <t>8eb1500490d159665e1c9c2563971d3da60a404e60c98029e37dcdb4b41ce11a</t>
        </is>
      </c>
    </row>
    <row r="9">
      <c r="A9" t="inlineStr">
        <is>
          <t>693</t>
        </is>
      </c>
      <c r="B9" t="inlineStr">
        <is>
          <t>7578310288</t>
        </is>
      </c>
      <c r="C9" t="inlineStr">
        <is>
          <t>2025-12-15 00:24:23</t>
        </is>
      </c>
      <c r="D9" t="inlineStr">
        <is>
          <t>51</t>
        </is>
      </c>
      <c r="E9" t="inlineStr">
        <is>
          <t>Sha Sha - Shandaar Shawarma</t>
        </is>
      </c>
      <c r="F9" t="inlineStr">
        <is>
          <t>18557902</t>
        </is>
      </c>
      <c r="G9" t="inlineStr">
        <is>
          <t>30% off upto ₹75 (2025-06-25 - 2031-01-01)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O2</t>
        </is>
      </c>
      <c r="N9" t="inlineStr">
        <is>
          <t>36</t>
        </is>
      </c>
      <c r="O9" t="n">
        <v>355</v>
      </c>
      <c r="P9" t="n">
        <v>3.5</v>
      </c>
      <c r="Q9" t="n">
        <v>0</v>
      </c>
      <c r="R9" t="n">
        <v>75</v>
      </c>
      <c r="S9" t="n">
        <v>0</v>
      </c>
      <c r="T9" t="n">
        <v>0</v>
      </c>
      <c r="U9" t="n">
        <v>0</v>
      </c>
      <c r="V9" t="n">
        <v>14.18</v>
      </c>
      <c r="W9" t="n">
        <v>297.68</v>
      </c>
      <c r="X9" t="n">
        <v>283.5</v>
      </c>
      <c r="Y9" t="n">
        <v>19</v>
      </c>
      <c r="Z9" t="n">
        <v>53.86</v>
      </c>
      <c r="AA9" t="n">
        <v>5.48</v>
      </c>
      <c r="AB9" t="n">
        <v>59.34</v>
      </c>
      <c r="AC9" t="n">
        <v>10.68</v>
      </c>
      <c r="AD9" t="n">
        <v>0</v>
      </c>
      <c r="AE9" t="n">
        <v>283.5</v>
      </c>
      <c r="AF9" t="n">
        <v>0</v>
      </c>
      <c r="AG9" t="n">
        <v>0</v>
      </c>
      <c r="AH9" t="n">
        <v>0.28</v>
      </c>
      <c r="AI9" t="n">
        <v>14.18</v>
      </c>
      <c r="AJ9" t="n">
        <v>0</v>
      </c>
      <c r="AK9" t="n">
        <v>25.14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84.48</v>
      </c>
      <c r="AV9" t="n">
        <v>0</v>
      </c>
      <c r="AW9" t="n">
        <v>213.2</v>
      </c>
      <c r="AX9" t="inlineStr">
        <is>
          <t>settled</t>
        </is>
      </c>
      <c r="AY9" t="inlineStr">
        <is>
          <t>NA</t>
        </is>
      </c>
      <c r="AZ9" t="inlineStr">
        <is>
          <t>NA</t>
        </is>
      </c>
      <c r="BA9" t="n">
        <v>0</v>
      </c>
      <c r="BB9" t="inlineStr">
        <is>
          <t>2b257bde6a1496c706be6a8e1dee8ffa93d708f424242d32b01ec2d4cc6cb672</t>
        </is>
      </c>
    </row>
    <row r="10">
      <c r="A10" t="inlineStr">
        <is>
          <t>694</t>
        </is>
      </c>
      <c r="B10" t="inlineStr">
        <is>
          <t>7567158853</t>
        </is>
      </c>
      <c r="C10" t="inlineStr">
        <is>
          <t>2025-12-15 00:31:39</t>
        </is>
      </c>
      <c r="D10" t="inlineStr">
        <is>
          <t>51</t>
        </is>
      </c>
      <c r="E10" t="inlineStr">
        <is>
          <t>Sha Sha - Shandaar Shawarma</t>
        </is>
      </c>
      <c r="F10" t="inlineStr">
        <is>
          <t>18557902</t>
        </is>
      </c>
      <c r="G10" t="inlineStr">
        <is>
          <t>NA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36</t>
        </is>
      </c>
      <c r="O10" t="n">
        <v>219</v>
      </c>
      <c r="P10" t="n">
        <v>3.5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11.13</v>
      </c>
      <c r="W10" t="n">
        <v>233.63</v>
      </c>
      <c r="X10" t="n">
        <v>222.5</v>
      </c>
      <c r="Y10" t="n">
        <v>19</v>
      </c>
      <c r="Z10" t="n">
        <v>42.28</v>
      </c>
      <c r="AA10" t="n">
        <v>4.3</v>
      </c>
      <c r="AB10" t="n">
        <v>46.58</v>
      </c>
      <c r="AC10" t="n">
        <v>8.380000000000001</v>
      </c>
      <c r="AD10" t="n">
        <v>0</v>
      </c>
      <c r="AE10" t="n">
        <v>222.5</v>
      </c>
      <c r="AF10" t="n">
        <v>0</v>
      </c>
      <c r="AG10" t="n">
        <v>0</v>
      </c>
      <c r="AH10" t="n">
        <v>0.22</v>
      </c>
      <c r="AI10" t="n">
        <v>11.13</v>
      </c>
      <c r="AJ10" t="n">
        <v>0</v>
      </c>
      <c r="AK10" t="n">
        <v>19.73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66.31</v>
      </c>
      <c r="AV10" t="n">
        <v>0</v>
      </c>
      <c r="AW10" t="n">
        <v>167.32</v>
      </c>
      <c r="AX10" t="inlineStr">
        <is>
          <t>settled</t>
        </is>
      </c>
      <c r="AY10" t="inlineStr">
        <is>
          <t>NA</t>
        </is>
      </c>
      <c r="AZ10" t="inlineStr">
        <is>
          <t>NA</t>
        </is>
      </c>
      <c r="BA10" t="n">
        <v>0</v>
      </c>
      <c r="BB10" t="inlineStr">
        <is>
          <t>1ca787e4afdeefa65c15f027ca25c4794f41317f8a115aaa4460278ba14d5fca</t>
        </is>
      </c>
    </row>
    <row r="11">
      <c r="A11" t="inlineStr">
        <is>
          <t>695</t>
        </is>
      </c>
      <c r="B11" t="inlineStr">
        <is>
          <t>7583610506</t>
        </is>
      </c>
      <c r="C11" t="inlineStr">
        <is>
          <t>2025-12-15 01:08:18</t>
        </is>
      </c>
      <c r="D11" t="inlineStr">
        <is>
          <t>51</t>
        </is>
      </c>
      <c r="E11" t="inlineStr">
        <is>
          <t>Sha Sha - Shandaar Shawarma</t>
        </is>
      </c>
      <c r="F11" t="inlineStr">
        <is>
          <t>18557902</t>
        </is>
      </c>
      <c r="G11" t="inlineStr">
        <is>
          <t>NA</t>
        </is>
      </c>
      <c r="H11" t="inlineStr">
        <is>
          <t>ONLINE</t>
        </is>
      </c>
      <c r="I11" t="inlineStr">
        <is>
          <t>DELIVERED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O2</t>
        </is>
      </c>
      <c r="N11" t="inlineStr">
        <is>
          <t>36</t>
        </is>
      </c>
      <c r="O11" t="n">
        <v>229</v>
      </c>
      <c r="P11" t="n">
        <v>3.5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11.63</v>
      </c>
      <c r="W11" t="n">
        <v>244.13</v>
      </c>
      <c r="X11" t="n">
        <v>232.5</v>
      </c>
      <c r="Y11" t="n">
        <v>19</v>
      </c>
      <c r="Z11" t="n">
        <v>44.18</v>
      </c>
      <c r="AA11" t="n">
        <v>4.49</v>
      </c>
      <c r="AB11" t="n">
        <v>48.67</v>
      </c>
      <c r="AC11" t="n">
        <v>8.76</v>
      </c>
      <c r="AD11" t="n">
        <v>0</v>
      </c>
      <c r="AE11" t="n">
        <v>232.5</v>
      </c>
      <c r="AF11" t="n">
        <v>0</v>
      </c>
      <c r="AG11" t="n">
        <v>0</v>
      </c>
      <c r="AH11" t="n">
        <v>0.23</v>
      </c>
      <c r="AI11" t="n">
        <v>11.63</v>
      </c>
      <c r="AJ11" t="n">
        <v>0</v>
      </c>
      <c r="AK11" t="n">
        <v>20.62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69.29000000000001</v>
      </c>
      <c r="AV11" t="n">
        <v>0</v>
      </c>
      <c r="AW11" t="n">
        <v>174.84</v>
      </c>
      <c r="AX11" t="inlineStr">
        <is>
          <t>settled</t>
        </is>
      </c>
      <c r="AY11" t="inlineStr">
        <is>
          <t>NA</t>
        </is>
      </c>
      <c r="AZ11" t="inlineStr">
        <is>
          <t>NA</t>
        </is>
      </c>
      <c r="BA11" t="n">
        <v>0</v>
      </c>
      <c r="BB11" t="inlineStr">
        <is>
          <t>30a433ebd7c0778a5392559abb419c2fae79ace8d8d336ad9d2742c07412cdf3</t>
        </is>
      </c>
    </row>
    <row r="12">
      <c r="A12" t="inlineStr">
        <is>
          <t>696</t>
        </is>
      </c>
      <c r="B12" t="inlineStr">
        <is>
          <t>7583284041</t>
        </is>
      </c>
      <c r="C12" t="inlineStr">
        <is>
          <t>2025-12-15 01:31:54</t>
        </is>
      </c>
      <c r="D12" t="inlineStr">
        <is>
          <t>51</t>
        </is>
      </c>
      <c r="E12" t="inlineStr">
        <is>
          <t>Sha Sha - Shandaar Shawarma</t>
        </is>
      </c>
      <c r="F12" t="inlineStr">
        <is>
          <t>18557902</t>
        </is>
      </c>
      <c r="G12" t="inlineStr">
        <is>
          <t>30% off upto ₹75 (2025-06-25 - 2031-01-01)</t>
        </is>
      </c>
      <c r="H12" t="inlineStr">
        <is>
          <t>ONLINE</t>
        </is>
      </c>
      <c r="I12" t="inlineStr">
        <is>
          <t>DELIVERED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O2</t>
        </is>
      </c>
      <c r="N12" t="inlineStr">
        <is>
          <t>36</t>
        </is>
      </c>
      <c r="O12" t="n">
        <v>199</v>
      </c>
      <c r="P12" t="n">
        <v>3.5</v>
      </c>
      <c r="Q12" t="n">
        <v>0</v>
      </c>
      <c r="R12" t="n">
        <v>59.7</v>
      </c>
      <c r="S12" t="n">
        <v>0</v>
      </c>
      <c r="T12" t="n">
        <v>0</v>
      </c>
      <c r="U12" t="n">
        <v>0</v>
      </c>
      <c r="V12" t="n">
        <v>7.14</v>
      </c>
      <c r="W12" t="n">
        <v>149.94</v>
      </c>
      <c r="X12" t="n">
        <v>142.8</v>
      </c>
      <c r="Y12" t="n">
        <v>19</v>
      </c>
      <c r="Z12" t="n">
        <v>27.13</v>
      </c>
      <c r="AA12" t="n">
        <v>2.76</v>
      </c>
      <c r="AB12" t="n">
        <v>29.89</v>
      </c>
      <c r="AC12" t="n">
        <v>5.38</v>
      </c>
      <c r="AD12" t="n">
        <v>0</v>
      </c>
      <c r="AE12" t="n">
        <v>142.8</v>
      </c>
      <c r="AF12" t="n">
        <v>0</v>
      </c>
      <c r="AG12" t="n">
        <v>0</v>
      </c>
      <c r="AH12" t="n">
        <v>0.14</v>
      </c>
      <c r="AI12" t="n">
        <v>7.15</v>
      </c>
      <c r="AJ12" t="n">
        <v>-0.01</v>
      </c>
      <c r="AK12" t="n">
        <v>12.67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42.56</v>
      </c>
      <c r="AV12" t="n">
        <v>0</v>
      </c>
      <c r="AW12" t="n">
        <v>107.38</v>
      </c>
      <c r="AX12" t="inlineStr">
        <is>
          <t>settled</t>
        </is>
      </c>
      <c r="AY12" t="inlineStr">
        <is>
          <t>NA</t>
        </is>
      </c>
      <c r="AZ12" t="inlineStr">
        <is>
          <t>NA</t>
        </is>
      </c>
      <c r="BA12" t="n">
        <v>0</v>
      </c>
      <c r="BB12" t="inlineStr">
        <is>
          <t>32f8d18fed18aa541f4d8917de73fe54d981a0e4de136f7e867bb1840239f8a4</t>
        </is>
      </c>
    </row>
    <row r="13">
      <c r="A13" t="inlineStr">
        <is>
          <t>697</t>
        </is>
      </c>
      <c r="B13" t="inlineStr">
        <is>
          <t>7579932219</t>
        </is>
      </c>
      <c r="C13" t="inlineStr">
        <is>
          <t>2025-12-15 01:33:14</t>
        </is>
      </c>
      <c r="D13" t="inlineStr">
        <is>
          <t>51</t>
        </is>
      </c>
      <c r="E13" t="inlineStr">
        <is>
          <t>Sha Sha - Shandaar Shawarma</t>
        </is>
      </c>
      <c r="F13" t="inlineStr">
        <is>
          <t>18557902</t>
        </is>
      </c>
      <c r="G13" t="inlineStr">
        <is>
          <t>30% off upto ₹75 (2025-06-25 - 2031-01-01)</t>
        </is>
      </c>
      <c r="H13" t="inlineStr">
        <is>
          <t>ONLINE</t>
        </is>
      </c>
      <c r="I13" t="inlineStr">
        <is>
          <t>DELIVERED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O2</t>
        </is>
      </c>
      <c r="N13" t="inlineStr">
        <is>
          <t>36</t>
        </is>
      </c>
      <c r="O13" t="n">
        <v>229</v>
      </c>
      <c r="P13" t="n">
        <v>3.5</v>
      </c>
      <c r="Q13" t="n">
        <v>0</v>
      </c>
      <c r="R13" t="n">
        <v>68.7</v>
      </c>
      <c r="S13" t="n">
        <v>0</v>
      </c>
      <c r="T13" t="n">
        <v>0</v>
      </c>
      <c r="U13" t="n">
        <v>0</v>
      </c>
      <c r="V13" t="n">
        <v>8.19</v>
      </c>
      <c r="W13" t="n">
        <v>171.99</v>
      </c>
      <c r="X13" t="n">
        <v>163.8</v>
      </c>
      <c r="Y13" t="n">
        <v>19</v>
      </c>
      <c r="Z13" t="n">
        <v>31.12</v>
      </c>
      <c r="AA13" t="n">
        <v>3.16</v>
      </c>
      <c r="AB13" t="n">
        <v>34.28</v>
      </c>
      <c r="AC13" t="n">
        <v>6.17</v>
      </c>
      <c r="AD13" t="n">
        <v>0</v>
      </c>
      <c r="AE13" t="n">
        <v>163.8</v>
      </c>
      <c r="AF13" t="n">
        <v>0</v>
      </c>
      <c r="AG13" t="n">
        <v>0</v>
      </c>
      <c r="AH13" t="n">
        <v>0.16</v>
      </c>
      <c r="AI13" t="n">
        <v>8.199999999999999</v>
      </c>
      <c r="AJ13" t="n">
        <v>-0.01</v>
      </c>
      <c r="AK13" t="n">
        <v>14.53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48.81</v>
      </c>
      <c r="AV13" t="n">
        <v>0</v>
      </c>
      <c r="AW13" t="n">
        <v>123.18</v>
      </c>
      <c r="AX13" t="inlineStr">
        <is>
          <t>settled</t>
        </is>
      </c>
      <c r="AY13" t="inlineStr">
        <is>
          <t>NA</t>
        </is>
      </c>
      <c r="AZ13" t="inlineStr">
        <is>
          <t>NA</t>
        </is>
      </c>
      <c r="BA13" t="n">
        <v>0</v>
      </c>
      <c r="BB13" t="inlineStr">
        <is>
          <t>7302b35900c76696417434d227f3e332eb9505b58da433feb8f904737c2a36b4</t>
        </is>
      </c>
    </row>
    <row r="14">
      <c r="A14" t="inlineStr">
        <is>
          <t>698</t>
        </is>
      </c>
      <c r="B14" t="inlineStr">
        <is>
          <t>7579831724</t>
        </is>
      </c>
      <c r="C14" t="inlineStr">
        <is>
          <t>2025-12-15 01:35:32</t>
        </is>
      </c>
      <c r="D14" t="inlineStr">
        <is>
          <t>51</t>
        </is>
      </c>
      <c r="E14" t="inlineStr">
        <is>
          <t>Sha Sha - Shandaar Shawarma</t>
        </is>
      </c>
      <c r="F14" t="inlineStr">
        <is>
          <t>18557902</t>
        </is>
      </c>
      <c r="G14" t="inlineStr">
        <is>
          <t>30% off upto ₹75 (2025-06-25 - 2031-01-01)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36</t>
        </is>
      </c>
      <c r="O14" t="n">
        <v>229</v>
      </c>
      <c r="P14" t="n">
        <v>3.5</v>
      </c>
      <c r="Q14" t="n">
        <v>0</v>
      </c>
      <c r="R14" t="n">
        <v>68.7</v>
      </c>
      <c r="S14" t="n">
        <v>0</v>
      </c>
      <c r="T14" t="n">
        <v>0</v>
      </c>
      <c r="U14" t="n">
        <v>0</v>
      </c>
      <c r="V14" t="n">
        <v>8.19</v>
      </c>
      <c r="W14" t="n">
        <v>171.99</v>
      </c>
      <c r="X14" t="n">
        <v>163.8</v>
      </c>
      <c r="Y14" t="n">
        <v>19</v>
      </c>
      <c r="Z14" t="n">
        <v>31.12</v>
      </c>
      <c r="AA14" t="n">
        <v>3.16</v>
      </c>
      <c r="AB14" t="n">
        <v>34.28</v>
      </c>
      <c r="AC14" t="n">
        <v>6.17</v>
      </c>
      <c r="AD14" t="n">
        <v>0</v>
      </c>
      <c r="AE14" t="n">
        <v>163.8</v>
      </c>
      <c r="AF14" t="n">
        <v>0</v>
      </c>
      <c r="AG14" t="n">
        <v>0</v>
      </c>
      <c r="AH14" t="n">
        <v>0.16</v>
      </c>
      <c r="AI14" t="n">
        <v>8.199999999999999</v>
      </c>
      <c r="AJ14" t="n">
        <v>-0.01</v>
      </c>
      <c r="AK14" t="n">
        <v>14.53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48.81</v>
      </c>
      <c r="AV14" t="n">
        <v>0</v>
      </c>
      <c r="AW14" t="n">
        <v>123.18</v>
      </c>
      <c r="AX14" t="inlineStr">
        <is>
          <t>settled</t>
        </is>
      </c>
      <c r="AY14" t="inlineStr">
        <is>
          <t>NA</t>
        </is>
      </c>
      <c r="AZ14" t="inlineStr">
        <is>
          <t>NA</t>
        </is>
      </c>
      <c r="BA14" t="n">
        <v>0</v>
      </c>
      <c r="BB14" t="inlineStr">
        <is>
          <t>a4a70e0e977a73da377b4f40475eaf264e2652e623d22ae3ef862491d5035f2f</t>
        </is>
      </c>
    </row>
    <row r="15">
      <c r="A15" t="inlineStr">
        <is>
          <t>699</t>
        </is>
      </c>
      <c r="B15" t="inlineStr">
        <is>
          <t>7580883984</t>
        </is>
      </c>
      <c r="C15" t="inlineStr">
        <is>
          <t>2025-12-15 01:39:40</t>
        </is>
      </c>
      <c r="D15" t="inlineStr">
        <is>
          <t>51</t>
        </is>
      </c>
      <c r="E15" t="inlineStr">
        <is>
          <t>Sha Sha - Shandaar Shawarma</t>
        </is>
      </c>
      <c r="F15" t="inlineStr">
        <is>
          <t>18557902</t>
        </is>
      </c>
      <c r="G15" t="inlineStr">
        <is>
          <t>30% off upto ₹75 (2025-06-25 - 2031-01-01)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36</t>
        </is>
      </c>
      <c r="O15" t="n">
        <v>229</v>
      </c>
      <c r="P15" t="n">
        <v>3.5</v>
      </c>
      <c r="Q15" t="n">
        <v>0</v>
      </c>
      <c r="R15" t="n">
        <v>68.7</v>
      </c>
      <c r="S15" t="n">
        <v>0</v>
      </c>
      <c r="T15" t="n">
        <v>0</v>
      </c>
      <c r="U15" t="n">
        <v>0</v>
      </c>
      <c r="V15" t="n">
        <v>8.19</v>
      </c>
      <c r="W15" t="n">
        <v>171.99</v>
      </c>
      <c r="X15" t="n">
        <v>163.8</v>
      </c>
      <c r="Y15" t="n">
        <v>19</v>
      </c>
      <c r="Z15" t="n">
        <v>31.12</v>
      </c>
      <c r="AA15" t="n">
        <v>3.16</v>
      </c>
      <c r="AB15" t="n">
        <v>34.28</v>
      </c>
      <c r="AC15" t="n">
        <v>6.17</v>
      </c>
      <c r="AD15" t="n">
        <v>0</v>
      </c>
      <c r="AE15" t="n">
        <v>163.8</v>
      </c>
      <c r="AF15" t="n">
        <v>0</v>
      </c>
      <c r="AG15" t="n">
        <v>0</v>
      </c>
      <c r="AH15" t="n">
        <v>0.16</v>
      </c>
      <c r="AI15" t="n">
        <v>8.199999999999999</v>
      </c>
      <c r="AJ15" t="n">
        <v>-0.01</v>
      </c>
      <c r="AK15" t="n">
        <v>14.53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48.81</v>
      </c>
      <c r="AV15" t="n">
        <v>0</v>
      </c>
      <c r="AW15" t="n">
        <v>123.18</v>
      </c>
      <c r="AX15" t="inlineStr">
        <is>
          <t>settled</t>
        </is>
      </c>
      <c r="AY15" t="inlineStr">
        <is>
          <t>NA</t>
        </is>
      </c>
      <c r="AZ15" t="inlineStr">
        <is>
          <t>NA</t>
        </is>
      </c>
      <c r="BA15" t="n">
        <v>0</v>
      </c>
      <c r="BB15" t="inlineStr">
        <is>
          <t>18528381c17e329a6530557d09b880bdc3162cae145a2e6e6884d708a508ea76</t>
        </is>
      </c>
    </row>
    <row r="16">
      <c r="A16" t="inlineStr">
        <is>
          <t>700</t>
        </is>
      </c>
      <c r="B16" t="inlineStr">
        <is>
          <t>7585405063</t>
        </is>
      </c>
      <c r="C16" t="inlineStr">
        <is>
          <t>2025-12-15 02:01:43</t>
        </is>
      </c>
      <c r="D16" t="inlineStr">
        <is>
          <t>51</t>
        </is>
      </c>
      <c r="E16" t="inlineStr">
        <is>
          <t>Sha Sha - Shandaar Shawarma</t>
        </is>
      </c>
      <c r="F16" t="inlineStr">
        <is>
          <t>18557902</t>
        </is>
      </c>
      <c r="G16" t="inlineStr">
        <is>
          <t>NA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36</t>
        </is>
      </c>
      <c r="O16" t="n">
        <v>229</v>
      </c>
      <c r="P16" t="n">
        <v>3.5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11.63</v>
      </c>
      <c r="W16" t="n">
        <v>244.13</v>
      </c>
      <c r="X16" t="n">
        <v>232.5</v>
      </c>
      <c r="Y16" t="n">
        <v>19</v>
      </c>
      <c r="Z16" t="n">
        <v>44.18</v>
      </c>
      <c r="AA16" t="n">
        <v>4.49</v>
      </c>
      <c r="AB16" t="n">
        <v>48.67</v>
      </c>
      <c r="AC16" t="n">
        <v>8.76</v>
      </c>
      <c r="AD16" t="n">
        <v>0</v>
      </c>
      <c r="AE16" t="n">
        <v>232.5</v>
      </c>
      <c r="AF16" t="n">
        <v>0</v>
      </c>
      <c r="AG16" t="n">
        <v>0</v>
      </c>
      <c r="AH16" t="n">
        <v>0.23</v>
      </c>
      <c r="AI16" t="n">
        <v>11.63</v>
      </c>
      <c r="AJ16" t="n">
        <v>0</v>
      </c>
      <c r="AK16" t="n">
        <v>20.62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69.29000000000001</v>
      </c>
      <c r="AV16" t="n">
        <v>0</v>
      </c>
      <c r="AW16" t="n">
        <v>174.84</v>
      </c>
      <c r="AX16" t="inlineStr">
        <is>
          <t>settled</t>
        </is>
      </c>
      <c r="AY16" t="inlineStr">
        <is>
          <t>NA</t>
        </is>
      </c>
      <c r="AZ16" t="inlineStr">
        <is>
          <t>NA</t>
        </is>
      </c>
      <c r="BA16" t="n">
        <v>0</v>
      </c>
      <c r="BB16" t="inlineStr">
        <is>
          <t>ced35cad68c35fa8359a99da06789cbf3deac4d34f87bba6a9f6975a9c1179c9</t>
        </is>
      </c>
    </row>
    <row r="17">
      <c r="A17" t="inlineStr">
        <is>
          <t>701</t>
        </is>
      </c>
      <c r="B17" t="inlineStr">
        <is>
          <t>7584789093</t>
        </is>
      </c>
      <c r="C17" t="inlineStr">
        <is>
          <t>2025-12-15 03:11:02</t>
        </is>
      </c>
      <c r="D17" t="inlineStr">
        <is>
          <t>51</t>
        </is>
      </c>
      <c r="E17" t="inlineStr">
        <is>
          <t>Sha Sha - Shandaar Shawarma</t>
        </is>
      </c>
      <c r="F17" t="inlineStr">
        <is>
          <t>18557902</t>
        </is>
      </c>
      <c r="G17" t="inlineStr">
        <is>
          <t>30% off upto ₹75 (2025-06-25 - 2031-01-01)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36</t>
        </is>
      </c>
      <c r="O17" t="n">
        <v>219</v>
      </c>
      <c r="P17" t="n">
        <v>3.5</v>
      </c>
      <c r="Q17" t="n">
        <v>0</v>
      </c>
      <c r="R17" t="n">
        <v>65.7</v>
      </c>
      <c r="S17" t="n">
        <v>0</v>
      </c>
      <c r="T17" t="n">
        <v>0</v>
      </c>
      <c r="U17" t="n">
        <v>0</v>
      </c>
      <c r="V17" t="n">
        <v>7.84</v>
      </c>
      <c r="W17" t="n">
        <v>164.64</v>
      </c>
      <c r="X17" t="n">
        <v>156.8</v>
      </c>
      <c r="Y17" t="n">
        <v>19</v>
      </c>
      <c r="Z17" t="n">
        <v>29.79</v>
      </c>
      <c r="AA17" t="n">
        <v>3.03</v>
      </c>
      <c r="AB17" t="n">
        <v>32.82</v>
      </c>
      <c r="AC17" t="n">
        <v>5.91</v>
      </c>
      <c r="AD17" t="n">
        <v>0</v>
      </c>
      <c r="AE17" t="n">
        <v>156.8</v>
      </c>
      <c r="AF17" t="n">
        <v>0</v>
      </c>
      <c r="AG17" t="n">
        <v>0</v>
      </c>
      <c r="AH17" t="n">
        <v>0.16</v>
      </c>
      <c r="AI17" t="n">
        <v>7.85</v>
      </c>
      <c r="AJ17" t="n">
        <v>-0.01</v>
      </c>
      <c r="AK17" t="n">
        <v>13.92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46.74</v>
      </c>
      <c r="AV17" t="n">
        <v>0</v>
      </c>
      <c r="AW17" t="n">
        <v>117.9</v>
      </c>
      <c r="AX17" t="inlineStr">
        <is>
          <t>settled</t>
        </is>
      </c>
      <c r="AY17" t="inlineStr">
        <is>
          <t>NA</t>
        </is>
      </c>
      <c r="AZ17" t="inlineStr">
        <is>
          <t>NA</t>
        </is>
      </c>
      <c r="BA17" t="n">
        <v>0</v>
      </c>
      <c r="BB17" t="inlineStr">
        <is>
          <t>e673f2ac60d1e0083216ae882954940ad02bddce9eaf8fe4c023acb44a23c5c0</t>
        </is>
      </c>
    </row>
    <row r="18">
      <c r="A18" t="inlineStr">
        <is>
          <t>702</t>
        </is>
      </c>
      <c r="B18" t="inlineStr">
        <is>
          <t>7574860964</t>
        </is>
      </c>
      <c r="C18" t="inlineStr">
        <is>
          <t>2025-12-15 03:40:10</t>
        </is>
      </c>
      <c r="D18" t="inlineStr">
        <is>
          <t>51</t>
        </is>
      </c>
      <c r="E18" t="inlineStr">
        <is>
          <t>Sha Sha - Shandaar Shawarma</t>
        </is>
      </c>
      <c r="F18" t="inlineStr">
        <is>
          <t>18557902</t>
        </is>
      </c>
      <c r="G18" t="inlineStr">
        <is>
          <t>30% off upto ₹75 (2025-06-25 - 2031-01-01)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36</t>
        </is>
      </c>
      <c r="O18" t="n">
        <v>229</v>
      </c>
      <c r="P18" t="n">
        <v>3.5</v>
      </c>
      <c r="Q18" t="n">
        <v>0</v>
      </c>
      <c r="R18" t="n">
        <v>68.7</v>
      </c>
      <c r="S18" t="n">
        <v>0</v>
      </c>
      <c r="T18" t="n">
        <v>0</v>
      </c>
      <c r="U18" t="n">
        <v>0</v>
      </c>
      <c r="V18" t="n">
        <v>8.19</v>
      </c>
      <c r="W18" t="n">
        <v>171.99</v>
      </c>
      <c r="X18" t="n">
        <v>163.8</v>
      </c>
      <c r="Y18" t="n">
        <v>19</v>
      </c>
      <c r="Z18" t="n">
        <v>31.12</v>
      </c>
      <c r="AA18" t="n">
        <v>3.16</v>
      </c>
      <c r="AB18" t="n">
        <v>34.28</v>
      </c>
      <c r="AC18" t="n">
        <v>6.17</v>
      </c>
      <c r="AD18" t="n">
        <v>0</v>
      </c>
      <c r="AE18" t="n">
        <v>163.8</v>
      </c>
      <c r="AF18" t="n">
        <v>0</v>
      </c>
      <c r="AG18" t="n">
        <v>0</v>
      </c>
      <c r="AH18" t="n">
        <v>0.16</v>
      </c>
      <c r="AI18" t="n">
        <v>8.199999999999999</v>
      </c>
      <c r="AJ18" t="n">
        <v>-0.01</v>
      </c>
      <c r="AK18" t="n">
        <v>14.53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48.81</v>
      </c>
      <c r="AV18" t="n">
        <v>0</v>
      </c>
      <c r="AW18" t="n">
        <v>123.18</v>
      </c>
      <c r="AX18" t="inlineStr">
        <is>
          <t>settled</t>
        </is>
      </c>
      <c r="AY18" t="inlineStr">
        <is>
          <t>NA</t>
        </is>
      </c>
      <c r="AZ18" t="inlineStr">
        <is>
          <t>NA</t>
        </is>
      </c>
      <c r="BA18" t="n">
        <v>0</v>
      </c>
      <c r="BB18" t="inlineStr">
        <is>
          <t>5ec2944684741fdb4c33204998bcd3542019d54ecb5a7a85f4bccae7745f5d67</t>
        </is>
      </c>
    </row>
    <row r="19">
      <c r="A19" t="inlineStr">
        <is>
          <t>703</t>
        </is>
      </c>
      <c r="B19" t="inlineStr">
        <is>
          <t>7585022194</t>
        </is>
      </c>
      <c r="C19" t="inlineStr">
        <is>
          <t>2025-12-15 03:46:44</t>
        </is>
      </c>
      <c r="D19" t="inlineStr">
        <is>
          <t>51</t>
        </is>
      </c>
      <c r="E19" t="inlineStr">
        <is>
          <t>Sha Sha - Shandaar Shawarma</t>
        </is>
      </c>
      <c r="F19" t="inlineStr">
        <is>
          <t>18557902</t>
        </is>
      </c>
      <c r="G19" t="inlineStr">
        <is>
          <t>NA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36</t>
        </is>
      </c>
      <c r="O19" t="n">
        <v>229</v>
      </c>
      <c r="P19" t="n">
        <v>3.5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11.63</v>
      </c>
      <c r="W19" t="n">
        <v>244.13</v>
      </c>
      <c r="X19" t="n">
        <v>232.5</v>
      </c>
      <c r="Y19" t="n">
        <v>19</v>
      </c>
      <c r="Z19" t="n">
        <v>44.18</v>
      </c>
      <c r="AA19" t="n">
        <v>4.49</v>
      </c>
      <c r="AB19" t="n">
        <v>48.67</v>
      </c>
      <c r="AC19" t="n">
        <v>8.76</v>
      </c>
      <c r="AD19" t="n">
        <v>0</v>
      </c>
      <c r="AE19" t="n">
        <v>232.5</v>
      </c>
      <c r="AF19" t="n">
        <v>0</v>
      </c>
      <c r="AG19" t="n">
        <v>0</v>
      </c>
      <c r="AH19" t="n">
        <v>0.23</v>
      </c>
      <c r="AI19" t="n">
        <v>11.63</v>
      </c>
      <c r="AJ19" t="n">
        <v>0</v>
      </c>
      <c r="AK19" t="n">
        <v>20.62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69.29000000000001</v>
      </c>
      <c r="AV19" t="n">
        <v>0</v>
      </c>
      <c r="AW19" t="n">
        <v>174.84</v>
      </c>
      <c r="AX19" t="inlineStr">
        <is>
          <t>settled</t>
        </is>
      </c>
      <c r="AY19" t="inlineStr">
        <is>
          <t>NA</t>
        </is>
      </c>
      <c r="AZ19" t="inlineStr">
        <is>
          <t>NA</t>
        </is>
      </c>
      <c r="BA19" t="n">
        <v>0</v>
      </c>
      <c r="BB19" t="inlineStr">
        <is>
          <t>4b191d2c83cc78a5749ced18b32cde4686e8c0ede74ff2603abdcfdc1a369e5c</t>
        </is>
      </c>
    </row>
    <row r="20">
      <c r="A20" t="inlineStr">
        <is>
          <t>704</t>
        </is>
      </c>
      <c r="B20" t="inlineStr">
        <is>
          <t>7585466067</t>
        </is>
      </c>
      <c r="C20" t="inlineStr">
        <is>
          <t>2025-12-15 03:48:52</t>
        </is>
      </c>
      <c r="D20" t="inlineStr">
        <is>
          <t>51</t>
        </is>
      </c>
      <c r="E20" t="inlineStr">
        <is>
          <t>Sha Sha - Shandaar Shawarma</t>
        </is>
      </c>
      <c r="F20" t="inlineStr">
        <is>
          <t>18557902</t>
        </is>
      </c>
      <c r="G20" t="inlineStr">
        <is>
          <t>30% off upto ₹75 (2025-06-25 - 2031-01-01)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36</t>
        </is>
      </c>
      <c r="O20" t="n">
        <v>229</v>
      </c>
      <c r="P20" t="n">
        <v>3.5</v>
      </c>
      <c r="Q20" t="n">
        <v>0</v>
      </c>
      <c r="R20" t="n">
        <v>68.7</v>
      </c>
      <c r="S20" t="n">
        <v>0</v>
      </c>
      <c r="T20" t="n">
        <v>0</v>
      </c>
      <c r="U20" t="n">
        <v>0</v>
      </c>
      <c r="V20" t="n">
        <v>8.19</v>
      </c>
      <c r="W20" t="n">
        <v>171.99</v>
      </c>
      <c r="X20" t="n">
        <v>163.8</v>
      </c>
      <c r="Y20" t="n">
        <v>19</v>
      </c>
      <c r="Z20" t="n">
        <v>31.12</v>
      </c>
      <c r="AA20" t="n">
        <v>3.16</v>
      </c>
      <c r="AB20" t="n">
        <v>34.28</v>
      </c>
      <c r="AC20" t="n">
        <v>6.17</v>
      </c>
      <c r="AD20" t="n">
        <v>0</v>
      </c>
      <c r="AE20" t="n">
        <v>163.8</v>
      </c>
      <c r="AF20" t="n">
        <v>0</v>
      </c>
      <c r="AG20" t="n">
        <v>0</v>
      </c>
      <c r="AH20" t="n">
        <v>0.16</v>
      </c>
      <c r="AI20" t="n">
        <v>8.199999999999999</v>
      </c>
      <c r="AJ20" t="n">
        <v>-0.01</v>
      </c>
      <c r="AK20" t="n">
        <v>14.53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48.81</v>
      </c>
      <c r="AV20" t="n">
        <v>0</v>
      </c>
      <c r="AW20" t="n">
        <v>123.18</v>
      </c>
      <c r="AX20" t="inlineStr">
        <is>
          <t>settled</t>
        </is>
      </c>
      <c r="AY20" t="inlineStr">
        <is>
          <t>NA</t>
        </is>
      </c>
      <c r="AZ20" t="inlineStr">
        <is>
          <t>NA</t>
        </is>
      </c>
      <c r="BA20" t="n">
        <v>0</v>
      </c>
      <c r="BB20" t="inlineStr">
        <is>
          <t>d8a04096fbe79eabd2d41e7826316715012d3c4c8a3d5a097294878be6c923ea</t>
        </is>
      </c>
    </row>
    <row r="21">
      <c r="A21" t="inlineStr">
        <is>
          <t>705</t>
        </is>
      </c>
      <c r="B21" t="inlineStr">
        <is>
          <t>7584311464</t>
        </is>
      </c>
      <c r="C21" t="inlineStr">
        <is>
          <t>2025-12-15 13:07:52</t>
        </is>
      </c>
      <c r="D21" t="inlineStr">
        <is>
          <t>51</t>
        </is>
      </c>
      <c r="E21" t="inlineStr">
        <is>
          <t>Sha Sha - Shandaar Shawarma</t>
        </is>
      </c>
      <c r="F21" t="inlineStr">
        <is>
          <t>18557902</t>
        </is>
      </c>
      <c r="G21" t="inlineStr">
        <is>
          <t>NA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36</t>
        </is>
      </c>
      <c r="O21" t="n">
        <v>219</v>
      </c>
      <c r="P21" t="n">
        <v>3.5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11.13</v>
      </c>
      <c r="W21" t="n">
        <v>233.63</v>
      </c>
      <c r="X21" t="n">
        <v>222.5</v>
      </c>
      <c r="Y21" t="n">
        <v>19</v>
      </c>
      <c r="Z21" t="n">
        <v>42.28</v>
      </c>
      <c r="AA21" t="n">
        <v>4.3</v>
      </c>
      <c r="AB21" t="n">
        <v>46.58</v>
      </c>
      <c r="AC21" t="n">
        <v>8.380000000000001</v>
      </c>
      <c r="AD21" t="n">
        <v>0</v>
      </c>
      <c r="AE21" t="n">
        <v>222.5</v>
      </c>
      <c r="AF21" t="n">
        <v>0</v>
      </c>
      <c r="AG21" t="n">
        <v>0</v>
      </c>
      <c r="AH21" t="n">
        <v>0.22</v>
      </c>
      <c r="AI21" t="n">
        <v>11.13</v>
      </c>
      <c r="AJ21" t="n">
        <v>0</v>
      </c>
      <c r="AK21" t="n">
        <v>19.73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66.31</v>
      </c>
      <c r="AV21" t="n">
        <v>0</v>
      </c>
      <c r="AW21" t="n">
        <v>167.32</v>
      </c>
      <c r="AX21" t="inlineStr">
        <is>
          <t>settled</t>
        </is>
      </c>
      <c r="AY21" t="inlineStr">
        <is>
          <t>NA</t>
        </is>
      </c>
      <c r="AZ21" t="inlineStr">
        <is>
          <t>NA</t>
        </is>
      </c>
      <c r="BA21" t="n">
        <v>0</v>
      </c>
      <c r="BB21" t="inlineStr">
        <is>
          <t>c670820e312cb0320bfcab4f45be86c9362030486343e54eaa81940e1b2be9cb</t>
        </is>
      </c>
    </row>
    <row r="22">
      <c r="A22" t="inlineStr">
        <is>
          <t>706</t>
        </is>
      </c>
      <c r="B22" t="inlineStr">
        <is>
          <t>7579955083</t>
        </is>
      </c>
      <c r="C22" t="inlineStr">
        <is>
          <t>2025-12-15 14:12:34</t>
        </is>
      </c>
      <c r="D22" t="inlineStr">
        <is>
          <t>51</t>
        </is>
      </c>
      <c r="E22" t="inlineStr">
        <is>
          <t>Sha Sha - Shandaar Shawarma</t>
        </is>
      </c>
      <c r="F22" t="inlineStr">
        <is>
          <t>18557902</t>
        </is>
      </c>
      <c r="G22" t="inlineStr">
        <is>
          <t>30% off upto ₹75 (2025-06-25 - 2031-01-01)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36</t>
        </is>
      </c>
      <c r="O22" t="n">
        <v>289</v>
      </c>
      <c r="P22" t="n">
        <v>3.5</v>
      </c>
      <c r="Q22" t="n">
        <v>0</v>
      </c>
      <c r="R22" t="n">
        <v>75</v>
      </c>
      <c r="S22" t="n">
        <v>0</v>
      </c>
      <c r="T22" t="n">
        <v>0</v>
      </c>
      <c r="U22" t="n">
        <v>0</v>
      </c>
      <c r="V22" t="n">
        <v>10.88</v>
      </c>
      <c r="W22" t="n">
        <v>228.38</v>
      </c>
      <c r="X22" t="n">
        <v>217.5</v>
      </c>
      <c r="Y22" t="n">
        <v>19</v>
      </c>
      <c r="Z22" t="n">
        <v>41.32</v>
      </c>
      <c r="AA22" t="n">
        <v>4.2</v>
      </c>
      <c r="AB22" t="n">
        <v>45.52</v>
      </c>
      <c r="AC22" t="n">
        <v>8.199999999999999</v>
      </c>
      <c r="AD22" t="n">
        <v>0</v>
      </c>
      <c r="AE22" t="n">
        <v>217.5</v>
      </c>
      <c r="AF22" t="n">
        <v>0</v>
      </c>
      <c r="AG22" t="n">
        <v>0</v>
      </c>
      <c r="AH22" t="n">
        <v>0.22</v>
      </c>
      <c r="AI22" t="n">
        <v>10.88</v>
      </c>
      <c r="AJ22" t="n">
        <v>0</v>
      </c>
      <c r="AK22" t="n">
        <v>19.3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64.81999999999999</v>
      </c>
      <c r="AV22" t="n">
        <v>0</v>
      </c>
      <c r="AW22" t="n">
        <v>163.56</v>
      </c>
      <c r="AX22" t="inlineStr">
        <is>
          <t>settled</t>
        </is>
      </c>
      <c r="AY22" t="inlineStr">
        <is>
          <t>NA</t>
        </is>
      </c>
      <c r="AZ22" t="inlineStr">
        <is>
          <t>NA</t>
        </is>
      </c>
      <c r="BA22" t="n">
        <v>0</v>
      </c>
      <c r="BB22" t="inlineStr">
        <is>
          <t>6ddef377f1abd43313196477c47c882d97dcf964b1b28bc82729d6538c7b80f0</t>
        </is>
      </c>
    </row>
    <row r="23">
      <c r="A23" t="inlineStr">
        <is>
          <t>707</t>
        </is>
      </c>
      <c r="B23" t="inlineStr">
        <is>
          <t>7581536332</t>
        </is>
      </c>
      <c r="C23" t="inlineStr">
        <is>
          <t>2025-12-15 14:42:47</t>
        </is>
      </c>
      <c r="D23" t="inlineStr">
        <is>
          <t>51</t>
        </is>
      </c>
      <c r="E23" t="inlineStr">
        <is>
          <t>Sha Sha - Shandaar Shawarma</t>
        </is>
      </c>
      <c r="F23" t="inlineStr">
        <is>
          <t>18557902</t>
        </is>
      </c>
      <c r="G23" t="inlineStr">
        <is>
          <t>NA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36</t>
        </is>
      </c>
      <c r="O23" t="n">
        <v>219</v>
      </c>
      <c r="P23" t="n">
        <v>3.5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11.13</v>
      </c>
      <c r="W23" t="n">
        <v>233.63</v>
      </c>
      <c r="X23" t="n">
        <v>222.5</v>
      </c>
      <c r="Y23" t="n">
        <v>19</v>
      </c>
      <c r="Z23" t="n">
        <v>42.28</v>
      </c>
      <c r="AA23" t="n">
        <v>4.3</v>
      </c>
      <c r="AB23" t="n">
        <v>46.58</v>
      </c>
      <c r="AC23" t="n">
        <v>8.380000000000001</v>
      </c>
      <c r="AD23" t="n">
        <v>0</v>
      </c>
      <c r="AE23" t="n">
        <v>222.5</v>
      </c>
      <c r="AF23" t="n">
        <v>0</v>
      </c>
      <c r="AG23" t="n">
        <v>0</v>
      </c>
      <c r="AH23" t="n">
        <v>0.22</v>
      </c>
      <c r="AI23" t="n">
        <v>11.13</v>
      </c>
      <c r="AJ23" t="n">
        <v>0</v>
      </c>
      <c r="AK23" t="n">
        <v>19.73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66.31</v>
      </c>
      <c r="AV23" t="n">
        <v>0</v>
      </c>
      <c r="AW23" t="n">
        <v>167.32</v>
      </c>
      <c r="AX23" t="inlineStr">
        <is>
          <t>settled</t>
        </is>
      </c>
      <c r="AY23" t="inlineStr">
        <is>
          <t>NA</t>
        </is>
      </c>
      <c r="AZ23" t="inlineStr">
        <is>
          <t>NA</t>
        </is>
      </c>
      <c r="BA23" t="n">
        <v>0</v>
      </c>
      <c r="BB23" t="inlineStr">
        <is>
          <t>6bc04d2d1ced4adffce1a5001e257d8975f097a8bfdb75391eb6c1a6d77d687d</t>
        </is>
      </c>
    </row>
    <row r="24">
      <c r="A24" t="inlineStr">
        <is>
          <t>708</t>
        </is>
      </c>
      <c r="B24" t="inlineStr">
        <is>
          <t>7586234099</t>
        </is>
      </c>
      <c r="C24" t="inlineStr">
        <is>
          <t>2025-12-15 15:08:28</t>
        </is>
      </c>
      <c r="D24" t="inlineStr">
        <is>
          <t>51</t>
        </is>
      </c>
      <c r="E24" t="inlineStr">
        <is>
          <t>Sha Sha - Shandaar Shawarma</t>
        </is>
      </c>
      <c r="F24" t="inlineStr">
        <is>
          <t>18557902</t>
        </is>
      </c>
      <c r="G24" t="inlineStr">
        <is>
          <t>30% off upto ₹75 (2025-06-25 - 2031-01-01)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36</t>
        </is>
      </c>
      <c r="O24" t="n">
        <v>229</v>
      </c>
      <c r="P24" t="n">
        <v>3.5</v>
      </c>
      <c r="Q24" t="n">
        <v>0</v>
      </c>
      <c r="R24" t="n">
        <v>68.7</v>
      </c>
      <c r="S24" t="n">
        <v>0</v>
      </c>
      <c r="T24" t="n">
        <v>0</v>
      </c>
      <c r="U24" t="n">
        <v>0</v>
      </c>
      <c r="V24" t="n">
        <v>8.19</v>
      </c>
      <c r="W24" t="n">
        <v>171.99</v>
      </c>
      <c r="X24" t="n">
        <v>163.8</v>
      </c>
      <c r="Y24" t="n">
        <v>19</v>
      </c>
      <c r="Z24" t="n">
        <v>31.12</v>
      </c>
      <c r="AA24" t="n">
        <v>3.16</v>
      </c>
      <c r="AB24" t="n">
        <v>34.28</v>
      </c>
      <c r="AC24" t="n">
        <v>6.17</v>
      </c>
      <c r="AD24" t="n">
        <v>0</v>
      </c>
      <c r="AE24" t="n">
        <v>163.8</v>
      </c>
      <c r="AF24" t="n">
        <v>0</v>
      </c>
      <c r="AG24" t="n">
        <v>0</v>
      </c>
      <c r="AH24" t="n">
        <v>0.16</v>
      </c>
      <c r="AI24" t="n">
        <v>8.199999999999999</v>
      </c>
      <c r="AJ24" t="n">
        <v>-0.01</v>
      </c>
      <c r="AK24" t="n">
        <v>14.53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48.81</v>
      </c>
      <c r="AV24" t="n">
        <v>0</v>
      </c>
      <c r="AW24" t="n">
        <v>123.18</v>
      </c>
      <c r="AX24" t="inlineStr">
        <is>
          <t>settled</t>
        </is>
      </c>
      <c r="AY24" t="inlineStr">
        <is>
          <t>NA</t>
        </is>
      </c>
      <c r="AZ24" t="inlineStr">
        <is>
          <t>NA</t>
        </is>
      </c>
      <c r="BA24" t="n">
        <v>0</v>
      </c>
      <c r="BB24" t="inlineStr">
        <is>
          <t>cd1d729f19545a7ba9c87f033edcf2df709d50b09d4c4fc6c7be1c756275bea6</t>
        </is>
      </c>
    </row>
    <row r="25">
      <c r="A25" t="inlineStr">
        <is>
          <t>709</t>
        </is>
      </c>
      <c r="B25" t="inlineStr">
        <is>
          <t>7568309264</t>
        </is>
      </c>
      <c r="C25" t="inlineStr">
        <is>
          <t>2025-12-15 15:46:44</t>
        </is>
      </c>
      <c r="D25" t="inlineStr">
        <is>
          <t>51</t>
        </is>
      </c>
      <c r="E25" t="inlineStr">
        <is>
          <t>Sha Sha - Shandaar Shawarma</t>
        </is>
      </c>
      <c r="F25" t="inlineStr">
        <is>
          <t>18557902</t>
        </is>
      </c>
      <c r="G25" t="inlineStr">
        <is>
          <t>30% off upto ₹75 (2025-06-25 - 2031-01-01)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36</t>
        </is>
      </c>
      <c r="O25" t="n">
        <v>229</v>
      </c>
      <c r="P25" t="n">
        <v>3.5</v>
      </c>
      <c r="Q25" t="n">
        <v>0</v>
      </c>
      <c r="R25" t="n">
        <v>68.7</v>
      </c>
      <c r="S25" t="n">
        <v>0</v>
      </c>
      <c r="T25" t="n">
        <v>0</v>
      </c>
      <c r="U25" t="n">
        <v>0</v>
      </c>
      <c r="V25" t="n">
        <v>8.19</v>
      </c>
      <c r="W25" t="n">
        <v>171.99</v>
      </c>
      <c r="X25" t="n">
        <v>163.8</v>
      </c>
      <c r="Y25" t="n">
        <v>19</v>
      </c>
      <c r="Z25" t="n">
        <v>31.12</v>
      </c>
      <c r="AA25" t="n">
        <v>3.16</v>
      </c>
      <c r="AB25" t="n">
        <v>34.28</v>
      </c>
      <c r="AC25" t="n">
        <v>6.17</v>
      </c>
      <c r="AD25" t="n">
        <v>0</v>
      </c>
      <c r="AE25" t="n">
        <v>163.8</v>
      </c>
      <c r="AF25" t="n">
        <v>0</v>
      </c>
      <c r="AG25" t="n">
        <v>0</v>
      </c>
      <c r="AH25" t="n">
        <v>0.16</v>
      </c>
      <c r="AI25" t="n">
        <v>8.199999999999999</v>
      </c>
      <c r="AJ25" t="n">
        <v>-0.01</v>
      </c>
      <c r="AK25" t="n">
        <v>14.53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48.81</v>
      </c>
      <c r="AV25" t="n">
        <v>0</v>
      </c>
      <c r="AW25" t="n">
        <v>123.18</v>
      </c>
      <c r="AX25" t="inlineStr">
        <is>
          <t>settled</t>
        </is>
      </c>
      <c r="AY25" t="inlineStr">
        <is>
          <t>NA</t>
        </is>
      </c>
      <c r="AZ25" t="inlineStr">
        <is>
          <t>NA</t>
        </is>
      </c>
      <c r="BA25" t="n">
        <v>0</v>
      </c>
      <c r="BB25" t="inlineStr">
        <is>
          <t>4e5c358352b7fb39cac945c9d640af364487483e7363eafd7ca5e1258567f53f</t>
        </is>
      </c>
    </row>
    <row r="26">
      <c r="A26" t="inlineStr">
        <is>
          <t>710</t>
        </is>
      </c>
      <c r="B26" t="inlineStr">
        <is>
          <t>7580391103</t>
        </is>
      </c>
      <c r="C26" t="inlineStr">
        <is>
          <t>2025-12-15 16:56:02</t>
        </is>
      </c>
      <c r="D26" t="inlineStr">
        <is>
          <t>51</t>
        </is>
      </c>
      <c r="E26" t="inlineStr">
        <is>
          <t>Sha Sha - Shandaar Shawarma</t>
        </is>
      </c>
      <c r="F26" t="inlineStr">
        <is>
          <t>18557902</t>
        </is>
      </c>
      <c r="G26" t="inlineStr">
        <is>
          <t>NA</t>
        </is>
      </c>
      <c r="H26" t="inlineStr">
        <is>
          <t>ONLINE</t>
        </is>
      </c>
      <c r="I26" t="inlineStr">
        <is>
          <t>DELIVERED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O2</t>
        </is>
      </c>
      <c r="N26" t="inlineStr">
        <is>
          <t>36</t>
        </is>
      </c>
      <c r="O26" t="n">
        <v>229</v>
      </c>
      <c r="P26" t="n">
        <v>3.5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11.63</v>
      </c>
      <c r="W26" t="n">
        <v>244.13</v>
      </c>
      <c r="X26" t="n">
        <v>232.5</v>
      </c>
      <c r="Y26" t="n">
        <v>19</v>
      </c>
      <c r="Z26" t="n">
        <v>44.18</v>
      </c>
      <c r="AA26" t="n">
        <v>4.49</v>
      </c>
      <c r="AB26" t="n">
        <v>48.67</v>
      </c>
      <c r="AC26" t="n">
        <v>8.76</v>
      </c>
      <c r="AD26" t="n">
        <v>0</v>
      </c>
      <c r="AE26" t="n">
        <v>232.5</v>
      </c>
      <c r="AF26" t="n">
        <v>0</v>
      </c>
      <c r="AG26" t="n">
        <v>0</v>
      </c>
      <c r="AH26" t="n">
        <v>0.23</v>
      </c>
      <c r="AI26" t="n">
        <v>11.63</v>
      </c>
      <c r="AJ26" t="n">
        <v>0</v>
      </c>
      <c r="AK26" t="n">
        <v>20.62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69.29000000000001</v>
      </c>
      <c r="AV26" t="n">
        <v>0</v>
      </c>
      <c r="AW26" t="n">
        <v>174.84</v>
      </c>
      <c r="AX26" t="inlineStr">
        <is>
          <t>settled</t>
        </is>
      </c>
      <c r="AY26" t="inlineStr">
        <is>
          <t>NA</t>
        </is>
      </c>
      <c r="AZ26" t="inlineStr">
        <is>
          <t>NA</t>
        </is>
      </c>
      <c r="BA26" t="n">
        <v>0</v>
      </c>
      <c r="BB26" t="inlineStr">
        <is>
          <t>c864cabf967482366bc1c469efc09862e44310c384611918b958675dd5273767</t>
        </is>
      </c>
    </row>
    <row r="27">
      <c r="A27" t="inlineStr">
        <is>
          <t>711</t>
        </is>
      </c>
      <c r="B27" t="inlineStr">
        <is>
          <t>7586269969</t>
        </is>
      </c>
      <c r="C27" t="inlineStr">
        <is>
          <t>2025-12-15 16:57:04</t>
        </is>
      </c>
      <c r="D27" t="inlineStr">
        <is>
          <t>51</t>
        </is>
      </c>
      <c r="E27" t="inlineStr">
        <is>
          <t>Sha Sha - Shandaar Shawarma</t>
        </is>
      </c>
      <c r="F27" t="inlineStr">
        <is>
          <t>18557902</t>
        </is>
      </c>
      <c r="G27" t="inlineStr">
        <is>
          <t>30% off upto ₹75 (2025-06-25 - 2031-01-01)</t>
        </is>
      </c>
      <c r="H27" t="inlineStr">
        <is>
          <t>ONLINE</t>
        </is>
      </c>
      <c r="I27" t="inlineStr">
        <is>
          <t>DELIVERED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O2</t>
        </is>
      </c>
      <c r="N27" t="inlineStr">
        <is>
          <t>36</t>
        </is>
      </c>
      <c r="O27" t="n">
        <v>229</v>
      </c>
      <c r="P27" t="n">
        <v>3.5</v>
      </c>
      <c r="Q27" t="n">
        <v>0</v>
      </c>
      <c r="R27" t="n">
        <v>68.7</v>
      </c>
      <c r="S27" t="n">
        <v>0</v>
      </c>
      <c r="T27" t="n">
        <v>0</v>
      </c>
      <c r="U27" t="n">
        <v>0</v>
      </c>
      <c r="V27" t="n">
        <v>8.19</v>
      </c>
      <c r="W27" t="n">
        <v>171.99</v>
      </c>
      <c r="X27" t="n">
        <v>163.8</v>
      </c>
      <c r="Y27" t="n">
        <v>19</v>
      </c>
      <c r="Z27" t="n">
        <v>31.12</v>
      </c>
      <c r="AA27" t="n">
        <v>3.16</v>
      </c>
      <c r="AB27" t="n">
        <v>34.28</v>
      </c>
      <c r="AC27" t="n">
        <v>6.17</v>
      </c>
      <c r="AD27" t="n">
        <v>0</v>
      </c>
      <c r="AE27" t="n">
        <v>163.8</v>
      </c>
      <c r="AF27" t="n">
        <v>0</v>
      </c>
      <c r="AG27" t="n">
        <v>0</v>
      </c>
      <c r="AH27" t="n">
        <v>0.16</v>
      </c>
      <c r="AI27" t="n">
        <v>8.199999999999999</v>
      </c>
      <c r="AJ27" t="n">
        <v>-0.01</v>
      </c>
      <c r="AK27" t="n">
        <v>14.53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48.81</v>
      </c>
      <c r="AV27" t="n">
        <v>0</v>
      </c>
      <c r="AW27" t="n">
        <v>123.18</v>
      </c>
      <c r="AX27" t="inlineStr">
        <is>
          <t>settled</t>
        </is>
      </c>
      <c r="AY27" t="inlineStr">
        <is>
          <t>NA</t>
        </is>
      </c>
      <c r="AZ27" t="inlineStr">
        <is>
          <t>NA</t>
        </is>
      </c>
      <c r="BA27" t="n">
        <v>0</v>
      </c>
      <c r="BB27" t="inlineStr">
        <is>
          <t>c864cabf967482366bc1c469efc09862e44310c384611918b958675dd5273767</t>
        </is>
      </c>
    </row>
    <row r="28">
      <c r="A28" t="inlineStr">
        <is>
          <t>712</t>
        </is>
      </c>
      <c r="B28" t="inlineStr">
        <is>
          <t>7584887112</t>
        </is>
      </c>
      <c r="C28" t="inlineStr">
        <is>
          <t>2025-12-15 17:10:08</t>
        </is>
      </c>
      <c r="D28" t="inlineStr">
        <is>
          <t>51</t>
        </is>
      </c>
      <c r="E28" t="inlineStr">
        <is>
          <t>Sha Sha - Shandaar Shawarma</t>
        </is>
      </c>
      <c r="F28" t="inlineStr">
        <is>
          <t>18557902</t>
        </is>
      </c>
      <c r="G28" t="inlineStr">
        <is>
          <t>30% off upto ₹75 (2025-06-25 - 2031-01-01)</t>
        </is>
      </c>
      <c r="H28" t="inlineStr">
        <is>
          <t>ONLINE</t>
        </is>
      </c>
      <c r="I28" t="inlineStr">
        <is>
          <t>DELIVERED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O2</t>
        </is>
      </c>
      <c r="N28" t="inlineStr">
        <is>
          <t>36</t>
        </is>
      </c>
      <c r="O28" t="n">
        <v>229</v>
      </c>
      <c r="P28" t="n">
        <v>3.5</v>
      </c>
      <c r="Q28" t="n">
        <v>0</v>
      </c>
      <c r="R28" t="n">
        <v>68.7</v>
      </c>
      <c r="S28" t="n">
        <v>0</v>
      </c>
      <c r="T28" t="n">
        <v>0</v>
      </c>
      <c r="U28" t="n">
        <v>0</v>
      </c>
      <c r="V28" t="n">
        <v>8.19</v>
      </c>
      <c r="W28" t="n">
        <v>171.99</v>
      </c>
      <c r="X28" t="n">
        <v>163.8</v>
      </c>
      <c r="Y28" t="n">
        <v>19</v>
      </c>
      <c r="Z28" t="n">
        <v>31.12</v>
      </c>
      <c r="AA28" t="n">
        <v>3.16</v>
      </c>
      <c r="AB28" t="n">
        <v>34.28</v>
      </c>
      <c r="AC28" t="n">
        <v>6.17</v>
      </c>
      <c r="AD28" t="n">
        <v>0</v>
      </c>
      <c r="AE28" t="n">
        <v>163.8</v>
      </c>
      <c r="AF28" t="n">
        <v>0</v>
      </c>
      <c r="AG28" t="n">
        <v>0</v>
      </c>
      <c r="AH28" t="n">
        <v>0.16</v>
      </c>
      <c r="AI28" t="n">
        <v>8.199999999999999</v>
      </c>
      <c r="AJ28" t="n">
        <v>-0.01</v>
      </c>
      <c r="AK28" t="n">
        <v>14.53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48.81</v>
      </c>
      <c r="AV28" t="n">
        <v>0</v>
      </c>
      <c r="AW28" t="n">
        <v>123.18</v>
      </c>
      <c r="AX28" t="inlineStr">
        <is>
          <t>settled</t>
        </is>
      </c>
      <c r="AY28" t="inlineStr">
        <is>
          <t>NA</t>
        </is>
      </c>
      <c r="AZ28" t="inlineStr">
        <is>
          <t>NA</t>
        </is>
      </c>
      <c r="BA28" t="n">
        <v>0</v>
      </c>
      <c r="BB28" t="inlineStr">
        <is>
          <t>daa04af0cebcab8848a2d816fdd79038b7e181e971f49fe06756355fb97e1cc4</t>
        </is>
      </c>
    </row>
    <row r="29">
      <c r="A29" t="inlineStr">
        <is>
          <t>713</t>
        </is>
      </c>
      <c r="B29" t="inlineStr">
        <is>
          <t>7578847970</t>
        </is>
      </c>
      <c r="C29" t="inlineStr">
        <is>
          <t>2025-12-15 17:34:10</t>
        </is>
      </c>
      <c r="D29" t="inlineStr">
        <is>
          <t>51</t>
        </is>
      </c>
      <c r="E29" t="inlineStr">
        <is>
          <t>Sha Sha - Shandaar Shawarma</t>
        </is>
      </c>
      <c r="F29" t="inlineStr">
        <is>
          <t>18557902</t>
        </is>
      </c>
      <c r="G29" t="inlineStr">
        <is>
          <t>30% off upto ₹75 (2025-06-25 - 2031-01-01)</t>
        </is>
      </c>
      <c r="H29" t="inlineStr">
        <is>
          <t>ONLINE</t>
        </is>
      </c>
      <c r="I29" t="inlineStr">
        <is>
          <t>DELIVERED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O2</t>
        </is>
      </c>
      <c r="N29" t="inlineStr">
        <is>
          <t>36</t>
        </is>
      </c>
      <c r="O29" t="n">
        <v>229</v>
      </c>
      <c r="P29" t="n">
        <v>3.5</v>
      </c>
      <c r="Q29" t="n">
        <v>0</v>
      </c>
      <c r="R29" t="n">
        <v>68.7</v>
      </c>
      <c r="S29" t="n">
        <v>0</v>
      </c>
      <c r="T29" t="n">
        <v>0</v>
      </c>
      <c r="U29" t="n">
        <v>0</v>
      </c>
      <c r="V29" t="n">
        <v>8.19</v>
      </c>
      <c r="W29" t="n">
        <v>171.99</v>
      </c>
      <c r="X29" t="n">
        <v>163.8</v>
      </c>
      <c r="Y29" t="n">
        <v>19</v>
      </c>
      <c r="Z29" t="n">
        <v>31.12</v>
      </c>
      <c r="AA29" t="n">
        <v>3.16</v>
      </c>
      <c r="AB29" t="n">
        <v>34.28</v>
      </c>
      <c r="AC29" t="n">
        <v>6.17</v>
      </c>
      <c r="AD29" t="n">
        <v>0</v>
      </c>
      <c r="AE29" t="n">
        <v>163.8</v>
      </c>
      <c r="AF29" t="n">
        <v>0</v>
      </c>
      <c r="AG29" t="n">
        <v>0</v>
      </c>
      <c r="AH29" t="n">
        <v>0.16</v>
      </c>
      <c r="AI29" t="n">
        <v>8.199999999999999</v>
      </c>
      <c r="AJ29" t="n">
        <v>-0.01</v>
      </c>
      <c r="AK29" t="n">
        <v>14.53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48.81</v>
      </c>
      <c r="AV29" t="n">
        <v>0</v>
      </c>
      <c r="AW29" t="n">
        <v>123.18</v>
      </c>
      <c r="AX29" t="inlineStr">
        <is>
          <t>settled</t>
        </is>
      </c>
      <c r="AY29" t="inlineStr">
        <is>
          <t>NA</t>
        </is>
      </c>
      <c r="AZ29" t="inlineStr">
        <is>
          <t>NA</t>
        </is>
      </c>
      <c r="BA29" t="n">
        <v>0</v>
      </c>
      <c r="BB29" t="inlineStr">
        <is>
          <t>7c3dc9b41959e85e9a107223910df6717cd1e5dc5ca243ea93f2249e4b83d7e8</t>
        </is>
      </c>
    </row>
    <row r="30">
      <c r="A30" t="inlineStr">
        <is>
          <t>714</t>
        </is>
      </c>
      <c r="B30" t="inlineStr">
        <is>
          <t>7581960654</t>
        </is>
      </c>
      <c r="C30" t="inlineStr">
        <is>
          <t>2025-12-15 18:10:48</t>
        </is>
      </c>
      <c r="D30" t="inlineStr">
        <is>
          <t>51</t>
        </is>
      </c>
      <c r="E30" t="inlineStr">
        <is>
          <t>Sha Sha - Shandaar Shawarma</t>
        </is>
      </c>
      <c r="F30" t="inlineStr">
        <is>
          <t>18557902</t>
        </is>
      </c>
      <c r="G30" t="inlineStr">
        <is>
          <t>30% off upto ₹75 (2025-06-25 - 2031-01-01)</t>
        </is>
      </c>
      <c r="H30" t="inlineStr">
        <is>
          <t>ONLINE</t>
        </is>
      </c>
      <c r="I30" t="inlineStr">
        <is>
          <t>DELIVERED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O2</t>
        </is>
      </c>
      <c r="N30" t="inlineStr">
        <is>
          <t>36</t>
        </is>
      </c>
      <c r="O30" t="n">
        <v>229</v>
      </c>
      <c r="P30" t="n">
        <v>3.5</v>
      </c>
      <c r="Q30" t="n">
        <v>0</v>
      </c>
      <c r="R30" t="n">
        <v>68.7</v>
      </c>
      <c r="S30" t="n">
        <v>0</v>
      </c>
      <c r="T30" t="n">
        <v>0</v>
      </c>
      <c r="U30" t="n">
        <v>0</v>
      </c>
      <c r="V30" t="n">
        <v>8.19</v>
      </c>
      <c r="W30" t="n">
        <v>171.99</v>
      </c>
      <c r="X30" t="n">
        <v>163.8</v>
      </c>
      <c r="Y30" t="n">
        <v>19</v>
      </c>
      <c r="Z30" t="n">
        <v>31.12</v>
      </c>
      <c r="AA30" t="n">
        <v>3.16</v>
      </c>
      <c r="AB30" t="n">
        <v>34.28</v>
      </c>
      <c r="AC30" t="n">
        <v>6.17</v>
      </c>
      <c r="AD30" t="n">
        <v>0</v>
      </c>
      <c r="AE30" t="n">
        <v>163.8</v>
      </c>
      <c r="AF30" t="n">
        <v>0</v>
      </c>
      <c r="AG30" t="n">
        <v>0</v>
      </c>
      <c r="AH30" t="n">
        <v>0.16</v>
      </c>
      <c r="AI30" t="n">
        <v>8.199999999999999</v>
      </c>
      <c r="AJ30" t="n">
        <v>-0.01</v>
      </c>
      <c r="AK30" t="n">
        <v>14.53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48.81</v>
      </c>
      <c r="AV30" t="n">
        <v>0</v>
      </c>
      <c r="AW30" t="n">
        <v>123.18</v>
      </c>
      <c r="AX30" t="inlineStr">
        <is>
          <t>settled</t>
        </is>
      </c>
      <c r="AY30" t="inlineStr">
        <is>
          <t>NA</t>
        </is>
      </c>
      <c r="AZ30" t="inlineStr">
        <is>
          <t>NA</t>
        </is>
      </c>
      <c r="BA30" t="n">
        <v>0</v>
      </c>
      <c r="BB30" t="inlineStr">
        <is>
          <t>f0d26d1f30525677030c23687d331d71d17d2df41f4518d3c85465b828a954ff</t>
        </is>
      </c>
    </row>
    <row r="31">
      <c r="A31" t="inlineStr">
        <is>
          <t>715</t>
        </is>
      </c>
      <c r="B31" t="inlineStr">
        <is>
          <t>7586648427</t>
        </is>
      </c>
      <c r="C31" t="inlineStr">
        <is>
          <t>2025-12-15 18:24:52</t>
        </is>
      </c>
      <c r="D31" t="inlineStr">
        <is>
          <t>51</t>
        </is>
      </c>
      <c r="E31" t="inlineStr">
        <is>
          <t>Sha Sha - Shandaar Shawarma</t>
        </is>
      </c>
      <c r="F31" t="inlineStr">
        <is>
          <t>18557902</t>
        </is>
      </c>
      <c r="G31" t="inlineStr">
        <is>
          <t>30% off upto ₹75 (2025-06-25 - 2031-01-01)</t>
        </is>
      </c>
      <c r="H31" t="inlineStr">
        <is>
          <t>ONLINE</t>
        </is>
      </c>
      <c r="I31" t="inlineStr">
        <is>
          <t>DELIVERED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O2</t>
        </is>
      </c>
      <c r="N31" t="inlineStr">
        <is>
          <t>36</t>
        </is>
      </c>
      <c r="O31" t="n">
        <v>219</v>
      </c>
      <c r="P31" t="n">
        <v>3.5</v>
      </c>
      <c r="Q31" t="n">
        <v>0</v>
      </c>
      <c r="R31" t="n">
        <v>65.7</v>
      </c>
      <c r="S31" t="n">
        <v>0</v>
      </c>
      <c r="T31" t="n">
        <v>0</v>
      </c>
      <c r="U31" t="n">
        <v>0</v>
      </c>
      <c r="V31" t="n">
        <v>7.84</v>
      </c>
      <c r="W31" t="n">
        <v>164.64</v>
      </c>
      <c r="X31" t="n">
        <v>156.8</v>
      </c>
      <c r="Y31" t="n">
        <v>19</v>
      </c>
      <c r="Z31" t="n">
        <v>29.79</v>
      </c>
      <c r="AA31" t="n">
        <v>3.03</v>
      </c>
      <c r="AB31" t="n">
        <v>32.82</v>
      </c>
      <c r="AC31" t="n">
        <v>5.91</v>
      </c>
      <c r="AD31" t="n">
        <v>0</v>
      </c>
      <c r="AE31" t="n">
        <v>156.8</v>
      </c>
      <c r="AF31" t="n">
        <v>0</v>
      </c>
      <c r="AG31" t="n">
        <v>0</v>
      </c>
      <c r="AH31" t="n">
        <v>0.16</v>
      </c>
      <c r="AI31" t="n">
        <v>7.85</v>
      </c>
      <c r="AJ31" t="n">
        <v>-0.01</v>
      </c>
      <c r="AK31" t="n">
        <v>13.92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46.74</v>
      </c>
      <c r="AV31" t="n">
        <v>0</v>
      </c>
      <c r="AW31" t="n">
        <v>117.9</v>
      </c>
      <c r="AX31" t="inlineStr">
        <is>
          <t>settled</t>
        </is>
      </c>
      <c r="AY31" t="inlineStr">
        <is>
          <t>NA</t>
        </is>
      </c>
      <c r="AZ31" t="inlineStr">
        <is>
          <t>NA</t>
        </is>
      </c>
      <c r="BA31" t="n">
        <v>0</v>
      </c>
      <c r="BB31" t="inlineStr">
        <is>
          <t>4d95cb76c1b99d9a0fea28bb384efa30975c2452bd2fd7c863d4a3fc0111c1cc</t>
        </is>
      </c>
    </row>
    <row r="32">
      <c r="A32" t="inlineStr">
        <is>
          <t>716</t>
        </is>
      </c>
      <c r="B32" t="inlineStr">
        <is>
          <t>7584273529</t>
        </is>
      </c>
      <c r="C32" t="inlineStr">
        <is>
          <t>2025-12-15 19:15:42</t>
        </is>
      </c>
      <c r="D32" t="inlineStr">
        <is>
          <t>51</t>
        </is>
      </c>
      <c r="E32" t="inlineStr">
        <is>
          <t>Sha Sha - Shandaar Shawarma</t>
        </is>
      </c>
      <c r="F32" t="inlineStr">
        <is>
          <t>18557902</t>
        </is>
      </c>
      <c r="G32" t="inlineStr">
        <is>
          <t>30% off upto ₹75 (2025-06-25 - 2031-01-01)</t>
        </is>
      </c>
      <c r="H32" t="inlineStr">
        <is>
          <t>ONLINE</t>
        </is>
      </c>
      <c r="I32" t="inlineStr">
        <is>
          <t>DELIVERED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O2</t>
        </is>
      </c>
      <c r="N32" t="inlineStr">
        <is>
          <t>36</t>
        </is>
      </c>
      <c r="O32" t="n">
        <v>229</v>
      </c>
      <c r="P32" t="n">
        <v>3.5</v>
      </c>
      <c r="Q32" t="n">
        <v>0</v>
      </c>
      <c r="R32" t="n">
        <v>68.7</v>
      </c>
      <c r="S32" t="n">
        <v>0</v>
      </c>
      <c r="T32" t="n">
        <v>0</v>
      </c>
      <c r="U32" t="n">
        <v>0</v>
      </c>
      <c r="V32" t="n">
        <v>8.19</v>
      </c>
      <c r="W32" t="n">
        <v>171.99</v>
      </c>
      <c r="X32" t="n">
        <v>163.8</v>
      </c>
      <c r="Y32" t="n">
        <v>19</v>
      </c>
      <c r="Z32" t="n">
        <v>31.12</v>
      </c>
      <c r="AA32" t="n">
        <v>3.16</v>
      </c>
      <c r="AB32" t="n">
        <v>34.28</v>
      </c>
      <c r="AC32" t="n">
        <v>6.17</v>
      </c>
      <c r="AD32" t="n">
        <v>0</v>
      </c>
      <c r="AE32" t="n">
        <v>163.8</v>
      </c>
      <c r="AF32" t="n">
        <v>0</v>
      </c>
      <c r="AG32" t="n">
        <v>0</v>
      </c>
      <c r="AH32" t="n">
        <v>0.16</v>
      </c>
      <c r="AI32" t="n">
        <v>8.199999999999999</v>
      </c>
      <c r="AJ32" t="n">
        <v>-0.01</v>
      </c>
      <c r="AK32" t="n">
        <v>14.53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48.81</v>
      </c>
      <c r="AV32" t="n">
        <v>0</v>
      </c>
      <c r="AW32" t="n">
        <v>123.18</v>
      </c>
      <c r="AX32" t="inlineStr">
        <is>
          <t>settled</t>
        </is>
      </c>
      <c r="AY32" t="inlineStr">
        <is>
          <t>NA</t>
        </is>
      </c>
      <c r="AZ32" t="inlineStr">
        <is>
          <t>NA</t>
        </is>
      </c>
      <c r="BA32" t="n">
        <v>0</v>
      </c>
      <c r="BB32" t="inlineStr">
        <is>
          <t>dd12150b30ad9c79fcef91b79d9f4ef62d28d4ca8d0d73ff1fccfca3e3db0f58</t>
        </is>
      </c>
    </row>
    <row r="33">
      <c r="A33" t="inlineStr">
        <is>
          <t>717</t>
        </is>
      </c>
      <c r="B33" t="inlineStr">
        <is>
          <t>7586896393</t>
        </is>
      </c>
      <c r="C33" t="inlineStr">
        <is>
          <t>2025-12-15 19:29:22</t>
        </is>
      </c>
      <c r="D33" t="inlineStr">
        <is>
          <t>51</t>
        </is>
      </c>
      <c r="E33" t="inlineStr">
        <is>
          <t>Sha Sha - Shandaar Shawarma</t>
        </is>
      </c>
      <c r="F33" t="inlineStr">
        <is>
          <t>18557902</t>
        </is>
      </c>
      <c r="G33" t="inlineStr">
        <is>
          <t>NA</t>
        </is>
      </c>
      <c r="H33" t="inlineStr">
        <is>
          <t>ONLINE</t>
        </is>
      </c>
      <c r="I33" t="inlineStr">
        <is>
          <t>DELIVERED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O2</t>
        </is>
      </c>
      <c r="N33" t="inlineStr">
        <is>
          <t>36</t>
        </is>
      </c>
      <c r="O33" t="n">
        <v>458</v>
      </c>
      <c r="P33" t="n">
        <v>3.5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23.08</v>
      </c>
      <c r="W33" t="n">
        <v>484.58</v>
      </c>
      <c r="X33" t="n">
        <v>461.5</v>
      </c>
      <c r="Y33" t="n">
        <v>19</v>
      </c>
      <c r="Z33" t="n">
        <v>87.68000000000001</v>
      </c>
      <c r="AA33" t="n">
        <v>8.92</v>
      </c>
      <c r="AB33" t="n">
        <v>96.59999999999999</v>
      </c>
      <c r="AC33" t="n">
        <v>17.39</v>
      </c>
      <c r="AD33" t="n">
        <v>0</v>
      </c>
      <c r="AE33" t="n">
        <v>461.5</v>
      </c>
      <c r="AF33" t="n">
        <v>0</v>
      </c>
      <c r="AG33" t="n">
        <v>0</v>
      </c>
      <c r="AH33" t="n">
        <v>0.46</v>
      </c>
      <c r="AI33" t="n">
        <v>23.08</v>
      </c>
      <c r="AJ33" t="n">
        <v>0</v>
      </c>
      <c r="AK33" t="n">
        <v>40.93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137.53</v>
      </c>
      <c r="AV33" t="n">
        <v>0</v>
      </c>
      <c r="AW33" t="n">
        <v>347.05</v>
      </c>
      <c r="AX33" t="inlineStr">
        <is>
          <t>settled</t>
        </is>
      </c>
      <c r="AY33" t="inlineStr">
        <is>
          <t>NA</t>
        </is>
      </c>
      <c r="AZ33" t="inlineStr">
        <is>
          <t>NA</t>
        </is>
      </c>
      <c r="BA33" t="n">
        <v>0</v>
      </c>
      <c r="BB33" t="inlineStr">
        <is>
          <t>851d35a96d91afe2248f56f5cf18ba471686ae96e1cb10a1af7b5052bd96965a</t>
        </is>
      </c>
    </row>
    <row r="34">
      <c r="A34" t="inlineStr">
        <is>
          <t>718</t>
        </is>
      </c>
      <c r="B34" t="inlineStr">
        <is>
          <t>7586724207</t>
        </is>
      </c>
      <c r="C34" t="inlineStr">
        <is>
          <t>2025-12-15 19:33:06</t>
        </is>
      </c>
      <c r="D34" t="inlineStr">
        <is>
          <t>51</t>
        </is>
      </c>
      <c r="E34" t="inlineStr">
        <is>
          <t>Sha Sha - Shandaar Shawarma</t>
        </is>
      </c>
      <c r="F34" t="inlineStr">
        <is>
          <t>18557902</t>
        </is>
      </c>
      <c r="G34" t="inlineStr">
        <is>
          <t>NA</t>
        </is>
      </c>
      <c r="H34" t="inlineStr">
        <is>
          <t>ONLINE</t>
        </is>
      </c>
      <c r="I34" t="inlineStr">
        <is>
          <t>DELIVERED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O2</t>
        </is>
      </c>
      <c r="N34" t="inlineStr">
        <is>
          <t>36</t>
        </is>
      </c>
      <c r="O34" t="n">
        <v>229</v>
      </c>
      <c r="P34" t="n">
        <v>3.5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11.63</v>
      </c>
      <c r="W34" t="n">
        <v>244.13</v>
      </c>
      <c r="X34" t="n">
        <v>232.5</v>
      </c>
      <c r="Y34" t="n">
        <v>19</v>
      </c>
      <c r="Z34" t="n">
        <v>44.18</v>
      </c>
      <c r="AA34" t="n">
        <v>4.49</v>
      </c>
      <c r="AB34" t="n">
        <v>48.67</v>
      </c>
      <c r="AC34" t="n">
        <v>8.76</v>
      </c>
      <c r="AD34" t="n">
        <v>0</v>
      </c>
      <c r="AE34" t="n">
        <v>232.5</v>
      </c>
      <c r="AF34" t="n">
        <v>0</v>
      </c>
      <c r="AG34" t="n">
        <v>0</v>
      </c>
      <c r="AH34" t="n">
        <v>0.23</v>
      </c>
      <c r="AI34" t="n">
        <v>11.63</v>
      </c>
      <c r="AJ34" t="n">
        <v>0</v>
      </c>
      <c r="AK34" t="n">
        <v>20.62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69.29000000000001</v>
      </c>
      <c r="AV34" t="n">
        <v>0</v>
      </c>
      <c r="AW34" t="n">
        <v>174.84</v>
      </c>
      <c r="AX34" t="inlineStr">
        <is>
          <t>settled</t>
        </is>
      </c>
      <c r="AY34" t="inlineStr">
        <is>
          <t>NA</t>
        </is>
      </c>
      <c r="AZ34" t="inlineStr">
        <is>
          <t>NA</t>
        </is>
      </c>
      <c r="BA34" t="n">
        <v>0</v>
      </c>
      <c r="BB34" t="inlineStr">
        <is>
          <t>90a7f12aacccb27e945cca24cd76592368dc7acf39dfcd4a300c454ee9b965ae</t>
        </is>
      </c>
    </row>
    <row r="35">
      <c r="A35" t="inlineStr">
        <is>
          <t>719</t>
        </is>
      </c>
      <c r="B35" t="inlineStr">
        <is>
          <t>7587289318</t>
        </is>
      </c>
      <c r="C35" t="inlineStr">
        <is>
          <t>2025-12-15 20:03:43</t>
        </is>
      </c>
      <c r="D35" t="inlineStr">
        <is>
          <t>51</t>
        </is>
      </c>
      <c r="E35" t="inlineStr">
        <is>
          <t>Sha Sha - Shandaar Shawarma</t>
        </is>
      </c>
      <c r="F35" t="inlineStr">
        <is>
          <t>18557902</t>
        </is>
      </c>
      <c r="G35" t="inlineStr">
        <is>
          <t>30% off upto ₹75 (2025-06-25 - 2031-01-01)</t>
        </is>
      </c>
      <c r="H35" t="inlineStr">
        <is>
          <t>ONLINE</t>
        </is>
      </c>
      <c r="I35" t="inlineStr">
        <is>
          <t>DELIVERED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O2</t>
        </is>
      </c>
      <c r="N35" t="inlineStr">
        <is>
          <t>36</t>
        </is>
      </c>
      <c r="O35" t="n">
        <v>448</v>
      </c>
      <c r="P35" t="n">
        <v>3.5</v>
      </c>
      <c r="Q35" t="n">
        <v>0</v>
      </c>
      <c r="R35" t="n">
        <v>75</v>
      </c>
      <c r="S35" t="n">
        <v>0</v>
      </c>
      <c r="T35" t="n">
        <v>0</v>
      </c>
      <c r="U35" t="n">
        <v>0</v>
      </c>
      <c r="V35" t="n">
        <v>18.83</v>
      </c>
      <c r="W35" t="n">
        <v>395.33</v>
      </c>
      <c r="X35" t="n">
        <v>376.5</v>
      </c>
      <c r="Y35" t="n">
        <v>19</v>
      </c>
      <c r="Z35" t="n">
        <v>71.54000000000001</v>
      </c>
      <c r="AA35" t="n">
        <v>7.27</v>
      </c>
      <c r="AB35" t="n">
        <v>78.81</v>
      </c>
      <c r="AC35" t="n">
        <v>14.19</v>
      </c>
      <c r="AD35" t="n">
        <v>0</v>
      </c>
      <c r="AE35" t="n">
        <v>376.5</v>
      </c>
      <c r="AF35" t="n">
        <v>0</v>
      </c>
      <c r="AG35" t="n">
        <v>0</v>
      </c>
      <c r="AH35" t="n">
        <v>0.38</v>
      </c>
      <c r="AI35" t="n">
        <v>18.83</v>
      </c>
      <c r="AJ35" t="n">
        <v>0</v>
      </c>
      <c r="AK35" t="n">
        <v>33.4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112.21</v>
      </c>
      <c r="AV35" t="n">
        <v>0</v>
      </c>
      <c r="AW35" t="n">
        <v>283.12</v>
      </c>
      <c r="AX35" t="inlineStr">
        <is>
          <t>settled</t>
        </is>
      </c>
      <c r="AY35" t="inlineStr">
        <is>
          <t>NA</t>
        </is>
      </c>
      <c r="AZ35" t="inlineStr">
        <is>
          <t>NA</t>
        </is>
      </c>
      <c r="BA35" t="n">
        <v>0</v>
      </c>
      <c r="BB35" t="inlineStr">
        <is>
          <t>5bdd95a91fbe39ebad0c507c54b2a149088d1970401184806cbf6184b6b3e070</t>
        </is>
      </c>
    </row>
    <row r="36">
      <c r="A36" t="inlineStr">
        <is>
          <t>720</t>
        </is>
      </c>
      <c r="B36" t="inlineStr">
        <is>
          <t>7577894261</t>
        </is>
      </c>
      <c r="C36" t="inlineStr">
        <is>
          <t>2025-12-15 20:45:23</t>
        </is>
      </c>
      <c r="D36" t="inlineStr">
        <is>
          <t>51</t>
        </is>
      </c>
      <c r="E36" t="inlineStr">
        <is>
          <t>Sha Sha - Shandaar Shawarma</t>
        </is>
      </c>
      <c r="F36" t="inlineStr">
        <is>
          <t>18557902</t>
        </is>
      </c>
      <c r="G36" t="inlineStr">
        <is>
          <t>30% off upto ₹75 (2025-06-25 - 2031-01-01)</t>
        </is>
      </c>
      <c r="H36" t="inlineStr">
        <is>
          <t>ONLINE</t>
        </is>
      </c>
      <c r="I36" t="inlineStr">
        <is>
          <t>DELIVERED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O2</t>
        </is>
      </c>
      <c r="N36" t="inlineStr">
        <is>
          <t>36</t>
        </is>
      </c>
      <c r="O36" t="n">
        <v>438</v>
      </c>
      <c r="P36" t="n">
        <v>3.5</v>
      </c>
      <c r="Q36" t="n">
        <v>0</v>
      </c>
      <c r="R36" t="n">
        <v>75</v>
      </c>
      <c r="S36" t="n">
        <v>0</v>
      </c>
      <c r="T36" t="n">
        <v>0</v>
      </c>
      <c r="U36" t="n">
        <v>0</v>
      </c>
      <c r="V36" t="n">
        <v>18.33</v>
      </c>
      <c r="W36" t="n">
        <v>384.83</v>
      </c>
      <c r="X36" t="n">
        <v>366.5</v>
      </c>
      <c r="Y36" t="n">
        <v>19</v>
      </c>
      <c r="Z36" t="n">
        <v>69.64</v>
      </c>
      <c r="AA36" t="n">
        <v>7.08</v>
      </c>
      <c r="AB36" t="n">
        <v>76.72</v>
      </c>
      <c r="AC36" t="n">
        <v>13.81</v>
      </c>
      <c r="AD36" t="n">
        <v>0</v>
      </c>
      <c r="AE36" t="n">
        <v>366.5</v>
      </c>
      <c r="AF36" t="n">
        <v>0</v>
      </c>
      <c r="AG36" t="n">
        <v>0</v>
      </c>
      <c r="AH36" t="n">
        <v>0.37</v>
      </c>
      <c r="AI36" t="n">
        <v>18.33</v>
      </c>
      <c r="AJ36" t="n">
        <v>0</v>
      </c>
      <c r="AK36" t="n">
        <v>32.51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109.23</v>
      </c>
      <c r="AV36" t="n">
        <v>0</v>
      </c>
      <c r="AW36" t="n">
        <v>275.6</v>
      </c>
      <c r="AX36" t="inlineStr">
        <is>
          <t>settled</t>
        </is>
      </c>
      <c r="AY36" t="inlineStr">
        <is>
          <t>NA</t>
        </is>
      </c>
      <c r="AZ36" t="inlineStr">
        <is>
          <t>NA</t>
        </is>
      </c>
      <c r="BA36" t="n">
        <v>0</v>
      </c>
      <c r="BB36" t="inlineStr">
        <is>
          <t>392d49da3fe7ec19b958035f3c7eee977f7804508b2007808c8c2a7932ad90be</t>
        </is>
      </c>
    </row>
    <row r="37">
      <c r="A37" t="inlineStr">
        <is>
          <t>721</t>
        </is>
      </c>
      <c r="B37" t="inlineStr">
        <is>
          <t>7584674019</t>
        </is>
      </c>
      <c r="C37" t="inlineStr">
        <is>
          <t>2025-12-15 21:29:40</t>
        </is>
      </c>
      <c r="D37" t="inlineStr">
        <is>
          <t>51</t>
        </is>
      </c>
      <c r="E37" t="inlineStr">
        <is>
          <t>Sha Sha - Shandaar Shawarma</t>
        </is>
      </c>
      <c r="F37" t="inlineStr">
        <is>
          <t>18557902</t>
        </is>
      </c>
      <c r="G37" t="inlineStr">
        <is>
          <t>30% off upto ₹75 (2025-06-25 - 2031-01-01)</t>
        </is>
      </c>
      <c r="H37" t="inlineStr">
        <is>
          <t>ONLINE</t>
        </is>
      </c>
      <c r="I37" t="inlineStr">
        <is>
          <t>DELIVERED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O2</t>
        </is>
      </c>
      <c r="N37" t="inlineStr">
        <is>
          <t>36</t>
        </is>
      </c>
      <c r="O37" t="n">
        <v>289</v>
      </c>
      <c r="P37" t="n">
        <v>3.5</v>
      </c>
      <c r="Q37" t="n">
        <v>0</v>
      </c>
      <c r="R37" t="n">
        <v>75</v>
      </c>
      <c r="S37" t="n">
        <v>0</v>
      </c>
      <c r="T37" t="n">
        <v>0</v>
      </c>
      <c r="U37" t="n">
        <v>0</v>
      </c>
      <c r="V37" t="n">
        <v>10.88</v>
      </c>
      <c r="W37" t="n">
        <v>228.38</v>
      </c>
      <c r="X37" t="n">
        <v>217.5</v>
      </c>
      <c r="Y37" t="n">
        <v>19</v>
      </c>
      <c r="Z37" t="n">
        <v>41.32</v>
      </c>
      <c r="AA37" t="n">
        <v>4.2</v>
      </c>
      <c r="AB37" t="n">
        <v>45.52</v>
      </c>
      <c r="AC37" t="n">
        <v>8.199999999999999</v>
      </c>
      <c r="AD37" t="n">
        <v>0</v>
      </c>
      <c r="AE37" t="n">
        <v>217.5</v>
      </c>
      <c r="AF37" t="n">
        <v>0</v>
      </c>
      <c r="AG37" t="n">
        <v>0</v>
      </c>
      <c r="AH37" t="n">
        <v>0.22</v>
      </c>
      <c r="AI37" t="n">
        <v>10.88</v>
      </c>
      <c r="AJ37" t="n">
        <v>0</v>
      </c>
      <c r="AK37" t="n">
        <v>19.3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64.81999999999999</v>
      </c>
      <c r="AV37" t="n">
        <v>0</v>
      </c>
      <c r="AW37" t="n">
        <v>163.56</v>
      </c>
      <c r="AX37" t="inlineStr">
        <is>
          <t>settled</t>
        </is>
      </c>
      <c r="AY37" t="inlineStr">
        <is>
          <t>NA</t>
        </is>
      </c>
      <c r="AZ37" t="inlineStr">
        <is>
          <t>NA</t>
        </is>
      </c>
      <c r="BA37" t="n">
        <v>0</v>
      </c>
      <c r="BB37" t="inlineStr">
        <is>
          <t>89a1a8b6560726af725efefd8294d761a2d2e28a7f1e351b6cb555afe4e46ab8</t>
        </is>
      </c>
    </row>
    <row r="38">
      <c r="A38" t="inlineStr">
        <is>
          <t>722</t>
        </is>
      </c>
      <c r="B38" t="inlineStr">
        <is>
          <t>7587345074</t>
        </is>
      </c>
      <c r="C38" t="inlineStr">
        <is>
          <t>2025-12-15 21:51:33</t>
        </is>
      </c>
      <c r="D38" t="inlineStr">
        <is>
          <t>51</t>
        </is>
      </c>
      <c r="E38" t="inlineStr">
        <is>
          <t>Sha Sha - Shandaar Shawarma</t>
        </is>
      </c>
      <c r="F38" t="inlineStr">
        <is>
          <t>18557902</t>
        </is>
      </c>
      <c r="G38" t="inlineStr">
        <is>
          <t>30% off upto ₹75 (2025-06-25 - 2031-01-01)</t>
        </is>
      </c>
      <c r="H38" t="inlineStr">
        <is>
          <t>ONLINE</t>
        </is>
      </c>
      <c r="I38" t="inlineStr">
        <is>
          <t>DELIVERED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O2</t>
        </is>
      </c>
      <c r="N38" t="inlineStr">
        <is>
          <t>36</t>
        </is>
      </c>
      <c r="O38" t="n">
        <v>219</v>
      </c>
      <c r="P38" t="n">
        <v>3.5</v>
      </c>
      <c r="Q38" t="n">
        <v>0</v>
      </c>
      <c r="R38" t="n">
        <v>65.7</v>
      </c>
      <c r="S38" t="n">
        <v>0</v>
      </c>
      <c r="T38" t="n">
        <v>0</v>
      </c>
      <c r="U38" t="n">
        <v>0</v>
      </c>
      <c r="V38" t="n">
        <v>7.84</v>
      </c>
      <c r="W38" t="n">
        <v>164.64</v>
      </c>
      <c r="X38" t="n">
        <v>156.8</v>
      </c>
      <c r="Y38" t="n">
        <v>19</v>
      </c>
      <c r="Z38" t="n">
        <v>29.79</v>
      </c>
      <c r="AA38" t="n">
        <v>3.03</v>
      </c>
      <c r="AB38" t="n">
        <v>32.82</v>
      </c>
      <c r="AC38" t="n">
        <v>5.91</v>
      </c>
      <c r="AD38" t="n">
        <v>0</v>
      </c>
      <c r="AE38" t="n">
        <v>156.8</v>
      </c>
      <c r="AF38" t="n">
        <v>0</v>
      </c>
      <c r="AG38" t="n">
        <v>0</v>
      </c>
      <c r="AH38" t="n">
        <v>0.16</v>
      </c>
      <c r="AI38" t="n">
        <v>7.85</v>
      </c>
      <c r="AJ38" t="n">
        <v>-0.01</v>
      </c>
      <c r="AK38" t="n">
        <v>13.92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46.74</v>
      </c>
      <c r="AV38" t="n">
        <v>0</v>
      </c>
      <c r="AW38" t="n">
        <v>117.9</v>
      </c>
      <c r="AX38" t="inlineStr">
        <is>
          <t>settled</t>
        </is>
      </c>
      <c r="AY38" t="inlineStr">
        <is>
          <t>NA</t>
        </is>
      </c>
      <c r="AZ38" t="inlineStr">
        <is>
          <t>NA</t>
        </is>
      </c>
      <c r="BA38" t="n">
        <v>0</v>
      </c>
      <c r="BB38" t="inlineStr">
        <is>
          <t>2e15fdb153832adb1c5f385320b22df40e0de8478eaf4603529aee27454b6da1</t>
        </is>
      </c>
    </row>
    <row r="39">
      <c r="A39" t="inlineStr">
        <is>
          <t>723</t>
        </is>
      </c>
      <c r="B39" t="inlineStr">
        <is>
          <t>7582291763</t>
        </is>
      </c>
      <c r="C39" t="inlineStr">
        <is>
          <t>2025-12-15 21:51:48</t>
        </is>
      </c>
      <c r="D39" t="inlineStr">
        <is>
          <t>51</t>
        </is>
      </c>
      <c r="E39" t="inlineStr">
        <is>
          <t>Sha Sha - Shandaar Shawarma</t>
        </is>
      </c>
      <c r="F39" t="inlineStr">
        <is>
          <t>18557902</t>
        </is>
      </c>
      <c r="G39" t="inlineStr">
        <is>
          <t>30% off upto ₹75 (2025-06-25 - 2031-01-01)</t>
        </is>
      </c>
      <c r="H39" t="inlineStr">
        <is>
          <t>ONLINE</t>
        </is>
      </c>
      <c r="I39" t="inlineStr">
        <is>
          <t>DELIVERED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O2</t>
        </is>
      </c>
      <c r="N39" t="inlineStr">
        <is>
          <t>36</t>
        </is>
      </c>
      <c r="O39" t="n">
        <v>219</v>
      </c>
      <c r="P39" t="n">
        <v>3.5</v>
      </c>
      <c r="Q39" t="n">
        <v>0</v>
      </c>
      <c r="R39" t="n">
        <v>65.7</v>
      </c>
      <c r="S39" t="n">
        <v>0</v>
      </c>
      <c r="T39" t="n">
        <v>0</v>
      </c>
      <c r="U39" t="n">
        <v>0</v>
      </c>
      <c r="V39" t="n">
        <v>7.84</v>
      </c>
      <c r="W39" t="n">
        <v>164.64</v>
      </c>
      <c r="X39" t="n">
        <v>156.8</v>
      </c>
      <c r="Y39" t="n">
        <v>19</v>
      </c>
      <c r="Z39" t="n">
        <v>29.79</v>
      </c>
      <c r="AA39" t="n">
        <v>3.03</v>
      </c>
      <c r="AB39" t="n">
        <v>32.82</v>
      </c>
      <c r="AC39" t="n">
        <v>5.91</v>
      </c>
      <c r="AD39" t="n">
        <v>0</v>
      </c>
      <c r="AE39" t="n">
        <v>156.8</v>
      </c>
      <c r="AF39" t="n">
        <v>0</v>
      </c>
      <c r="AG39" t="n">
        <v>0</v>
      </c>
      <c r="AH39" t="n">
        <v>0.16</v>
      </c>
      <c r="AI39" t="n">
        <v>7.85</v>
      </c>
      <c r="AJ39" t="n">
        <v>-0.01</v>
      </c>
      <c r="AK39" t="n">
        <v>13.92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46.74</v>
      </c>
      <c r="AV39" t="n">
        <v>0</v>
      </c>
      <c r="AW39" t="n">
        <v>117.9</v>
      </c>
      <c r="AX39" t="inlineStr">
        <is>
          <t>settled</t>
        </is>
      </c>
      <c r="AY39" t="inlineStr">
        <is>
          <t>NA</t>
        </is>
      </c>
      <c r="AZ39" t="inlineStr">
        <is>
          <t>NA</t>
        </is>
      </c>
      <c r="BA39" t="n">
        <v>0</v>
      </c>
      <c r="BB39" t="inlineStr">
        <is>
          <t>f1a85089fa74a9c28ddbc39611d4f5894b2fdc3671b6dfd10d41102fa54cdbbe</t>
        </is>
      </c>
    </row>
    <row r="40">
      <c r="A40" t="inlineStr">
        <is>
          <t>724</t>
        </is>
      </c>
      <c r="B40" t="inlineStr">
        <is>
          <t>7578672081</t>
        </is>
      </c>
      <c r="C40" t="inlineStr">
        <is>
          <t>2025-12-15 22:26:15</t>
        </is>
      </c>
      <c r="D40" t="inlineStr">
        <is>
          <t>51</t>
        </is>
      </c>
      <c r="E40" t="inlineStr">
        <is>
          <t>Sha Sha - Shandaar Shawarma</t>
        </is>
      </c>
      <c r="F40" t="inlineStr">
        <is>
          <t>18557902</t>
        </is>
      </c>
      <c r="G40" t="inlineStr">
        <is>
          <t>30% off upto ₹75 (2025-06-25 - 2031-01-01)</t>
        </is>
      </c>
      <c r="H40" t="inlineStr">
        <is>
          <t>ONLINE</t>
        </is>
      </c>
      <c r="I40" t="inlineStr">
        <is>
          <t>DELIVERED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O2</t>
        </is>
      </c>
      <c r="N40" t="inlineStr">
        <is>
          <t>36</t>
        </is>
      </c>
      <c r="O40" t="n">
        <v>229</v>
      </c>
      <c r="P40" t="n">
        <v>3.5</v>
      </c>
      <c r="Q40" t="n">
        <v>0</v>
      </c>
      <c r="R40" t="n">
        <v>68.7</v>
      </c>
      <c r="S40" t="n">
        <v>0</v>
      </c>
      <c r="T40" t="n">
        <v>0</v>
      </c>
      <c r="U40" t="n">
        <v>0</v>
      </c>
      <c r="V40" t="n">
        <v>8.19</v>
      </c>
      <c r="W40" t="n">
        <v>171.99</v>
      </c>
      <c r="X40" t="n">
        <v>163.8</v>
      </c>
      <c r="Y40" t="n">
        <v>19</v>
      </c>
      <c r="Z40" t="n">
        <v>31.12</v>
      </c>
      <c r="AA40" t="n">
        <v>3.16</v>
      </c>
      <c r="AB40" t="n">
        <v>34.28</v>
      </c>
      <c r="AC40" t="n">
        <v>6.17</v>
      </c>
      <c r="AD40" t="n">
        <v>0</v>
      </c>
      <c r="AE40" t="n">
        <v>163.8</v>
      </c>
      <c r="AF40" t="n">
        <v>0</v>
      </c>
      <c r="AG40" t="n">
        <v>0</v>
      </c>
      <c r="AH40" t="n">
        <v>0.16</v>
      </c>
      <c r="AI40" t="n">
        <v>8.199999999999999</v>
      </c>
      <c r="AJ40" t="n">
        <v>-0.01</v>
      </c>
      <c r="AK40" t="n">
        <v>14.53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48.81</v>
      </c>
      <c r="AV40" t="n">
        <v>0</v>
      </c>
      <c r="AW40" t="n">
        <v>123.18</v>
      </c>
      <c r="AX40" t="inlineStr">
        <is>
          <t>settled</t>
        </is>
      </c>
      <c r="AY40" t="inlineStr">
        <is>
          <t>NA</t>
        </is>
      </c>
      <c r="AZ40" t="inlineStr">
        <is>
          <t>NA</t>
        </is>
      </c>
      <c r="BA40" t="n">
        <v>0</v>
      </c>
      <c r="BB40" t="inlineStr">
        <is>
          <t>9e6d81c74896b250fddc74f79a08d4c3d88c75c197e0f396d8e3988c75b89f8b</t>
        </is>
      </c>
    </row>
    <row r="41">
      <c r="A41" t="inlineStr">
        <is>
          <t>725</t>
        </is>
      </c>
      <c r="B41" t="inlineStr">
        <is>
          <t>7587796514</t>
        </is>
      </c>
      <c r="C41" t="inlineStr">
        <is>
          <t>2025-12-15 22:31:36</t>
        </is>
      </c>
      <c r="D41" t="inlineStr">
        <is>
          <t>51</t>
        </is>
      </c>
      <c r="E41" t="inlineStr">
        <is>
          <t>Sha Sha - Shandaar Shawarma</t>
        </is>
      </c>
      <c r="F41" t="inlineStr">
        <is>
          <t>18557902</t>
        </is>
      </c>
      <c r="G41" t="inlineStr">
        <is>
          <t>30% off upto ₹75 (2025-06-25 - 2031-01-01)</t>
        </is>
      </c>
      <c r="H41" t="inlineStr">
        <is>
          <t>ONLINE</t>
        </is>
      </c>
      <c r="I41" t="inlineStr">
        <is>
          <t>DELIVERED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O2</t>
        </is>
      </c>
      <c r="N41" t="inlineStr">
        <is>
          <t>36</t>
        </is>
      </c>
      <c r="O41" t="n">
        <v>368</v>
      </c>
      <c r="P41" t="n">
        <v>3.5</v>
      </c>
      <c r="Q41" t="n">
        <v>0</v>
      </c>
      <c r="R41" t="n">
        <v>75</v>
      </c>
      <c r="S41" t="n">
        <v>0</v>
      </c>
      <c r="T41" t="n">
        <v>0</v>
      </c>
      <c r="U41" t="n">
        <v>0</v>
      </c>
      <c r="V41" t="n">
        <v>14.83</v>
      </c>
      <c r="W41" t="n">
        <v>311.33</v>
      </c>
      <c r="X41" t="n">
        <v>296.5</v>
      </c>
      <c r="Y41" t="n">
        <v>19</v>
      </c>
      <c r="Z41" t="n">
        <v>56.34</v>
      </c>
      <c r="AA41" t="n">
        <v>5.73</v>
      </c>
      <c r="AB41" t="n">
        <v>62.07</v>
      </c>
      <c r="AC41" t="n">
        <v>11.17</v>
      </c>
      <c r="AD41" t="n">
        <v>0</v>
      </c>
      <c r="AE41" t="n">
        <v>296.5</v>
      </c>
      <c r="AF41" t="n">
        <v>0</v>
      </c>
      <c r="AG41" t="n">
        <v>0</v>
      </c>
      <c r="AH41" t="n">
        <v>0.3</v>
      </c>
      <c r="AI41" t="n">
        <v>14.83</v>
      </c>
      <c r="AJ41" t="n">
        <v>0</v>
      </c>
      <c r="AK41" t="n">
        <v>26.3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88.37</v>
      </c>
      <c r="AV41" t="n">
        <v>0</v>
      </c>
      <c r="AW41" t="n">
        <v>222.96</v>
      </c>
      <c r="AX41" t="inlineStr">
        <is>
          <t>settled</t>
        </is>
      </c>
      <c r="AY41" t="inlineStr">
        <is>
          <t>NA</t>
        </is>
      </c>
      <c r="AZ41" t="inlineStr">
        <is>
          <t>NA</t>
        </is>
      </c>
      <c r="BA41" t="n">
        <v>0</v>
      </c>
      <c r="BB41" t="inlineStr">
        <is>
          <t>d7c8b64754fcbc3aa6cf2135d0a23660b9bb85f7200fc0b5161e9796861106a6</t>
        </is>
      </c>
    </row>
    <row r="42">
      <c r="A42" t="inlineStr">
        <is>
          <t>726</t>
        </is>
      </c>
      <c r="B42" t="inlineStr">
        <is>
          <t>7587134632</t>
        </is>
      </c>
      <c r="C42" t="inlineStr">
        <is>
          <t>2025-12-15 23:05:05</t>
        </is>
      </c>
      <c r="D42" t="inlineStr">
        <is>
          <t>51</t>
        </is>
      </c>
      <c r="E42" t="inlineStr">
        <is>
          <t>Sha Sha - Shandaar Shawarma</t>
        </is>
      </c>
      <c r="F42" t="inlineStr">
        <is>
          <t>18557902</t>
        </is>
      </c>
      <c r="G42" t="inlineStr">
        <is>
          <t>30% off upto ₹75 (2025-06-25 - 2031-01-01)</t>
        </is>
      </c>
      <c r="H42" t="inlineStr">
        <is>
          <t>ONLINE</t>
        </is>
      </c>
      <c r="I42" t="inlineStr">
        <is>
          <t>DELIVERED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O2</t>
        </is>
      </c>
      <c r="N42" t="inlineStr">
        <is>
          <t>36</t>
        </is>
      </c>
      <c r="O42" t="n">
        <v>229</v>
      </c>
      <c r="P42" t="n">
        <v>3.5</v>
      </c>
      <c r="Q42" t="n">
        <v>0</v>
      </c>
      <c r="R42" t="n">
        <v>68.7</v>
      </c>
      <c r="S42" t="n">
        <v>0</v>
      </c>
      <c r="T42" t="n">
        <v>0</v>
      </c>
      <c r="U42" t="n">
        <v>0</v>
      </c>
      <c r="V42" t="n">
        <v>8.19</v>
      </c>
      <c r="W42" t="n">
        <v>171.99</v>
      </c>
      <c r="X42" t="n">
        <v>163.8</v>
      </c>
      <c r="Y42" t="n">
        <v>19</v>
      </c>
      <c r="Z42" t="n">
        <v>31.12</v>
      </c>
      <c r="AA42" t="n">
        <v>3.16</v>
      </c>
      <c r="AB42" t="n">
        <v>34.28</v>
      </c>
      <c r="AC42" t="n">
        <v>6.17</v>
      </c>
      <c r="AD42" t="n">
        <v>0</v>
      </c>
      <c r="AE42" t="n">
        <v>163.8</v>
      </c>
      <c r="AF42" t="n">
        <v>0</v>
      </c>
      <c r="AG42" t="n">
        <v>0</v>
      </c>
      <c r="AH42" t="n">
        <v>0.16</v>
      </c>
      <c r="AI42" t="n">
        <v>8.199999999999999</v>
      </c>
      <c r="AJ42" t="n">
        <v>-0.01</v>
      </c>
      <c r="AK42" t="n">
        <v>14.53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48.81</v>
      </c>
      <c r="AV42" t="n">
        <v>0</v>
      </c>
      <c r="AW42" t="n">
        <v>123.18</v>
      </c>
      <c r="AX42" t="inlineStr">
        <is>
          <t>settled</t>
        </is>
      </c>
      <c r="AY42" t="inlineStr">
        <is>
          <t>NA</t>
        </is>
      </c>
      <c r="AZ42" t="inlineStr">
        <is>
          <t>NA</t>
        </is>
      </c>
      <c r="BA42" t="n">
        <v>0</v>
      </c>
      <c r="BB42" t="inlineStr">
        <is>
          <t>5a4152e7640e85cce3714ee026d54b97b622f52be4a354a0a91e419ba9540499</t>
        </is>
      </c>
    </row>
    <row r="43">
      <c r="A43" t="inlineStr">
        <is>
          <t>727</t>
        </is>
      </c>
      <c r="B43" t="inlineStr">
        <is>
          <t>7586897592</t>
        </is>
      </c>
      <c r="C43" t="inlineStr">
        <is>
          <t>2025-12-15 23:19:49</t>
        </is>
      </c>
      <c r="D43" t="inlineStr">
        <is>
          <t>51</t>
        </is>
      </c>
      <c r="E43" t="inlineStr">
        <is>
          <t>Sha Sha - Shandaar Shawarma</t>
        </is>
      </c>
      <c r="F43" t="inlineStr">
        <is>
          <t>18557902</t>
        </is>
      </c>
      <c r="G43" t="inlineStr">
        <is>
          <t>30% off upto ₹75 (2025-06-25 - 2031-01-01)</t>
        </is>
      </c>
      <c r="H43" t="inlineStr">
        <is>
          <t>ONLINE</t>
        </is>
      </c>
      <c r="I43" t="inlineStr">
        <is>
          <t>DELIVERED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O2</t>
        </is>
      </c>
      <c r="N43" t="inlineStr">
        <is>
          <t>36</t>
        </is>
      </c>
      <c r="O43" t="n">
        <v>219</v>
      </c>
      <c r="P43" t="n">
        <v>3.5</v>
      </c>
      <c r="Q43" t="n">
        <v>0</v>
      </c>
      <c r="R43" t="n">
        <v>65.7</v>
      </c>
      <c r="S43" t="n">
        <v>0</v>
      </c>
      <c r="T43" t="n">
        <v>0</v>
      </c>
      <c r="U43" t="n">
        <v>0</v>
      </c>
      <c r="V43" t="n">
        <v>7.84</v>
      </c>
      <c r="W43" t="n">
        <v>164.64</v>
      </c>
      <c r="X43" t="n">
        <v>156.8</v>
      </c>
      <c r="Y43" t="n">
        <v>19</v>
      </c>
      <c r="Z43" t="n">
        <v>29.79</v>
      </c>
      <c r="AA43" t="n">
        <v>3.03</v>
      </c>
      <c r="AB43" t="n">
        <v>32.82</v>
      </c>
      <c r="AC43" t="n">
        <v>5.91</v>
      </c>
      <c r="AD43" t="n">
        <v>0</v>
      </c>
      <c r="AE43" t="n">
        <v>156.8</v>
      </c>
      <c r="AF43" t="n">
        <v>0</v>
      </c>
      <c r="AG43" t="n">
        <v>0</v>
      </c>
      <c r="AH43" t="n">
        <v>0.16</v>
      </c>
      <c r="AI43" t="n">
        <v>7.85</v>
      </c>
      <c r="AJ43" t="n">
        <v>-0.01</v>
      </c>
      <c r="AK43" t="n">
        <v>13.92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46.74</v>
      </c>
      <c r="AV43" t="n">
        <v>0</v>
      </c>
      <c r="AW43" t="n">
        <v>117.9</v>
      </c>
      <c r="AX43" t="inlineStr">
        <is>
          <t>settled</t>
        </is>
      </c>
      <c r="AY43" t="inlineStr">
        <is>
          <t>NA</t>
        </is>
      </c>
      <c r="AZ43" t="inlineStr">
        <is>
          <t>NA</t>
        </is>
      </c>
      <c r="BA43" t="n">
        <v>0</v>
      </c>
      <c r="BB43" t="inlineStr">
        <is>
          <t>f92162ff3d4e338095a571ff21c2023480a3ff495a28a8155c12e5335be82ca3</t>
        </is>
      </c>
    </row>
    <row r="44">
      <c r="A44" t="inlineStr">
        <is>
          <t>728</t>
        </is>
      </c>
      <c r="B44" t="inlineStr">
        <is>
          <t>7580074061</t>
        </is>
      </c>
      <c r="C44" t="inlineStr">
        <is>
          <t>2025-12-15 23:27:31</t>
        </is>
      </c>
      <c r="D44" t="inlineStr">
        <is>
          <t>51</t>
        </is>
      </c>
      <c r="E44" t="inlineStr">
        <is>
          <t>Sha Sha - Shandaar Shawarma</t>
        </is>
      </c>
      <c r="F44" t="inlineStr">
        <is>
          <t>18557902</t>
        </is>
      </c>
      <c r="G44" t="inlineStr">
        <is>
          <t>30% off upto ₹75 (2025-06-25 - 2031-01-01)</t>
        </is>
      </c>
      <c r="H44" t="inlineStr">
        <is>
          <t>ONLINE</t>
        </is>
      </c>
      <c r="I44" t="inlineStr">
        <is>
          <t>DELIVERED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O2</t>
        </is>
      </c>
      <c r="N44" t="inlineStr">
        <is>
          <t>36</t>
        </is>
      </c>
      <c r="O44" t="n">
        <v>458</v>
      </c>
      <c r="P44" t="n">
        <v>3.5</v>
      </c>
      <c r="Q44" t="n">
        <v>0</v>
      </c>
      <c r="R44" t="n">
        <v>75</v>
      </c>
      <c r="S44" t="n">
        <v>0</v>
      </c>
      <c r="T44" t="n">
        <v>0</v>
      </c>
      <c r="U44" t="n">
        <v>0</v>
      </c>
      <c r="V44" t="n">
        <v>19.33</v>
      </c>
      <c r="W44" t="n">
        <v>405.83</v>
      </c>
      <c r="X44" t="n">
        <v>386.5</v>
      </c>
      <c r="Y44" t="n">
        <v>19</v>
      </c>
      <c r="Z44" t="n">
        <v>73.44</v>
      </c>
      <c r="AA44" t="n">
        <v>7.47</v>
      </c>
      <c r="AB44" t="n">
        <v>80.91</v>
      </c>
      <c r="AC44" t="n">
        <v>14.56</v>
      </c>
      <c r="AD44" t="n">
        <v>0</v>
      </c>
      <c r="AE44" t="n">
        <v>386.5</v>
      </c>
      <c r="AF44" t="n">
        <v>0</v>
      </c>
      <c r="AG44" t="n">
        <v>0</v>
      </c>
      <c r="AH44" t="n">
        <v>0.39</v>
      </c>
      <c r="AI44" t="n">
        <v>19.33</v>
      </c>
      <c r="AJ44" t="n">
        <v>0</v>
      </c>
      <c r="AK44" t="n">
        <v>34.28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115.19</v>
      </c>
      <c r="AV44" t="n">
        <v>0</v>
      </c>
      <c r="AW44" t="n">
        <v>290.64</v>
      </c>
      <c r="AX44" t="inlineStr">
        <is>
          <t>settled</t>
        </is>
      </c>
      <c r="AY44" t="inlineStr">
        <is>
          <t>NA</t>
        </is>
      </c>
      <c r="AZ44" t="inlineStr">
        <is>
          <t>NA</t>
        </is>
      </c>
      <c r="BA44" t="n">
        <v>0</v>
      </c>
      <c r="BB44" t="inlineStr">
        <is>
          <t>d6fedbd4254d5b72d8e80577de62cec5da05de46a50c1d222303cdeb7cd3b907</t>
        </is>
      </c>
    </row>
    <row r="45">
      <c r="A45" t="inlineStr">
        <is>
          <t>729</t>
        </is>
      </c>
      <c r="B45" t="inlineStr">
        <is>
          <t>7587864508</t>
        </is>
      </c>
      <c r="C45" t="inlineStr">
        <is>
          <t>2025-12-16 00:04:40</t>
        </is>
      </c>
      <c r="D45" t="inlineStr">
        <is>
          <t>51</t>
        </is>
      </c>
      <c r="E45" t="inlineStr">
        <is>
          <t>Sha Sha - Shandaar Shawarma</t>
        </is>
      </c>
      <c r="F45" t="inlineStr">
        <is>
          <t>18557902</t>
        </is>
      </c>
      <c r="G45" t="inlineStr">
        <is>
          <t>30% off upto ₹75 (2025-06-25 - 2031-01-01)</t>
        </is>
      </c>
      <c r="H45" t="inlineStr">
        <is>
          <t>ONLINE</t>
        </is>
      </c>
      <c r="I45" t="inlineStr">
        <is>
          <t>DELIVERED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O2</t>
        </is>
      </c>
      <c r="N45" t="inlineStr">
        <is>
          <t>36</t>
        </is>
      </c>
      <c r="O45" t="n">
        <v>229</v>
      </c>
      <c r="P45" t="n">
        <v>3.5</v>
      </c>
      <c r="Q45" t="n">
        <v>0</v>
      </c>
      <c r="R45" t="n">
        <v>68.7</v>
      </c>
      <c r="S45" t="n">
        <v>0</v>
      </c>
      <c r="T45" t="n">
        <v>0</v>
      </c>
      <c r="U45" t="n">
        <v>0</v>
      </c>
      <c r="V45" t="n">
        <v>8.19</v>
      </c>
      <c r="W45" t="n">
        <v>171.99</v>
      </c>
      <c r="X45" t="n">
        <v>163.8</v>
      </c>
      <c r="Y45" t="n">
        <v>19</v>
      </c>
      <c r="Z45" t="n">
        <v>31.12</v>
      </c>
      <c r="AA45" t="n">
        <v>3.16</v>
      </c>
      <c r="AB45" t="n">
        <v>34.28</v>
      </c>
      <c r="AC45" t="n">
        <v>6.17</v>
      </c>
      <c r="AD45" t="n">
        <v>0</v>
      </c>
      <c r="AE45" t="n">
        <v>163.8</v>
      </c>
      <c r="AF45" t="n">
        <v>0</v>
      </c>
      <c r="AG45" t="n">
        <v>0</v>
      </c>
      <c r="AH45" t="n">
        <v>0.16</v>
      </c>
      <c r="AI45" t="n">
        <v>8.199999999999999</v>
      </c>
      <c r="AJ45" t="n">
        <v>-0.01</v>
      </c>
      <c r="AK45" t="n">
        <v>14.53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48.81</v>
      </c>
      <c r="AV45" t="n">
        <v>0</v>
      </c>
      <c r="AW45" t="n">
        <v>123.18</v>
      </c>
      <c r="AX45" t="inlineStr">
        <is>
          <t>settled</t>
        </is>
      </c>
      <c r="AY45" t="inlineStr">
        <is>
          <t>NA</t>
        </is>
      </c>
      <c r="AZ45" t="inlineStr">
        <is>
          <t>NA</t>
        </is>
      </c>
      <c r="BA45" t="n">
        <v>0</v>
      </c>
      <c r="BB45" t="inlineStr">
        <is>
          <t>6deb59c0226e3de811a674a33ee2d6471bd779b43addc08bd79b72ca4eac6cd4</t>
        </is>
      </c>
    </row>
    <row r="46">
      <c r="A46" t="inlineStr">
        <is>
          <t>730</t>
        </is>
      </c>
      <c r="B46" t="inlineStr">
        <is>
          <t>7587454711</t>
        </is>
      </c>
      <c r="C46" t="inlineStr">
        <is>
          <t>2025-12-16 00:05:49</t>
        </is>
      </c>
      <c r="D46" t="inlineStr">
        <is>
          <t>51</t>
        </is>
      </c>
      <c r="E46" t="inlineStr">
        <is>
          <t>Sha Sha - Shandaar Shawarma</t>
        </is>
      </c>
      <c r="F46" t="inlineStr">
        <is>
          <t>18557902</t>
        </is>
      </c>
      <c r="G46" t="inlineStr">
        <is>
          <t>30% off upto ₹75 (2025-06-25 - 2031-01-01)</t>
        </is>
      </c>
      <c r="H46" t="inlineStr">
        <is>
          <t>ONLINE</t>
        </is>
      </c>
      <c r="I46" t="inlineStr">
        <is>
          <t>DELIVERED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O2</t>
        </is>
      </c>
      <c r="N46" t="inlineStr">
        <is>
          <t>36</t>
        </is>
      </c>
      <c r="O46" t="n">
        <v>229</v>
      </c>
      <c r="P46" t="n">
        <v>3.5</v>
      </c>
      <c r="Q46" t="n">
        <v>0</v>
      </c>
      <c r="R46" t="n">
        <v>68.7</v>
      </c>
      <c r="S46" t="n">
        <v>0</v>
      </c>
      <c r="T46" t="n">
        <v>0</v>
      </c>
      <c r="U46" t="n">
        <v>0</v>
      </c>
      <c r="V46" t="n">
        <v>8.19</v>
      </c>
      <c r="W46" t="n">
        <v>171.99</v>
      </c>
      <c r="X46" t="n">
        <v>163.8</v>
      </c>
      <c r="Y46" t="n">
        <v>19</v>
      </c>
      <c r="Z46" t="n">
        <v>31.12</v>
      </c>
      <c r="AA46" t="n">
        <v>3.16</v>
      </c>
      <c r="AB46" t="n">
        <v>34.28</v>
      </c>
      <c r="AC46" t="n">
        <v>6.17</v>
      </c>
      <c r="AD46" t="n">
        <v>0</v>
      </c>
      <c r="AE46" t="n">
        <v>163.8</v>
      </c>
      <c r="AF46" t="n">
        <v>0</v>
      </c>
      <c r="AG46" t="n">
        <v>0</v>
      </c>
      <c r="AH46" t="n">
        <v>0.16</v>
      </c>
      <c r="AI46" t="n">
        <v>8.199999999999999</v>
      </c>
      <c r="AJ46" t="n">
        <v>-0.01</v>
      </c>
      <c r="AK46" t="n">
        <v>14.53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48.81</v>
      </c>
      <c r="AV46" t="n">
        <v>0</v>
      </c>
      <c r="AW46" t="n">
        <v>123.18</v>
      </c>
      <c r="AX46" t="inlineStr">
        <is>
          <t>settled</t>
        </is>
      </c>
      <c r="AY46" t="inlineStr">
        <is>
          <t>NA</t>
        </is>
      </c>
      <c r="AZ46" t="inlineStr">
        <is>
          <t>NA</t>
        </is>
      </c>
      <c r="BA46" t="n">
        <v>0</v>
      </c>
      <c r="BB46" t="inlineStr">
        <is>
          <t>ff387fd89d1c4d0d1c268fa20e9db676cd61ea3f5a8bed56187145f6cb7ff7bf</t>
        </is>
      </c>
    </row>
    <row r="47">
      <c r="A47" t="inlineStr">
        <is>
          <t>731</t>
        </is>
      </c>
      <c r="B47" t="inlineStr">
        <is>
          <t>7582048669</t>
        </is>
      </c>
      <c r="C47" t="inlineStr">
        <is>
          <t>2025-12-16 00:07:16</t>
        </is>
      </c>
      <c r="D47" t="inlineStr">
        <is>
          <t>51</t>
        </is>
      </c>
      <c r="E47" t="inlineStr">
        <is>
          <t>Sha Sha - Shandaar Shawarma</t>
        </is>
      </c>
      <c r="F47" t="inlineStr">
        <is>
          <t>18557902</t>
        </is>
      </c>
      <c r="G47" t="inlineStr">
        <is>
          <t>30% off upto ₹75 (2025-06-25 - 2031-01-01)</t>
        </is>
      </c>
      <c r="H47" t="inlineStr">
        <is>
          <t>ONLINE</t>
        </is>
      </c>
      <c r="I47" t="inlineStr">
        <is>
          <t>DELIVERED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O2</t>
        </is>
      </c>
      <c r="N47" t="inlineStr">
        <is>
          <t>36</t>
        </is>
      </c>
      <c r="O47" t="n">
        <v>229</v>
      </c>
      <c r="P47" t="n">
        <v>3.5</v>
      </c>
      <c r="Q47" t="n">
        <v>0</v>
      </c>
      <c r="R47" t="n">
        <v>68.7</v>
      </c>
      <c r="S47" t="n">
        <v>0</v>
      </c>
      <c r="T47" t="n">
        <v>0</v>
      </c>
      <c r="U47" t="n">
        <v>0</v>
      </c>
      <c r="V47" t="n">
        <v>8.19</v>
      </c>
      <c r="W47" t="n">
        <v>171.99</v>
      </c>
      <c r="X47" t="n">
        <v>163.8</v>
      </c>
      <c r="Y47" t="n">
        <v>19</v>
      </c>
      <c r="Z47" t="n">
        <v>31.12</v>
      </c>
      <c r="AA47" t="n">
        <v>3.16</v>
      </c>
      <c r="AB47" t="n">
        <v>34.28</v>
      </c>
      <c r="AC47" t="n">
        <v>6.17</v>
      </c>
      <c r="AD47" t="n">
        <v>0</v>
      </c>
      <c r="AE47" t="n">
        <v>163.8</v>
      </c>
      <c r="AF47" t="n">
        <v>0</v>
      </c>
      <c r="AG47" t="n">
        <v>0</v>
      </c>
      <c r="AH47" t="n">
        <v>0.16</v>
      </c>
      <c r="AI47" t="n">
        <v>8.199999999999999</v>
      </c>
      <c r="AJ47" t="n">
        <v>-0.01</v>
      </c>
      <c r="AK47" t="n">
        <v>14.53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48.81</v>
      </c>
      <c r="AV47" t="n">
        <v>0</v>
      </c>
      <c r="AW47" t="n">
        <v>123.18</v>
      </c>
      <c r="AX47" t="inlineStr">
        <is>
          <t>settled</t>
        </is>
      </c>
      <c r="AY47" t="inlineStr">
        <is>
          <t>NA</t>
        </is>
      </c>
      <c r="AZ47" t="inlineStr">
        <is>
          <t>NA</t>
        </is>
      </c>
      <c r="BA47" t="n">
        <v>0</v>
      </c>
      <c r="BB47" t="inlineStr">
        <is>
          <t>17e25d0795eb5a576b204d9cd4d1c50b3dce7c480f031c20b5406088940d8019</t>
        </is>
      </c>
    </row>
    <row r="48">
      <c r="A48" t="inlineStr">
        <is>
          <t>732</t>
        </is>
      </c>
      <c r="B48" t="inlineStr">
        <is>
          <t>7574402872</t>
        </is>
      </c>
      <c r="C48" t="inlineStr">
        <is>
          <t>2025-12-16 00:17:00</t>
        </is>
      </c>
      <c r="D48" t="inlineStr">
        <is>
          <t>51</t>
        </is>
      </c>
      <c r="E48" t="inlineStr">
        <is>
          <t>Sha Sha - Shandaar Shawarma</t>
        </is>
      </c>
      <c r="F48" t="inlineStr">
        <is>
          <t>18557902</t>
        </is>
      </c>
      <c r="G48" t="inlineStr">
        <is>
          <t>30% off upto ₹75 (2025-06-25 - 2031-01-01)</t>
        </is>
      </c>
      <c r="H48" t="inlineStr">
        <is>
          <t>ONLINE</t>
        </is>
      </c>
      <c r="I48" t="inlineStr">
        <is>
          <t>DELIVERED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O2</t>
        </is>
      </c>
      <c r="N48" t="inlineStr">
        <is>
          <t>36</t>
        </is>
      </c>
      <c r="O48" t="n">
        <v>458</v>
      </c>
      <c r="P48" t="n">
        <v>3.5</v>
      </c>
      <c r="Q48" t="n">
        <v>0</v>
      </c>
      <c r="R48" t="n">
        <v>75</v>
      </c>
      <c r="S48" t="n">
        <v>0</v>
      </c>
      <c r="T48" t="n">
        <v>0</v>
      </c>
      <c r="U48" t="n">
        <v>0</v>
      </c>
      <c r="V48" t="n">
        <v>19.33</v>
      </c>
      <c r="W48" t="n">
        <v>405.83</v>
      </c>
      <c r="X48" t="n">
        <v>386.5</v>
      </c>
      <c r="Y48" t="n">
        <v>19</v>
      </c>
      <c r="Z48" t="n">
        <v>73.44</v>
      </c>
      <c r="AA48" t="n">
        <v>7.47</v>
      </c>
      <c r="AB48" t="n">
        <v>80.91</v>
      </c>
      <c r="AC48" t="n">
        <v>14.56</v>
      </c>
      <c r="AD48" t="n">
        <v>0</v>
      </c>
      <c r="AE48" t="n">
        <v>386.5</v>
      </c>
      <c r="AF48" t="n">
        <v>0</v>
      </c>
      <c r="AG48" t="n">
        <v>0</v>
      </c>
      <c r="AH48" t="n">
        <v>0.39</v>
      </c>
      <c r="AI48" t="n">
        <v>19.33</v>
      </c>
      <c r="AJ48" t="n">
        <v>0</v>
      </c>
      <c r="AK48" t="n">
        <v>34.28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115.19</v>
      </c>
      <c r="AV48" t="n">
        <v>0</v>
      </c>
      <c r="AW48" t="n">
        <v>290.64</v>
      </c>
      <c r="AX48" t="inlineStr">
        <is>
          <t>settled</t>
        </is>
      </c>
      <c r="AY48" t="inlineStr">
        <is>
          <t>NA</t>
        </is>
      </c>
      <c r="AZ48" t="inlineStr">
        <is>
          <t>NA</t>
        </is>
      </c>
      <c r="BA48" t="n">
        <v>0</v>
      </c>
      <c r="BB48" t="inlineStr">
        <is>
          <t>4ce957b887825ee1081700b43fa5923793f0c765bf18f329004ce80df1d8912b</t>
        </is>
      </c>
    </row>
    <row r="49">
      <c r="A49" t="inlineStr">
        <is>
          <t>733</t>
        </is>
      </c>
      <c r="B49" t="inlineStr">
        <is>
          <t>7586059262</t>
        </is>
      </c>
      <c r="C49" t="inlineStr">
        <is>
          <t>2025-12-16 00:28:14</t>
        </is>
      </c>
      <c r="D49" t="inlineStr">
        <is>
          <t>51</t>
        </is>
      </c>
      <c r="E49" t="inlineStr">
        <is>
          <t>Sha Sha - Shandaar Shawarma</t>
        </is>
      </c>
      <c r="F49" t="inlineStr">
        <is>
          <t>18557902</t>
        </is>
      </c>
      <c r="G49" t="inlineStr">
        <is>
          <t>30% off upto ₹75 (2025-06-25 - 2031-01-01)</t>
        </is>
      </c>
      <c r="H49" t="inlineStr">
        <is>
          <t>ONLINE</t>
        </is>
      </c>
      <c r="I49" t="inlineStr">
        <is>
          <t>DELIVERED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O2</t>
        </is>
      </c>
      <c r="N49" t="inlineStr">
        <is>
          <t>36</t>
        </is>
      </c>
      <c r="O49" t="n">
        <v>229</v>
      </c>
      <c r="P49" t="n">
        <v>3.5</v>
      </c>
      <c r="Q49" t="n">
        <v>0</v>
      </c>
      <c r="R49" t="n">
        <v>68.7</v>
      </c>
      <c r="S49" t="n">
        <v>0</v>
      </c>
      <c r="T49" t="n">
        <v>0</v>
      </c>
      <c r="U49" t="n">
        <v>0</v>
      </c>
      <c r="V49" t="n">
        <v>8.19</v>
      </c>
      <c r="W49" t="n">
        <v>171.99</v>
      </c>
      <c r="X49" t="n">
        <v>163.8</v>
      </c>
      <c r="Y49" t="n">
        <v>19</v>
      </c>
      <c r="Z49" t="n">
        <v>31.12</v>
      </c>
      <c r="AA49" t="n">
        <v>3.16</v>
      </c>
      <c r="AB49" t="n">
        <v>34.28</v>
      </c>
      <c r="AC49" t="n">
        <v>6.17</v>
      </c>
      <c r="AD49" t="n">
        <v>0</v>
      </c>
      <c r="AE49" t="n">
        <v>163.8</v>
      </c>
      <c r="AF49" t="n">
        <v>0</v>
      </c>
      <c r="AG49" t="n">
        <v>0</v>
      </c>
      <c r="AH49" t="n">
        <v>0.16</v>
      </c>
      <c r="AI49" t="n">
        <v>8.199999999999999</v>
      </c>
      <c r="AJ49" t="n">
        <v>-0.01</v>
      </c>
      <c r="AK49" t="n">
        <v>14.53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48.81</v>
      </c>
      <c r="AV49" t="n">
        <v>0</v>
      </c>
      <c r="AW49" t="n">
        <v>123.18</v>
      </c>
      <c r="AX49" t="inlineStr">
        <is>
          <t>settled</t>
        </is>
      </c>
      <c r="AY49" t="inlineStr">
        <is>
          <t>NA</t>
        </is>
      </c>
      <c r="AZ49" t="inlineStr">
        <is>
          <t>NA</t>
        </is>
      </c>
      <c r="BA49" t="n">
        <v>0</v>
      </c>
      <c r="BB49" t="inlineStr">
        <is>
          <t>6af54efa5e1dc0b9fde00b6f07f0217d2c75a510646fa001309c94be7d0aa367</t>
        </is>
      </c>
    </row>
    <row r="50">
      <c r="A50" t="inlineStr">
        <is>
          <t>734</t>
        </is>
      </c>
      <c r="B50" t="inlineStr">
        <is>
          <t>7582154610</t>
        </is>
      </c>
      <c r="C50" t="inlineStr">
        <is>
          <t>2025-12-16 00:32:37</t>
        </is>
      </c>
      <c r="D50" t="inlineStr">
        <is>
          <t>51</t>
        </is>
      </c>
      <c r="E50" t="inlineStr">
        <is>
          <t>Sha Sha - Shandaar Shawarma</t>
        </is>
      </c>
      <c r="F50" t="inlineStr">
        <is>
          <t>18557902</t>
        </is>
      </c>
      <c r="G50" t="inlineStr">
        <is>
          <t>30% off upto ₹75 (2025-06-25 - 2031-01-01)</t>
        </is>
      </c>
      <c r="H50" t="inlineStr">
        <is>
          <t>ONLINE</t>
        </is>
      </c>
      <c r="I50" t="inlineStr">
        <is>
          <t>DELIVERED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O2</t>
        </is>
      </c>
      <c r="N50" t="inlineStr">
        <is>
          <t>36</t>
        </is>
      </c>
      <c r="O50" t="n">
        <v>229</v>
      </c>
      <c r="P50" t="n">
        <v>3.5</v>
      </c>
      <c r="Q50" t="n">
        <v>0</v>
      </c>
      <c r="R50" t="n">
        <v>68.7</v>
      </c>
      <c r="S50" t="n">
        <v>0</v>
      </c>
      <c r="T50" t="n">
        <v>0</v>
      </c>
      <c r="U50" t="n">
        <v>0</v>
      </c>
      <c r="V50" t="n">
        <v>8.19</v>
      </c>
      <c r="W50" t="n">
        <v>171.99</v>
      </c>
      <c r="X50" t="n">
        <v>163.8</v>
      </c>
      <c r="Y50" t="n">
        <v>19</v>
      </c>
      <c r="Z50" t="n">
        <v>31.12</v>
      </c>
      <c r="AA50" t="n">
        <v>3.16</v>
      </c>
      <c r="AB50" t="n">
        <v>34.28</v>
      </c>
      <c r="AC50" t="n">
        <v>6.17</v>
      </c>
      <c r="AD50" t="n">
        <v>0</v>
      </c>
      <c r="AE50" t="n">
        <v>163.8</v>
      </c>
      <c r="AF50" t="n">
        <v>0</v>
      </c>
      <c r="AG50" t="n">
        <v>0</v>
      </c>
      <c r="AH50" t="n">
        <v>0.16</v>
      </c>
      <c r="AI50" t="n">
        <v>8.199999999999999</v>
      </c>
      <c r="AJ50" t="n">
        <v>-0.01</v>
      </c>
      <c r="AK50" t="n">
        <v>14.53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48.81</v>
      </c>
      <c r="AV50" t="n">
        <v>0</v>
      </c>
      <c r="AW50" t="n">
        <v>123.18</v>
      </c>
      <c r="AX50" t="inlineStr">
        <is>
          <t>settled</t>
        </is>
      </c>
      <c r="AY50" t="inlineStr">
        <is>
          <t>NA</t>
        </is>
      </c>
      <c r="AZ50" t="inlineStr">
        <is>
          <t>NA</t>
        </is>
      </c>
      <c r="BA50" t="n">
        <v>0</v>
      </c>
      <c r="BB50" t="inlineStr">
        <is>
          <t>4581304920abc7cd78179747b8bdc87bdd8368701f0170a149e8733f29ae9557</t>
        </is>
      </c>
    </row>
    <row r="51">
      <c r="A51" t="inlineStr">
        <is>
          <t>735</t>
        </is>
      </c>
      <c r="B51" t="inlineStr">
        <is>
          <t>7587799557</t>
        </is>
      </c>
      <c r="C51" t="inlineStr">
        <is>
          <t>2025-12-16 00:55:31</t>
        </is>
      </c>
      <c r="D51" t="inlineStr">
        <is>
          <t>51</t>
        </is>
      </c>
      <c r="E51" t="inlineStr">
        <is>
          <t>Sha Sha - Shandaar Shawarma</t>
        </is>
      </c>
      <c r="F51" t="inlineStr">
        <is>
          <t>18557902</t>
        </is>
      </c>
      <c r="G51" t="inlineStr">
        <is>
          <t>30% off upto ₹75 (2025-06-25 - 2031-01-01)</t>
        </is>
      </c>
      <c r="H51" t="inlineStr">
        <is>
          <t>ONLINE</t>
        </is>
      </c>
      <c r="I51" t="inlineStr">
        <is>
          <t>DELIVERED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O2</t>
        </is>
      </c>
      <c r="N51" t="inlineStr">
        <is>
          <t>36</t>
        </is>
      </c>
      <c r="O51" t="n">
        <v>219</v>
      </c>
      <c r="P51" t="n">
        <v>3.5</v>
      </c>
      <c r="Q51" t="n">
        <v>0</v>
      </c>
      <c r="R51" t="n">
        <v>65.7</v>
      </c>
      <c r="S51" t="n">
        <v>0</v>
      </c>
      <c r="T51" t="n">
        <v>0</v>
      </c>
      <c r="U51" t="n">
        <v>0</v>
      </c>
      <c r="V51" t="n">
        <v>7.84</v>
      </c>
      <c r="W51" t="n">
        <v>164.64</v>
      </c>
      <c r="X51" t="n">
        <v>156.8</v>
      </c>
      <c r="Y51" t="n">
        <v>19</v>
      </c>
      <c r="Z51" t="n">
        <v>29.79</v>
      </c>
      <c r="AA51" t="n">
        <v>3.03</v>
      </c>
      <c r="AB51" t="n">
        <v>32.82</v>
      </c>
      <c r="AC51" t="n">
        <v>5.91</v>
      </c>
      <c r="AD51" t="n">
        <v>0</v>
      </c>
      <c r="AE51" t="n">
        <v>156.8</v>
      </c>
      <c r="AF51" t="n">
        <v>0</v>
      </c>
      <c r="AG51" t="n">
        <v>0</v>
      </c>
      <c r="AH51" t="n">
        <v>0.16</v>
      </c>
      <c r="AI51" t="n">
        <v>7.85</v>
      </c>
      <c r="AJ51" t="n">
        <v>-0.01</v>
      </c>
      <c r="AK51" t="n">
        <v>13.92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46.74</v>
      </c>
      <c r="AV51" t="n">
        <v>0</v>
      </c>
      <c r="AW51" t="n">
        <v>117.9</v>
      </c>
      <c r="AX51" t="inlineStr">
        <is>
          <t>settled</t>
        </is>
      </c>
      <c r="AY51" t="inlineStr">
        <is>
          <t>NA</t>
        </is>
      </c>
      <c r="AZ51" t="inlineStr">
        <is>
          <t>NA</t>
        </is>
      </c>
      <c r="BA51" t="n">
        <v>0</v>
      </c>
      <c r="BB51" t="inlineStr">
        <is>
          <t>c3a643806cc8cf3efea81b016f3a911f5bd2e902905bf75e927c5e995e683953</t>
        </is>
      </c>
    </row>
    <row r="52">
      <c r="A52" t="inlineStr">
        <is>
          <t>736</t>
        </is>
      </c>
      <c r="B52" t="inlineStr">
        <is>
          <t>7588448889</t>
        </is>
      </c>
      <c r="C52" t="inlineStr">
        <is>
          <t>2025-12-16 01:29:50</t>
        </is>
      </c>
      <c r="D52" t="inlineStr">
        <is>
          <t>51</t>
        </is>
      </c>
      <c r="E52" t="inlineStr">
        <is>
          <t>Sha Sha - Shandaar Shawarma</t>
        </is>
      </c>
      <c r="F52" t="inlineStr">
        <is>
          <t>18557902</t>
        </is>
      </c>
      <c r="G52" t="inlineStr">
        <is>
          <t>30% off upto ₹75 (2025-06-25 - 2031-01-01)</t>
        </is>
      </c>
      <c r="H52" t="inlineStr">
        <is>
          <t>ONLINE</t>
        </is>
      </c>
      <c r="I52" t="inlineStr">
        <is>
          <t>DELIVERED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O2</t>
        </is>
      </c>
      <c r="N52" t="inlineStr">
        <is>
          <t>36</t>
        </is>
      </c>
      <c r="O52" t="n">
        <v>229</v>
      </c>
      <c r="P52" t="n">
        <v>3.5</v>
      </c>
      <c r="Q52" t="n">
        <v>0</v>
      </c>
      <c r="R52" t="n">
        <v>68.7</v>
      </c>
      <c r="S52" t="n">
        <v>0</v>
      </c>
      <c r="T52" t="n">
        <v>0</v>
      </c>
      <c r="U52" t="n">
        <v>0</v>
      </c>
      <c r="V52" t="n">
        <v>8.19</v>
      </c>
      <c r="W52" t="n">
        <v>171.99</v>
      </c>
      <c r="X52" t="n">
        <v>163.8</v>
      </c>
      <c r="Y52" t="n">
        <v>19</v>
      </c>
      <c r="Z52" t="n">
        <v>31.12</v>
      </c>
      <c r="AA52" t="n">
        <v>3.16</v>
      </c>
      <c r="AB52" t="n">
        <v>34.28</v>
      </c>
      <c r="AC52" t="n">
        <v>6.17</v>
      </c>
      <c r="AD52" t="n">
        <v>0</v>
      </c>
      <c r="AE52" t="n">
        <v>163.8</v>
      </c>
      <c r="AF52" t="n">
        <v>0</v>
      </c>
      <c r="AG52" t="n">
        <v>0</v>
      </c>
      <c r="AH52" t="n">
        <v>0.16</v>
      </c>
      <c r="AI52" t="n">
        <v>8.199999999999999</v>
      </c>
      <c r="AJ52" t="n">
        <v>-0.01</v>
      </c>
      <c r="AK52" t="n">
        <v>14.53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48.81</v>
      </c>
      <c r="AV52" t="n">
        <v>0</v>
      </c>
      <c r="AW52" t="n">
        <v>123.18</v>
      </c>
      <c r="AX52" t="inlineStr">
        <is>
          <t>settled</t>
        </is>
      </c>
      <c r="AY52" t="inlineStr">
        <is>
          <t>NA</t>
        </is>
      </c>
      <c r="AZ52" t="inlineStr">
        <is>
          <t>NA</t>
        </is>
      </c>
      <c r="BA52" t="n">
        <v>0</v>
      </c>
      <c r="BB52" t="inlineStr">
        <is>
          <t>0eaad69bf08861e97770bf8acdbbd8a435e3dcca60cd47403092965436010939</t>
        </is>
      </c>
    </row>
    <row r="53">
      <c r="A53" t="inlineStr">
        <is>
          <t>737</t>
        </is>
      </c>
      <c r="B53" t="inlineStr">
        <is>
          <t>7580624112</t>
        </is>
      </c>
      <c r="C53" t="inlineStr">
        <is>
          <t>2025-12-16 01:33:45</t>
        </is>
      </c>
      <c r="D53" t="inlineStr">
        <is>
          <t>51</t>
        </is>
      </c>
      <c r="E53" t="inlineStr">
        <is>
          <t>Sha Sha - Shandaar Shawarma</t>
        </is>
      </c>
      <c r="F53" t="inlineStr">
        <is>
          <t>18557902</t>
        </is>
      </c>
      <c r="G53" t="inlineStr">
        <is>
          <t>30% off upto ₹75 (2025-06-25 - 2031-01-01)</t>
        </is>
      </c>
      <c r="H53" t="inlineStr">
        <is>
          <t>ONLINE</t>
        </is>
      </c>
      <c r="I53" t="inlineStr">
        <is>
          <t>DELIVERED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O2</t>
        </is>
      </c>
      <c r="N53" t="inlineStr">
        <is>
          <t>36</t>
        </is>
      </c>
      <c r="O53" t="n">
        <v>229</v>
      </c>
      <c r="P53" t="n">
        <v>3.5</v>
      </c>
      <c r="Q53" t="n">
        <v>0</v>
      </c>
      <c r="R53" t="n">
        <v>68.7</v>
      </c>
      <c r="S53" t="n">
        <v>0</v>
      </c>
      <c r="T53" t="n">
        <v>0</v>
      </c>
      <c r="U53" t="n">
        <v>0</v>
      </c>
      <c r="V53" t="n">
        <v>8.19</v>
      </c>
      <c r="W53" t="n">
        <v>171.99</v>
      </c>
      <c r="X53" t="n">
        <v>163.8</v>
      </c>
      <c r="Y53" t="n">
        <v>19</v>
      </c>
      <c r="Z53" t="n">
        <v>31.12</v>
      </c>
      <c r="AA53" t="n">
        <v>3.16</v>
      </c>
      <c r="AB53" t="n">
        <v>34.28</v>
      </c>
      <c r="AC53" t="n">
        <v>6.17</v>
      </c>
      <c r="AD53" t="n">
        <v>0</v>
      </c>
      <c r="AE53" t="n">
        <v>163.8</v>
      </c>
      <c r="AF53" t="n">
        <v>0</v>
      </c>
      <c r="AG53" t="n">
        <v>0</v>
      </c>
      <c r="AH53" t="n">
        <v>0.16</v>
      </c>
      <c r="AI53" t="n">
        <v>8.199999999999999</v>
      </c>
      <c r="AJ53" t="n">
        <v>-0.01</v>
      </c>
      <c r="AK53" t="n">
        <v>14.53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48.81</v>
      </c>
      <c r="AV53" t="n">
        <v>0</v>
      </c>
      <c r="AW53" t="n">
        <v>123.18</v>
      </c>
      <c r="AX53" t="inlineStr">
        <is>
          <t>settled</t>
        </is>
      </c>
      <c r="AY53" t="inlineStr">
        <is>
          <t>NA</t>
        </is>
      </c>
      <c r="AZ53" t="inlineStr">
        <is>
          <t>NA</t>
        </is>
      </c>
      <c r="BA53" t="n">
        <v>0</v>
      </c>
      <c r="BB53" t="inlineStr">
        <is>
          <t>3c515e96660c7ab49e89507033d14fe6c9b6bd7cfabffe9ca71bf9fcc48ce398</t>
        </is>
      </c>
    </row>
    <row r="54">
      <c r="A54" t="inlineStr">
        <is>
          <t>738</t>
        </is>
      </c>
      <c r="B54" t="inlineStr">
        <is>
          <t>7579621198</t>
        </is>
      </c>
      <c r="C54" t="inlineStr">
        <is>
          <t>2025-12-16 01:47:25</t>
        </is>
      </c>
      <c r="D54" t="inlineStr">
        <is>
          <t>51</t>
        </is>
      </c>
      <c r="E54" t="inlineStr">
        <is>
          <t>Sha Sha - Shandaar Shawarma</t>
        </is>
      </c>
      <c r="F54" t="inlineStr">
        <is>
          <t>18557902</t>
        </is>
      </c>
      <c r="G54" t="inlineStr">
        <is>
          <t>30% off upto ₹75 (2025-06-25 - 2031-01-01)</t>
        </is>
      </c>
      <c r="H54" t="inlineStr">
        <is>
          <t>ONLINE</t>
        </is>
      </c>
      <c r="I54" t="inlineStr">
        <is>
          <t>DELIVERED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O2</t>
        </is>
      </c>
      <c r="N54" t="inlineStr">
        <is>
          <t>36</t>
        </is>
      </c>
      <c r="O54" t="n">
        <v>229</v>
      </c>
      <c r="P54" t="n">
        <v>3.5</v>
      </c>
      <c r="Q54" t="n">
        <v>0</v>
      </c>
      <c r="R54" t="n">
        <v>68.7</v>
      </c>
      <c r="S54" t="n">
        <v>0</v>
      </c>
      <c r="T54" t="n">
        <v>0</v>
      </c>
      <c r="U54" t="n">
        <v>0</v>
      </c>
      <c r="V54" t="n">
        <v>8.19</v>
      </c>
      <c r="W54" t="n">
        <v>171.99</v>
      </c>
      <c r="X54" t="n">
        <v>163.8</v>
      </c>
      <c r="Y54" t="n">
        <v>19</v>
      </c>
      <c r="Z54" t="n">
        <v>31.12</v>
      </c>
      <c r="AA54" t="n">
        <v>3.16</v>
      </c>
      <c r="AB54" t="n">
        <v>34.28</v>
      </c>
      <c r="AC54" t="n">
        <v>6.17</v>
      </c>
      <c r="AD54" t="n">
        <v>0</v>
      </c>
      <c r="AE54" t="n">
        <v>163.8</v>
      </c>
      <c r="AF54" t="n">
        <v>0</v>
      </c>
      <c r="AG54" t="n">
        <v>0</v>
      </c>
      <c r="AH54" t="n">
        <v>0.16</v>
      </c>
      <c r="AI54" t="n">
        <v>8.199999999999999</v>
      </c>
      <c r="AJ54" t="n">
        <v>-0.01</v>
      </c>
      <c r="AK54" t="n">
        <v>14.53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48.81</v>
      </c>
      <c r="AV54" t="n">
        <v>0</v>
      </c>
      <c r="AW54" t="n">
        <v>123.18</v>
      </c>
      <c r="AX54" t="inlineStr">
        <is>
          <t>settled</t>
        </is>
      </c>
      <c r="AY54" t="inlineStr">
        <is>
          <t>NA</t>
        </is>
      </c>
      <c r="AZ54" t="inlineStr">
        <is>
          <t>NA</t>
        </is>
      </c>
      <c r="BA54" t="n">
        <v>0</v>
      </c>
      <c r="BB54" t="inlineStr">
        <is>
          <t>492ab1c7479340b4db077a33f4d7cffef57309d2869927d5fd7c499c04ef2187</t>
        </is>
      </c>
    </row>
    <row r="55">
      <c r="A55" t="inlineStr">
        <is>
          <t>739</t>
        </is>
      </c>
      <c r="B55" t="inlineStr">
        <is>
          <t>7587258321</t>
        </is>
      </c>
      <c r="C55" t="inlineStr">
        <is>
          <t>2025-12-16 01:56:48</t>
        </is>
      </c>
      <c r="D55" t="inlineStr">
        <is>
          <t>51</t>
        </is>
      </c>
      <c r="E55" t="inlineStr">
        <is>
          <t>Sha Sha - Shandaar Shawarma</t>
        </is>
      </c>
      <c r="F55" t="inlineStr">
        <is>
          <t>18557902</t>
        </is>
      </c>
      <c r="G55" t="inlineStr">
        <is>
          <t>30% off upto ₹75 (2025-06-25 - 2031-01-01)</t>
        </is>
      </c>
      <c r="H55" t="inlineStr">
        <is>
          <t>ONLINE</t>
        </is>
      </c>
      <c r="I55" t="inlineStr">
        <is>
          <t>DELIVERED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O2</t>
        </is>
      </c>
      <c r="N55" t="inlineStr">
        <is>
          <t>36</t>
        </is>
      </c>
      <c r="O55" t="n">
        <v>229</v>
      </c>
      <c r="P55" t="n">
        <v>3.5</v>
      </c>
      <c r="Q55" t="n">
        <v>0</v>
      </c>
      <c r="R55" t="n">
        <v>68.7</v>
      </c>
      <c r="S55" t="n">
        <v>0</v>
      </c>
      <c r="T55" t="n">
        <v>0</v>
      </c>
      <c r="U55" t="n">
        <v>0</v>
      </c>
      <c r="V55" t="n">
        <v>8.19</v>
      </c>
      <c r="W55" t="n">
        <v>171.99</v>
      </c>
      <c r="X55" t="n">
        <v>163.8</v>
      </c>
      <c r="Y55" t="n">
        <v>19</v>
      </c>
      <c r="Z55" t="n">
        <v>31.12</v>
      </c>
      <c r="AA55" t="n">
        <v>3.16</v>
      </c>
      <c r="AB55" t="n">
        <v>34.28</v>
      </c>
      <c r="AC55" t="n">
        <v>6.17</v>
      </c>
      <c r="AD55" t="n">
        <v>0</v>
      </c>
      <c r="AE55" t="n">
        <v>163.8</v>
      </c>
      <c r="AF55" t="n">
        <v>0</v>
      </c>
      <c r="AG55" t="n">
        <v>0</v>
      </c>
      <c r="AH55" t="n">
        <v>0.16</v>
      </c>
      <c r="AI55" t="n">
        <v>8.199999999999999</v>
      </c>
      <c r="AJ55" t="n">
        <v>-0.01</v>
      </c>
      <c r="AK55" t="n">
        <v>14.53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48.81</v>
      </c>
      <c r="AV55" t="n">
        <v>0</v>
      </c>
      <c r="AW55" t="n">
        <v>123.18</v>
      </c>
      <c r="AX55" t="inlineStr">
        <is>
          <t>settled</t>
        </is>
      </c>
      <c r="AY55" t="inlineStr">
        <is>
          <t>NA</t>
        </is>
      </c>
      <c r="AZ55" t="inlineStr">
        <is>
          <t>NA</t>
        </is>
      </c>
      <c r="BA55" t="n">
        <v>0</v>
      </c>
      <c r="BB55" t="inlineStr">
        <is>
          <t>88731d76e5f1a8fcfa54da9995b2cac35bdc53a1d9c59bfbfad5e9d766658611</t>
        </is>
      </c>
    </row>
    <row r="56">
      <c r="A56" t="inlineStr">
        <is>
          <t>740</t>
        </is>
      </c>
      <c r="B56" t="inlineStr">
        <is>
          <t>7586931916</t>
        </is>
      </c>
      <c r="C56" t="inlineStr">
        <is>
          <t>2025-12-16 02:04:47</t>
        </is>
      </c>
      <c r="D56" t="inlineStr">
        <is>
          <t>51</t>
        </is>
      </c>
      <c r="E56" t="inlineStr">
        <is>
          <t>Sha Sha - Shandaar Shawarma</t>
        </is>
      </c>
      <c r="F56" t="inlineStr">
        <is>
          <t>18557902</t>
        </is>
      </c>
      <c r="G56" t="inlineStr">
        <is>
          <t>30% off upto ₹75 (2025-06-25 - 2031-01-01)</t>
        </is>
      </c>
      <c r="H56" t="inlineStr">
        <is>
          <t>ONLINE</t>
        </is>
      </c>
      <c r="I56" t="inlineStr">
        <is>
          <t>DELIVERED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O2</t>
        </is>
      </c>
      <c r="N56" t="inlineStr">
        <is>
          <t>36</t>
        </is>
      </c>
      <c r="O56" t="n">
        <v>219</v>
      </c>
      <c r="P56" t="n">
        <v>3.5</v>
      </c>
      <c r="Q56" t="n">
        <v>0</v>
      </c>
      <c r="R56" t="n">
        <v>65.7</v>
      </c>
      <c r="S56" t="n">
        <v>0</v>
      </c>
      <c r="T56" t="n">
        <v>0</v>
      </c>
      <c r="U56" t="n">
        <v>0</v>
      </c>
      <c r="V56" t="n">
        <v>7.84</v>
      </c>
      <c r="W56" t="n">
        <v>164.64</v>
      </c>
      <c r="X56" t="n">
        <v>156.8</v>
      </c>
      <c r="Y56" t="n">
        <v>19</v>
      </c>
      <c r="Z56" t="n">
        <v>29.79</v>
      </c>
      <c r="AA56" t="n">
        <v>3.03</v>
      </c>
      <c r="AB56" t="n">
        <v>32.82</v>
      </c>
      <c r="AC56" t="n">
        <v>5.91</v>
      </c>
      <c r="AD56" t="n">
        <v>0</v>
      </c>
      <c r="AE56" t="n">
        <v>156.8</v>
      </c>
      <c r="AF56" t="n">
        <v>0</v>
      </c>
      <c r="AG56" t="n">
        <v>0</v>
      </c>
      <c r="AH56" t="n">
        <v>0.16</v>
      </c>
      <c r="AI56" t="n">
        <v>7.85</v>
      </c>
      <c r="AJ56" t="n">
        <v>-0.01</v>
      </c>
      <c r="AK56" t="n">
        <v>13.92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46.74</v>
      </c>
      <c r="AV56" t="n">
        <v>0</v>
      </c>
      <c r="AW56" t="n">
        <v>117.9</v>
      </c>
      <c r="AX56" t="inlineStr">
        <is>
          <t>settled</t>
        </is>
      </c>
      <c r="AY56" t="inlineStr">
        <is>
          <t>NA</t>
        </is>
      </c>
      <c r="AZ56" t="inlineStr">
        <is>
          <t>NA</t>
        </is>
      </c>
      <c r="BA56" t="n">
        <v>0</v>
      </c>
      <c r="BB56" t="inlineStr">
        <is>
          <t>142523c857dcd1b605826a92b5f9cc338d94e80ac458f93cd9e2d40146054c1d</t>
        </is>
      </c>
    </row>
    <row r="57">
      <c r="A57" t="inlineStr">
        <is>
          <t>741</t>
        </is>
      </c>
      <c r="B57" t="inlineStr">
        <is>
          <t>7576703570</t>
        </is>
      </c>
      <c r="C57" t="inlineStr">
        <is>
          <t>2025-12-16 02:10:41</t>
        </is>
      </c>
      <c r="D57" t="inlineStr">
        <is>
          <t>51</t>
        </is>
      </c>
      <c r="E57" t="inlineStr">
        <is>
          <t>Sha Sha - Shandaar Shawarma</t>
        </is>
      </c>
      <c r="F57" t="inlineStr">
        <is>
          <t>18557902</t>
        </is>
      </c>
      <c r="G57" t="inlineStr">
        <is>
          <t>30% off upto ₹75 (2025-06-25 - 2031-01-01)</t>
        </is>
      </c>
      <c r="H57" t="inlineStr">
        <is>
          <t>ONLINE</t>
        </is>
      </c>
      <c r="I57" t="inlineStr">
        <is>
          <t>DELIVERED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O2</t>
        </is>
      </c>
      <c r="N57" t="inlineStr">
        <is>
          <t>36</t>
        </is>
      </c>
      <c r="O57" t="n">
        <v>458</v>
      </c>
      <c r="P57" t="n">
        <v>3.5</v>
      </c>
      <c r="Q57" t="n">
        <v>0</v>
      </c>
      <c r="R57" t="n">
        <v>75</v>
      </c>
      <c r="S57" t="n">
        <v>0</v>
      </c>
      <c r="T57" t="n">
        <v>0</v>
      </c>
      <c r="U57" t="n">
        <v>0</v>
      </c>
      <c r="V57" t="n">
        <v>19.33</v>
      </c>
      <c r="W57" t="n">
        <v>405.83</v>
      </c>
      <c r="X57" t="n">
        <v>386.5</v>
      </c>
      <c r="Y57" t="n">
        <v>19</v>
      </c>
      <c r="Z57" t="n">
        <v>73.44</v>
      </c>
      <c r="AA57" t="n">
        <v>7.47</v>
      </c>
      <c r="AB57" t="n">
        <v>80.91</v>
      </c>
      <c r="AC57" t="n">
        <v>14.56</v>
      </c>
      <c r="AD57" t="n">
        <v>0</v>
      </c>
      <c r="AE57" t="n">
        <v>386.5</v>
      </c>
      <c r="AF57" t="n">
        <v>0</v>
      </c>
      <c r="AG57" t="n">
        <v>0</v>
      </c>
      <c r="AH57" t="n">
        <v>0.39</v>
      </c>
      <c r="AI57" t="n">
        <v>19.33</v>
      </c>
      <c r="AJ57" t="n">
        <v>0</v>
      </c>
      <c r="AK57" t="n">
        <v>34.28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115.19</v>
      </c>
      <c r="AV57" t="n">
        <v>0</v>
      </c>
      <c r="AW57" t="n">
        <v>290.64</v>
      </c>
      <c r="AX57" t="inlineStr">
        <is>
          <t>settled</t>
        </is>
      </c>
      <c r="AY57" t="inlineStr">
        <is>
          <t>NA</t>
        </is>
      </c>
      <c r="AZ57" t="inlineStr">
        <is>
          <t>NA</t>
        </is>
      </c>
      <c r="BA57" t="n">
        <v>0</v>
      </c>
      <c r="BB57" t="inlineStr">
        <is>
          <t>6ba78dd065687c092b94a1428482c12bfdea791be318e5b08f2192ca98037c7a</t>
        </is>
      </c>
    </row>
    <row r="58">
      <c r="A58" t="inlineStr">
        <is>
          <t>742</t>
        </is>
      </c>
      <c r="B58" t="inlineStr">
        <is>
          <t>7586655258</t>
        </is>
      </c>
      <c r="C58" t="inlineStr">
        <is>
          <t>2025-12-16 02:23:04</t>
        </is>
      </c>
      <c r="D58" t="inlineStr">
        <is>
          <t>51</t>
        </is>
      </c>
      <c r="E58" t="inlineStr">
        <is>
          <t>Sha Sha - Shandaar Shawarma</t>
        </is>
      </c>
      <c r="F58" t="inlineStr">
        <is>
          <t>18557902</t>
        </is>
      </c>
      <c r="G58" t="inlineStr">
        <is>
          <t>30% off upto ₹75 (2025-06-25 - 2031-01-01)</t>
        </is>
      </c>
      <c r="H58" t="inlineStr">
        <is>
          <t>ONLINE</t>
        </is>
      </c>
      <c r="I58" t="inlineStr">
        <is>
          <t>DELIVERED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O2</t>
        </is>
      </c>
      <c r="N58" t="inlineStr">
        <is>
          <t>36</t>
        </is>
      </c>
      <c r="O58" t="n">
        <v>229</v>
      </c>
      <c r="P58" t="n">
        <v>3.5</v>
      </c>
      <c r="Q58" t="n">
        <v>0</v>
      </c>
      <c r="R58" t="n">
        <v>68.7</v>
      </c>
      <c r="S58" t="n">
        <v>0</v>
      </c>
      <c r="T58" t="n">
        <v>0</v>
      </c>
      <c r="U58" t="n">
        <v>0</v>
      </c>
      <c r="V58" t="n">
        <v>8.19</v>
      </c>
      <c r="W58" t="n">
        <v>171.99</v>
      </c>
      <c r="X58" t="n">
        <v>163.8</v>
      </c>
      <c r="Y58" t="n">
        <v>19</v>
      </c>
      <c r="Z58" t="n">
        <v>31.12</v>
      </c>
      <c r="AA58" t="n">
        <v>3.16</v>
      </c>
      <c r="AB58" t="n">
        <v>34.28</v>
      </c>
      <c r="AC58" t="n">
        <v>6.17</v>
      </c>
      <c r="AD58" t="n">
        <v>0</v>
      </c>
      <c r="AE58" t="n">
        <v>163.8</v>
      </c>
      <c r="AF58" t="n">
        <v>0</v>
      </c>
      <c r="AG58" t="n">
        <v>0</v>
      </c>
      <c r="AH58" t="n">
        <v>0.16</v>
      </c>
      <c r="AI58" t="n">
        <v>8.199999999999999</v>
      </c>
      <c r="AJ58" t="n">
        <v>-0.01</v>
      </c>
      <c r="AK58" t="n">
        <v>14.53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48.81</v>
      </c>
      <c r="AV58" t="n">
        <v>0</v>
      </c>
      <c r="AW58" t="n">
        <v>123.18</v>
      </c>
      <c r="AX58" t="inlineStr">
        <is>
          <t>settled</t>
        </is>
      </c>
      <c r="AY58" t="inlineStr">
        <is>
          <t>NA</t>
        </is>
      </c>
      <c r="AZ58" t="inlineStr">
        <is>
          <t>NA</t>
        </is>
      </c>
      <c r="BA58" t="n">
        <v>0</v>
      </c>
      <c r="BB58" t="inlineStr">
        <is>
          <t>26c58849057eb2fc88c1bca4bc3c349705c40bd730002e842c7b69d7210c5019</t>
        </is>
      </c>
    </row>
    <row r="59">
      <c r="A59" t="inlineStr">
        <is>
          <t>743</t>
        </is>
      </c>
      <c r="B59" t="inlineStr">
        <is>
          <t>7584286193</t>
        </is>
      </c>
      <c r="C59" t="inlineStr">
        <is>
          <t>2025-12-16 02:50:29</t>
        </is>
      </c>
      <c r="D59" t="inlineStr">
        <is>
          <t>51</t>
        </is>
      </c>
      <c r="E59" t="inlineStr">
        <is>
          <t>Sha Sha - Shandaar Shawarma</t>
        </is>
      </c>
      <c r="F59" t="inlineStr">
        <is>
          <t>18557902</t>
        </is>
      </c>
      <c r="G59" t="inlineStr">
        <is>
          <t>30% off upto ₹75 (2025-06-25 - 2031-01-01)</t>
        </is>
      </c>
      <c r="H59" t="inlineStr">
        <is>
          <t>ONLINE</t>
        </is>
      </c>
      <c r="I59" t="inlineStr">
        <is>
          <t>DELIVERED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O2</t>
        </is>
      </c>
      <c r="N59" t="inlineStr">
        <is>
          <t>36</t>
        </is>
      </c>
      <c r="O59" t="n">
        <v>229</v>
      </c>
      <c r="P59" t="n">
        <v>3.5</v>
      </c>
      <c r="Q59" t="n">
        <v>0</v>
      </c>
      <c r="R59" t="n">
        <v>68.7</v>
      </c>
      <c r="S59" t="n">
        <v>0</v>
      </c>
      <c r="T59" t="n">
        <v>0</v>
      </c>
      <c r="U59" t="n">
        <v>0</v>
      </c>
      <c r="V59" t="n">
        <v>8.19</v>
      </c>
      <c r="W59" t="n">
        <v>171.99</v>
      </c>
      <c r="X59" t="n">
        <v>163.8</v>
      </c>
      <c r="Y59" t="n">
        <v>19</v>
      </c>
      <c r="Z59" t="n">
        <v>31.12</v>
      </c>
      <c r="AA59" t="n">
        <v>3.16</v>
      </c>
      <c r="AB59" t="n">
        <v>34.28</v>
      </c>
      <c r="AC59" t="n">
        <v>6.17</v>
      </c>
      <c r="AD59" t="n">
        <v>0</v>
      </c>
      <c r="AE59" t="n">
        <v>163.8</v>
      </c>
      <c r="AF59" t="n">
        <v>0</v>
      </c>
      <c r="AG59" t="n">
        <v>0</v>
      </c>
      <c r="AH59" t="n">
        <v>0.16</v>
      </c>
      <c r="AI59" t="n">
        <v>8.199999999999999</v>
      </c>
      <c r="AJ59" t="n">
        <v>-0.01</v>
      </c>
      <c r="AK59" t="n">
        <v>14.53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48.81</v>
      </c>
      <c r="AV59" t="n">
        <v>0</v>
      </c>
      <c r="AW59" t="n">
        <v>123.18</v>
      </c>
      <c r="AX59" t="inlineStr">
        <is>
          <t>settled</t>
        </is>
      </c>
      <c r="AY59" t="inlineStr">
        <is>
          <t>NA</t>
        </is>
      </c>
      <c r="AZ59" t="inlineStr">
        <is>
          <t>NA</t>
        </is>
      </c>
      <c r="BA59" t="n">
        <v>0</v>
      </c>
      <c r="BB59" t="inlineStr">
        <is>
          <t>827ad5af501dac2964650f81d1e1563f5759100dcf1d887b43d678bcc2bb6f9c</t>
        </is>
      </c>
    </row>
    <row r="60">
      <c r="A60" t="inlineStr">
        <is>
          <t>744</t>
        </is>
      </c>
      <c r="B60" t="inlineStr">
        <is>
          <t>7584091016</t>
        </is>
      </c>
      <c r="C60" t="inlineStr">
        <is>
          <t>2025-12-16 03:18:10</t>
        </is>
      </c>
      <c r="D60" t="inlineStr">
        <is>
          <t>51</t>
        </is>
      </c>
      <c r="E60" t="inlineStr">
        <is>
          <t>Sha Sha - Shandaar Shawarma</t>
        </is>
      </c>
      <c r="F60" t="inlineStr">
        <is>
          <t>18557902</t>
        </is>
      </c>
      <c r="G60" t="inlineStr">
        <is>
          <t>30% off upto ₹75 (2025-06-25 - 2031-01-01)</t>
        </is>
      </c>
      <c r="H60" t="inlineStr">
        <is>
          <t>ONLINE</t>
        </is>
      </c>
      <c r="I60" t="inlineStr">
        <is>
          <t>DELIVERED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O2</t>
        </is>
      </c>
      <c r="N60" t="inlineStr">
        <is>
          <t>36</t>
        </is>
      </c>
      <c r="O60" t="n">
        <v>229</v>
      </c>
      <c r="P60" t="n">
        <v>3.5</v>
      </c>
      <c r="Q60" t="n">
        <v>0</v>
      </c>
      <c r="R60" t="n">
        <v>68.7</v>
      </c>
      <c r="S60" t="n">
        <v>0</v>
      </c>
      <c r="T60" t="n">
        <v>0</v>
      </c>
      <c r="U60" t="n">
        <v>0</v>
      </c>
      <c r="V60" t="n">
        <v>8.19</v>
      </c>
      <c r="W60" t="n">
        <v>171.99</v>
      </c>
      <c r="X60" t="n">
        <v>163.8</v>
      </c>
      <c r="Y60" t="n">
        <v>19</v>
      </c>
      <c r="Z60" t="n">
        <v>31.12</v>
      </c>
      <c r="AA60" t="n">
        <v>3.16</v>
      </c>
      <c r="AB60" t="n">
        <v>34.28</v>
      </c>
      <c r="AC60" t="n">
        <v>6.17</v>
      </c>
      <c r="AD60" t="n">
        <v>0</v>
      </c>
      <c r="AE60" t="n">
        <v>163.8</v>
      </c>
      <c r="AF60" t="n">
        <v>0</v>
      </c>
      <c r="AG60" t="n">
        <v>0</v>
      </c>
      <c r="AH60" t="n">
        <v>0.16</v>
      </c>
      <c r="AI60" t="n">
        <v>8.199999999999999</v>
      </c>
      <c r="AJ60" t="n">
        <v>-0.01</v>
      </c>
      <c r="AK60" t="n">
        <v>14.53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48.81</v>
      </c>
      <c r="AV60" t="n">
        <v>0</v>
      </c>
      <c r="AW60" t="n">
        <v>123.18</v>
      </c>
      <c r="AX60" t="inlineStr">
        <is>
          <t>settled</t>
        </is>
      </c>
      <c r="AY60" t="inlineStr">
        <is>
          <t>NA</t>
        </is>
      </c>
      <c r="AZ60" t="inlineStr">
        <is>
          <t>NA</t>
        </is>
      </c>
      <c r="BA60" t="n">
        <v>0</v>
      </c>
      <c r="BB60" t="inlineStr">
        <is>
          <t>914cb489147241c2e70f7061a631efdf6c72db511676433217931b06bd39d907</t>
        </is>
      </c>
    </row>
    <row r="61">
      <c r="A61" t="inlineStr">
        <is>
          <t>745</t>
        </is>
      </c>
      <c r="B61" t="inlineStr">
        <is>
          <t>7587841476</t>
        </is>
      </c>
      <c r="C61" t="inlineStr">
        <is>
          <t>2025-12-16 12:27:25</t>
        </is>
      </c>
      <c r="D61" t="inlineStr">
        <is>
          <t>51</t>
        </is>
      </c>
      <c r="E61" t="inlineStr">
        <is>
          <t>Sha Sha - Shandaar Shawarma</t>
        </is>
      </c>
      <c r="F61" t="inlineStr">
        <is>
          <t>18557902</t>
        </is>
      </c>
      <c r="G61" t="inlineStr">
        <is>
          <t>30% off upto ₹75 (2025-06-25 - 2031-01-01)</t>
        </is>
      </c>
      <c r="H61" t="inlineStr">
        <is>
          <t>ONLINE</t>
        </is>
      </c>
      <c r="I61" t="inlineStr">
        <is>
          <t>DELIVERED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O2</t>
        </is>
      </c>
      <c r="N61" t="inlineStr">
        <is>
          <t>36</t>
        </is>
      </c>
      <c r="O61" t="n">
        <v>458</v>
      </c>
      <c r="P61" t="n">
        <v>3.5</v>
      </c>
      <c r="Q61" t="n">
        <v>0</v>
      </c>
      <c r="R61" t="n">
        <v>75</v>
      </c>
      <c r="S61" t="n">
        <v>0</v>
      </c>
      <c r="T61" t="n">
        <v>0</v>
      </c>
      <c r="U61" t="n">
        <v>0</v>
      </c>
      <c r="V61" t="n">
        <v>19.33</v>
      </c>
      <c r="W61" t="n">
        <v>405.83</v>
      </c>
      <c r="X61" t="n">
        <v>386.5</v>
      </c>
      <c r="Y61" t="n">
        <v>19</v>
      </c>
      <c r="Z61" t="n">
        <v>73.44</v>
      </c>
      <c r="AA61" t="n">
        <v>7.47</v>
      </c>
      <c r="AB61" t="n">
        <v>80.91</v>
      </c>
      <c r="AC61" t="n">
        <v>14.56</v>
      </c>
      <c r="AD61" t="n">
        <v>0</v>
      </c>
      <c r="AE61" t="n">
        <v>386.5</v>
      </c>
      <c r="AF61" t="n">
        <v>0</v>
      </c>
      <c r="AG61" t="n">
        <v>0</v>
      </c>
      <c r="AH61" t="n">
        <v>0.39</v>
      </c>
      <c r="AI61" t="n">
        <v>19.33</v>
      </c>
      <c r="AJ61" t="n">
        <v>0</v>
      </c>
      <c r="AK61" t="n">
        <v>34.28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115.19</v>
      </c>
      <c r="AV61" t="n">
        <v>0</v>
      </c>
      <c r="AW61" t="n">
        <v>290.64</v>
      </c>
      <c r="AX61" t="inlineStr">
        <is>
          <t>settled</t>
        </is>
      </c>
      <c r="AY61" t="inlineStr">
        <is>
          <t>NA</t>
        </is>
      </c>
      <c r="AZ61" t="inlineStr">
        <is>
          <t>NA</t>
        </is>
      </c>
      <c r="BA61" t="n">
        <v>0</v>
      </c>
      <c r="BB61" t="inlineStr">
        <is>
          <t>00cca1f46f986d11b4b8f351f45ec84288cc917243353afc5c1f5cec18034882</t>
        </is>
      </c>
    </row>
    <row r="62">
      <c r="A62" t="inlineStr">
        <is>
          <t>746</t>
        </is>
      </c>
      <c r="B62" t="inlineStr">
        <is>
          <t>7578607574</t>
        </is>
      </c>
      <c r="C62" t="inlineStr">
        <is>
          <t>2025-12-16 13:47:42</t>
        </is>
      </c>
      <c r="D62" t="inlineStr">
        <is>
          <t>51</t>
        </is>
      </c>
      <c r="E62" t="inlineStr">
        <is>
          <t>Sha Sha - Shandaar Shawarma</t>
        </is>
      </c>
      <c r="F62" t="inlineStr">
        <is>
          <t>18557902</t>
        </is>
      </c>
      <c r="G62" t="inlineStr">
        <is>
          <t>30% off upto ₹75 (2025-06-25 - 2031-01-01)</t>
        </is>
      </c>
      <c r="H62" t="inlineStr">
        <is>
          <t>ONLINE</t>
        </is>
      </c>
      <c r="I62" t="inlineStr">
        <is>
          <t>DELIVERED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O2</t>
        </is>
      </c>
      <c r="N62" t="inlineStr">
        <is>
          <t>36</t>
        </is>
      </c>
      <c r="O62" t="n">
        <v>229</v>
      </c>
      <c r="P62" t="n">
        <v>3.5</v>
      </c>
      <c r="Q62" t="n">
        <v>0</v>
      </c>
      <c r="R62" t="n">
        <v>68.7</v>
      </c>
      <c r="S62" t="n">
        <v>0</v>
      </c>
      <c r="T62" t="n">
        <v>0</v>
      </c>
      <c r="U62" t="n">
        <v>0</v>
      </c>
      <c r="V62" t="n">
        <v>8.19</v>
      </c>
      <c r="W62" t="n">
        <v>171.99</v>
      </c>
      <c r="X62" t="n">
        <v>163.8</v>
      </c>
      <c r="Y62" t="n">
        <v>19</v>
      </c>
      <c r="Z62" t="n">
        <v>31.12</v>
      </c>
      <c r="AA62" t="n">
        <v>3.16</v>
      </c>
      <c r="AB62" t="n">
        <v>34.28</v>
      </c>
      <c r="AC62" t="n">
        <v>6.17</v>
      </c>
      <c r="AD62" t="n">
        <v>0</v>
      </c>
      <c r="AE62" t="n">
        <v>163.8</v>
      </c>
      <c r="AF62" t="n">
        <v>0</v>
      </c>
      <c r="AG62" t="n">
        <v>0</v>
      </c>
      <c r="AH62" t="n">
        <v>0.16</v>
      </c>
      <c r="AI62" t="n">
        <v>8.199999999999999</v>
      </c>
      <c r="AJ62" t="n">
        <v>-0.01</v>
      </c>
      <c r="AK62" t="n">
        <v>14.53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48.81</v>
      </c>
      <c r="AV62" t="n">
        <v>0</v>
      </c>
      <c r="AW62" t="n">
        <v>123.18</v>
      </c>
      <c r="AX62" t="inlineStr">
        <is>
          <t>settled</t>
        </is>
      </c>
      <c r="AY62" t="inlineStr">
        <is>
          <t>NA</t>
        </is>
      </c>
      <c r="AZ62" t="inlineStr">
        <is>
          <t>NA</t>
        </is>
      </c>
      <c r="BA62" t="n">
        <v>0</v>
      </c>
      <c r="BB62" t="inlineStr">
        <is>
          <t>15d57bfc00b7424fc584e4edc0d026310f6d0a9c8015538121de0645d4398936</t>
        </is>
      </c>
    </row>
    <row r="63">
      <c r="A63" t="inlineStr">
        <is>
          <t>747</t>
        </is>
      </c>
      <c r="B63" t="inlineStr">
        <is>
          <t>7587374734</t>
        </is>
      </c>
      <c r="C63" t="inlineStr">
        <is>
          <t>2025-12-16 15:05:24</t>
        </is>
      </c>
      <c r="D63" t="inlineStr">
        <is>
          <t>51</t>
        </is>
      </c>
      <c r="E63" t="inlineStr">
        <is>
          <t>Sha Sha - Shandaar Shawarma</t>
        </is>
      </c>
      <c r="F63" t="inlineStr">
        <is>
          <t>18557902</t>
        </is>
      </c>
      <c r="G63" t="inlineStr">
        <is>
          <t>30% off upto ₹75 (2025-06-25 - 2031-01-01)</t>
        </is>
      </c>
      <c r="H63" t="inlineStr">
        <is>
          <t>ONLINE</t>
        </is>
      </c>
      <c r="I63" t="inlineStr">
        <is>
          <t>DELIVERED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O2</t>
        </is>
      </c>
      <c r="N63" t="inlineStr">
        <is>
          <t>36</t>
        </is>
      </c>
      <c r="O63" t="n">
        <v>229</v>
      </c>
      <c r="P63" t="n">
        <v>3.5</v>
      </c>
      <c r="Q63" t="n">
        <v>0</v>
      </c>
      <c r="R63" t="n">
        <v>68.7</v>
      </c>
      <c r="S63" t="n">
        <v>0</v>
      </c>
      <c r="T63" t="n">
        <v>0</v>
      </c>
      <c r="U63" t="n">
        <v>0</v>
      </c>
      <c r="V63" t="n">
        <v>8.19</v>
      </c>
      <c r="W63" t="n">
        <v>171.99</v>
      </c>
      <c r="X63" t="n">
        <v>163.8</v>
      </c>
      <c r="Y63" t="n">
        <v>19</v>
      </c>
      <c r="Z63" t="n">
        <v>31.12</v>
      </c>
      <c r="AA63" t="n">
        <v>3.16</v>
      </c>
      <c r="AB63" t="n">
        <v>34.28</v>
      </c>
      <c r="AC63" t="n">
        <v>6.17</v>
      </c>
      <c r="AD63" t="n">
        <v>0</v>
      </c>
      <c r="AE63" t="n">
        <v>163.8</v>
      </c>
      <c r="AF63" t="n">
        <v>0</v>
      </c>
      <c r="AG63" t="n">
        <v>0</v>
      </c>
      <c r="AH63" t="n">
        <v>0.16</v>
      </c>
      <c r="AI63" t="n">
        <v>8.199999999999999</v>
      </c>
      <c r="AJ63" t="n">
        <v>-0.01</v>
      </c>
      <c r="AK63" t="n">
        <v>14.53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48.81</v>
      </c>
      <c r="AV63" t="n">
        <v>0</v>
      </c>
      <c r="AW63" t="n">
        <v>123.18</v>
      </c>
      <c r="AX63" t="inlineStr">
        <is>
          <t>settled</t>
        </is>
      </c>
      <c r="AY63" t="inlineStr">
        <is>
          <t>NA</t>
        </is>
      </c>
      <c r="AZ63" t="inlineStr">
        <is>
          <t>NA</t>
        </is>
      </c>
      <c r="BA63" t="n">
        <v>0</v>
      </c>
      <c r="BB63" t="inlineStr">
        <is>
          <t>0bd5544c646959e93a6c8ba0ea45ce48582b9edbc30c9533e89f4f65800ac6d3</t>
        </is>
      </c>
    </row>
    <row r="64">
      <c r="A64" t="inlineStr">
        <is>
          <t>748</t>
        </is>
      </c>
      <c r="B64" t="inlineStr">
        <is>
          <t>7585552622</t>
        </is>
      </c>
      <c r="C64" t="inlineStr">
        <is>
          <t>2025-12-16 15:36:20</t>
        </is>
      </c>
      <c r="D64" t="inlineStr">
        <is>
          <t>51</t>
        </is>
      </c>
      <c r="E64" t="inlineStr">
        <is>
          <t>Sha Sha - Shandaar Shawarma</t>
        </is>
      </c>
      <c r="F64" t="inlineStr">
        <is>
          <t>18557902</t>
        </is>
      </c>
      <c r="G64" t="inlineStr">
        <is>
          <t>NA</t>
        </is>
      </c>
      <c r="H64" t="inlineStr">
        <is>
          <t>ONLINE</t>
        </is>
      </c>
      <c r="I64" t="inlineStr">
        <is>
          <t>DELIVERED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O2</t>
        </is>
      </c>
      <c r="N64" t="inlineStr">
        <is>
          <t>36</t>
        </is>
      </c>
      <c r="O64" t="n">
        <v>229</v>
      </c>
      <c r="P64" t="n">
        <v>3.5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11.63</v>
      </c>
      <c r="W64" t="n">
        <v>244.13</v>
      </c>
      <c r="X64" t="n">
        <v>232.5</v>
      </c>
      <c r="Y64" t="n">
        <v>19</v>
      </c>
      <c r="Z64" t="n">
        <v>44.18</v>
      </c>
      <c r="AA64" t="n">
        <v>4.49</v>
      </c>
      <c r="AB64" t="n">
        <v>48.67</v>
      </c>
      <c r="AC64" t="n">
        <v>8.76</v>
      </c>
      <c r="AD64" t="n">
        <v>0</v>
      </c>
      <c r="AE64" t="n">
        <v>232.5</v>
      </c>
      <c r="AF64" t="n">
        <v>0</v>
      </c>
      <c r="AG64" t="n">
        <v>0</v>
      </c>
      <c r="AH64" t="n">
        <v>0.23</v>
      </c>
      <c r="AI64" t="n">
        <v>11.63</v>
      </c>
      <c r="AJ64" t="n">
        <v>0</v>
      </c>
      <c r="AK64" t="n">
        <v>20.62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69.29000000000001</v>
      </c>
      <c r="AV64" t="n">
        <v>0</v>
      </c>
      <c r="AW64" t="n">
        <v>174.84</v>
      </c>
      <c r="AX64" t="inlineStr">
        <is>
          <t>settled</t>
        </is>
      </c>
      <c r="AY64" t="inlineStr">
        <is>
          <t>NA</t>
        </is>
      </c>
      <c r="AZ64" t="inlineStr">
        <is>
          <t>NA</t>
        </is>
      </c>
      <c r="BA64" t="n">
        <v>0</v>
      </c>
      <c r="BB64" t="inlineStr">
        <is>
          <t>623b1ee4bfdec4590a2bbc904ba94193e7ed7e284f26fbe38de13ddba3f7e02e</t>
        </is>
      </c>
    </row>
    <row r="65">
      <c r="A65" t="inlineStr">
        <is>
          <t>749</t>
        </is>
      </c>
      <c r="B65" t="inlineStr">
        <is>
          <t>7589580274</t>
        </is>
      </c>
      <c r="C65" t="inlineStr">
        <is>
          <t>2025-12-16 16:14:03</t>
        </is>
      </c>
      <c r="D65" t="inlineStr">
        <is>
          <t>51</t>
        </is>
      </c>
      <c r="E65" t="inlineStr">
        <is>
          <t>Sha Sha - Shandaar Shawarma</t>
        </is>
      </c>
      <c r="F65" t="inlineStr">
        <is>
          <t>18557902</t>
        </is>
      </c>
      <c r="G65" t="inlineStr">
        <is>
          <t>30% off upto ₹75 (2025-06-25 - 2031-01-01)</t>
        </is>
      </c>
      <c r="H65" t="inlineStr">
        <is>
          <t>ONLINE</t>
        </is>
      </c>
      <c r="I65" t="inlineStr">
        <is>
          <t>DELIVERED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O2</t>
        </is>
      </c>
      <c r="N65" t="inlineStr">
        <is>
          <t>36</t>
        </is>
      </c>
      <c r="O65" t="n">
        <v>229</v>
      </c>
      <c r="P65" t="n">
        <v>3.5</v>
      </c>
      <c r="Q65" t="n">
        <v>0</v>
      </c>
      <c r="R65" t="n">
        <v>68.7</v>
      </c>
      <c r="S65" t="n">
        <v>0</v>
      </c>
      <c r="T65" t="n">
        <v>0</v>
      </c>
      <c r="U65" t="n">
        <v>0</v>
      </c>
      <c r="V65" t="n">
        <v>8.19</v>
      </c>
      <c r="W65" t="n">
        <v>171.99</v>
      </c>
      <c r="X65" t="n">
        <v>163.8</v>
      </c>
      <c r="Y65" t="n">
        <v>19</v>
      </c>
      <c r="Z65" t="n">
        <v>31.12</v>
      </c>
      <c r="AA65" t="n">
        <v>3.16</v>
      </c>
      <c r="AB65" t="n">
        <v>34.28</v>
      </c>
      <c r="AC65" t="n">
        <v>6.17</v>
      </c>
      <c r="AD65" t="n">
        <v>0</v>
      </c>
      <c r="AE65" t="n">
        <v>163.8</v>
      </c>
      <c r="AF65" t="n">
        <v>0</v>
      </c>
      <c r="AG65" t="n">
        <v>0</v>
      </c>
      <c r="AH65" t="n">
        <v>0.16</v>
      </c>
      <c r="AI65" t="n">
        <v>8.199999999999999</v>
      </c>
      <c r="AJ65" t="n">
        <v>-0.01</v>
      </c>
      <c r="AK65" t="n">
        <v>14.53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48.81</v>
      </c>
      <c r="AV65" t="n">
        <v>0</v>
      </c>
      <c r="AW65" t="n">
        <v>123.18</v>
      </c>
      <c r="AX65" t="inlineStr">
        <is>
          <t>settled</t>
        </is>
      </c>
      <c r="AY65" t="inlineStr">
        <is>
          <t>NA</t>
        </is>
      </c>
      <c r="AZ65" t="inlineStr">
        <is>
          <t>NA</t>
        </is>
      </c>
      <c r="BA65" t="n">
        <v>0</v>
      </c>
      <c r="BB65" t="inlineStr">
        <is>
          <t>9c40ced9cb93d5f8b68a5ce594a8250a65be2895312853b1ddf4a9ec5bde8b3d</t>
        </is>
      </c>
    </row>
    <row r="66">
      <c r="A66" t="inlineStr">
        <is>
          <t>750</t>
        </is>
      </c>
      <c r="B66" t="inlineStr">
        <is>
          <t>7585653202</t>
        </is>
      </c>
      <c r="C66" t="inlineStr">
        <is>
          <t>2025-12-16 16:32:21</t>
        </is>
      </c>
      <c r="D66" t="inlineStr">
        <is>
          <t>51</t>
        </is>
      </c>
      <c r="E66" t="inlineStr">
        <is>
          <t>Sha Sha - Shandaar Shawarma</t>
        </is>
      </c>
      <c r="F66" t="inlineStr">
        <is>
          <t>18557902</t>
        </is>
      </c>
      <c r="G66" t="inlineStr">
        <is>
          <t>30% off upto ₹75 (2025-06-25 - 2031-01-01)</t>
        </is>
      </c>
      <c r="H66" t="inlineStr">
        <is>
          <t>ONLINE</t>
        </is>
      </c>
      <c r="I66" t="inlineStr">
        <is>
          <t>DELIVERED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O2</t>
        </is>
      </c>
      <c r="N66" t="inlineStr">
        <is>
          <t>36</t>
        </is>
      </c>
      <c r="O66" t="n">
        <v>268</v>
      </c>
      <c r="P66" t="n">
        <v>3.5</v>
      </c>
      <c r="Q66" t="n">
        <v>0</v>
      </c>
      <c r="R66" t="n">
        <v>75</v>
      </c>
      <c r="S66" t="n">
        <v>0</v>
      </c>
      <c r="T66" t="n">
        <v>0</v>
      </c>
      <c r="U66" t="n">
        <v>0</v>
      </c>
      <c r="V66" t="n">
        <v>9.83</v>
      </c>
      <c r="W66" t="n">
        <v>206.33</v>
      </c>
      <c r="X66" t="n">
        <v>196.5</v>
      </c>
      <c r="Y66" t="n">
        <v>19</v>
      </c>
      <c r="Z66" t="n">
        <v>37.34</v>
      </c>
      <c r="AA66" t="n">
        <v>3.8</v>
      </c>
      <c r="AB66" t="n">
        <v>41.14</v>
      </c>
      <c r="AC66" t="n">
        <v>7.4</v>
      </c>
      <c r="AD66" t="n">
        <v>0</v>
      </c>
      <c r="AE66" t="n">
        <v>196.5</v>
      </c>
      <c r="AF66" t="n">
        <v>0</v>
      </c>
      <c r="AG66" t="n">
        <v>0</v>
      </c>
      <c r="AH66" t="n">
        <v>0.2</v>
      </c>
      <c r="AI66" t="n">
        <v>9.83</v>
      </c>
      <c r="AJ66" t="n">
        <v>0</v>
      </c>
      <c r="AK66" t="n">
        <v>17.43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58.57</v>
      </c>
      <c r="AV66" t="n">
        <v>0</v>
      </c>
      <c r="AW66" t="n">
        <v>147.76</v>
      </c>
      <c r="AX66" t="inlineStr">
        <is>
          <t>settled</t>
        </is>
      </c>
      <c r="AY66" t="inlineStr">
        <is>
          <t>NA</t>
        </is>
      </c>
      <c r="AZ66" t="inlineStr">
        <is>
          <t>NA</t>
        </is>
      </c>
      <c r="BA66" t="n">
        <v>0</v>
      </c>
      <c r="BB66" t="inlineStr">
        <is>
          <t>df596a398a27c6f1f9d6519e8d12798b6bcda4902dad7dd9663589817651a4b7</t>
        </is>
      </c>
    </row>
    <row r="67">
      <c r="A67" t="inlineStr">
        <is>
          <t>751</t>
        </is>
      </c>
      <c r="B67" t="inlineStr">
        <is>
          <t>7585221657</t>
        </is>
      </c>
      <c r="C67" t="inlineStr">
        <is>
          <t>2025-12-16 16:48:20</t>
        </is>
      </c>
      <c r="D67" t="inlineStr">
        <is>
          <t>51</t>
        </is>
      </c>
      <c r="E67" t="inlineStr">
        <is>
          <t>Sha Sha - Shandaar Shawarma</t>
        </is>
      </c>
      <c r="F67" t="inlineStr">
        <is>
          <t>18557902</t>
        </is>
      </c>
      <c r="G67" t="inlineStr">
        <is>
          <t>30% off upto ₹75 (2025-06-25 - 2031-01-01)</t>
        </is>
      </c>
      <c r="H67" t="inlineStr">
        <is>
          <t>ONLINE</t>
        </is>
      </c>
      <c r="I67" t="inlineStr">
        <is>
          <t>DELIVERED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O2</t>
        </is>
      </c>
      <c r="N67" t="inlineStr">
        <is>
          <t>36</t>
        </is>
      </c>
      <c r="O67" t="n">
        <v>229</v>
      </c>
      <c r="P67" t="n">
        <v>3.5</v>
      </c>
      <c r="Q67" t="n">
        <v>0</v>
      </c>
      <c r="R67" t="n">
        <v>68.7</v>
      </c>
      <c r="S67" t="n">
        <v>0</v>
      </c>
      <c r="T67" t="n">
        <v>0</v>
      </c>
      <c r="U67" t="n">
        <v>0</v>
      </c>
      <c r="V67" t="n">
        <v>8.19</v>
      </c>
      <c r="W67" t="n">
        <v>171.99</v>
      </c>
      <c r="X67" t="n">
        <v>163.8</v>
      </c>
      <c r="Y67" t="n">
        <v>19</v>
      </c>
      <c r="Z67" t="n">
        <v>31.12</v>
      </c>
      <c r="AA67" t="n">
        <v>3.16</v>
      </c>
      <c r="AB67" t="n">
        <v>34.28</v>
      </c>
      <c r="AC67" t="n">
        <v>6.17</v>
      </c>
      <c r="AD67" t="n">
        <v>0</v>
      </c>
      <c r="AE67" t="n">
        <v>163.8</v>
      </c>
      <c r="AF67" t="n">
        <v>0</v>
      </c>
      <c r="AG67" t="n">
        <v>0</v>
      </c>
      <c r="AH67" t="n">
        <v>0.16</v>
      </c>
      <c r="AI67" t="n">
        <v>8.199999999999999</v>
      </c>
      <c r="AJ67" t="n">
        <v>-0.01</v>
      </c>
      <c r="AK67" t="n">
        <v>14.53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48.81</v>
      </c>
      <c r="AV67" t="n">
        <v>0</v>
      </c>
      <c r="AW67" t="n">
        <v>123.18</v>
      </c>
      <c r="AX67" t="inlineStr">
        <is>
          <t>settled</t>
        </is>
      </c>
      <c r="AY67" t="inlineStr">
        <is>
          <t>NA</t>
        </is>
      </c>
      <c r="AZ67" t="inlineStr">
        <is>
          <t>NA</t>
        </is>
      </c>
      <c r="BA67" t="n">
        <v>0</v>
      </c>
      <c r="BB67" t="inlineStr">
        <is>
          <t>58bb671014ca4c0d8091eda15b49508e0e9549b8126851d4666b687ea47052c0</t>
        </is>
      </c>
    </row>
    <row r="68">
      <c r="A68" t="inlineStr">
        <is>
          <t>752</t>
        </is>
      </c>
      <c r="B68" t="inlineStr">
        <is>
          <t>7588548063</t>
        </is>
      </c>
      <c r="C68" t="inlineStr">
        <is>
          <t>2025-12-16 17:38:45</t>
        </is>
      </c>
      <c r="D68" t="inlineStr">
        <is>
          <t>51</t>
        </is>
      </c>
      <c r="E68" t="inlineStr">
        <is>
          <t>Sha Sha - Shandaar Shawarma</t>
        </is>
      </c>
      <c r="F68" t="inlineStr">
        <is>
          <t>18557902</t>
        </is>
      </c>
      <c r="G68" t="inlineStr">
        <is>
          <t>30% off upto ₹75 (2025-06-25 - 2031-01-01)</t>
        </is>
      </c>
      <c r="H68" t="inlineStr">
        <is>
          <t>ONLINE</t>
        </is>
      </c>
      <c r="I68" t="inlineStr">
        <is>
          <t>DELIVERED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O2</t>
        </is>
      </c>
      <c r="N68" t="inlineStr">
        <is>
          <t>36</t>
        </is>
      </c>
      <c r="O68" t="n">
        <v>229</v>
      </c>
      <c r="P68" t="n">
        <v>3.5</v>
      </c>
      <c r="Q68" t="n">
        <v>0</v>
      </c>
      <c r="R68" t="n">
        <v>68.7</v>
      </c>
      <c r="S68" t="n">
        <v>0</v>
      </c>
      <c r="T68" t="n">
        <v>0</v>
      </c>
      <c r="U68" t="n">
        <v>0</v>
      </c>
      <c r="V68" t="n">
        <v>8.19</v>
      </c>
      <c r="W68" t="n">
        <v>171.99</v>
      </c>
      <c r="X68" t="n">
        <v>163.8</v>
      </c>
      <c r="Y68" t="n">
        <v>19</v>
      </c>
      <c r="Z68" t="n">
        <v>31.12</v>
      </c>
      <c r="AA68" t="n">
        <v>3.16</v>
      </c>
      <c r="AB68" t="n">
        <v>34.28</v>
      </c>
      <c r="AC68" t="n">
        <v>6.17</v>
      </c>
      <c r="AD68" t="n">
        <v>0</v>
      </c>
      <c r="AE68" t="n">
        <v>163.8</v>
      </c>
      <c r="AF68" t="n">
        <v>0</v>
      </c>
      <c r="AG68" t="n">
        <v>0</v>
      </c>
      <c r="AH68" t="n">
        <v>0.16</v>
      </c>
      <c r="AI68" t="n">
        <v>8.199999999999999</v>
      </c>
      <c r="AJ68" t="n">
        <v>-0.01</v>
      </c>
      <c r="AK68" t="n">
        <v>14.53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48.81</v>
      </c>
      <c r="AV68" t="n">
        <v>0</v>
      </c>
      <c r="AW68" t="n">
        <v>123.18</v>
      </c>
      <c r="AX68" t="inlineStr">
        <is>
          <t>settled</t>
        </is>
      </c>
      <c r="AY68" t="inlineStr">
        <is>
          <t>NA</t>
        </is>
      </c>
      <c r="AZ68" t="inlineStr">
        <is>
          <t>NA</t>
        </is>
      </c>
      <c r="BA68" t="n">
        <v>0</v>
      </c>
      <c r="BB68" t="inlineStr">
        <is>
          <t>bbae99c069f5a4a75d2a57f7e63747ee4c107267c3a7a0a27a9964f12c47f02f</t>
        </is>
      </c>
    </row>
    <row r="69">
      <c r="A69" t="inlineStr">
        <is>
          <t>753</t>
        </is>
      </c>
      <c r="B69" t="inlineStr">
        <is>
          <t>7584565511</t>
        </is>
      </c>
      <c r="C69" t="inlineStr">
        <is>
          <t>2025-12-16 18:33:20</t>
        </is>
      </c>
      <c r="D69" t="inlineStr">
        <is>
          <t>51</t>
        </is>
      </c>
      <c r="E69" t="inlineStr">
        <is>
          <t>Sha Sha - Shandaar Shawarma</t>
        </is>
      </c>
      <c r="F69" t="inlineStr">
        <is>
          <t>18557902</t>
        </is>
      </c>
      <c r="G69" t="inlineStr">
        <is>
          <t>30% off upto ₹75 (2025-06-25 - 2031-01-01)</t>
        </is>
      </c>
      <c r="H69" t="inlineStr">
        <is>
          <t>ONLINE</t>
        </is>
      </c>
      <c r="I69" t="inlineStr">
        <is>
          <t>DELIVERED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O2</t>
        </is>
      </c>
      <c r="N69" t="inlineStr">
        <is>
          <t>36</t>
        </is>
      </c>
      <c r="O69" t="n">
        <v>229</v>
      </c>
      <c r="P69" t="n">
        <v>3.5</v>
      </c>
      <c r="Q69" t="n">
        <v>0</v>
      </c>
      <c r="R69" t="n">
        <v>68.7</v>
      </c>
      <c r="S69" t="n">
        <v>0</v>
      </c>
      <c r="T69" t="n">
        <v>0</v>
      </c>
      <c r="U69" t="n">
        <v>0</v>
      </c>
      <c r="V69" t="n">
        <v>8.19</v>
      </c>
      <c r="W69" t="n">
        <v>171.99</v>
      </c>
      <c r="X69" t="n">
        <v>163.8</v>
      </c>
      <c r="Y69" t="n">
        <v>19</v>
      </c>
      <c r="Z69" t="n">
        <v>31.12</v>
      </c>
      <c r="AA69" t="n">
        <v>3.16</v>
      </c>
      <c r="AB69" t="n">
        <v>34.28</v>
      </c>
      <c r="AC69" t="n">
        <v>6.17</v>
      </c>
      <c r="AD69" t="n">
        <v>0</v>
      </c>
      <c r="AE69" t="n">
        <v>163.8</v>
      </c>
      <c r="AF69" t="n">
        <v>0</v>
      </c>
      <c r="AG69" t="n">
        <v>0</v>
      </c>
      <c r="AH69" t="n">
        <v>0.16</v>
      </c>
      <c r="AI69" t="n">
        <v>8.199999999999999</v>
      </c>
      <c r="AJ69" t="n">
        <v>-0.01</v>
      </c>
      <c r="AK69" t="n">
        <v>14.53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48.81</v>
      </c>
      <c r="AV69" t="n">
        <v>0</v>
      </c>
      <c r="AW69" t="n">
        <v>123.18</v>
      </c>
      <c r="AX69" t="inlineStr">
        <is>
          <t>settled</t>
        </is>
      </c>
      <c r="AY69" t="inlineStr">
        <is>
          <t>NA</t>
        </is>
      </c>
      <c r="AZ69" t="inlineStr">
        <is>
          <t>NA</t>
        </is>
      </c>
      <c r="BA69" t="n">
        <v>0</v>
      </c>
      <c r="BB69" t="inlineStr">
        <is>
          <t>4af599f32f5bdd6f8b7980710173294b1d06fd44bd77eaa4b7cce3b1f3f630fa</t>
        </is>
      </c>
    </row>
    <row r="70">
      <c r="A70" t="inlineStr">
        <is>
          <t>754</t>
        </is>
      </c>
      <c r="B70" t="inlineStr">
        <is>
          <t>7589745696</t>
        </is>
      </c>
      <c r="C70" t="inlineStr">
        <is>
          <t>2025-12-16 18:48:43</t>
        </is>
      </c>
      <c r="D70" t="inlineStr">
        <is>
          <t>51</t>
        </is>
      </c>
      <c r="E70" t="inlineStr">
        <is>
          <t>Sha Sha - Shandaar Shawarma</t>
        </is>
      </c>
      <c r="F70" t="inlineStr">
        <is>
          <t>18557902</t>
        </is>
      </c>
      <c r="G70" t="inlineStr">
        <is>
          <t>30% off upto ₹75 (2025-06-25 - 2031-01-01)</t>
        </is>
      </c>
      <c r="H70" t="inlineStr">
        <is>
          <t>ONLINE</t>
        </is>
      </c>
      <c r="I70" t="inlineStr">
        <is>
          <t>DELIVERED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O2</t>
        </is>
      </c>
      <c r="N70" t="inlineStr">
        <is>
          <t>36</t>
        </is>
      </c>
      <c r="O70" t="n">
        <v>229</v>
      </c>
      <c r="P70" t="n">
        <v>3.5</v>
      </c>
      <c r="Q70" t="n">
        <v>0</v>
      </c>
      <c r="R70" t="n">
        <v>68.7</v>
      </c>
      <c r="S70" t="n">
        <v>0</v>
      </c>
      <c r="T70" t="n">
        <v>0</v>
      </c>
      <c r="U70" t="n">
        <v>0</v>
      </c>
      <c r="V70" t="n">
        <v>8.19</v>
      </c>
      <c r="W70" t="n">
        <v>171.99</v>
      </c>
      <c r="X70" t="n">
        <v>163.8</v>
      </c>
      <c r="Y70" t="n">
        <v>19</v>
      </c>
      <c r="Z70" t="n">
        <v>31.12</v>
      </c>
      <c r="AA70" t="n">
        <v>3.16</v>
      </c>
      <c r="AB70" t="n">
        <v>34.28</v>
      </c>
      <c r="AC70" t="n">
        <v>6.17</v>
      </c>
      <c r="AD70" t="n">
        <v>0</v>
      </c>
      <c r="AE70" t="n">
        <v>163.8</v>
      </c>
      <c r="AF70" t="n">
        <v>0</v>
      </c>
      <c r="AG70" t="n">
        <v>0</v>
      </c>
      <c r="AH70" t="n">
        <v>0.16</v>
      </c>
      <c r="AI70" t="n">
        <v>8.199999999999999</v>
      </c>
      <c r="AJ70" t="n">
        <v>-0.01</v>
      </c>
      <c r="AK70" t="n">
        <v>14.53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48.81</v>
      </c>
      <c r="AV70" t="n">
        <v>0</v>
      </c>
      <c r="AW70" t="n">
        <v>123.18</v>
      </c>
      <c r="AX70" t="inlineStr">
        <is>
          <t>settled</t>
        </is>
      </c>
      <c r="AY70" t="inlineStr">
        <is>
          <t>NA</t>
        </is>
      </c>
      <c r="AZ70" t="inlineStr">
        <is>
          <t>NA</t>
        </is>
      </c>
      <c r="BA70" t="n">
        <v>0</v>
      </c>
      <c r="BB70" t="inlineStr">
        <is>
          <t>1b34d36da1fd2aa316d61db97293b8f95e0418c21d0b9078f082d8394694eec9</t>
        </is>
      </c>
    </row>
    <row r="71">
      <c r="A71" t="inlineStr">
        <is>
          <t>755</t>
        </is>
      </c>
      <c r="B71" t="inlineStr">
        <is>
          <t>7571625859</t>
        </is>
      </c>
      <c r="C71" t="inlineStr">
        <is>
          <t>2025-12-16 18:58:05</t>
        </is>
      </c>
      <c r="D71" t="inlineStr">
        <is>
          <t>51</t>
        </is>
      </c>
      <c r="E71" t="inlineStr">
        <is>
          <t>Sha Sha - Shandaar Shawarma</t>
        </is>
      </c>
      <c r="F71" t="inlineStr">
        <is>
          <t>18557902</t>
        </is>
      </c>
      <c r="G71" t="inlineStr">
        <is>
          <t>NA</t>
        </is>
      </c>
      <c r="H71" t="inlineStr">
        <is>
          <t>ONLINE</t>
        </is>
      </c>
      <c r="I71" t="inlineStr">
        <is>
          <t>DELIVERED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O2</t>
        </is>
      </c>
      <c r="N71" t="inlineStr">
        <is>
          <t>36</t>
        </is>
      </c>
      <c r="O71" t="n">
        <v>219</v>
      </c>
      <c r="P71" t="n">
        <v>3.5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11.13</v>
      </c>
      <c r="W71" t="n">
        <v>233.63</v>
      </c>
      <c r="X71" t="n">
        <v>222.5</v>
      </c>
      <c r="Y71" t="n">
        <v>19</v>
      </c>
      <c r="Z71" t="n">
        <v>42.28</v>
      </c>
      <c r="AA71" t="n">
        <v>4.3</v>
      </c>
      <c r="AB71" t="n">
        <v>46.58</v>
      </c>
      <c r="AC71" t="n">
        <v>8.380000000000001</v>
      </c>
      <c r="AD71" t="n">
        <v>0</v>
      </c>
      <c r="AE71" t="n">
        <v>222.5</v>
      </c>
      <c r="AF71" t="n">
        <v>0</v>
      </c>
      <c r="AG71" t="n">
        <v>0</v>
      </c>
      <c r="AH71" t="n">
        <v>0.22</v>
      </c>
      <c r="AI71" t="n">
        <v>11.13</v>
      </c>
      <c r="AJ71" t="n">
        <v>0</v>
      </c>
      <c r="AK71" t="n">
        <v>19.73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66.31</v>
      </c>
      <c r="AV71" t="n">
        <v>0</v>
      </c>
      <c r="AW71" t="n">
        <v>167.32</v>
      </c>
      <c r="AX71" t="inlineStr">
        <is>
          <t>settled</t>
        </is>
      </c>
      <c r="AY71" t="inlineStr">
        <is>
          <t>NA</t>
        </is>
      </c>
      <c r="AZ71" t="inlineStr">
        <is>
          <t>NA</t>
        </is>
      </c>
      <c r="BA71" t="n">
        <v>0</v>
      </c>
      <c r="BB71" t="inlineStr">
        <is>
          <t>6bc04d2d1ced4adffce1a5001e257d8975f097a8bfdb75391eb6c1a6d77d687d</t>
        </is>
      </c>
    </row>
    <row r="72">
      <c r="A72" t="inlineStr">
        <is>
          <t>756</t>
        </is>
      </c>
      <c r="B72" t="inlineStr">
        <is>
          <t>7588813631</t>
        </is>
      </c>
      <c r="C72" t="inlineStr">
        <is>
          <t>2025-12-16 19:20:34</t>
        </is>
      </c>
      <c r="D72" t="inlineStr">
        <is>
          <t>51</t>
        </is>
      </c>
      <c r="E72" t="inlineStr">
        <is>
          <t>Sha Sha - Shandaar Shawarma</t>
        </is>
      </c>
      <c r="F72" t="inlineStr">
        <is>
          <t>18557902</t>
        </is>
      </c>
      <c r="G72" t="inlineStr">
        <is>
          <t>30% off upto ₹75 (2025-06-25 - 2031-01-01)</t>
        </is>
      </c>
      <c r="H72" t="inlineStr">
        <is>
          <t>ONLINE</t>
        </is>
      </c>
      <c r="I72" t="inlineStr">
        <is>
          <t>DELIVERED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O2</t>
        </is>
      </c>
      <c r="N72" t="inlineStr">
        <is>
          <t>36</t>
        </is>
      </c>
      <c r="O72" t="n">
        <v>358</v>
      </c>
      <c r="P72" t="n">
        <v>3.5</v>
      </c>
      <c r="Q72" t="n">
        <v>0</v>
      </c>
      <c r="R72" t="n">
        <v>75</v>
      </c>
      <c r="S72" t="n">
        <v>0</v>
      </c>
      <c r="T72" t="n">
        <v>0</v>
      </c>
      <c r="U72" t="n">
        <v>0</v>
      </c>
      <c r="V72" t="n">
        <v>14.33</v>
      </c>
      <c r="W72" t="n">
        <v>300.83</v>
      </c>
      <c r="X72" t="n">
        <v>286.5</v>
      </c>
      <c r="Y72" t="n">
        <v>19</v>
      </c>
      <c r="Z72" t="n">
        <v>54.44</v>
      </c>
      <c r="AA72" t="n">
        <v>5.54</v>
      </c>
      <c r="AB72" t="n">
        <v>59.98</v>
      </c>
      <c r="AC72" t="n">
        <v>10.8</v>
      </c>
      <c r="AD72" t="n">
        <v>0</v>
      </c>
      <c r="AE72" t="n">
        <v>286.5</v>
      </c>
      <c r="AF72" t="n">
        <v>0</v>
      </c>
      <c r="AG72" t="n">
        <v>0</v>
      </c>
      <c r="AH72" t="n">
        <v>0.29</v>
      </c>
      <c r="AI72" t="n">
        <v>14.33</v>
      </c>
      <c r="AJ72" t="n">
        <v>0</v>
      </c>
      <c r="AK72" t="n">
        <v>25.42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85.40000000000001</v>
      </c>
      <c r="AV72" t="n">
        <v>0</v>
      </c>
      <c r="AW72" t="n">
        <v>215.43</v>
      </c>
      <c r="AX72" t="inlineStr">
        <is>
          <t>settled</t>
        </is>
      </c>
      <c r="AY72" t="inlineStr">
        <is>
          <t>NA</t>
        </is>
      </c>
      <c r="AZ72" t="inlineStr">
        <is>
          <t>NA</t>
        </is>
      </c>
      <c r="BA72" t="n">
        <v>0</v>
      </c>
      <c r="BB72" t="inlineStr">
        <is>
          <t>b1d44e0b3f040c88046d3356a8afcfe3099cac110e586308fadc6d57211ca7c9</t>
        </is>
      </c>
    </row>
    <row r="73">
      <c r="A73" t="inlineStr">
        <is>
          <t>757</t>
        </is>
      </c>
      <c r="B73" t="inlineStr">
        <is>
          <t>7575778948</t>
        </is>
      </c>
      <c r="C73" t="inlineStr">
        <is>
          <t>2025-12-16 19:21:02</t>
        </is>
      </c>
      <c r="D73" t="inlineStr">
        <is>
          <t>51</t>
        </is>
      </c>
      <c r="E73" t="inlineStr">
        <is>
          <t>Sha Sha - Shandaar Shawarma</t>
        </is>
      </c>
      <c r="F73" t="inlineStr">
        <is>
          <t>18557902</t>
        </is>
      </c>
      <c r="G73" t="inlineStr">
        <is>
          <t>NA</t>
        </is>
      </c>
      <c r="H73" t="inlineStr">
        <is>
          <t>ONLINE</t>
        </is>
      </c>
      <c r="I73" t="inlineStr">
        <is>
          <t>DELIVERED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O2</t>
        </is>
      </c>
      <c r="N73" t="inlineStr">
        <is>
          <t>36</t>
        </is>
      </c>
      <c r="O73" t="n">
        <v>338</v>
      </c>
      <c r="P73" t="n">
        <v>3.5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17.08</v>
      </c>
      <c r="W73" t="n">
        <v>358.58</v>
      </c>
      <c r="X73" t="n">
        <v>341.5</v>
      </c>
      <c r="Y73" t="n">
        <v>19</v>
      </c>
      <c r="Z73" t="n">
        <v>64.88</v>
      </c>
      <c r="AA73" t="n">
        <v>6.6</v>
      </c>
      <c r="AB73" t="n">
        <v>71.48</v>
      </c>
      <c r="AC73" t="n">
        <v>12.87</v>
      </c>
      <c r="AD73" t="n">
        <v>0</v>
      </c>
      <c r="AE73" t="n">
        <v>341.5</v>
      </c>
      <c r="AF73" t="n">
        <v>0</v>
      </c>
      <c r="AG73" t="n">
        <v>0</v>
      </c>
      <c r="AH73" t="n">
        <v>0.34</v>
      </c>
      <c r="AI73" t="n">
        <v>17.08</v>
      </c>
      <c r="AJ73" t="n">
        <v>0</v>
      </c>
      <c r="AK73" t="n">
        <v>30.29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101.77</v>
      </c>
      <c r="AV73" t="n">
        <v>0</v>
      </c>
      <c r="AW73" t="n">
        <v>256.81</v>
      </c>
      <c r="AX73" t="inlineStr">
        <is>
          <t>settled</t>
        </is>
      </c>
      <c r="AY73" t="inlineStr">
        <is>
          <t>NA</t>
        </is>
      </c>
      <c r="AZ73" t="inlineStr">
        <is>
          <t>NA</t>
        </is>
      </c>
      <c r="BA73" t="n">
        <v>0</v>
      </c>
      <c r="BB73" t="inlineStr">
        <is>
          <t>eedc796ad3d574ed548f7c822254e94e77b616184242920c3ebe9a0c4c471c82</t>
        </is>
      </c>
    </row>
    <row r="74">
      <c r="A74" t="inlineStr">
        <is>
          <t>758</t>
        </is>
      </c>
      <c r="B74" t="inlineStr">
        <is>
          <t>7585783060</t>
        </is>
      </c>
      <c r="C74" t="inlineStr">
        <is>
          <t>2025-12-16 19:30:14</t>
        </is>
      </c>
      <c r="D74" t="inlineStr">
        <is>
          <t>51</t>
        </is>
      </c>
      <c r="E74" t="inlineStr">
        <is>
          <t>Sha Sha - Shandaar Shawarma</t>
        </is>
      </c>
      <c r="F74" t="inlineStr">
        <is>
          <t>18557902</t>
        </is>
      </c>
      <c r="G74" t="inlineStr">
        <is>
          <t>30% off upto ₹75 (2025-06-25 - 2031-01-01)</t>
        </is>
      </c>
      <c r="H74" t="inlineStr">
        <is>
          <t>ONLINE</t>
        </is>
      </c>
      <c r="I74" t="inlineStr">
        <is>
          <t>DELIVERED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O2</t>
        </is>
      </c>
      <c r="N74" t="inlineStr">
        <is>
          <t>36</t>
        </is>
      </c>
      <c r="O74" t="n">
        <v>219</v>
      </c>
      <c r="P74" t="n">
        <v>3.5</v>
      </c>
      <c r="Q74" t="n">
        <v>0</v>
      </c>
      <c r="R74" t="n">
        <v>65.7</v>
      </c>
      <c r="S74" t="n">
        <v>0</v>
      </c>
      <c r="T74" t="n">
        <v>0</v>
      </c>
      <c r="U74" t="n">
        <v>0</v>
      </c>
      <c r="V74" t="n">
        <v>7.84</v>
      </c>
      <c r="W74" t="n">
        <v>164.64</v>
      </c>
      <c r="X74" t="n">
        <v>156.8</v>
      </c>
      <c r="Y74" t="n">
        <v>19</v>
      </c>
      <c r="Z74" t="n">
        <v>29.79</v>
      </c>
      <c r="AA74" t="n">
        <v>3.03</v>
      </c>
      <c r="AB74" t="n">
        <v>32.82</v>
      </c>
      <c r="AC74" t="n">
        <v>5.91</v>
      </c>
      <c r="AD74" t="n">
        <v>0</v>
      </c>
      <c r="AE74" t="n">
        <v>156.8</v>
      </c>
      <c r="AF74" t="n">
        <v>0</v>
      </c>
      <c r="AG74" t="n">
        <v>0</v>
      </c>
      <c r="AH74" t="n">
        <v>0.16</v>
      </c>
      <c r="AI74" t="n">
        <v>7.85</v>
      </c>
      <c r="AJ74" t="n">
        <v>-0.01</v>
      </c>
      <c r="AK74" t="n">
        <v>13.92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46.74</v>
      </c>
      <c r="AV74" t="n">
        <v>0</v>
      </c>
      <c r="AW74" t="n">
        <v>117.9</v>
      </c>
      <c r="AX74" t="inlineStr">
        <is>
          <t>settled</t>
        </is>
      </c>
      <c r="AY74" t="inlineStr">
        <is>
          <t>NA</t>
        </is>
      </c>
      <c r="AZ74" t="inlineStr">
        <is>
          <t>NA</t>
        </is>
      </c>
      <c r="BA74" t="n">
        <v>0</v>
      </c>
      <c r="BB74" t="inlineStr">
        <is>
          <t>23d673f411e0ec37904ed404b2ef0be7906d70cbee187865f55d1558b657eacc</t>
        </is>
      </c>
    </row>
    <row r="75">
      <c r="A75" t="inlineStr">
        <is>
          <t>759</t>
        </is>
      </c>
      <c r="B75" t="inlineStr">
        <is>
          <t>7584702128</t>
        </is>
      </c>
      <c r="C75" t="inlineStr">
        <is>
          <t>2025-12-16 20:02:14</t>
        </is>
      </c>
      <c r="D75" t="inlineStr">
        <is>
          <t>51</t>
        </is>
      </c>
      <c r="E75" t="inlineStr">
        <is>
          <t>Sha Sha - Shandaar Shawarma</t>
        </is>
      </c>
      <c r="F75" t="inlineStr">
        <is>
          <t>18557902</t>
        </is>
      </c>
      <c r="G75" t="inlineStr">
        <is>
          <t>30% off upto ₹75 (2025-06-25 - 2031-01-01)</t>
        </is>
      </c>
      <c r="H75" t="inlineStr">
        <is>
          <t>ONLINE</t>
        </is>
      </c>
      <c r="I75" t="inlineStr">
        <is>
          <t>DELIVERED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O2</t>
        </is>
      </c>
      <c r="N75" t="inlineStr">
        <is>
          <t>36</t>
        </is>
      </c>
      <c r="O75" t="n">
        <v>229</v>
      </c>
      <c r="P75" t="n">
        <v>3.5</v>
      </c>
      <c r="Q75" t="n">
        <v>0</v>
      </c>
      <c r="R75" t="n">
        <v>68.7</v>
      </c>
      <c r="S75" t="n">
        <v>0</v>
      </c>
      <c r="T75" t="n">
        <v>0</v>
      </c>
      <c r="U75" t="n">
        <v>0</v>
      </c>
      <c r="V75" t="n">
        <v>8.19</v>
      </c>
      <c r="W75" t="n">
        <v>171.99</v>
      </c>
      <c r="X75" t="n">
        <v>163.8</v>
      </c>
      <c r="Y75" t="n">
        <v>19</v>
      </c>
      <c r="Z75" t="n">
        <v>31.12</v>
      </c>
      <c r="AA75" t="n">
        <v>3.16</v>
      </c>
      <c r="AB75" t="n">
        <v>34.28</v>
      </c>
      <c r="AC75" t="n">
        <v>6.17</v>
      </c>
      <c r="AD75" t="n">
        <v>0</v>
      </c>
      <c r="AE75" t="n">
        <v>163.8</v>
      </c>
      <c r="AF75" t="n">
        <v>0</v>
      </c>
      <c r="AG75" t="n">
        <v>0</v>
      </c>
      <c r="AH75" t="n">
        <v>0.16</v>
      </c>
      <c r="AI75" t="n">
        <v>8.199999999999999</v>
      </c>
      <c r="AJ75" t="n">
        <v>-0.01</v>
      </c>
      <c r="AK75" t="n">
        <v>14.53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48.81</v>
      </c>
      <c r="AV75" t="n">
        <v>0</v>
      </c>
      <c r="AW75" t="n">
        <v>123.18</v>
      </c>
      <c r="AX75" t="inlineStr">
        <is>
          <t>settled</t>
        </is>
      </c>
      <c r="AY75" t="inlineStr">
        <is>
          <t>NA</t>
        </is>
      </c>
      <c r="AZ75" t="inlineStr">
        <is>
          <t>NA</t>
        </is>
      </c>
      <c r="BA75" t="n">
        <v>0</v>
      </c>
      <c r="BB75" t="inlineStr">
        <is>
          <t>035d82acc9ca59697fdb36b3ca8da7aa998b23e17fb2b1c1e220fac3bab78ad4</t>
        </is>
      </c>
    </row>
    <row r="76">
      <c r="A76" t="inlineStr">
        <is>
          <t>760</t>
        </is>
      </c>
      <c r="B76" t="inlineStr">
        <is>
          <t>7583690197</t>
        </is>
      </c>
      <c r="C76" t="inlineStr">
        <is>
          <t>2025-12-16 20:23:23</t>
        </is>
      </c>
      <c r="D76" t="inlineStr">
        <is>
          <t>51</t>
        </is>
      </c>
      <c r="E76" t="inlineStr">
        <is>
          <t>Sha Sha - Shandaar Shawarma</t>
        </is>
      </c>
      <c r="F76" t="inlineStr">
        <is>
          <t>18557902</t>
        </is>
      </c>
      <c r="G76" t="inlineStr">
        <is>
          <t>30% off upto ₹75 (2025-06-25 - 2031-01-01)</t>
        </is>
      </c>
      <c r="H76" t="inlineStr">
        <is>
          <t>ONLINE</t>
        </is>
      </c>
      <c r="I76" t="inlineStr">
        <is>
          <t>DELIVERED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O2</t>
        </is>
      </c>
      <c r="N76" t="inlineStr">
        <is>
          <t>36</t>
        </is>
      </c>
      <c r="O76" t="n">
        <v>268</v>
      </c>
      <c r="P76" t="n">
        <v>3.5</v>
      </c>
      <c r="Q76" t="n">
        <v>0</v>
      </c>
      <c r="R76" t="n">
        <v>75</v>
      </c>
      <c r="S76" t="n">
        <v>0</v>
      </c>
      <c r="T76" t="n">
        <v>0</v>
      </c>
      <c r="U76" t="n">
        <v>0</v>
      </c>
      <c r="V76" t="n">
        <v>9.83</v>
      </c>
      <c r="W76" t="n">
        <v>206.33</v>
      </c>
      <c r="X76" t="n">
        <v>196.5</v>
      </c>
      <c r="Y76" t="n">
        <v>19</v>
      </c>
      <c r="Z76" t="n">
        <v>37.34</v>
      </c>
      <c r="AA76" t="n">
        <v>3.8</v>
      </c>
      <c r="AB76" t="n">
        <v>41.14</v>
      </c>
      <c r="AC76" t="n">
        <v>7.4</v>
      </c>
      <c r="AD76" t="n">
        <v>0</v>
      </c>
      <c r="AE76" t="n">
        <v>196.5</v>
      </c>
      <c r="AF76" t="n">
        <v>0</v>
      </c>
      <c r="AG76" t="n">
        <v>0</v>
      </c>
      <c r="AH76" t="n">
        <v>0.2</v>
      </c>
      <c r="AI76" t="n">
        <v>9.83</v>
      </c>
      <c r="AJ76" t="n">
        <v>0</v>
      </c>
      <c r="AK76" t="n">
        <v>17.43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58.57</v>
      </c>
      <c r="AV76" t="n">
        <v>0</v>
      </c>
      <c r="AW76" t="n">
        <v>147.76</v>
      </c>
      <c r="AX76" t="inlineStr">
        <is>
          <t>settled</t>
        </is>
      </c>
      <c r="AY76" t="inlineStr">
        <is>
          <t>NA</t>
        </is>
      </c>
      <c r="AZ76" t="inlineStr">
        <is>
          <t>NA</t>
        </is>
      </c>
      <c r="BA76" t="n">
        <v>0</v>
      </c>
      <c r="BB76" t="inlineStr">
        <is>
          <t>b2345fe689dd67b21c9ec10cd45a1e07ca529903e7244ac92cda4f26ebccc79f</t>
        </is>
      </c>
    </row>
    <row r="77">
      <c r="A77" t="inlineStr">
        <is>
          <t>761</t>
        </is>
      </c>
      <c r="B77" t="inlineStr">
        <is>
          <t>7580552502</t>
        </is>
      </c>
      <c r="C77" t="inlineStr">
        <is>
          <t>2025-12-16 20:59:57</t>
        </is>
      </c>
      <c r="D77" t="inlineStr">
        <is>
          <t>51</t>
        </is>
      </c>
      <c r="E77" t="inlineStr">
        <is>
          <t>Sha Sha - Shandaar Shawarma</t>
        </is>
      </c>
      <c r="F77" t="inlineStr">
        <is>
          <t>18557902</t>
        </is>
      </c>
      <c r="G77" t="inlineStr">
        <is>
          <t>30% off upto ₹75 (2025-06-25 - 2031-01-01)</t>
        </is>
      </c>
      <c r="H77" t="inlineStr">
        <is>
          <t>ONLINE</t>
        </is>
      </c>
      <c r="I77" t="inlineStr">
        <is>
          <t>DELIVERED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O2</t>
        </is>
      </c>
      <c r="N77" t="inlineStr">
        <is>
          <t>36</t>
        </is>
      </c>
      <c r="O77" t="n">
        <v>358</v>
      </c>
      <c r="P77" t="n">
        <v>3.5</v>
      </c>
      <c r="Q77" t="n">
        <v>0</v>
      </c>
      <c r="R77" t="n">
        <v>75</v>
      </c>
      <c r="S77" t="n">
        <v>0</v>
      </c>
      <c r="T77" t="n">
        <v>0</v>
      </c>
      <c r="U77" t="n">
        <v>0</v>
      </c>
      <c r="V77" t="n">
        <v>14.33</v>
      </c>
      <c r="W77" t="n">
        <v>300.83</v>
      </c>
      <c r="X77" t="n">
        <v>286.5</v>
      </c>
      <c r="Y77" t="n">
        <v>19</v>
      </c>
      <c r="Z77" t="n">
        <v>54.44</v>
      </c>
      <c r="AA77" t="n">
        <v>5.54</v>
      </c>
      <c r="AB77" t="n">
        <v>59.98</v>
      </c>
      <c r="AC77" t="n">
        <v>10.8</v>
      </c>
      <c r="AD77" t="n">
        <v>0</v>
      </c>
      <c r="AE77" t="n">
        <v>286.5</v>
      </c>
      <c r="AF77" t="n">
        <v>0</v>
      </c>
      <c r="AG77" t="n">
        <v>0</v>
      </c>
      <c r="AH77" t="n">
        <v>0.29</v>
      </c>
      <c r="AI77" t="n">
        <v>14.33</v>
      </c>
      <c r="AJ77" t="n">
        <v>0</v>
      </c>
      <c r="AK77" t="n">
        <v>25.42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85.40000000000001</v>
      </c>
      <c r="AV77" t="n">
        <v>0</v>
      </c>
      <c r="AW77" t="n">
        <v>215.43</v>
      </c>
      <c r="AX77" t="inlineStr">
        <is>
          <t>settled</t>
        </is>
      </c>
      <c r="AY77" t="inlineStr">
        <is>
          <t>NA</t>
        </is>
      </c>
      <c r="AZ77" t="inlineStr">
        <is>
          <t>NA</t>
        </is>
      </c>
      <c r="BA77" t="n">
        <v>0</v>
      </c>
      <c r="BB77" t="inlineStr">
        <is>
          <t>2bab3d93986f1b3285732e8d7dedda3829255466766a8df83ed2882e23f3d186</t>
        </is>
      </c>
    </row>
    <row r="78">
      <c r="A78" t="inlineStr">
        <is>
          <t>762</t>
        </is>
      </c>
      <c r="B78" t="inlineStr">
        <is>
          <t>7589076600</t>
        </is>
      </c>
      <c r="C78" t="inlineStr">
        <is>
          <t>2025-12-16 21:22:36</t>
        </is>
      </c>
      <c r="D78" t="inlineStr">
        <is>
          <t>51</t>
        </is>
      </c>
      <c r="E78" t="inlineStr">
        <is>
          <t>Sha Sha - Shandaar Shawarma</t>
        </is>
      </c>
      <c r="F78" t="inlineStr">
        <is>
          <t>18557902</t>
        </is>
      </c>
      <c r="G78" t="inlineStr">
        <is>
          <t>30% off upto ₹75 (2025-06-25 - 2031-01-01)</t>
        </is>
      </c>
      <c r="H78" t="inlineStr">
        <is>
          <t>ONLINE</t>
        </is>
      </c>
      <c r="I78" t="inlineStr">
        <is>
          <t>DELIVERED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O2</t>
        </is>
      </c>
      <c r="N78" t="inlineStr">
        <is>
          <t>36</t>
        </is>
      </c>
      <c r="O78" t="n">
        <v>229</v>
      </c>
      <c r="P78" t="n">
        <v>3.5</v>
      </c>
      <c r="Q78" t="n">
        <v>0</v>
      </c>
      <c r="R78" t="n">
        <v>68.7</v>
      </c>
      <c r="S78" t="n">
        <v>0</v>
      </c>
      <c r="T78" t="n">
        <v>0</v>
      </c>
      <c r="U78" t="n">
        <v>0</v>
      </c>
      <c r="V78" t="n">
        <v>8.19</v>
      </c>
      <c r="W78" t="n">
        <v>171.99</v>
      </c>
      <c r="X78" t="n">
        <v>163.8</v>
      </c>
      <c r="Y78" t="n">
        <v>19</v>
      </c>
      <c r="Z78" t="n">
        <v>31.12</v>
      </c>
      <c r="AA78" t="n">
        <v>3.16</v>
      </c>
      <c r="AB78" t="n">
        <v>34.28</v>
      </c>
      <c r="AC78" t="n">
        <v>6.17</v>
      </c>
      <c r="AD78" t="n">
        <v>0</v>
      </c>
      <c r="AE78" t="n">
        <v>163.8</v>
      </c>
      <c r="AF78" t="n">
        <v>0</v>
      </c>
      <c r="AG78" t="n">
        <v>0</v>
      </c>
      <c r="AH78" t="n">
        <v>0.16</v>
      </c>
      <c r="AI78" t="n">
        <v>8.199999999999999</v>
      </c>
      <c r="AJ78" t="n">
        <v>-0.01</v>
      </c>
      <c r="AK78" t="n">
        <v>14.53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48.81</v>
      </c>
      <c r="AV78" t="n">
        <v>0</v>
      </c>
      <c r="AW78" t="n">
        <v>123.18</v>
      </c>
      <c r="AX78" t="inlineStr">
        <is>
          <t>settled</t>
        </is>
      </c>
      <c r="AY78" t="inlineStr">
        <is>
          <t>NA</t>
        </is>
      </c>
      <c r="AZ78" t="inlineStr">
        <is>
          <t>NA</t>
        </is>
      </c>
      <c r="BA78" t="n">
        <v>0</v>
      </c>
      <c r="BB78" t="inlineStr">
        <is>
          <t>bff763219b6cf284644a77401a3a5a43591fac678615e39b237fa927251da20a</t>
        </is>
      </c>
    </row>
    <row r="79">
      <c r="A79" t="inlineStr">
        <is>
          <t>763</t>
        </is>
      </c>
      <c r="B79" t="inlineStr">
        <is>
          <t>7587497659</t>
        </is>
      </c>
      <c r="C79" t="inlineStr">
        <is>
          <t>2025-12-16 21:38:00</t>
        </is>
      </c>
      <c r="D79" t="inlineStr">
        <is>
          <t>51</t>
        </is>
      </c>
      <c r="E79" t="inlineStr">
        <is>
          <t>Sha Sha - Shandaar Shawarma</t>
        </is>
      </c>
      <c r="F79" t="inlineStr">
        <is>
          <t>18557902</t>
        </is>
      </c>
      <c r="G79" t="inlineStr">
        <is>
          <t>30% off upto ₹75 (2025-06-25 - 2031-01-01)</t>
        </is>
      </c>
      <c r="H79" t="inlineStr">
        <is>
          <t>ONLINE</t>
        </is>
      </c>
      <c r="I79" t="inlineStr">
        <is>
          <t>DELIVERED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O2</t>
        </is>
      </c>
      <c r="N79" t="inlineStr">
        <is>
          <t>36</t>
        </is>
      </c>
      <c r="O79" t="n">
        <v>229</v>
      </c>
      <c r="P79" t="n">
        <v>3.5</v>
      </c>
      <c r="Q79" t="n">
        <v>0</v>
      </c>
      <c r="R79" t="n">
        <v>68.7</v>
      </c>
      <c r="S79" t="n">
        <v>0</v>
      </c>
      <c r="T79" t="n">
        <v>0</v>
      </c>
      <c r="U79" t="n">
        <v>0</v>
      </c>
      <c r="V79" t="n">
        <v>8.19</v>
      </c>
      <c r="W79" t="n">
        <v>171.99</v>
      </c>
      <c r="X79" t="n">
        <v>163.8</v>
      </c>
      <c r="Y79" t="n">
        <v>19</v>
      </c>
      <c r="Z79" t="n">
        <v>31.12</v>
      </c>
      <c r="AA79" t="n">
        <v>3.16</v>
      </c>
      <c r="AB79" t="n">
        <v>34.28</v>
      </c>
      <c r="AC79" t="n">
        <v>6.17</v>
      </c>
      <c r="AD79" t="n">
        <v>0</v>
      </c>
      <c r="AE79" t="n">
        <v>163.8</v>
      </c>
      <c r="AF79" t="n">
        <v>0</v>
      </c>
      <c r="AG79" t="n">
        <v>0</v>
      </c>
      <c r="AH79" t="n">
        <v>0.16</v>
      </c>
      <c r="AI79" t="n">
        <v>8.199999999999999</v>
      </c>
      <c r="AJ79" t="n">
        <v>-0.01</v>
      </c>
      <c r="AK79" t="n">
        <v>14.53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48.81</v>
      </c>
      <c r="AV79" t="n">
        <v>0</v>
      </c>
      <c r="AW79" t="n">
        <v>123.18</v>
      </c>
      <c r="AX79" t="inlineStr">
        <is>
          <t>settled</t>
        </is>
      </c>
      <c r="AY79" t="inlineStr">
        <is>
          <t>NA</t>
        </is>
      </c>
      <c r="AZ79" t="inlineStr">
        <is>
          <t>NA</t>
        </is>
      </c>
      <c r="BA79" t="n">
        <v>0</v>
      </c>
      <c r="BB79" t="inlineStr">
        <is>
          <t>bcf23741e1f4b805c006b4d08cdf4b6dd11dfcae62f57a1e8279b5dc15153270</t>
        </is>
      </c>
    </row>
    <row r="80">
      <c r="A80" t="inlineStr">
        <is>
          <t>764</t>
        </is>
      </c>
      <c r="B80" t="inlineStr">
        <is>
          <t>7588049310</t>
        </is>
      </c>
      <c r="C80" t="inlineStr">
        <is>
          <t>2025-12-16 21:41:58</t>
        </is>
      </c>
      <c r="D80" t="inlineStr">
        <is>
          <t>51</t>
        </is>
      </c>
      <c r="E80" t="inlineStr">
        <is>
          <t>Sha Sha - Shandaar Shawarma</t>
        </is>
      </c>
      <c r="F80" t="inlineStr">
        <is>
          <t>18557902</t>
        </is>
      </c>
      <c r="G80" t="inlineStr">
        <is>
          <t>30% off upto ₹75 (2025-06-25 - 2031-01-01)</t>
        </is>
      </c>
      <c r="H80" t="inlineStr">
        <is>
          <t>ONLINE</t>
        </is>
      </c>
      <c r="I80" t="inlineStr">
        <is>
          <t>DELIVERED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O2</t>
        </is>
      </c>
      <c r="N80" t="inlineStr">
        <is>
          <t>36</t>
        </is>
      </c>
      <c r="O80" t="n">
        <v>219</v>
      </c>
      <c r="P80" t="n">
        <v>3.5</v>
      </c>
      <c r="Q80" t="n">
        <v>0</v>
      </c>
      <c r="R80" t="n">
        <v>65.7</v>
      </c>
      <c r="S80" t="n">
        <v>0</v>
      </c>
      <c r="T80" t="n">
        <v>0</v>
      </c>
      <c r="U80" t="n">
        <v>0</v>
      </c>
      <c r="V80" t="n">
        <v>7.84</v>
      </c>
      <c r="W80" t="n">
        <v>164.64</v>
      </c>
      <c r="X80" t="n">
        <v>156.8</v>
      </c>
      <c r="Y80" t="n">
        <v>19</v>
      </c>
      <c r="Z80" t="n">
        <v>29.79</v>
      </c>
      <c r="AA80" t="n">
        <v>3.03</v>
      </c>
      <c r="AB80" t="n">
        <v>32.82</v>
      </c>
      <c r="AC80" t="n">
        <v>5.91</v>
      </c>
      <c r="AD80" t="n">
        <v>0</v>
      </c>
      <c r="AE80" t="n">
        <v>156.8</v>
      </c>
      <c r="AF80" t="n">
        <v>0</v>
      </c>
      <c r="AG80" t="n">
        <v>0</v>
      </c>
      <c r="AH80" t="n">
        <v>0.16</v>
      </c>
      <c r="AI80" t="n">
        <v>7.85</v>
      </c>
      <c r="AJ80" t="n">
        <v>-0.01</v>
      </c>
      <c r="AK80" t="n">
        <v>13.92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46.74</v>
      </c>
      <c r="AV80" t="n">
        <v>0</v>
      </c>
      <c r="AW80" t="n">
        <v>117.9</v>
      </c>
      <c r="AX80" t="inlineStr">
        <is>
          <t>settled</t>
        </is>
      </c>
      <c r="AY80" t="inlineStr">
        <is>
          <t>NA</t>
        </is>
      </c>
      <c r="AZ80" t="inlineStr">
        <is>
          <t>NA</t>
        </is>
      </c>
      <c r="BA80" t="n">
        <v>0</v>
      </c>
      <c r="BB80" t="inlineStr">
        <is>
          <t>2ee5cf1dbca0c04d327788e8e37d460d66bb4f8208c42260ca281b1805e9f1b3</t>
        </is>
      </c>
    </row>
    <row r="81">
      <c r="A81" t="inlineStr">
        <is>
          <t>765</t>
        </is>
      </c>
      <c r="B81" t="inlineStr">
        <is>
          <t>7580697737</t>
        </is>
      </c>
      <c r="C81" t="inlineStr">
        <is>
          <t>2025-12-16 21:45:20</t>
        </is>
      </c>
      <c r="D81" t="inlineStr">
        <is>
          <t>51</t>
        </is>
      </c>
      <c r="E81" t="inlineStr">
        <is>
          <t>Sha Sha - Shandaar Shawarma</t>
        </is>
      </c>
      <c r="F81" t="inlineStr">
        <is>
          <t>18557902</t>
        </is>
      </c>
      <c r="G81" t="inlineStr">
        <is>
          <t>30% off upto ₹75 (2025-06-25 - 2031-01-01)</t>
        </is>
      </c>
      <c r="H81" t="inlineStr">
        <is>
          <t>ONLINE</t>
        </is>
      </c>
      <c r="I81" t="inlineStr">
        <is>
          <t>DELIVERED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O2</t>
        </is>
      </c>
      <c r="N81" t="inlineStr">
        <is>
          <t>36</t>
        </is>
      </c>
      <c r="O81" t="n">
        <v>219</v>
      </c>
      <c r="P81" t="n">
        <v>3.5</v>
      </c>
      <c r="Q81" t="n">
        <v>0</v>
      </c>
      <c r="R81" t="n">
        <v>65.7</v>
      </c>
      <c r="S81" t="n">
        <v>0</v>
      </c>
      <c r="T81" t="n">
        <v>0</v>
      </c>
      <c r="U81" t="n">
        <v>0</v>
      </c>
      <c r="V81" t="n">
        <v>7.84</v>
      </c>
      <c r="W81" t="n">
        <v>164.64</v>
      </c>
      <c r="X81" t="n">
        <v>156.8</v>
      </c>
      <c r="Y81" t="n">
        <v>19</v>
      </c>
      <c r="Z81" t="n">
        <v>29.79</v>
      </c>
      <c r="AA81" t="n">
        <v>3.03</v>
      </c>
      <c r="AB81" t="n">
        <v>32.82</v>
      </c>
      <c r="AC81" t="n">
        <v>5.91</v>
      </c>
      <c r="AD81" t="n">
        <v>0</v>
      </c>
      <c r="AE81" t="n">
        <v>156.8</v>
      </c>
      <c r="AF81" t="n">
        <v>0</v>
      </c>
      <c r="AG81" t="n">
        <v>0</v>
      </c>
      <c r="AH81" t="n">
        <v>0.16</v>
      </c>
      <c r="AI81" t="n">
        <v>7.85</v>
      </c>
      <c r="AJ81" t="n">
        <v>-0.01</v>
      </c>
      <c r="AK81" t="n">
        <v>13.92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46.74</v>
      </c>
      <c r="AV81" t="n">
        <v>0</v>
      </c>
      <c r="AW81" t="n">
        <v>117.9</v>
      </c>
      <c r="AX81" t="inlineStr">
        <is>
          <t>settled</t>
        </is>
      </c>
      <c r="AY81" t="inlineStr">
        <is>
          <t>NA</t>
        </is>
      </c>
      <c r="AZ81" t="inlineStr">
        <is>
          <t>NA</t>
        </is>
      </c>
      <c r="BA81" t="n">
        <v>0</v>
      </c>
      <c r="BB81" t="inlineStr">
        <is>
          <t>e17f8a797cab6daaf4fbd01f95fd5b7ea59849e25fcf1b03c48c2ddc817a7335</t>
        </is>
      </c>
    </row>
    <row r="82">
      <c r="A82" t="inlineStr">
        <is>
          <t>766</t>
        </is>
      </c>
      <c r="B82" t="inlineStr">
        <is>
          <t>7585532232</t>
        </is>
      </c>
      <c r="C82" t="inlineStr">
        <is>
          <t>2025-12-16 21:46:58</t>
        </is>
      </c>
      <c r="D82" t="inlineStr">
        <is>
          <t>51</t>
        </is>
      </c>
      <c r="E82" t="inlineStr">
        <is>
          <t>Sha Sha - Shandaar Shawarma</t>
        </is>
      </c>
      <c r="F82" t="inlineStr">
        <is>
          <t>18557902</t>
        </is>
      </c>
      <c r="G82" t="inlineStr">
        <is>
          <t>NA</t>
        </is>
      </c>
      <c r="H82" t="inlineStr">
        <is>
          <t>ONLINE</t>
        </is>
      </c>
      <c r="I82" t="inlineStr">
        <is>
          <t>DELIVERED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O2</t>
        </is>
      </c>
      <c r="N82" t="inlineStr">
        <is>
          <t>36</t>
        </is>
      </c>
      <c r="O82" t="n">
        <v>229</v>
      </c>
      <c r="P82" t="n">
        <v>3.5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11.63</v>
      </c>
      <c r="W82" t="n">
        <v>244.13</v>
      </c>
      <c r="X82" t="n">
        <v>232.5</v>
      </c>
      <c r="Y82" t="n">
        <v>19</v>
      </c>
      <c r="Z82" t="n">
        <v>44.18</v>
      </c>
      <c r="AA82" t="n">
        <v>4.49</v>
      </c>
      <c r="AB82" t="n">
        <v>48.67</v>
      </c>
      <c r="AC82" t="n">
        <v>8.76</v>
      </c>
      <c r="AD82" t="n">
        <v>0</v>
      </c>
      <c r="AE82" t="n">
        <v>232.5</v>
      </c>
      <c r="AF82" t="n">
        <v>0</v>
      </c>
      <c r="AG82" t="n">
        <v>0</v>
      </c>
      <c r="AH82" t="n">
        <v>0.23</v>
      </c>
      <c r="AI82" t="n">
        <v>11.63</v>
      </c>
      <c r="AJ82" t="n">
        <v>0</v>
      </c>
      <c r="AK82" t="n">
        <v>20.62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69.29000000000001</v>
      </c>
      <c r="AV82" t="n">
        <v>0</v>
      </c>
      <c r="AW82" t="n">
        <v>174.84</v>
      </c>
      <c r="AX82" t="inlineStr">
        <is>
          <t>settled</t>
        </is>
      </c>
      <c r="AY82" t="inlineStr">
        <is>
          <t>NA</t>
        </is>
      </c>
      <c r="AZ82" t="inlineStr">
        <is>
          <t>NA</t>
        </is>
      </c>
      <c r="BA82" t="n">
        <v>0</v>
      </c>
      <c r="BB82" t="inlineStr">
        <is>
          <t>2b48836418c4447d8242178c8b98034af2549d4cccbf2c5c8194ebfe1073bcb1</t>
        </is>
      </c>
    </row>
    <row r="83">
      <c r="A83" t="inlineStr">
        <is>
          <t>767</t>
        </is>
      </c>
      <c r="B83" t="inlineStr">
        <is>
          <t>7569949072</t>
        </is>
      </c>
      <c r="C83" t="inlineStr">
        <is>
          <t>2025-12-16 22:02:09</t>
        </is>
      </c>
      <c r="D83" t="inlineStr">
        <is>
          <t>51</t>
        </is>
      </c>
      <c r="E83" t="inlineStr">
        <is>
          <t>Sha Sha - Shandaar Shawarma</t>
        </is>
      </c>
      <c r="F83" t="inlineStr">
        <is>
          <t>18557902</t>
        </is>
      </c>
      <c r="G83" t="inlineStr">
        <is>
          <t>30% off upto ₹75 (2025-06-25 - 2031-01-01)</t>
        </is>
      </c>
      <c r="H83" t="inlineStr">
        <is>
          <t>ONLINE</t>
        </is>
      </c>
      <c r="I83" t="inlineStr">
        <is>
          <t>DELIVERED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O2</t>
        </is>
      </c>
      <c r="N83" t="inlineStr">
        <is>
          <t>36</t>
        </is>
      </c>
      <c r="O83" t="n">
        <v>219</v>
      </c>
      <c r="P83" t="n">
        <v>3.5</v>
      </c>
      <c r="Q83" t="n">
        <v>0</v>
      </c>
      <c r="R83" t="n">
        <v>65.7</v>
      </c>
      <c r="S83" t="n">
        <v>0</v>
      </c>
      <c r="T83" t="n">
        <v>0</v>
      </c>
      <c r="U83" t="n">
        <v>0</v>
      </c>
      <c r="V83" t="n">
        <v>7.84</v>
      </c>
      <c r="W83" t="n">
        <v>164.64</v>
      </c>
      <c r="X83" t="n">
        <v>156.8</v>
      </c>
      <c r="Y83" t="n">
        <v>19</v>
      </c>
      <c r="Z83" t="n">
        <v>29.79</v>
      </c>
      <c r="AA83" t="n">
        <v>3.03</v>
      </c>
      <c r="AB83" t="n">
        <v>32.82</v>
      </c>
      <c r="AC83" t="n">
        <v>5.91</v>
      </c>
      <c r="AD83" t="n">
        <v>0</v>
      </c>
      <c r="AE83" t="n">
        <v>156.8</v>
      </c>
      <c r="AF83" t="n">
        <v>0</v>
      </c>
      <c r="AG83" t="n">
        <v>0</v>
      </c>
      <c r="AH83" t="n">
        <v>0.16</v>
      </c>
      <c r="AI83" t="n">
        <v>7.85</v>
      </c>
      <c r="AJ83" t="n">
        <v>-0.01</v>
      </c>
      <c r="AK83" t="n">
        <v>13.92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46.74</v>
      </c>
      <c r="AV83" t="n">
        <v>0</v>
      </c>
      <c r="AW83" t="n">
        <v>117.9</v>
      </c>
      <c r="AX83" t="inlineStr">
        <is>
          <t>settled</t>
        </is>
      </c>
      <c r="AY83" t="inlineStr">
        <is>
          <t>NA</t>
        </is>
      </c>
      <c r="AZ83" t="inlineStr">
        <is>
          <t>NA</t>
        </is>
      </c>
      <c r="BA83" t="n">
        <v>0</v>
      </c>
      <c r="BB83" t="inlineStr">
        <is>
          <t>0f300159f5591e27caa6ef7a9f8acac0c40f182675912806136969e00a0fc185</t>
        </is>
      </c>
    </row>
    <row r="84">
      <c r="A84" t="inlineStr">
        <is>
          <t>768</t>
        </is>
      </c>
      <c r="B84" t="inlineStr">
        <is>
          <t>7570783630</t>
        </is>
      </c>
      <c r="C84" t="inlineStr">
        <is>
          <t>2025-12-16 22:50:00</t>
        </is>
      </c>
      <c r="D84" t="inlineStr">
        <is>
          <t>51</t>
        </is>
      </c>
      <c r="E84" t="inlineStr">
        <is>
          <t>Sha Sha - Shandaar Shawarma</t>
        </is>
      </c>
      <c r="F84" t="inlineStr">
        <is>
          <t>18557902</t>
        </is>
      </c>
      <c r="G84" t="inlineStr">
        <is>
          <t>30% off upto ₹75 (2025-06-25 - 2031-01-01)</t>
        </is>
      </c>
      <c r="H84" t="inlineStr">
        <is>
          <t>ONLINE</t>
        </is>
      </c>
      <c r="I84" t="inlineStr">
        <is>
          <t>DELIVERED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O2</t>
        </is>
      </c>
      <c r="N84" t="inlineStr">
        <is>
          <t>36</t>
        </is>
      </c>
      <c r="O84" t="n">
        <v>229</v>
      </c>
      <c r="P84" t="n">
        <v>3.5</v>
      </c>
      <c r="Q84" t="n">
        <v>0</v>
      </c>
      <c r="R84" t="n">
        <v>68.7</v>
      </c>
      <c r="S84" t="n">
        <v>0</v>
      </c>
      <c r="T84" t="n">
        <v>0</v>
      </c>
      <c r="U84" t="n">
        <v>0</v>
      </c>
      <c r="V84" t="n">
        <v>8.19</v>
      </c>
      <c r="W84" t="n">
        <v>171.99</v>
      </c>
      <c r="X84" t="n">
        <v>163.8</v>
      </c>
      <c r="Y84" t="n">
        <v>19</v>
      </c>
      <c r="Z84" t="n">
        <v>31.12</v>
      </c>
      <c r="AA84" t="n">
        <v>3.16</v>
      </c>
      <c r="AB84" t="n">
        <v>34.28</v>
      </c>
      <c r="AC84" t="n">
        <v>6.17</v>
      </c>
      <c r="AD84" t="n">
        <v>0</v>
      </c>
      <c r="AE84" t="n">
        <v>163.8</v>
      </c>
      <c r="AF84" t="n">
        <v>0</v>
      </c>
      <c r="AG84" t="n">
        <v>0</v>
      </c>
      <c r="AH84" t="n">
        <v>0.16</v>
      </c>
      <c r="AI84" t="n">
        <v>8.199999999999999</v>
      </c>
      <c r="AJ84" t="n">
        <v>-0.01</v>
      </c>
      <c r="AK84" t="n">
        <v>14.53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48.81</v>
      </c>
      <c r="AV84" t="n">
        <v>0</v>
      </c>
      <c r="AW84" t="n">
        <v>123.18</v>
      </c>
      <c r="AX84" t="inlineStr">
        <is>
          <t>settled</t>
        </is>
      </c>
      <c r="AY84" t="inlineStr">
        <is>
          <t>NA</t>
        </is>
      </c>
      <c r="AZ84" t="inlineStr">
        <is>
          <t>NA</t>
        </is>
      </c>
      <c r="BA84" t="n">
        <v>0</v>
      </c>
      <c r="BB84" t="inlineStr">
        <is>
          <t>f94eeaf1695874e307d1db792c05939b384ad5a33c417ef2b4898dc4b07d0238</t>
        </is>
      </c>
    </row>
    <row r="85">
      <c r="A85" t="inlineStr">
        <is>
          <t>769</t>
        </is>
      </c>
      <c r="B85" t="inlineStr">
        <is>
          <t>7590412526</t>
        </is>
      </c>
      <c r="C85" t="inlineStr">
        <is>
          <t>2025-12-16 23:12:48</t>
        </is>
      </c>
      <c r="D85" t="inlineStr">
        <is>
          <t>51</t>
        </is>
      </c>
      <c r="E85" t="inlineStr">
        <is>
          <t>Sha Sha - Shandaar Shawarma</t>
        </is>
      </c>
      <c r="F85" t="inlineStr">
        <is>
          <t>18557902</t>
        </is>
      </c>
      <c r="G85" t="inlineStr">
        <is>
          <t>30% off upto ₹75 (2025-06-25 - 2031-01-01)</t>
        </is>
      </c>
      <c r="H85" t="inlineStr">
        <is>
          <t>ONLINE</t>
        </is>
      </c>
      <c r="I85" t="inlineStr">
        <is>
          <t>DELIVERED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O2</t>
        </is>
      </c>
      <c r="N85" t="inlineStr">
        <is>
          <t>36</t>
        </is>
      </c>
      <c r="O85" t="n">
        <v>458</v>
      </c>
      <c r="P85" t="n">
        <v>3.5</v>
      </c>
      <c r="Q85" t="n">
        <v>0</v>
      </c>
      <c r="R85" t="n">
        <v>75</v>
      </c>
      <c r="S85" t="n">
        <v>0</v>
      </c>
      <c r="T85" t="n">
        <v>0</v>
      </c>
      <c r="U85" t="n">
        <v>0</v>
      </c>
      <c r="V85" t="n">
        <v>19.33</v>
      </c>
      <c r="W85" t="n">
        <v>405.83</v>
      </c>
      <c r="X85" t="n">
        <v>386.5</v>
      </c>
      <c r="Y85" t="n">
        <v>19</v>
      </c>
      <c r="Z85" t="n">
        <v>73.44</v>
      </c>
      <c r="AA85" t="n">
        <v>7.47</v>
      </c>
      <c r="AB85" t="n">
        <v>80.91</v>
      </c>
      <c r="AC85" t="n">
        <v>14.56</v>
      </c>
      <c r="AD85" t="n">
        <v>0</v>
      </c>
      <c r="AE85" t="n">
        <v>386.5</v>
      </c>
      <c r="AF85" t="n">
        <v>0</v>
      </c>
      <c r="AG85" t="n">
        <v>0</v>
      </c>
      <c r="AH85" t="n">
        <v>0.39</v>
      </c>
      <c r="AI85" t="n">
        <v>19.33</v>
      </c>
      <c r="AJ85" t="n">
        <v>0</v>
      </c>
      <c r="AK85" t="n">
        <v>34.28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115.19</v>
      </c>
      <c r="AV85" t="n">
        <v>0</v>
      </c>
      <c r="AW85" t="n">
        <v>290.64</v>
      </c>
      <c r="AX85" t="inlineStr">
        <is>
          <t>settled</t>
        </is>
      </c>
      <c r="AY85" t="inlineStr">
        <is>
          <t>NA</t>
        </is>
      </c>
      <c r="AZ85" t="inlineStr">
        <is>
          <t>NA</t>
        </is>
      </c>
      <c r="BA85" t="n">
        <v>0</v>
      </c>
      <c r="BB85" t="inlineStr">
        <is>
          <t>21033e2ebedbe304dd2dde434593c8ff738d1318a8968d07635ae94e4c558b76</t>
        </is>
      </c>
    </row>
    <row r="86">
      <c r="A86" t="inlineStr">
        <is>
          <t>770</t>
        </is>
      </c>
      <c r="B86" t="inlineStr">
        <is>
          <t>7589015494</t>
        </is>
      </c>
      <c r="C86" t="inlineStr">
        <is>
          <t>2025-12-16 23:49:59</t>
        </is>
      </c>
      <c r="D86" t="inlineStr">
        <is>
          <t>51</t>
        </is>
      </c>
      <c r="E86" t="inlineStr">
        <is>
          <t>Sha Sha - Shandaar Shawarma</t>
        </is>
      </c>
      <c r="F86" t="inlineStr">
        <is>
          <t>18557902</t>
        </is>
      </c>
      <c r="G86" t="inlineStr">
        <is>
          <t>30% off upto ₹75 (2025-06-25 - 2031-01-01)</t>
        </is>
      </c>
      <c r="H86" t="inlineStr">
        <is>
          <t>ONLINE</t>
        </is>
      </c>
      <c r="I86" t="inlineStr">
        <is>
          <t>DELIVERED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O2</t>
        </is>
      </c>
      <c r="N86" t="inlineStr">
        <is>
          <t>36</t>
        </is>
      </c>
      <c r="O86" t="n">
        <v>219</v>
      </c>
      <c r="P86" t="n">
        <v>3.5</v>
      </c>
      <c r="Q86" t="n">
        <v>0</v>
      </c>
      <c r="R86" t="n">
        <v>65.7</v>
      </c>
      <c r="S86" t="n">
        <v>0</v>
      </c>
      <c r="T86" t="n">
        <v>0</v>
      </c>
      <c r="U86" t="n">
        <v>0</v>
      </c>
      <c r="V86" t="n">
        <v>7.84</v>
      </c>
      <c r="W86" t="n">
        <v>164.64</v>
      </c>
      <c r="X86" t="n">
        <v>156.8</v>
      </c>
      <c r="Y86" t="n">
        <v>19</v>
      </c>
      <c r="Z86" t="n">
        <v>29.79</v>
      </c>
      <c r="AA86" t="n">
        <v>3.03</v>
      </c>
      <c r="AB86" t="n">
        <v>32.82</v>
      </c>
      <c r="AC86" t="n">
        <v>5.91</v>
      </c>
      <c r="AD86" t="n">
        <v>0</v>
      </c>
      <c r="AE86" t="n">
        <v>156.8</v>
      </c>
      <c r="AF86" t="n">
        <v>0</v>
      </c>
      <c r="AG86" t="n">
        <v>0</v>
      </c>
      <c r="AH86" t="n">
        <v>0.16</v>
      </c>
      <c r="AI86" t="n">
        <v>7.85</v>
      </c>
      <c r="AJ86" t="n">
        <v>-0.01</v>
      </c>
      <c r="AK86" t="n">
        <v>13.92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46.74</v>
      </c>
      <c r="AV86" t="n">
        <v>0</v>
      </c>
      <c r="AW86" t="n">
        <v>117.9</v>
      </c>
      <c r="AX86" t="inlineStr">
        <is>
          <t>settled</t>
        </is>
      </c>
      <c r="AY86" t="inlineStr">
        <is>
          <t>NA</t>
        </is>
      </c>
      <c r="AZ86" t="inlineStr">
        <is>
          <t>NA</t>
        </is>
      </c>
      <c r="BA86" t="n">
        <v>0</v>
      </c>
      <c r="BB86" t="inlineStr">
        <is>
          <t>2fac173f6e92ae2cc530f661cce6e6539ff5c76e369fd373542e3931d5b02b0b</t>
        </is>
      </c>
    </row>
    <row r="87">
      <c r="A87" t="inlineStr">
        <is>
          <t>771</t>
        </is>
      </c>
      <c r="B87" t="inlineStr">
        <is>
          <t>7591357895</t>
        </is>
      </c>
      <c r="C87" t="inlineStr">
        <is>
          <t>2025-12-17 00:09:06</t>
        </is>
      </c>
      <c r="D87" t="inlineStr">
        <is>
          <t>51</t>
        </is>
      </c>
      <c r="E87" t="inlineStr">
        <is>
          <t>Sha Sha - Shandaar Shawarma</t>
        </is>
      </c>
      <c r="F87" t="inlineStr">
        <is>
          <t>18557902</t>
        </is>
      </c>
      <c r="G87" t="inlineStr">
        <is>
          <t>30% off upto ₹75 (2025-06-25 - 2031-01-01)</t>
        </is>
      </c>
      <c r="H87" t="inlineStr">
        <is>
          <t>ONLINE</t>
        </is>
      </c>
      <c r="I87" t="inlineStr">
        <is>
          <t>DELIVERED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O2</t>
        </is>
      </c>
      <c r="N87" t="inlineStr">
        <is>
          <t>36</t>
        </is>
      </c>
      <c r="O87" t="n">
        <v>368</v>
      </c>
      <c r="P87" t="n">
        <v>3.5</v>
      </c>
      <c r="Q87" t="n">
        <v>0</v>
      </c>
      <c r="R87" t="n">
        <v>75</v>
      </c>
      <c r="S87" t="n">
        <v>0</v>
      </c>
      <c r="T87" t="n">
        <v>0</v>
      </c>
      <c r="U87" t="n">
        <v>0</v>
      </c>
      <c r="V87" t="n">
        <v>14.83</v>
      </c>
      <c r="W87" t="n">
        <v>311.33</v>
      </c>
      <c r="X87" t="n">
        <v>296.5</v>
      </c>
      <c r="Y87" t="n">
        <v>19</v>
      </c>
      <c r="Z87" t="n">
        <v>56.34</v>
      </c>
      <c r="AA87" t="n">
        <v>5.73</v>
      </c>
      <c r="AB87" t="n">
        <v>62.07</v>
      </c>
      <c r="AC87" t="n">
        <v>11.17</v>
      </c>
      <c r="AD87" t="n">
        <v>0</v>
      </c>
      <c r="AE87" t="n">
        <v>296.5</v>
      </c>
      <c r="AF87" t="n">
        <v>0</v>
      </c>
      <c r="AG87" t="n">
        <v>0</v>
      </c>
      <c r="AH87" t="n">
        <v>0.3</v>
      </c>
      <c r="AI87" t="n">
        <v>14.83</v>
      </c>
      <c r="AJ87" t="n">
        <v>0</v>
      </c>
      <c r="AK87" t="n">
        <v>26.3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88.37</v>
      </c>
      <c r="AV87" t="n">
        <v>0</v>
      </c>
      <c r="AW87" t="n">
        <v>222.96</v>
      </c>
      <c r="AX87" t="inlineStr">
        <is>
          <t>settled</t>
        </is>
      </c>
      <c r="AY87" t="inlineStr">
        <is>
          <t>NA</t>
        </is>
      </c>
      <c r="AZ87" t="inlineStr">
        <is>
          <t>NA</t>
        </is>
      </c>
      <c r="BA87" t="n">
        <v>0</v>
      </c>
      <c r="BB87" t="inlineStr">
        <is>
          <t>c5ac0a26a09dfa602bca854d7b184ef4cd3d343a35637a208c5c3077e9de6807</t>
        </is>
      </c>
    </row>
    <row r="88">
      <c r="A88" t="inlineStr">
        <is>
          <t>772</t>
        </is>
      </c>
      <c r="B88" t="inlineStr">
        <is>
          <t>7591001414</t>
        </is>
      </c>
      <c r="C88" t="inlineStr">
        <is>
          <t>2025-12-17 00:11:36</t>
        </is>
      </c>
      <c r="D88" t="inlineStr">
        <is>
          <t>51</t>
        </is>
      </c>
      <c r="E88" t="inlineStr">
        <is>
          <t>Sha Sha - Shandaar Shawarma</t>
        </is>
      </c>
      <c r="F88" t="inlineStr">
        <is>
          <t>18557902</t>
        </is>
      </c>
      <c r="G88" t="inlineStr">
        <is>
          <t>NA</t>
        </is>
      </c>
      <c r="H88" t="inlineStr">
        <is>
          <t>ONLINE</t>
        </is>
      </c>
      <c r="I88" t="inlineStr">
        <is>
          <t>DELIVERED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O2</t>
        </is>
      </c>
      <c r="N88" t="inlineStr">
        <is>
          <t>36</t>
        </is>
      </c>
      <c r="O88" t="n">
        <v>916</v>
      </c>
      <c r="P88" t="n">
        <v>3.5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45.98</v>
      </c>
      <c r="W88" t="n">
        <v>965.48</v>
      </c>
      <c r="X88" t="n">
        <v>919.5</v>
      </c>
      <c r="Y88" t="n">
        <v>19</v>
      </c>
      <c r="Z88" t="n">
        <v>174.7</v>
      </c>
      <c r="AA88" t="n">
        <v>17.76</v>
      </c>
      <c r="AB88" t="n">
        <v>192.46</v>
      </c>
      <c r="AC88" t="n">
        <v>34.65</v>
      </c>
      <c r="AD88" t="n">
        <v>0</v>
      </c>
      <c r="AE88" t="n">
        <v>919.5</v>
      </c>
      <c r="AF88" t="n">
        <v>0</v>
      </c>
      <c r="AG88" t="n">
        <v>0</v>
      </c>
      <c r="AH88" t="n">
        <v>0.92</v>
      </c>
      <c r="AI88" t="n">
        <v>45.98</v>
      </c>
      <c r="AJ88" t="n">
        <v>0</v>
      </c>
      <c r="AK88" t="n">
        <v>81.55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274.01</v>
      </c>
      <c r="AV88" t="n">
        <v>0</v>
      </c>
      <c r="AW88" t="n">
        <v>691.47</v>
      </c>
      <c r="AX88" t="inlineStr">
        <is>
          <t>settled</t>
        </is>
      </c>
      <c r="AY88" t="inlineStr">
        <is>
          <t>NA</t>
        </is>
      </c>
      <c r="AZ88" t="inlineStr">
        <is>
          <t>NA</t>
        </is>
      </c>
      <c r="BA88" t="n">
        <v>0</v>
      </c>
      <c r="BB88" t="inlineStr">
        <is>
          <t>8e554fbb48ba346d9a28c8a233abf560c474d1258b145439bb7410b330ea0a72</t>
        </is>
      </c>
    </row>
    <row r="89">
      <c r="A89" t="inlineStr">
        <is>
          <t>773</t>
        </is>
      </c>
      <c r="B89" t="inlineStr">
        <is>
          <t>7583167687</t>
        </is>
      </c>
      <c r="C89" t="inlineStr">
        <is>
          <t>2025-12-17 00:17:44</t>
        </is>
      </c>
      <c r="D89" t="inlineStr">
        <is>
          <t>51</t>
        </is>
      </c>
      <c r="E89" t="inlineStr">
        <is>
          <t>Sha Sha - Shandaar Shawarma</t>
        </is>
      </c>
      <c r="F89" t="inlineStr">
        <is>
          <t>18557902</t>
        </is>
      </c>
      <c r="G89" t="inlineStr">
        <is>
          <t>NA</t>
        </is>
      </c>
      <c r="H89" t="inlineStr">
        <is>
          <t>ONLINE</t>
        </is>
      </c>
      <c r="I89" t="inlineStr">
        <is>
          <t>DELIVERED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O2</t>
        </is>
      </c>
      <c r="N89" t="inlineStr">
        <is>
          <t>36</t>
        </is>
      </c>
      <c r="O89" t="n">
        <v>229</v>
      </c>
      <c r="P89" t="n">
        <v>3.5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11.63</v>
      </c>
      <c r="W89" t="n">
        <v>244.13</v>
      </c>
      <c r="X89" t="n">
        <v>232.5</v>
      </c>
      <c r="Y89" t="n">
        <v>19</v>
      </c>
      <c r="Z89" t="n">
        <v>44.18</v>
      </c>
      <c r="AA89" t="n">
        <v>4.49</v>
      </c>
      <c r="AB89" t="n">
        <v>48.67</v>
      </c>
      <c r="AC89" t="n">
        <v>8.76</v>
      </c>
      <c r="AD89" t="n">
        <v>0</v>
      </c>
      <c r="AE89" t="n">
        <v>232.5</v>
      </c>
      <c r="AF89" t="n">
        <v>0</v>
      </c>
      <c r="AG89" t="n">
        <v>0</v>
      </c>
      <c r="AH89" t="n">
        <v>0.23</v>
      </c>
      <c r="AI89" t="n">
        <v>11.63</v>
      </c>
      <c r="AJ89" t="n">
        <v>0</v>
      </c>
      <c r="AK89" t="n">
        <v>20.62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69.29000000000001</v>
      </c>
      <c r="AV89" t="n">
        <v>0</v>
      </c>
      <c r="AW89" t="n">
        <v>174.84</v>
      </c>
      <c r="AX89" t="inlineStr">
        <is>
          <t>settled</t>
        </is>
      </c>
      <c r="AY89" t="inlineStr">
        <is>
          <t>NA</t>
        </is>
      </c>
      <c r="AZ89" t="inlineStr">
        <is>
          <t>NA</t>
        </is>
      </c>
      <c r="BA89" t="n">
        <v>0</v>
      </c>
      <c r="BB89" t="inlineStr">
        <is>
          <t>777dc8ad75edbfc02552b2cef93e6f95c4b7c31e046c3f00cc65bc406f9c88f4</t>
        </is>
      </c>
    </row>
    <row r="90">
      <c r="A90" t="inlineStr">
        <is>
          <t>774</t>
        </is>
      </c>
      <c r="B90" t="inlineStr">
        <is>
          <t>7583090379</t>
        </is>
      </c>
      <c r="C90" t="inlineStr">
        <is>
          <t>2025-12-17 00:23:52</t>
        </is>
      </c>
      <c r="D90" t="inlineStr">
        <is>
          <t>51</t>
        </is>
      </c>
      <c r="E90" t="inlineStr">
        <is>
          <t>Sha Sha - Shandaar Shawarma</t>
        </is>
      </c>
      <c r="F90" t="inlineStr">
        <is>
          <t>18557902</t>
        </is>
      </c>
      <c r="G90" t="inlineStr">
        <is>
          <t>30% off upto ₹75 (2025-06-25 - 2031-01-01)</t>
        </is>
      </c>
      <c r="H90" t="inlineStr">
        <is>
          <t>ONLINE</t>
        </is>
      </c>
      <c r="I90" t="inlineStr">
        <is>
          <t>DELIVERED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O2</t>
        </is>
      </c>
      <c r="N90" t="inlineStr">
        <is>
          <t>36</t>
        </is>
      </c>
      <c r="O90" t="n">
        <v>229</v>
      </c>
      <c r="P90" t="n">
        <v>3.5</v>
      </c>
      <c r="Q90" t="n">
        <v>0</v>
      </c>
      <c r="R90" t="n">
        <v>68.7</v>
      </c>
      <c r="S90" t="n">
        <v>0</v>
      </c>
      <c r="T90" t="n">
        <v>0</v>
      </c>
      <c r="U90" t="n">
        <v>0</v>
      </c>
      <c r="V90" t="n">
        <v>8.19</v>
      </c>
      <c r="W90" t="n">
        <v>171.99</v>
      </c>
      <c r="X90" t="n">
        <v>163.8</v>
      </c>
      <c r="Y90" t="n">
        <v>19</v>
      </c>
      <c r="Z90" t="n">
        <v>31.12</v>
      </c>
      <c r="AA90" t="n">
        <v>3.16</v>
      </c>
      <c r="AB90" t="n">
        <v>34.28</v>
      </c>
      <c r="AC90" t="n">
        <v>6.17</v>
      </c>
      <c r="AD90" t="n">
        <v>0</v>
      </c>
      <c r="AE90" t="n">
        <v>163.8</v>
      </c>
      <c r="AF90" t="n">
        <v>0</v>
      </c>
      <c r="AG90" t="n">
        <v>0</v>
      </c>
      <c r="AH90" t="n">
        <v>0.16</v>
      </c>
      <c r="AI90" t="n">
        <v>8.199999999999999</v>
      </c>
      <c r="AJ90" t="n">
        <v>-0.01</v>
      </c>
      <c r="AK90" t="n">
        <v>14.53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48.81</v>
      </c>
      <c r="AV90" t="n">
        <v>0</v>
      </c>
      <c r="AW90" t="n">
        <v>123.18</v>
      </c>
      <c r="AX90" t="inlineStr">
        <is>
          <t>settled</t>
        </is>
      </c>
      <c r="AY90" t="inlineStr">
        <is>
          <t>NA</t>
        </is>
      </c>
      <c r="AZ90" t="inlineStr">
        <is>
          <t>NA</t>
        </is>
      </c>
      <c r="BA90" t="n">
        <v>0</v>
      </c>
      <c r="BB90" t="inlineStr">
        <is>
          <t>464041def6a32153669abdb5ddb996a21f8c250d5dfa6e62ba6b72f7af646fa4</t>
        </is>
      </c>
    </row>
    <row r="91">
      <c r="A91" t="inlineStr">
        <is>
          <t>775</t>
        </is>
      </c>
      <c r="B91" t="inlineStr">
        <is>
          <t>7577064570</t>
        </is>
      </c>
      <c r="C91" t="inlineStr">
        <is>
          <t>2025-12-17 00:27:26</t>
        </is>
      </c>
      <c r="D91" t="inlineStr">
        <is>
          <t>51</t>
        </is>
      </c>
      <c r="E91" t="inlineStr">
        <is>
          <t>Sha Sha - Shandaar Shawarma</t>
        </is>
      </c>
      <c r="F91" t="inlineStr">
        <is>
          <t>18557902</t>
        </is>
      </c>
      <c r="G91" t="inlineStr">
        <is>
          <t>30% off upto ₹75 (2025-06-25 - 2031-01-01)</t>
        </is>
      </c>
      <c r="H91" t="inlineStr">
        <is>
          <t>ONLINE</t>
        </is>
      </c>
      <c r="I91" t="inlineStr">
        <is>
          <t>DELIVERED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O2</t>
        </is>
      </c>
      <c r="N91" t="inlineStr">
        <is>
          <t>36</t>
        </is>
      </c>
      <c r="O91" t="n">
        <v>458</v>
      </c>
      <c r="P91" t="n">
        <v>3.5</v>
      </c>
      <c r="Q91" t="n">
        <v>0</v>
      </c>
      <c r="R91" t="n">
        <v>75</v>
      </c>
      <c r="S91" t="n">
        <v>0</v>
      </c>
      <c r="T91" t="n">
        <v>0</v>
      </c>
      <c r="U91" t="n">
        <v>0</v>
      </c>
      <c r="V91" t="n">
        <v>19.33</v>
      </c>
      <c r="W91" t="n">
        <v>405.83</v>
      </c>
      <c r="X91" t="n">
        <v>386.5</v>
      </c>
      <c r="Y91" t="n">
        <v>19</v>
      </c>
      <c r="Z91" t="n">
        <v>73.44</v>
      </c>
      <c r="AA91" t="n">
        <v>7.47</v>
      </c>
      <c r="AB91" t="n">
        <v>80.91</v>
      </c>
      <c r="AC91" t="n">
        <v>14.56</v>
      </c>
      <c r="AD91" t="n">
        <v>0</v>
      </c>
      <c r="AE91" t="n">
        <v>386.5</v>
      </c>
      <c r="AF91" t="n">
        <v>0</v>
      </c>
      <c r="AG91" t="n">
        <v>0</v>
      </c>
      <c r="AH91" t="n">
        <v>0.39</v>
      </c>
      <c r="AI91" t="n">
        <v>19.33</v>
      </c>
      <c r="AJ91" t="n">
        <v>0</v>
      </c>
      <c r="AK91" t="n">
        <v>34.28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115.19</v>
      </c>
      <c r="AV91" t="n">
        <v>0</v>
      </c>
      <c r="AW91" t="n">
        <v>290.64</v>
      </c>
      <c r="AX91" t="inlineStr">
        <is>
          <t>settled</t>
        </is>
      </c>
      <c r="AY91" t="inlineStr">
        <is>
          <t>NA</t>
        </is>
      </c>
      <c r="AZ91" t="inlineStr">
        <is>
          <t>NA</t>
        </is>
      </c>
      <c r="BA91" t="n">
        <v>0</v>
      </c>
      <c r="BB91" t="inlineStr">
        <is>
          <t>abeade6205a42f8355dc65050df9069049e48c8450bfaccd3fc82c26b8a6e5d8</t>
        </is>
      </c>
    </row>
    <row r="92">
      <c r="A92" t="inlineStr">
        <is>
          <t>776</t>
        </is>
      </c>
      <c r="B92" t="inlineStr">
        <is>
          <t>7588782075</t>
        </is>
      </c>
      <c r="C92" t="inlineStr">
        <is>
          <t>2025-12-17 00:46:41</t>
        </is>
      </c>
      <c r="D92" t="inlineStr">
        <is>
          <t>51</t>
        </is>
      </c>
      <c r="E92" t="inlineStr">
        <is>
          <t>Sha Sha - Shandaar Shawarma</t>
        </is>
      </c>
      <c r="F92" t="inlineStr">
        <is>
          <t>18557902</t>
        </is>
      </c>
      <c r="G92" t="inlineStr">
        <is>
          <t>30% off upto ₹75 (2025-06-25 - 2031-01-01)</t>
        </is>
      </c>
      <c r="H92" t="inlineStr">
        <is>
          <t>ONLINE</t>
        </is>
      </c>
      <c r="I92" t="inlineStr">
        <is>
          <t>DELIVERED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O2</t>
        </is>
      </c>
      <c r="N92" t="inlineStr">
        <is>
          <t>36</t>
        </is>
      </c>
      <c r="O92" t="n">
        <v>229</v>
      </c>
      <c r="P92" t="n">
        <v>3.5</v>
      </c>
      <c r="Q92" t="n">
        <v>0</v>
      </c>
      <c r="R92" t="n">
        <v>68.7</v>
      </c>
      <c r="S92" t="n">
        <v>0</v>
      </c>
      <c r="T92" t="n">
        <v>0</v>
      </c>
      <c r="U92" t="n">
        <v>0</v>
      </c>
      <c r="V92" t="n">
        <v>8.19</v>
      </c>
      <c r="W92" t="n">
        <v>171.99</v>
      </c>
      <c r="X92" t="n">
        <v>163.8</v>
      </c>
      <c r="Y92" t="n">
        <v>19</v>
      </c>
      <c r="Z92" t="n">
        <v>31.12</v>
      </c>
      <c r="AA92" t="n">
        <v>3.16</v>
      </c>
      <c r="AB92" t="n">
        <v>34.28</v>
      </c>
      <c r="AC92" t="n">
        <v>6.17</v>
      </c>
      <c r="AD92" t="n">
        <v>0</v>
      </c>
      <c r="AE92" t="n">
        <v>163.8</v>
      </c>
      <c r="AF92" t="n">
        <v>0</v>
      </c>
      <c r="AG92" t="n">
        <v>0</v>
      </c>
      <c r="AH92" t="n">
        <v>0.16</v>
      </c>
      <c r="AI92" t="n">
        <v>8.199999999999999</v>
      </c>
      <c r="AJ92" t="n">
        <v>-0.01</v>
      </c>
      <c r="AK92" t="n">
        <v>14.53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48.81</v>
      </c>
      <c r="AV92" t="n">
        <v>0</v>
      </c>
      <c r="AW92" t="n">
        <v>123.18</v>
      </c>
      <c r="AX92" t="inlineStr">
        <is>
          <t>settled</t>
        </is>
      </c>
      <c r="AY92" t="inlineStr">
        <is>
          <t>NA</t>
        </is>
      </c>
      <c r="AZ92" t="inlineStr">
        <is>
          <t>NA</t>
        </is>
      </c>
      <c r="BA92" t="n">
        <v>0</v>
      </c>
      <c r="BB92" t="inlineStr">
        <is>
          <t>e7e104ea26b2dd81183828125bcd003966a90178c13682b46f6d170a9976cd05</t>
        </is>
      </c>
    </row>
    <row r="93">
      <c r="A93" t="inlineStr">
        <is>
          <t>777</t>
        </is>
      </c>
      <c r="B93" t="inlineStr">
        <is>
          <t>7586511303</t>
        </is>
      </c>
      <c r="C93" t="inlineStr">
        <is>
          <t>2025-12-17 00:55:24</t>
        </is>
      </c>
      <c r="D93" t="inlineStr">
        <is>
          <t>51</t>
        </is>
      </c>
      <c r="E93" t="inlineStr">
        <is>
          <t>Sha Sha - Shandaar Shawarma</t>
        </is>
      </c>
      <c r="F93" t="inlineStr">
        <is>
          <t>18557902</t>
        </is>
      </c>
      <c r="G93" t="inlineStr">
        <is>
          <t>30% off upto ₹75 (2025-06-25 - 2031-01-01)</t>
        </is>
      </c>
      <c r="H93" t="inlineStr">
        <is>
          <t>ONLINE</t>
        </is>
      </c>
      <c r="I93" t="inlineStr">
        <is>
          <t>DELIVERED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O2</t>
        </is>
      </c>
      <c r="N93" t="inlineStr">
        <is>
          <t>36</t>
        </is>
      </c>
      <c r="O93" t="n">
        <v>229</v>
      </c>
      <c r="P93" t="n">
        <v>3.5</v>
      </c>
      <c r="Q93" t="n">
        <v>0</v>
      </c>
      <c r="R93" t="n">
        <v>68.7</v>
      </c>
      <c r="S93" t="n">
        <v>0</v>
      </c>
      <c r="T93" t="n">
        <v>0</v>
      </c>
      <c r="U93" t="n">
        <v>0</v>
      </c>
      <c r="V93" t="n">
        <v>8.19</v>
      </c>
      <c r="W93" t="n">
        <v>171.99</v>
      </c>
      <c r="X93" t="n">
        <v>163.8</v>
      </c>
      <c r="Y93" t="n">
        <v>19</v>
      </c>
      <c r="Z93" t="n">
        <v>31.12</v>
      </c>
      <c r="AA93" t="n">
        <v>3.16</v>
      </c>
      <c r="AB93" t="n">
        <v>34.28</v>
      </c>
      <c r="AC93" t="n">
        <v>6.17</v>
      </c>
      <c r="AD93" t="n">
        <v>0</v>
      </c>
      <c r="AE93" t="n">
        <v>163.8</v>
      </c>
      <c r="AF93" t="n">
        <v>0</v>
      </c>
      <c r="AG93" t="n">
        <v>0</v>
      </c>
      <c r="AH93" t="n">
        <v>0.16</v>
      </c>
      <c r="AI93" t="n">
        <v>8.199999999999999</v>
      </c>
      <c r="AJ93" t="n">
        <v>-0.01</v>
      </c>
      <c r="AK93" t="n">
        <v>14.53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48.81</v>
      </c>
      <c r="AV93" t="n">
        <v>0</v>
      </c>
      <c r="AW93" t="n">
        <v>123.18</v>
      </c>
      <c r="AX93" t="inlineStr">
        <is>
          <t>settled</t>
        </is>
      </c>
      <c r="AY93" t="inlineStr">
        <is>
          <t>NA</t>
        </is>
      </c>
      <c r="AZ93" t="inlineStr">
        <is>
          <t>NA</t>
        </is>
      </c>
      <c r="BA93" t="n">
        <v>0</v>
      </c>
      <c r="BB93" t="inlineStr">
        <is>
          <t>41243fa67459419a7cd1557e13e79b4f04ef3c5e18bebd593d85c448af4e7434</t>
        </is>
      </c>
    </row>
    <row r="94">
      <c r="A94" t="inlineStr">
        <is>
          <t>778</t>
        </is>
      </c>
      <c r="B94" t="inlineStr">
        <is>
          <t>7587265763</t>
        </is>
      </c>
      <c r="C94" t="inlineStr">
        <is>
          <t>2025-12-17 01:10:51</t>
        </is>
      </c>
      <c r="D94" t="inlineStr">
        <is>
          <t>51</t>
        </is>
      </c>
      <c r="E94" t="inlineStr">
        <is>
          <t>Sha Sha - Shandaar Shawarma</t>
        </is>
      </c>
      <c r="F94" t="inlineStr">
        <is>
          <t>18557902</t>
        </is>
      </c>
      <c r="G94" t="inlineStr">
        <is>
          <t>30% off upto ₹75 (2025-06-25 - 2031-01-01)</t>
        </is>
      </c>
      <c r="H94" t="inlineStr">
        <is>
          <t>ONLINE</t>
        </is>
      </c>
      <c r="I94" t="inlineStr">
        <is>
          <t>DELIVERED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O2</t>
        </is>
      </c>
      <c r="N94" t="inlineStr">
        <is>
          <t>36</t>
        </is>
      </c>
      <c r="O94" t="n">
        <v>229</v>
      </c>
      <c r="P94" t="n">
        <v>3.5</v>
      </c>
      <c r="Q94" t="n">
        <v>0</v>
      </c>
      <c r="R94" t="n">
        <v>68.7</v>
      </c>
      <c r="S94" t="n">
        <v>0</v>
      </c>
      <c r="T94" t="n">
        <v>0</v>
      </c>
      <c r="U94" t="n">
        <v>0</v>
      </c>
      <c r="V94" t="n">
        <v>8.19</v>
      </c>
      <c r="W94" t="n">
        <v>171.99</v>
      </c>
      <c r="X94" t="n">
        <v>163.8</v>
      </c>
      <c r="Y94" t="n">
        <v>19</v>
      </c>
      <c r="Z94" t="n">
        <v>31.12</v>
      </c>
      <c r="AA94" t="n">
        <v>3.16</v>
      </c>
      <c r="AB94" t="n">
        <v>34.28</v>
      </c>
      <c r="AC94" t="n">
        <v>6.17</v>
      </c>
      <c r="AD94" t="n">
        <v>0</v>
      </c>
      <c r="AE94" t="n">
        <v>163.8</v>
      </c>
      <c r="AF94" t="n">
        <v>0</v>
      </c>
      <c r="AG94" t="n">
        <v>0</v>
      </c>
      <c r="AH94" t="n">
        <v>0.16</v>
      </c>
      <c r="AI94" t="n">
        <v>8.199999999999999</v>
      </c>
      <c r="AJ94" t="n">
        <v>-0.01</v>
      </c>
      <c r="AK94" t="n">
        <v>14.53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48.81</v>
      </c>
      <c r="AV94" t="n">
        <v>0</v>
      </c>
      <c r="AW94" t="n">
        <v>123.18</v>
      </c>
      <c r="AX94" t="inlineStr">
        <is>
          <t>settled</t>
        </is>
      </c>
      <c r="AY94" t="inlineStr">
        <is>
          <t>NA</t>
        </is>
      </c>
      <c r="AZ94" t="inlineStr">
        <is>
          <t>NA</t>
        </is>
      </c>
      <c r="BA94" t="n">
        <v>0</v>
      </c>
      <c r="BB94" t="inlineStr">
        <is>
          <t>28b1c0d7e729e47f4cc2dc277a4ac85b353553f477ab113918a239c02eb4bce2</t>
        </is>
      </c>
    </row>
    <row r="95">
      <c r="A95" t="inlineStr">
        <is>
          <t>779</t>
        </is>
      </c>
      <c r="B95" t="inlineStr">
        <is>
          <t>7585897285</t>
        </is>
      </c>
      <c r="C95" t="inlineStr">
        <is>
          <t>2025-12-17 01:13:51</t>
        </is>
      </c>
      <c r="D95" t="inlineStr">
        <is>
          <t>51</t>
        </is>
      </c>
      <c r="E95" t="inlineStr">
        <is>
          <t>Sha Sha - Shandaar Shawarma</t>
        </is>
      </c>
      <c r="F95" t="inlineStr">
        <is>
          <t>18557902</t>
        </is>
      </c>
      <c r="G95" t="inlineStr">
        <is>
          <t>NA</t>
        </is>
      </c>
      <c r="H95" t="inlineStr">
        <is>
          <t>ONLINE</t>
        </is>
      </c>
      <c r="I95" t="inlineStr">
        <is>
          <t>DELIVERED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O2</t>
        </is>
      </c>
      <c r="N95" t="inlineStr">
        <is>
          <t>36</t>
        </is>
      </c>
      <c r="O95" t="n">
        <v>229</v>
      </c>
      <c r="P95" t="n">
        <v>3.5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11.63</v>
      </c>
      <c r="W95" t="n">
        <v>244.13</v>
      </c>
      <c r="X95" t="n">
        <v>232.5</v>
      </c>
      <c r="Y95" t="n">
        <v>19</v>
      </c>
      <c r="Z95" t="n">
        <v>44.18</v>
      </c>
      <c r="AA95" t="n">
        <v>4.49</v>
      </c>
      <c r="AB95" t="n">
        <v>48.67</v>
      </c>
      <c r="AC95" t="n">
        <v>8.76</v>
      </c>
      <c r="AD95" t="n">
        <v>0</v>
      </c>
      <c r="AE95" t="n">
        <v>232.5</v>
      </c>
      <c r="AF95" t="n">
        <v>0</v>
      </c>
      <c r="AG95" t="n">
        <v>0</v>
      </c>
      <c r="AH95" t="n">
        <v>0.23</v>
      </c>
      <c r="AI95" t="n">
        <v>11.63</v>
      </c>
      <c r="AJ95" t="n">
        <v>0</v>
      </c>
      <c r="AK95" t="n">
        <v>20.62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69.29000000000001</v>
      </c>
      <c r="AV95" t="n">
        <v>0</v>
      </c>
      <c r="AW95" t="n">
        <v>174.84</v>
      </c>
      <c r="AX95" t="inlineStr">
        <is>
          <t>settled</t>
        </is>
      </c>
      <c r="AY95" t="inlineStr">
        <is>
          <t>NA</t>
        </is>
      </c>
      <c r="AZ95" t="inlineStr">
        <is>
          <t>NA</t>
        </is>
      </c>
      <c r="BA95" t="n">
        <v>0</v>
      </c>
      <c r="BB95" t="inlineStr">
        <is>
          <t>5590233dd56d9e165bc90328fd0b86bb82a1c3dab81a7c76cd625f5cc894f05c</t>
        </is>
      </c>
    </row>
    <row r="96">
      <c r="A96" t="inlineStr">
        <is>
          <t>780</t>
        </is>
      </c>
      <c r="B96" t="inlineStr">
        <is>
          <t>7575950515</t>
        </is>
      </c>
      <c r="C96" t="inlineStr">
        <is>
          <t>2025-12-17 01:17:19</t>
        </is>
      </c>
      <c r="D96" t="inlineStr">
        <is>
          <t>51</t>
        </is>
      </c>
      <c r="E96" t="inlineStr">
        <is>
          <t>Sha Sha - Shandaar Shawarma</t>
        </is>
      </c>
      <c r="F96" t="inlineStr">
        <is>
          <t>18557902</t>
        </is>
      </c>
      <c r="G96" t="inlineStr">
        <is>
          <t>30% off upto ₹75 (2025-06-25 - 2031-01-01)</t>
        </is>
      </c>
      <c r="H96" t="inlineStr">
        <is>
          <t>ONLINE</t>
        </is>
      </c>
      <c r="I96" t="inlineStr">
        <is>
          <t>DELIVERED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O2</t>
        </is>
      </c>
      <c r="N96" t="inlineStr">
        <is>
          <t>36</t>
        </is>
      </c>
      <c r="O96" t="n">
        <v>458</v>
      </c>
      <c r="P96" t="n">
        <v>3.5</v>
      </c>
      <c r="Q96" t="n">
        <v>0</v>
      </c>
      <c r="R96" t="n">
        <v>75</v>
      </c>
      <c r="S96" t="n">
        <v>0</v>
      </c>
      <c r="T96" t="n">
        <v>0</v>
      </c>
      <c r="U96" t="n">
        <v>0</v>
      </c>
      <c r="V96" t="n">
        <v>19.33</v>
      </c>
      <c r="W96" t="n">
        <v>405.83</v>
      </c>
      <c r="X96" t="n">
        <v>386.5</v>
      </c>
      <c r="Y96" t="n">
        <v>19</v>
      </c>
      <c r="Z96" t="n">
        <v>73.44</v>
      </c>
      <c r="AA96" t="n">
        <v>7.47</v>
      </c>
      <c r="AB96" t="n">
        <v>80.91</v>
      </c>
      <c r="AC96" t="n">
        <v>14.56</v>
      </c>
      <c r="AD96" t="n">
        <v>0</v>
      </c>
      <c r="AE96" t="n">
        <v>386.5</v>
      </c>
      <c r="AF96" t="n">
        <v>0</v>
      </c>
      <c r="AG96" t="n">
        <v>0</v>
      </c>
      <c r="AH96" t="n">
        <v>0.39</v>
      </c>
      <c r="AI96" t="n">
        <v>19.33</v>
      </c>
      <c r="AJ96" t="n">
        <v>0</v>
      </c>
      <c r="AK96" t="n">
        <v>34.28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115.19</v>
      </c>
      <c r="AV96" t="n">
        <v>0</v>
      </c>
      <c r="AW96" t="n">
        <v>290.64</v>
      </c>
      <c r="AX96" t="inlineStr">
        <is>
          <t>settled</t>
        </is>
      </c>
      <c r="AY96" t="inlineStr">
        <is>
          <t>NA</t>
        </is>
      </c>
      <c r="AZ96" t="inlineStr">
        <is>
          <t>NA</t>
        </is>
      </c>
      <c r="BA96" t="n">
        <v>0</v>
      </c>
      <c r="BB96" t="inlineStr">
        <is>
          <t>093f553ff2480dc64861211579fd3f87f780638bf4d837c15d0e37020708ca44</t>
        </is>
      </c>
    </row>
    <row r="97">
      <c r="A97" t="inlineStr">
        <is>
          <t>781</t>
        </is>
      </c>
      <c r="B97" t="inlineStr">
        <is>
          <t>7590881255</t>
        </is>
      </c>
      <c r="C97" t="inlineStr">
        <is>
          <t>2025-12-17 01:18:22</t>
        </is>
      </c>
      <c r="D97" t="inlineStr">
        <is>
          <t>51</t>
        </is>
      </c>
      <c r="E97" t="inlineStr">
        <is>
          <t>Sha Sha - Shandaar Shawarma</t>
        </is>
      </c>
      <c r="F97" t="inlineStr">
        <is>
          <t>18557902</t>
        </is>
      </c>
      <c r="G97" t="inlineStr">
        <is>
          <t>NA</t>
        </is>
      </c>
      <c r="H97" t="inlineStr">
        <is>
          <t>ONLINE</t>
        </is>
      </c>
      <c r="I97" t="inlineStr">
        <is>
          <t>DELIVERED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O2</t>
        </is>
      </c>
      <c r="N97" t="inlineStr">
        <is>
          <t>36</t>
        </is>
      </c>
      <c r="O97" t="n">
        <v>229</v>
      </c>
      <c r="P97" t="n">
        <v>3.5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11.63</v>
      </c>
      <c r="W97" t="n">
        <v>244.13</v>
      </c>
      <c r="X97" t="n">
        <v>232.5</v>
      </c>
      <c r="Y97" t="n">
        <v>19</v>
      </c>
      <c r="Z97" t="n">
        <v>44.18</v>
      </c>
      <c r="AA97" t="n">
        <v>4.49</v>
      </c>
      <c r="AB97" t="n">
        <v>48.67</v>
      </c>
      <c r="AC97" t="n">
        <v>8.76</v>
      </c>
      <c r="AD97" t="n">
        <v>0</v>
      </c>
      <c r="AE97" t="n">
        <v>232.5</v>
      </c>
      <c r="AF97" t="n">
        <v>0</v>
      </c>
      <c r="AG97" t="n">
        <v>0</v>
      </c>
      <c r="AH97" t="n">
        <v>0.23</v>
      </c>
      <c r="AI97" t="n">
        <v>11.63</v>
      </c>
      <c r="AJ97" t="n">
        <v>0</v>
      </c>
      <c r="AK97" t="n">
        <v>20.62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69.29000000000001</v>
      </c>
      <c r="AV97" t="n">
        <v>0</v>
      </c>
      <c r="AW97" t="n">
        <v>174.84</v>
      </c>
      <c r="AX97" t="inlineStr">
        <is>
          <t>settled</t>
        </is>
      </c>
      <c r="AY97" t="inlineStr">
        <is>
          <t>NA</t>
        </is>
      </c>
      <c r="AZ97" t="inlineStr">
        <is>
          <t>NA</t>
        </is>
      </c>
      <c r="BA97" t="n">
        <v>0</v>
      </c>
      <c r="BB97" t="inlineStr">
        <is>
          <t>aca3ea8829f35f32eeb9c617b1f572fd528973fe5d98cd8653b3eae979a66190</t>
        </is>
      </c>
    </row>
    <row r="98">
      <c r="A98" t="inlineStr">
        <is>
          <t>782</t>
        </is>
      </c>
      <c r="B98" t="inlineStr">
        <is>
          <t>7585105695</t>
        </is>
      </c>
      <c r="C98" t="inlineStr">
        <is>
          <t>2025-12-17 01:28:08</t>
        </is>
      </c>
      <c r="D98" t="inlineStr">
        <is>
          <t>51</t>
        </is>
      </c>
      <c r="E98" t="inlineStr">
        <is>
          <t>Sha Sha - Shandaar Shawarma</t>
        </is>
      </c>
      <c r="F98" t="inlineStr">
        <is>
          <t>18557902</t>
        </is>
      </c>
      <c r="G98" t="inlineStr">
        <is>
          <t>30% off upto ₹75 (2025-06-25 - 2031-01-01)</t>
        </is>
      </c>
      <c r="H98" t="inlineStr">
        <is>
          <t>ONLINE</t>
        </is>
      </c>
      <c r="I98" t="inlineStr">
        <is>
          <t>DELIVERED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O2</t>
        </is>
      </c>
      <c r="N98" t="inlineStr">
        <is>
          <t>36</t>
        </is>
      </c>
      <c r="O98" t="n">
        <v>229</v>
      </c>
      <c r="P98" t="n">
        <v>3.5</v>
      </c>
      <c r="Q98" t="n">
        <v>0</v>
      </c>
      <c r="R98" t="n">
        <v>68.7</v>
      </c>
      <c r="S98" t="n">
        <v>0</v>
      </c>
      <c r="T98" t="n">
        <v>0</v>
      </c>
      <c r="U98" t="n">
        <v>0</v>
      </c>
      <c r="V98" t="n">
        <v>8.19</v>
      </c>
      <c r="W98" t="n">
        <v>171.99</v>
      </c>
      <c r="X98" t="n">
        <v>163.8</v>
      </c>
      <c r="Y98" t="n">
        <v>19</v>
      </c>
      <c r="Z98" t="n">
        <v>31.12</v>
      </c>
      <c r="AA98" t="n">
        <v>3.16</v>
      </c>
      <c r="AB98" t="n">
        <v>34.28</v>
      </c>
      <c r="AC98" t="n">
        <v>6.17</v>
      </c>
      <c r="AD98" t="n">
        <v>0</v>
      </c>
      <c r="AE98" t="n">
        <v>163.8</v>
      </c>
      <c r="AF98" t="n">
        <v>0</v>
      </c>
      <c r="AG98" t="n">
        <v>0</v>
      </c>
      <c r="AH98" t="n">
        <v>0.16</v>
      </c>
      <c r="AI98" t="n">
        <v>8.199999999999999</v>
      </c>
      <c r="AJ98" t="n">
        <v>-0.01</v>
      </c>
      <c r="AK98" t="n">
        <v>14.53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48.81</v>
      </c>
      <c r="AV98" t="n">
        <v>0</v>
      </c>
      <c r="AW98" t="n">
        <v>123.18</v>
      </c>
      <c r="AX98" t="inlineStr">
        <is>
          <t>settled</t>
        </is>
      </c>
      <c r="AY98" t="inlineStr">
        <is>
          <t>NA</t>
        </is>
      </c>
      <c r="AZ98" t="inlineStr">
        <is>
          <t>NA</t>
        </is>
      </c>
      <c r="BA98" t="n">
        <v>0</v>
      </c>
      <c r="BB98" t="inlineStr">
        <is>
          <t>218632630ad9fc43ae206c2932d5bf7ccd42ed4de1d3e430540e219cc9b72fc3</t>
        </is>
      </c>
    </row>
    <row r="99">
      <c r="A99" t="inlineStr">
        <is>
          <t>783</t>
        </is>
      </c>
      <c r="B99" t="inlineStr">
        <is>
          <t>7585569076</t>
        </is>
      </c>
      <c r="C99" t="inlineStr">
        <is>
          <t>2025-12-17 01:28:59</t>
        </is>
      </c>
      <c r="D99" t="inlineStr">
        <is>
          <t>51</t>
        </is>
      </c>
      <c r="E99" t="inlineStr">
        <is>
          <t>Sha Sha - Shandaar Shawarma</t>
        </is>
      </c>
      <c r="F99" t="inlineStr">
        <is>
          <t>18557902</t>
        </is>
      </c>
      <c r="G99" t="inlineStr">
        <is>
          <t>30% off upto ₹75 (2025-06-25 - 2031-01-01)</t>
        </is>
      </c>
      <c r="H99" t="inlineStr">
        <is>
          <t>ONLINE</t>
        </is>
      </c>
      <c r="I99" t="inlineStr">
        <is>
          <t>DELIVERED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O2</t>
        </is>
      </c>
      <c r="N99" t="inlineStr">
        <is>
          <t>36</t>
        </is>
      </c>
      <c r="O99" t="n">
        <v>229</v>
      </c>
      <c r="P99" t="n">
        <v>3.5</v>
      </c>
      <c r="Q99" t="n">
        <v>0</v>
      </c>
      <c r="R99" t="n">
        <v>68.7</v>
      </c>
      <c r="S99" t="n">
        <v>0</v>
      </c>
      <c r="T99" t="n">
        <v>0</v>
      </c>
      <c r="U99" t="n">
        <v>0</v>
      </c>
      <c r="V99" t="n">
        <v>8.19</v>
      </c>
      <c r="W99" t="n">
        <v>171.99</v>
      </c>
      <c r="X99" t="n">
        <v>163.8</v>
      </c>
      <c r="Y99" t="n">
        <v>19</v>
      </c>
      <c r="Z99" t="n">
        <v>31.12</v>
      </c>
      <c r="AA99" t="n">
        <v>3.16</v>
      </c>
      <c r="AB99" t="n">
        <v>34.28</v>
      </c>
      <c r="AC99" t="n">
        <v>6.17</v>
      </c>
      <c r="AD99" t="n">
        <v>0</v>
      </c>
      <c r="AE99" t="n">
        <v>163.8</v>
      </c>
      <c r="AF99" t="n">
        <v>0</v>
      </c>
      <c r="AG99" t="n">
        <v>0</v>
      </c>
      <c r="AH99" t="n">
        <v>0.16</v>
      </c>
      <c r="AI99" t="n">
        <v>8.199999999999999</v>
      </c>
      <c r="AJ99" t="n">
        <v>-0.01</v>
      </c>
      <c r="AK99" t="n">
        <v>14.53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48.81</v>
      </c>
      <c r="AV99" t="n">
        <v>0</v>
      </c>
      <c r="AW99" t="n">
        <v>123.18</v>
      </c>
      <c r="AX99" t="inlineStr">
        <is>
          <t>settled</t>
        </is>
      </c>
      <c r="AY99" t="inlineStr">
        <is>
          <t>NA</t>
        </is>
      </c>
      <c r="AZ99" t="inlineStr">
        <is>
          <t>NA</t>
        </is>
      </c>
      <c r="BA99" t="n">
        <v>0</v>
      </c>
      <c r="BB99" t="inlineStr">
        <is>
          <t>f36a3f70d84decab48d68c031692d9de0c473e7af8b3e0049d54a0ea753cb4fd</t>
        </is>
      </c>
    </row>
    <row r="100">
      <c r="A100" t="inlineStr">
        <is>
          <t>784</t>
        </is>
      </c>
      <c r="B100" t="inlineStr">
        <is>
          <t>7588569116</t>
        </is>
      </c>
      <c r="C100" t="inlineStr">
        <is>
          <t>2025-12-17 01:30:19</t>
        </is>
      </c>
      <c r="D100" t="inlineStr">
        <is>
          <t>51</t>
        </is>
      </c>
      <c r="E100" t="inlineStr">
        <is>
          <t>Sha Sha - Shandaar Shawarma</t>
        </is>
      </c>
      <c r="F100" t="inlineStr">
        <is>
          <t>18557902</t>
        </is>
      </c>
      <c r="G100" t="inlineStr">
        <is>
          <t>30% off upto ₹75 (2025-06-25 - 2031-01-01)</t>
        </is>
      </c>
      <c r="H100" t="inlineStr">
        <is>
          <t>ONLINE</t>
        </is>
      </c>
      <c r="I100" t="inlineStr">
        <is>
          <t>DELIVERED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O2</t>
        </is>
      </c>
      <c r="N100" t="inlineStr">
        <is>
          <t>36</t>
        </is>
      </c>
      <c r="O100" t="n">
        <v>219</v>
      </c>
      <c r="P100" t="n">
        <v>3.5</v>
      </c>
      <c r="Q100" t="n">
        <v>0</v>
      </c>
      <c r="R100" t="n">
        <v>65.7</v>
      </c>
      <c r="S100" t="n">
        <v>0</v>
      </c>
      <c r="T100" t="n">
        <v>0</v>
      </c>
      <c r="U100" t="n">
        <v>0</v>
      </c>
      <c r="V100" t="n">
        <v>7.84</v>
      </c>
      <c r="W100" t="n">
        <v>164.64</v>
      </c>
      <c r="X100" t="n">
        <v>156.8</v>
      </c>
      <c r="Y100" t="n">
        <v>19</v>
      </c>
      <c r="Z100" t="n">
        <v>29.79</v>
      </c>
      <c r="AA100" t="n">
        <v>3.03</v>
      </c>
      <c r="AB100" t="n">
        <v>32.82</v>
      </c>
      <c r="AC100" t="n">
        <v>5.91</v>
      </c>
      <c r="AD100" t="n">
        <v>0</v>
      </c>
      <c r="AE100" t="n">
        <v>156.8</v>
      </c>
      <c r="AF100" t="n">
        <v>0</v>
      </c>
      <c r="AG100" t="n">
        <v>0</v>
      </c>
      <c r="AH100" t="n">
        <v>0.16</v>
      </c>
      <c r="AI100" t="n">
        <v>7.85</v>
      </c>
      <c r="AJ100" t="n">
        <v>-0.01</v>
      </c>
      <c r="AK100" t="n">
        <v>13.92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46.74</v>
      </c>
      <c r="AV100" t="n">
        <v>0</v>
      </c>
      <c r="AW100" t="n">
        <v>117.9</v>
      </c>
      <c r="AX100" t="inlineStr">
        <is>
          <t>settled</t>
        </is>
      </c>
      <c r="AY100" t="inlineStr">
        <is>
          <t>NA</t>
        </is>
      </c>
      <c r="AZ100" t="inlineStr">
        <is>
          <t>NA</t>
        </is>
      </c>
      <c r="BA100" t="n">
        <v>0</v>
      </c>
      <c r="BB100" t="inlineStr">
        <is>
          <t>77b124086d4019bdbbb550fbf6c3414a108be2ccd10f36430bca70a185985cd2</t>
        </is>
      </c>
    </row>
    <row r="101">
      <c r="A101" t="inlineStr">
        <is>
          <t>785</t>
        </is>
      </c>
      <c r="B101" t="inlineStr">
        <is>
          <t>7578318850</t>
        </is>
      </c>
      <c r="C101" t="inlineStr">
        <is>
          <t>2025-12-17 01:34:22</t>
        </is>
      </c>
      <c r="D101" t="inlineStr">
        <is>
          <t>51</t>
        </is>
      </c>
      <c r="E101" t="inlineStr">
        <is>
          <t>Sha Sha - Shandaar Shawarma</t>
        </is>
      </c>
      <c r="F101" t="inlineStr">
        <is>
          <t>18557902</t>
        </is>
      </c>
      <c r="G101" t="inlineStr">
        <is>
          <t>30% off upto ₹75 (2025-06-25 - 2031-01-01)</t>
        </is>
      </c>
      <c r="H101" t="inlineStr">
        <is>
          <t>ONLINE</t>
        </is>
      </c>
      <c r="I101" t="inlineStr">
        <is>
          <t>DELIVERED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O2</t>
        </is>
      </c>
      <c r="N101" t="inlineStr">
        <is>
          <t>36</t>
        </is>
      </c>
      <c r="O101" t="n">
        <v>229</v>
      </c>
      <c r="P101" t="n">
        <v>3.5</v>
      </c>
      <c r="Q101" t="n">
        <v>0</v>
      </c>
      <c r="R101" t="n">
        <v>68.7</v>
      </c>
      <c r="S101" t="n">
        <v>0</v>
      </c>
      <c r="T101" t="n">
        <v>0</v>
      </c>
      <c r="U101" t="n">
        <v>0</v>
      </c>
      <c r="V101" t="n">
        <v>8.19</v>
      </c>
      <c r="W101" t="n">
        <v>171.99</v>
      </c>
      <c r="X101" t="n">
        <v>163.8</v>
      </c>
      <c r="Y101" t="n">
        <v>19</v>
      </c>
      <c r="Z101" t="n">
        <v>31.12</v>
      </c>
      <c r="AA101" t="n">
        <v>3.16</v>
      </c>
      <c r="AB101" t="n">
        <v>34.28</v>
      </c>
      <c r="AC101" t="n">
        <v>6.17</v>
      </c>
      <c r="AD101" t="n">
        <v>0</v>
      </c>
      <c r="AE101" t="n">
        <v>163.8</v>
      </c>
      <c r="AF101" t="n">
        <v>0</v>
      </c>
      <c r="AG101" t="n">
        <v>0</v>
      </c>
      <c r="AH101" t="n">
        <v>0.16</v>
      </c>
      <c r="AI101" t="n">
        <v>8.199999999999999</v>
      </c>
      <c r="AJ101" t="n">
        <v>-0.01</v>
      </c>
      <c r="AK101" t="n">
        <v>14.53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48.81</v>
      </c>
      <c r="AV101" t="n">
        <v>0</v>
      </c>
      <c r="AW101" t="n">
        <v>123.18</v>
      </c>
      <c r="AX101" t="inlineStr">
        <is>
          <t>settled</t>
        </is>
      </c>
      <c r="AY101" t="inlineStr">
        <is>
          <t>NA</t>
        </is>
      </c>
      <c r="AZ101" t="inlineStr">
        <is>
          <t>NA</t>
        </is>
      </c>
      <c r="BA101" t="n">
        <v>0</v>
      </c>
      <c r="BB101" t="inlineStr">
        <is>
          <t>cf150b3ca4f9e3d8b4fbf167f9eadc1295ec8d7154d480a2fa459c68a137a057</t>
        </is>
      </c>
    </row>
    <row r="102">
      <c r="A102" t="inlineStr">
        <is>
          <t>786</t>
        </is>
      </c>
      <c r="B102" t="inlineStr">
        <is>
          <t>7575230656</t>
        </is>
      </c>
      <c r="C102" t="inlineStr">
        <is>
          <t>2025-12-17 01:40:26</t>
        </is>
      </c>
      <c r="D102" t="inlineStr">
        <is>
          <t>51</t>
        </is>
      </c>
      <c r="E102" t="inlineStr">
        <is>
          <t>Sha Sha - Shandaar Shawarma</t>
        </is>
      </c>
      <c r="F102" t="inlineStr">
        <is>
          <t>18557902</t>
        </is>
      </c>
      <c r="G102" t="inlineStr">
        <is>
          <t>30% off upto ₹75 (2025-06-25 - 2031-01-01)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O2</t>
        </is>
      </c>
      <c r="N102" t="inlineStr">
        <is>
          <t>36</t>
        </is>
      </c>
      <c r="O102" t="n">
        <v>229</v>
      </c>
      <c r="P102" t="n">
        <v>3.5</v>
      </c>
      <c r="Q102" t="n">
        <v>0</v>
      </c>
      <c r="R102" t="n">
        <v>68.7</v>
      </c>
      <c r="S102" t="n">
        <v>0</v>
      </c>
      <c r="T102" t="n">
        <v>0</v>
      </c>
      <c r="U102" t="n">
        <v>0</v>
      </c>
      <c r="V102" t="n">
        <v>8.19</v>
      </c>
      <c r="W102" t="n">
        <v>171.99</v>
      </c>
      <c r="X102" t="n">
        <v>163.8</v>
      </c>
      <c r="Y102" t="n">
        <v>19</v>
      </c>
      <c r="Z102" t="n">
        <v>31.12</v>
      </c>
      <c r="AA102" t="n">
        <v>3.16</v>
      </c>
      <c r="AB102" t="n">
        <v>34.28</v>
      </c>
      <c r="AC102" t="n">
        <v>6.17</v>
      </c>
      <c r="AD102" t="n">
        <v>0</v>
      </c>
      <c r="AE102" t="n">
        <v>163.8</v>
      </c>
      <c r="AF102" t="n">
        <v>0</v>
      </c>
      <c r="AG102" t="n">
        <v>0</v>
      </c>
      <c r="AH102" t="n">
        <v>0.16</v>
      </c>
      <c r="AI102" t="n">
        <v>8.199999999999999</v>
      </c>
      <c r="AJ102" t="n">
        <v>-0.01</v>
      </c>
      <c r="AK102" t="n">
        <v>14.53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48.81</v>
      </c>
      <c r="AV102" t="n">
        <v>0</v>
      </c>
      <c r="AW102" t="n">
        <v>123.18</v>
      </c>
      <c r="AX102" t="inlineStr">
        <is>
          <t>settled</t>
        </is>
      </c>
      <c r="AY102" t="inlineStr">
        <is>
          <t>NA</t>
        </is>
      </c>
      <c r="AZ102" t="inlineStr">
        <is>
          <t>NA</t>
        </is>
      </c>
      <c r="BA102" t="n">
        <v>0</v>
      </c>
      <c r="BB102" t="inlineStr">
        <is>
          <t>4e4cbe3745e176ee27fcaf0eb7a8340404a37bb6912efeee72730124c93b7d86</t>
        </is>
      </c>
    </row>
    <row r="103">
      <c r="A103" t="inlineStr">
        <is>
          <t>787</t>
        </is>
      </c>
      <c r="B103" t="inlineStr">
        <is>
          <t>7589553367</t>
        </is>
      </c>
      <c r="C103" t="inlineStr">
        <is>
          <t>2025-12-17 01:40:47</t>
        </is>
      </c>
      <c r="D103" t="inlineStr">
        <is>
          <t>51</t>
        </is>
      </c>
      <c r="E103" t="inlineStr">
        <is>
          <t>Sha Sha - Shandaar Shawarma</t>
        </is>
      </c>
      <c r="F103" t="inlineStr">
        <is>
          <t>18557902</t>
        </is>
      </c>
      <c r="G103" t="inlineStr">
        <is>
          <t>NA</t>
        </is>
      </c>
      <c r="H103" t="inlineStr">
        <is>
          <t>ONLINE</t>
        </is>
      </c>
      <c r="I103" t="inlineStr">
        <is>
          <t>DELIVERED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O2</t>
        </is>
      </c>
      <c r="N103" t="inlineStr">
        <is>
          <t>36</t>
        </is>
      </c>
      <c r="O103" t="n">
        <v>229</v>
      </c>
      <c r="P103" t="n">
        <v>3.5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11.63</v>
      </c>
      <c r="W103" t="n">
        <v>244.13</v>
      </c>
      <c r="X103" t="n">
        <v>232.5</v>
      </c>
      <c r="Y103" t="n">
        <v>19</v>
      </c>
      <c r="Z103" t="n">
        <v>44.18</v>
      </c>
      <c r="AA103" t="n">
        <v>4.49</v>
      </c>
      <c r="AB103" t="n">
        <v>48.67</v>
      </c>
      <c r="AC103" t="n">
        <v>8.76</v>
      </c>
      <c r="AD103" t="n">
        <v>0</v>
      </c>
      <c r="AE103" t="n">
        <v>232.5</v>
      </c>
      <c r="AF103" t="n">
        <v>0</v>
      </c>
      <c r="AG103" t="n">
        <v>0</v>
      </c>
      <c r="AH103" t="n">
        <v>0.23</v>
      </c>
      <c r="AI103" t="n">
        <v>11.63</v>
      </c>
      <c r="AJ103" t="n">
        <v>0</v>
      </c>
      <c r="AK103" t="n">
        <v>20.62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69.29000000000001</v>
      </c>
      <c r="AV103" t="n">
        <v>0</v>
      </c>
      <c r="AW103" t="n">
        <v>174.84</v>
      </c>
      <c r="AX103" t="inlineStr">
        <is>
          <t>settled</t>
        </is>
      </c>
      <c r="AY103" t="inlineStr">
        <is>
          <t>NA</t>
        </is>
      </c>
      <c r="AZ103" t="inlineStr">
        <is>
          <t>NA</t>
        </is>
      </c>
      <c r="BA103" t="n">
        <v>0</v>
      </c>
      <c r="BB103" t="inlineStr">
        <is>
          <t>6580cb711681579ab1306bdb4558f31469b5dacf01ab3a67f965311dffc2e633</t>
        </is>
      </c>
    </row>
    <row r="104">
      <c r="A104" t="inlineStr">
        <is>
          <t>788</t>
        </is>
      </c>
      <c r="B104" t="inlineStr">
        <is>
          <t>7586497885</t>
        </is>
      </c>
      <c r="C104" t="inlineStr">
        <is>
          <t>2025-12-17 02:02:40</t>
        </is>
      </c>
      <c r="D104" t="inlineStr">
        <is>
          <t>51</t>
        </is>
      </c>
      <c r="E104" t="inlineStr">
        <is>
          <t>Sha Sha - Shandaar Shawarma</t>
        </is>
      </c>
      <c r="F104" t="inlineStr">
        <is>
          <t>18557902</t>
        </is>
      </c>
      <c r="G104" t="inlineStr">
        <is>
          <t>30% off upto ₹75 (2025-06-25 - 2031-01-01)</t>
        </is>
      </c>
      <c r="H104" t="inlineStr">
        <is>
          <t>ONLINE</t>
        </is>
      </c>
      <c r="I104" t="inlineStr">
        <is>
          <t>DELIVERED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O2</t>
        </is>
      </c>
      <c r="N104" t="inlineStr">
        <is>
          <t>36</t>
        </is>
      </c>
      <c r="O104" t="n">
        <v>229</v>
      </c>
      <c r="P104" t="n">
        <v>3.5</v>
      </c>
      <c r="Q104" t="n">
        <v>0</v>
      </c>
      <c r="R104" t="n">
        <v>68.7</v>
      </c>
      <c r="S104" t="n">
        <v>0</v>
      </c>
      <c r="T104" t="n">
        <v>0</v>
      </c>
      <c r="U104" t="n">
        <v>0</v>
      </c>
      <c r="V104" t="n">
        <v>8.19</v>
      </c>
      <c r="W104" t="n">
        <v>171.99</v>
      </c>
      <c r="X104" t="n">
        <v>163.8</v>
      </c>
      <c r="Y104" t="n">
        <v>19</v>
      </c>
      <c r="Z104" t="n">
        <v>31.12</v>
      </c>
      <c r="AA104" t="n">
        <v>3.16</v>
      </c>
      <c r="AB104" t="n">
        <v>34.28</v>
      </c>
      <c r="AC104" t="n">
        <v>6.17</v>
      </c>
      <c r="AD104" t="n">
        <v>0</v>
      </c>
      <c r="AE104" t="n">
        <v>163.8</v>
      </c>
      <c r="AF104" t="n">
        <v>0</v>
      </c>
      <c r="AG104" t="n">
        <v>0</v>
      </c>
      <c r="AH104" t="n">
        <v>0.16</v>
      </c>
      <c r="AI104" t="n">
        <v>8.199999999999999</v>
      </c>
      <c r="AJ104" t="n">
        <v>-0.01</v>
      </c>
      <c r="AK104" t="n">
        <v>14.53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48.81</v>
      </c>
      <c r="AV104" t="n">
        <v>0</v>
      </c>
      <c r="AW104" t="n">
        <v>123.18</v>
      </c>
      <c r="AX104" t="inlineStr">
        <is>
          <t>settled</t>
        </is>
      </c>
      <c r="AY104" t="inlineStr">
        <is>
          <t>NA</t>
        </is>
      </c>
      <c r="AZ104" t="inlineStr">
        <is>
          <t>NA</t>
        </is>
      </c>
      <c r="BA104" t="n">
        <v>0</v>
      </c>
      <c r="BB104" t="inlineStr">
        <is>
          <t>d37fc0a1a999e8e31755471118d667ae2813d833246b2b17859795b2129be0cc</t>
        </is>
      </c>
    </row>
    <row r="105">
      <c r="A105" t="inlineStr">
        <is>
          <t>789</t>
        </is>
      </c>
      <c r="B105" t="inlineStr">
        <is>
          <t>7590827227</t>
        </is>
      </c>
      <c r="C105" t="inlineStr">
        <is>
          <t>2025-12-17 02:03:21</t>
        </is>
      </c>
      <c r="D105" t="inlineStr">
        <is>
          <t>51</t>
        </is>
      </c>
      <c r="E105" t="inlineStr">
        <is>
          <t>Sha Sha - Shandaar Shawarma</t>
        </is>
      </c>
      <c r="F105" t="inlineStr">
        <is>
          <t>18557902</t>
        </is>
      </c>
      <c r="G105" t="inlineStr">
        <is>
          <t>30% off upto ₹75 (2025-06-25 - 2031-01-01)</t>
        </is>
      </c>
      <c r="H105" t="inlineStr">
        <is>
          <t>ONLINE</t>
        </is>
      </c>
      <c r="I105" t="inlineStr">
        <is>
          <t>DELIVERED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O2</t>
        </is>
      </c>
      <c r="N105" t="inlineStr">
        <is>
          <t>36</t>
        </is>
      </c>
      <c r="O105" t="n">
        <v>458</v>
      </c>
      <c r="P105" t="n">
        <v>3.5</v>
      </c>
      <c r="Q105" t="n">
        <v>0</v>
      </c>
      <c r="R105" t="n">
        <v>75</v>
      </c>
      <c r="S105" t="n">
        <v>0</v>
      </c>
      <c r="T105" t="n">
        <v>0</v>
      </c>
      <c r="U105" t="n">
        <v>0</v>
      </c>
      <c r="V105" t="n">
        <v>19.33</v>
      </c>
      <c r="W105" t="n">
        <v>405.83</v>
      </c>
      <c r="X105" t="n">
        <v>386.5</v>
      </c>
      <c r="Y105" t="n">
        <v>19</v>
      </c>
      <c r="Z105" t="n">
        <v>73.44</v>
      </c>
      <c r="AA105" t="n">
        <v>7.47</v>
      </c>
      <c r="AB105" t="n">
        <v>80.91</v>
      </c>
      <c r="AC105" t="n">
        <v>14.56</v>
      </c>
      <c r="AD105" t="n">
        <v>0</v>
      </c>
      <c r="AE105" t="n">
        <v>386.5</v>
      </c>
      <c r="AF105" t="n">
        <v>0</v>
      </c>
      <c r="AG105" t="n">
        <v>0</v>
      </c>
      <c r="AH105" t="n">
        <v>0.39</v>
      </c>
      <c r="AI105" t="n">
        <v>19.33</v>
      </c>
      <c r="AJ105" t="n">
        <v>0</v>
      </c>
      <c r="AK105" t="n">
        <v>34.28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115.19</v>
      </c>
      <c r="AV105" t="n">
        <v>0</v>
      </c>
      <c r="AW105" t="n">
        <v>290.64</v>
      </c>
      <c r="AX105" t="inlineStr">
        <is>
          <t>settled</t>
        </is>
      </c>
      <c r="AY105" t="inlineStr">
        <is>
          <t>NA</t>
        </is>
      </c>
      <c r="AZ105" t="inlineStr">
        <is>
          <t>NA</t>
        </is>
      </c>
      <c r="BA105" t="n">
        <v>0</v>
      </c>
      <c r="BB105" t="inlineStr">
        <is>
          <t>2c5e746a80408cdecaeba5ae13fe5069a6f567d440e7019bc24e4611ce54ff58</t>
        </is>
      </c>
    </row>
    <row r="106">
      <c r="A106" t="inlineStr">
        <is>
          <t>790</t>
        </is>
      </c>
      <c r="B106" t="inlineStr">
        <is>
          <t>7591401067</t>
        </is>
      </c>
      <c r="C106" t="inlineStr">
        <is>
          <t>2025-12-17 02:06:00</t>
        </is>
      </c>
      <c r="D106" t="inlineStr">
        <is>
          <t>51</t>
        </is>
      </c>
      <c r="E106" t="inlineStr">
        <is>
          <t>Sha Sha - Shandaar Shawarma</t>
        </is>
      </c>
      <c r="F106" t="inlineStr">
        <is>
          <t>18557902</t>
        </is>
      </c>
      <c r="G106" t="inlineStr">
        <is>
          <t>NA</t>
        </is>
      </c>
      <c r="H106" t="inlineStr">
        <is>
          <t>ONLINE</t>
        </is>
      </c>
      <c r="I106" t="inlineStr">
        <is>
          <t>DELIVERED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O2</t>
        </is>
      </c>
      <c r="N106" t="inlineStr">
        <is>
          <t>36</t>
        </is>
      </c>
      <c r="O106" t="n">
        <v>219</v>
      </c>
      <c r="P106" t="n">
        <v>3.5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11.13</v>
      </c>
      <c r="W106" t="n">
        <v>233.63</v>
      </c>
      <c r="X106" t="n">
        <v>222.5</v>
      </c>
      <c r="Y106" t="n">
        <v>19</v>
      </c>
      <c r="Z106" t="n">
        <v>42.28</v>
      </c>
      <c r="AA106" t="n">
        <v>4.3</v>
      </c>
      <c r="AB106" t="n">
        <v>46.58</v>
      </c>
      <c r="AC106" t="n">
        <v>8.380000000000001</v>
      </c>
      <c r="AD106" t="n">
        <v>0</v>
      </c>
      <c r="AE106" t="n">
        <v>222.5</v>
      </c>
      <c r="AF106" t="n">
        <v>0</v>
      </c>
      <c r="AG106" t="n">
        <v>0</v>
      </c>
      <c r="AH106" t="n">
        <v>0.22</v>
      </c>
      <c r="AI106" t="n">
        <v>11.13</v>
      </c>
      <c r="AJ106" t="n">
        <v>0</v>
      </c>
      <c r="AK106" t="n">
        <v>19.73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66.31</v>
      </c>
      <c r="AV106" t="n">
        <v>0</v>
      </c>
      <c r="AW106" t="n">
        <v>167.32</v>
      </c>
      <c r="AX106" t="inlineStr">
        <is>
          <t>settled</t>
        </is>
      </c>
      <c r="AY106" t="inlineStr">
        <is>
          <t>NA</t>
        </is>
      </c>
      <c r="AZ106" t="inlineStr">
        <is>
          <t>NA</t>
        </is>
      </c>
      <c r="BA106" t="n">
        <v>0</v>
      </c>
      <c r="BB106" t="inlineStr">
        <is>
          <t>f91dcb68ebf7e531cd0cb2b406d3df96a0cd7b95cf00baf369fb13dead10b647</t>
        </is>
      </c>
    </row>
    <row r="107">
      <c r="A107" t="inlineStr">
        <is>
          <t>791</t>
        </is>
      </c>
      <c r="B107" t="inlineStr">
        <is>
          <t>7580246344</t>
        </is>
      </c>
      <c r="C107" t="inlineStr">
        <is>
          <t>2025-12-17 02:09:47</t>
        </is>
      </c>
      <c r="D107" t="inlineStr">
        <is>
          <t>51</t>
        </is>
      </c>
      <c r="E107" t="inlineStr">
        <is>
          <t>Sha Sha - Shandaar Shawarma</t>
        </is>
      </c>
      <c r="F107" t="inlineStr">
        <is>
          <t>18557902</t>
        </is>
      </c>
      <c r="G107" t="inlineStr">
        <is>
          <t>30% off upto ₹75 (2025-06-25 - 2031-01-01)</t>
        </is>
      </c>
      <c r="H107" t="inlineStr">
        <is>
          <t>ONLINE</t>
        </is>
      </c>
      <c r="I107" t="inlineStr">
        <is>
          <t>DELIVERED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O2</t>
        </is>
      </c>
      <c r="N107" t="inlineStr">
        <is>
          <t>36</t>
        </is>
      </c>
      <c r="O107" t="n">
        <v>229</v>
      </c>
      <c r="P107" t="n">
        <v>3.5</v>
      </c>
      <c r="Q107" t="n">
        <v>0</v>
      </c>
      <c r="R107" t="n">
        <v>68.7</v>
      </c>
      <c r="S107" t="n">
        <v>0</v>
      </c>
      <c r="T107" t="n">
        <v>0</v>
      </c>
      <c r="U107" t="n">
        <v>0</v>
      </c>
      <c r="V107" t="n">
        <v>8.19</v>
      </c>
      <c r="W107" t="n">
        <v>171.99</v>
      </c>
      <c r="X107" t="n">
        <v>163.8</v>
      </c>
      <c r="Y107" t="n">
        <v>19</v>
      </c>
      <c r="Z107" t="n">
        <v>31.12</v>
      </c>
      <c r="AA107" t="n">
        <v>3.16</v>
      </c>
      <c r="AB107" t="n">
        <v>34.28</v>
      </c>
      <c r="AC107" t="n">
        <v>6.17</v>
      </c>
      <c r="AD107" t="n">
        <v>0</v>
      </c>
      <c r="AE107" t="n">
        <v>163.8</v>
      </c>
      <c r="AF107" t="n">
        <v>0</v>
      </c>
      <c r="AG107" t="n">
        <v>0</v>
      </c>
      <c r="AH107" t="n">
        <v>0.16</v>
      </c>
      <c r="AI107" t="n">
        <v>8.199999999999999</v>
      </c>
      <c r="AJ107" t="n">
        <v>-0.01</v>
      </c>
      <c r="AK107" t="n">
        <v>14.53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48.81</v>
      </c>
      <c r="AV107" t="n">
        <v>0</v>
      </c>
      <c r="AW107" t="n">
        <v>123.18</v>
      </c>
      <c r="AX107" t="inlineStr">
        <is>
          <t>settled</t>
        </is>
      </c>
      <c r="AY107" t="inlineStr">
        <is>
          <t>NA</t>
        </is>
      </c>
      <c r="AZ107" t="inlineStr">
        <is>
          <t>NA</t>
        </is>
      </c>
      <c r="BA107" t="n">
        <v>0</v>
      </c>
      <c r="BB107" t="inlineStr">
        <is>
          <t>5ca2a1d28c78026a5a128241ed7eb6b63f65e742895049145054a842fd60fd52</t>
        </is>
      </c>
    </row>
    <row r="108">
      <c r="A108" t="inlineStr">
        <is>
          <t>792</t>
        </is>
      </c>
      <c r="B108" t="inlineStr">
        <is>
          <t>7586255029</t>
        </is>
      </c>
      <c r="C108" t="inlineStr">
        <is>
          <t>2025-12-17 02:11:48</t>
        </is>
      </c>
      <c r="D108" t="inlineStr">
        <is>
          <t>51</t>
        </is>
      </c>
      <c r="E108" t="inlineStr">
        <is>
          <t>Sha Sha - Shandaar Shawarma</t>
        </is>
      </c>
      <c r="F108" t="inlineStr">
        <is>
          <t>18557902</t>
        </is>
      </c>
      <c r="G108" t="inlineStr">
        <is>
          <t>30% off upto ₹75 (2025-06-25 - 2031-01-01)</t>
        </is>
      </c>
      <c r="H108" t="inlineStr">
        <is>
          <t>ONLINE</t>
        </is>
      </c>
      <c r="I108" t="inlineStr">
        <is>
          <t>DELIVERED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O2</t>
        </is>
      </c>
      <c r="N108" t="inlineStr">
        <is>
          <t>36</t>
        </is>
      </c>
      <c r="O108" t="n">
        <v>229</v>
      </c>
      <c r="P108" t="n">
        <v>3.5</v>
      </c>
      <c r="Q108" t="n">
        <v>0</v>
      </c>
      <c r="R108" t="n">
        <v>68.7</v>
      </c>
      <c r="S108" t="n">
        <v>0</v>
      </c>
      <c r="T108" t="n">
        <v>0</v>
      </c>
      <c r="U108" t="n">
        <v>0</v>
      </c>
      <c r="V108" t="n">
        <v>8.19</v>
      </c>
      <c r="W108" t="n">
        <v>171.99</v>
      </c>
      <c r="X108" t="n">
        <v>163.8</v>
      </c>
      <c r="Y108" t="n">
        <v>19</v>
      </c>
      <c r="Z108" t="n">
        <v>31.12</v>
      </c>
      <c r="AA108" t="n">
        <v>3.16</v>
      </c>
      <c r="AB108" t="n">
        <v>34.28</v>
      </c>
      <c r="AC108" t="n">
        <v>6.17</v>
      </c>
      <c r="AD108" t="n">
        <v>0</v>
      </c>
      <c r="AE108" t="n">
        <v>163.8</v>
      </c>
      <c r="AF108" t="n">
        <v>0</v>
      </c>
      <c r="AG108" t="n">
        <v>0</v>
      </c>
      <c r="AH108" t="n">
        <v>0.16</v>
      </c>
      <c r="AI108" t="n">
        <v>8.199999999999999</v>
      </c>
      <c r="AJ108" t="n">
        <v>-0.01</v>
      </c>
      <c r="AK108" t="n">
        <v>14.53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48.81</v>
      </c>
      <c r="AV108" t="n">
        <v>0</v>
      </c>
      <c r="AW108" t="n">
        <v>123.18</v>
      </c>
      <c r="AX108" t="inlineStr">
        <is>
          <t>settled</t>
        </is>
      </c>
      <c r="AY108" t="inlineStr">
        <is>
          <t>NA</t>
        </is>
      </c>
      <c r="AZ108" t="inlineStr">
        <is>
          <t>NA</t>
        </is>
      </c>
      <c r="BA108" t="n">
        <v>0</v>
      </c>
      <c r="BB108" t="inlineStr">
        <is>
          <t>d671b1654d1e7504f8388b51fdb747ba191f8e55ffdd2bd62d351287ef10a1aa</t>
        </is>
      </c>
    </row>
    <row r="109">
      <c r="A109" t="inlineStr">
        <is>
          <t>793</t>
        </is>
      </c>
      <c r="B109" t="inlineStr">
        <is>
          <t>7591150623</t>
        </is>
      </c>
      <c r="C109" t="inlineStr">
        <is>
          <t>2025-12-17 02:28:56</t>
        </is>
      </c>
      <c r="D109" t="inlineStr">
        <is>
          <t>51</t>
        </is>
      </c>
      <c r="E109" t="inlineStr">
        <is>
          <t>Sha Sha - Shandaar Shawarma</t>
        </is>
      </c>
      <c r="F109" t="inlineStr">
        <is>
          <t>18557902</t>
        </is>
      </c>
      <c r="G109" t="inlineStr">
        <is>
          <t>NA</t>
        </is>
      </c>
      <c r="H109" t="inlineStr">
        <is>
          <t>ONLINE</t>
        </is>
      </c>
      <c r="I109" t="inlineStr">
        <is>
          <t>DELIVERED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O2</t>
        </is>
      </c>
      <c r="N109" t="inlineStr">
        <is>
          <t>36</t>
        </is>
      </c>
      <c r="O109" t="n">
        <v>229</v>
      </c>
      <c r="P109" t="n">
        <v>3.5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11.63</v>
      </c>
      <c r="W109" t="n">
        <v>244.13</v>
      </c>
      <c r="X109" t="n">
        <v>232.5</v>
      </c>
      <c r="Y109" t="n">
        <v>19</v>
      </c>
      <c r="Z109" t="n">
        <v>44.18</v>
      </c>
      <c r="AA109" t="n">
        <v>4.49</v>
      </c>
      <c r="AB109" t="n">
        <v>48.67</v>
      </c>
      <c r="AC109" t="n">
        <v>8.76</v>
      </c>
      <c r="AD109" t="n">
        <v>0</v>
      </c>
      <c r="AE109" t="n">
        <v>232.5</v>
      </c>
      <c r="AF109" t="n">
        <v>0</v>
      </c>
      <c r="AG109" t="n">
        <v>0</v>
      </c>
      <c r="AH109" t="n">
        <v>0.23</v>
      </c>
      <c r="AI109" t="n">
        <v>11.63</v>
      </c>
      <c r="AJ109" t="n">
        <v>0</v>
      </c>
      <c r="AK109" t="n">
        <v>20.62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69.29000000000001</v>
      </c>
      <c r="AV109" t="n">
        <v>0</v>
      </c>
      <c r="AW109" t="n">
        <v>174.84</v>
      </c>
      <c r="AX109" t="inlineStr">
        <is>
          <t>settled</t>
        </is>
      </c>
      <c r="AY109" t="inlineStr">
        <is>
          <t>NA</t>
        </is>
      </c>
      <c r="AZ109" t="inlineStr">
        <is>
          <t>NA</t>
        </is>
      </c>
      <c r="BA109" t="n">
        <v>0</v>
      </c>
      <c r="BB109" t="inlineStr">
        <is>
          <t>477fc7e9b7349b47e3ee3748b726e2cb8294b282b97a4f524483e4eb4e2c2f10</t>
        </is>
      </c>
    </row>
    <row r="110">
      <c r="A110" t="inlineStr">
        <is>
          <t>794</t>
        </is>
      </c>
      <c r="B110" t="inlineStr">
        <is>
          <t>7586291792</t>
        </is>
      </c>
      <c r="C110" t="inlineStr">
        <is>
          <t>2025-12-17 02:30:16</t>
        </is>
      </c>
      <c r="D110" t="inlineStr">
        <is>
          <t>51</t>
        </is>
      </c>
      <c r="E110" t="inlineStr">
        <is>
          <t>Sha Sha - Shandaar Shawarma</t>
        </is>
      </c>
      <c r="F110" t="inlineStr">
        <is>
          <t>18557902</t>
        </is>
      </c>
      <c r="G110" t="inlineStr">
        <is>
          <t>30% off upto ₹75 (2025-06-25 - 2031-01-01)</t>
        </is>
      </c>
      <c r="H110" t="inlineStr">
        <is>
          <t>ONLINE</t>
        </is>
      </c>
      <c r="I110" t="inlineStr">
        <is>
          <t>DELIVERED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O2</t>
        </is>
      </c>
      <c r="N110" t="inlineStr">
        <is>
          <t>36</t>
        </is>
      </c>
      <c r="O110" t="n">
        <v>229</v>
      </c>
      <c r="P110" t="n">
        <v>3.5</v>
      </c>
      <c r="Q110" t="n">
        <v>0</v>
      </c>
      <c r="R110" t="n">
        <v>68.7</v>
      </c>
      <c r="S110" t="n">
        <v>0</v>
      </c>
      <c r="T110" t="n">
        <v>0</v>
      </c>
      <c r="U110" t="n">
        <v>0</v>
      </c>
      <c r="V110" t="n">
        <v>8.19</v>
      </c>
      <c r="W110" t="n">
        <v>171.99</v>
      </c>
      <c r="X110" t="n">
        <v>163.8</v>
      </c>
      <c r="Y110" t="n">
        <v>19</v>
      </c>
      <c r="Z110" t="n">
        <v>31.12</v>
      </c>
      <c r="AA110" t="n">
        <v>3.16</v>
      </c>
      <c r="AB110" t="n">
        <v>34.28</v>
      </c>
      <c r="AC110" t="n">
        <v>6.17</v>
      </c>
      <c r="AD110" t="n">
        <v>0</v>
      </c>
      <c r="AE110" t="n">
        <v>163.8</v>
      </c>
      <c r="AF110" t="n">
        <v>0</v>
      </c>
      <c r="AG110" t="n">
        <v>0</v>
      </c>
      <c r="AH110" t="n">
        <v>0.16</v>
      </c>
      <c r="AI110" t="n">
        <v>8.199999999999999</v>
      </c>
      <c r="AJ110" t="n">
        <v>-0.01</v>
      </c>
      <c r="AK110" t="n">
        <v>14.53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48.81</v>
      </c>
      <c r="AV110" t="n">
        <v>0</v>
      </c>
      <c r="AW110" t="n">
        <v>123.18</v>
      </c>
      <c r="AX110" t="inlineStr">
        <is>
          <t>settled</t>
        </is>
      </c>
      <c r="AY110" t="inlineStr">
        <is>
          <t>NA</t>
        </is>
      </c>
      <c r="AZ110" t="inlineStr">
        <is>
          <t>NA</t>
        </is>
      </c>
      <c r="BA110" t="n">
        <v>0</v>
      </c>
      <c r="BB110" t="inlineStr">
        <is>
          <t>9b5c7c031c5d78c461cbb0716c2a5c1db444629e04adfcc3116d22a1c43ba7a9</t>
        </is>
      </c>
    </row>
    <row r="111">
      <c r="A111" t="inlineStr">
        <is>
          <t>795</t>
        </is>
      </c>
      <c r="B111" t="inlineStr">
        <is>
          <t>7585507386</t>
        </is>
      </c>
      <c r="C111" t="inlineStr">
        <is>
          <t>2025-12-17 02:30:28</t>
        </is>
      </c>
      <c r="D111" t="inlineStr">
        <is>
          <t>51</t>
        </is>
      </c>
      <c r="E111" t="inlineStr">
        <is>
          <t>Sha Sha - Shandaar Shawarma</t>
        </is>
      </c>
      <c r="F111" t="inlineStr">
        <is>
          <t>18557902</t>
        </is>
      </c>
      <c r="G111" t="inlineStr">
        <is>
          <t>30% off upto ₹75 (2025-06-25 - 2031-01-01)</t>
        </is>
      </c>
      <c r="H111" t="inlineStr">
        <is>
          <t>ONLINE</t>
        </is>
      </c>
      <c r="I111" t="inlineStr">
        <is>
          <t>DELIVERED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O2</t>
        </is>
      </c>
      <c r="N111" t="inlineStr">
        <is>
          <t>36</t>
        </is>
      </c>
      <c r="O111" t="n">
        <v>355</v>
      </c>
      <c r="P111" t="n">
        <v>3.5</v>
      </c>
      <c r="Q111" t="n">
        <v>0</v>
      </c>
      <c r="R111" t="n">
        <v>75</v>
      </c>
      <c r="S111" t="n">
        <v>0</v>
      </c>
      <c r="T111" t="n">
        <v>0</v>
      </c>
      <c r="U111" t="n">
        <v>0</v>
      </c>
      <c r="V111" t="n">
        <v>14.18</v>
      </c>
      <c r="W111" t="n">
        <v>297.68</v>
      </c>
      <c r="X111" t="n">
        <v>283.5</v>
      </c>
      <c r="Y111" t="n">
        <v>19</v>
      </c>
      <c r="Z111" t="n">
        <v>53.86</v>
      </c>
      <c r="AA111" t="n">
        <v>5.48</v>
      </c>
      <c r="AB111" t="n">
        <v>59.34</v>
      </c>
      <c r="AC111" t="n">
        <v>10.68</v>
      </c>
      <c r="AD111" t="n">
        <v>0</v>
      </c>
      <c r="AE111" t="n">
        <v>283.5</v>
      </c>
      <c r="AF111" t="n">
        <v>0</v>
      </c>
      <c r="AG111" t="n">
        <v>0</v>
      </c>
      <c r="AH111" t="n">
        <v>0.28</v>
      </c>
      <c r="AI111" t="n">
        <v>14.18</v>
      </c>
      <c r="AJ111" t="n">
        <v>0</v>
      </c>
      <c r="AK111" t="n">
        <v>25.14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84.48</v>
      </c>
      <c r="AV111" t="n">
        <v>0</v>
      </c>
      <c r="AW111" t="n">
        <v>213.2</v>
      </c>
      <c r="AX111" t="inlineStr">
        <is>
          <t>settled</t>
        </is>
      </c>
      <c r="AY111" t="inlineStr">
        <is>
          <t>NA</t>
        </is>
      </c>
      <c r="AZ111" t="inlineStr">
        <is>
          <t>NA</t>
        </is>
      </c>
      <c r="BA111" t="n">
        <v>0</v>
      </c>
      <c r="BB111" t="inlineStr">
        <is>
          <t>d6813a81200776d40d61edfb3af98da23a8d941c4df72991d555bdd0057036d7</t>
        </is>
      </c>
    </row>
    <row r="112">
      <c r="A112" t="inlineStr">
        <is>
          <t>796</t>
        </is>
      </c>
      <c r="B112" t="inlineStr">
        <is>
          <t>7588502339</t>
        </is>
      </c>
      <c r="C112" t="inlineStr">
        <is>
          <t>2025-12-17 02:36:14</t>
        </is>
      </c>
      <c r="D112" t="inlineStr">
        <is>
          <t>51</t>
        </is>
      </c>
      <c r="E112" t="inlineStr">
        <is>
          <t>Sha Sha - Shandaar Shawarma</t>
        </is>
      </c>
      <c r="F112" t="inlineStr">
        <is>
          <t>18557902</t>
        </is>
      </c>
      <c r="G112" t="inlineStr">
        <is>
          <t>NA</t>
        </is>
      </c>
      <c r="H112" t="inlineStr">
        <is>
          <t>ONLINE</t>
        </is>
      </c>
      <c r="I112" t="inlineStr">
        <is>
          <t>DELIVERED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O2</t>
        </is>
      </c>
      <c r="N112" t="inlineStr">
        <is>
          <t>36</t>
        </is>
      </c>
      <c r="O112" t="n">
        <v>229</v>
      </c>
      <c r="P112" t="n">
        <v>3.5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11.63</v>
      </c>
      <c r="W112" t="n">
        <v>244.13</v>
      </c>
      <c r="X112" t="n">
        <v>232.5</v>
      </c>
      <c r="Y112" t="n">
        <v>19</v>
      </c>
      <c r="Z112" t="n">
        <v>44.18</v>
      </c>
      <c r="AA112" t="n">
        <v>4.49</v>
      </c>
      <c r="AB112" t="n">
        <v>48.67</v>
      </c>
      <c r="AC112" t="n">
        <v>8.76</v>
      </c>
      <c r="AD112" t="n">
        <v>0</v>
      </c>
      <c r="AE112" t="n">
        <v>232.5</v>
      </c>
      <c r="AF112" t="n">
        <v>0</v>
      </c>
      <c r="AG112" t="n">
        <v>0</v>
      </c>
      <c r="AH112" t="n">
        <v>0.23</v>
      </c>
      <c r="AI112" t="n">
        <v>11.63</v>
      </c>
      <c r="AJ112" t="n">
        <v>0</v>
      </c>
      <c r="AK112" t="n">
        <v>20.62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69.29000000000001</v>
      </c>
      <c r="AV112" t="n">
        <v>0</v>
      </c>
      <c r="AW112" t="n">
        <v>174.84</v>
      </c>
      <c r="AX112" t="inlineStr">
        <is>
          <t>settled</t>
        </is>
      </c>
      <c r="AY112" t="inlineStr">
        <is>
          <t>NA</t>
        </is>
      </c>
      <c r="AZ112" t="inlineStr">
        <is>
          <t>NA</t>
        </is>
      </c>
      <c r="BA112" t="n">
        <v>0</v>
      </c>
      <c r="BB112" t="inlineStr">
        <is>
          <t>c443641500823ca584f392430aab19a5d9b227f5058865051cee3866288c99fc</t>
        </is>
      </c>
    </row>
    <row r="113">
      <c r="A113" t="inlineStr">
        <is>
          <t>797</t>
        </is>
      </c>
      <c r="B113" t="inlineStr">
        <is>
          <t>7588390703</t>
        </is>
      </c>
      <c r="C113" t="inlineStr">
        <is>
          <t>2025-12-17 02:42:29</t>
        </is>
      </c>
      <c r="D113" t="inlineStr">
        <is>
          <t>51</t>
        </is>
      </c>
      <c r="E113" t="inlineStr">
        <is>
          <t>Sha Sha - Shandaar Shawarma</t>
        </is>
      </c>
      <c r="F113" t="inlineStr">
        <is>
          <t>18557902</t>
        </is>
      </c>
      <c r="G113" t="inlineStr">
        <is>
          <t>NA</t>
        </is>
      </c>
      <c r="H113" t="inlineStr">
        <is>
          <t>ONLINE</t>
        </is>
      </c>
      <c r="I113" t="inlineStr">
        <is>
          <t>DELIVERED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O2</t>
        </is>
      </c>
      <c r="N113" t="inlineStr">
        <is>
          <t>36</t>
        </is>
      </c>
      <c r="O113" t="n">
        <v>229</v>
      </c>
      <c r="P113" t="n">
        <v>3.5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11.63</v>
      </c>
      <c r="W113" t="n">
        <v>244.13</v>
      </c>
      <c r="X113" t="n">
        <v>232.5</v>
      </c>
      <c r="Y113" t="n">
        <v>19</v>
      </c>
      <c r="Z113" t="n">
        <v>44.18</v>
      </c>
      <c r="AA113" t="n">
        <v>4.49</v>
      </c>
      <c r="AB113" t="n">
        <v>48.67</v>
      </c>
      <c r="AC113" t="n">
        <v>8.76</v>
      </c>
      <c r="AD113" t="n">
        <v>0</v>
      </c>
      <c r="AE113" t="n">
        <v>232.5</v>
      </c>
      <c r="AF113" t="n">
        <v>0</v>
      </c>
      <c r="AG113" t="n">
        <v>0</v>
      </c>
      <c r="AH113" t="n">
        <v>0.23</v>
      </c>
      <c r="AI113" t="n">
        <v>11.63</v>
      </c>
      <c r="AJ113" t="n">
        <v>0</v>
      </c>
      <c r="AK113" t="n">
        <v>20.62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69.29000000000001</v>
      </c>
      <c r="AV113" t="n">
        <v>0</v>
      </c>
      <c r="AW113" t="n">
        <v>174.84</v>
      </c>
      <c r="AX113" t="inlineStr">
        <is>
          <t>settled</t>
        </is>
      </c>
      <c r="AY113" t="inlineStr">
        <is>
          <t>NA</t>
        </is>
      </c>
      <c r="AZ113" t="inlineStr">
        <is>
          <t>NA</t>
        </is>
      </c>
      <c r="BA113" t="n">
        <v>0</v>
      </c>
      <c r="BB113" t="inlineStr">
        <is>
          <t>2097b18890a0bf622668d5b0c4be2e6b568e812de7eca97e3bacc76e86cbbf21</t>
        </is>
      </c>
    </row>
    <row r="114">
      <c r="A114" t="inlineStr">
        <is>
          <t>798</t>
        </is>
      </c>
      <c r="B114" t="inlineStr">
        <is>
          <t>7590824219</t>
        </is>
      </c>
      <c r="C114" t="inlineStr">
        <is>
          <t>2025-12-17 03:13:33</t>
        </is>
      </c>
      <c r="D114" t="inlineStr">
        <is>
          <t>51</t>
        </is>
      </c>
      <c r="E114" t="inlineStr">
        <is>
          <t>Sha Sha - Shandaar Shawarma</t>
        </is>
      </c>
      <c r="F114" t="inlineStr">
        <is>
          <t>18557902</t>
        </is>
      </c>
      <c r="G114" t="inlineStr">
        <is>
          <t>30% off upto ₹75 (2025-06-25 - 2031-01-01)</t>
        </is>
      </c>
      <c r="H114" t="inlineStr">
        <is>
          <t>ONLINE</t>
        </is>
      </c>
      <c r="I114" t="inlineStr">
        <is>
          <t>DELIVERED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O2</t>
        </is>
      </c>
      <c r="N114" t="inlineStr">
        <is>
          <t>36</t>
        </is>
      </c>
      <c r="O114" t="n">
        <v>229</v>
      </c>
      <c r="P114" t="n">
        <v>3.5</v>
      </c>
      <c r="Q114" t="n">
        <v>0</v>
      </c>
      <c r="R114" t="n">
        <v>68.7</v>
      </c>
      <c r="S114" t="n">
        <v>0</v>
      </c>
      <c r="T114" t="n">
        <v>0</v>
      </c>
      <c r="U114" t="n">
        <v>0</v>
      </c>
      <c r="V114" t="n">
        <v>8.19</v>
      </c>
      <c r="W114" t="n">
        <v>171.99</v>
      </c>
      <c r="X114" t="n">
        <v>163.8</v>
      </c>
      <c r="Y114" t="n">
        <v>19</v>
      </c>
      <c r="Z114" t="n">
        <v>31.12</v>
      </c>
      <c r="AA114" t="n">
        <v>3.16</v>
      </c>
      <c r="AB114" t="n">
        <v>34.28</v>
      </c>
      <c r="AC114" t="n">
        <v>6.17</v>
      </c>
      <c r="AD114" t="n">
        <v>0</v>
      </c>
      <c r="AE114" t="n">
        <v>163.8</v>
      </c>
      <c r="AF114" t="n">
        <v>0</v>
      </c>
      <c r="AG114" t="n">
        <v>0</v>
      </c>
      <c r="AH114" t="n">
        <v>0.16</v>
      </c>
      <c r="AI114" t="n">
        <v>8.199999999999999</v>
      </c>
      <c r="AJ114" t="n">
        <v>-0.01</v>
      </c>
      <c r="AK114" t="n">
        <v>14.53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48.81</v>
      </c>
      <c r="AV114" t="n">
        <v>0</v>
      </c>
      <c r="AW114" t="n">
        <v>123.18</v>
      </c>
      <c r="AX114" t="inlineStr">
        <is>
          <t>settled</t>
        </is>
      </c>
      <c r="AY114" t="inlineStr">
        <is>
          <t>NA</t>
        </is>
      </c>
      <c r="AZ114" t="inlineStr">
        <is>
          <t>NA</t>
        </is>
      </c>
      <c r="BA114" t="n">
        <v>0</v>
      </c>
      <c r="BB114" t="inlineStr">
        <is>
          <t>1b80450f0dcddac88d4df5dd09e84eafe229586e4c85447bb74c880143d5321b</t>
        </is>
      </c>
    </row>
    <row r="115">
      <c r="A115" t="inlineStr">
        <is>
          <t>799</t>
        </is>
      </c>
      <c r="B115" t="inlineStr">
        <is>
          <t>7589948217</t>
        </is>
      </c>
      <c r="C115" t="inlineStr">
        <is>
          <t>2025-12-17 03:35:28</t>
        </is>
      </c>
      <c r="D115" t="inlineStr">
        <is>
          <t>51</t>
        </is>
      </c>
      <c r="E115" t="inlineStr">
        <is>
          <t>Sha Sha - Shandaar Shawarma</t>
        </is>
      </c>
      <c r="F115" t="inlineStr">
        <is>
          <t>18557902</t>
        </is>
      </c>
      <c r="G115" t="inlineStr">
        <is>
          <t>30% off upto ₹75 (2025-06-25 - 2031-01-01)</t>
        </is>
      </c>
      <c r="H115" t="inlineStr">
        <is>
          <t>ONLINE</t>
        </is>
      </c>
      <c r="I115" t="inlineStr">
        <is>
          <t>DELIVERED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O2</t>
        </is>
      </c>
      <c r="N115" t="inlineStr">
        <is>
          <t>36</t>
        </is>
      </c>
      <c r="O115" t="n">
        <v>219</v>
      </c>
      <c r="P115" t="n">
        <v>3.5</v>
      </c>
      <c r="Q115" t="n">
        <v>0</v>
      </c>
      <c r="R115" t="n">
        <v>65.7</v>
      </c>
      <c r="S115" t="n">
        <v>0</v>
      </c>
      <c r="T115" t="n">
        <v>0</v>
      </c>
      <c r="U115" t="n">
        <v>0</v>
      </c>
      <c r="V115" t="n">
        <v>7.84</v>
      </c>
      <c r="W115" t="n">
        <v>164.64</v>
      </c>
      <c r="X115" t="n">
        <v>156.8</v>
      </c>
      <c r="Y115" t="n">
        <v>19</v>
      </c>
      <c r="Z115" t="n">
        <v>29.79</v>
      </c>
      <c r="AA115" t="n">
        <v>3.03</v>
      </c>
      <c r="AB115" t="n">
        <v>32.82</v>
      </c>
      <c r="AC115" t="n">
        <v>5.91</v>
      </c>
      <c r="AD115" t="n">
        <v>0</v>
      </c>
      <c r="AE115" t="n">
        <v>156.8</v>
      </c>
      <c r="AF115" t="n">
        <v>0</v>
      </c>
      <c r="AG115" t="n">
        <v>0</v>
      </c>
      <c r="AH115" t="n">
        <v>0.16</v>
      </c>
      <c r="AI115" t="n">
        <v>7.85</v>
      </c>
      <c r="AJ115" t="n">
        <v>-0.01</v>
      </c>
      <c r="AK115" t="n">
        <v>13.92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46.74</v>
      </c>
      <c r="AV115" t="n">
        <v>0</v>
      </c>
      <c r="AW115" t="n">
        <v>117.9</v>
      </c>
      <c r="AX115" t="inlineStr">
        <is>
          <t>settled</t>
        </is>
      </c>
      <c r="AY115" t="inlineStr">
        <is>
          <t>NA</t>
        </is>
      </c>
      <c r="AZ115" t="inlineStr">
        <is>
          <t>NA</t>
        </is>
      </c>
      <c r="BA115" t="n">
        <v>0</v>
      </c>
      <c r="BB115" t="inlineStr">
        <is>
          <t>727542682f6e038c1afe8d62a5a75ff6a7d229011256e048157caa63290bfd5d</t>
        </is>
      </c>
    </row>
    <row r="116">
      <c r="A116" t="inlineStr">
        <is>
          <t>800</t>
        </is>
      </c>
      <c r="B116" t="inlineStr">
        <is>
          <t>7582442879</t>
        </is>
      </c>
      <c r="C116" t="inlineStr">
        <is>
          <t>2025-12-17 03:41:36</t>
        </is>
      </c>
      <c r="D116" t="inlineStr">
        <is>
          <t>51</t>
        </is>
      </c>
      <c r="E116" t="inlineStr">
        <is>
          <t>Sha Sha - Shandaar Shawarma</t>
        </is>
      </c>
      <c r="F116" t="inlineStr">
        <is>
          <t>18557902</t>
        </is>
      </c>
      <c r="G116" t="inlineStr">
        <is>
          <t>NA</t>
        </is>
      </c>
      <c r="H116" t="inlineStr">
        <is>
          <t>ONLINE</t>
        </is>
      </c>
      <c r="I116" t="inlineStr">
        <is>
          <t>DELIVERED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O2</t>
        </is>
      </c>
      <c r="N116" t="inlineStr">
        <is>
          <t>36</t>
        </is>
      </c>
      <c r="O116" t="n">
        <v>229</v>
      </c>
      <c r="P116" t="n">
        <v>3.5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11.63</v>
      </c>
      <c r="W116" t="n">
        <v>244.13</v>
      </c>
      <c r="X116" t="n">
        <v>232.5</v>
      </c>
      <c r="Y116" t="n">
        <v>19</v>
      </c>
      <c r="Z116" t="n">
        <v>44.18</v>
      </c>
      <c r="AA116" t="n">
        <v>4.49</v>
      </c>
      <c r="AB116" t="n">
        <v>48.67</v>
      </c>
      <c r="AC116" t="n">
        <v>8.76</v>
      </c>
      <c r="AD116" t="n">
        <v>0</v>
      </c>
      <c r="AE116" t="n">
        <v>232.5</v>
      </c>
      <c r="AF116" t="n">
        <v>0</v>
      </c>
      <c r="AG116" t="n">
        <v>0</v>
      </c>
      <c r="AH116" t="n">
        <v>0.23</v>
      </c>
      <c r="AI116" t="n">
        <v>11.63</v>
      </c>
      <c r="AJ116" t="n">
        <v>0</v>
      </c>
      <c r="AK116" t="n">
        <v>20.62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69.29000000000001</v>
      </c>
      <c r="AV116" t="n">
        <v>0</v>
      </c>
      <c r="AW116" t="n">
        <v>174.84</v>
      </c>
      <c r="AX116" t="inlineStr">
        <is>
          <t>settled</t>
        </is>
      </c>
      <c r="AY116" t="inlineStr">
        <is>
          <t>NA</t>
        </is>
      </c>
      <c r="AZ116" t="inlineStr">
        <is>
          <t>NA</t>
        </is>
      </c>
      <c r="BA116" t="n">
        <v>0</v>
      </c>
      <c r="BB116" t="inlineStr">
        <is>
          <t>b8950ea0af105f97d3726d5d26c75a173dc9811bf2370187cc7fab8810777f12</t>
        </is>
      </c>
    </row>
    <row r="117">
      <c r="A117" t="inlineStr">
        <is>
          <t>801</t>
        </is>
      </c>
      <c r="B117" t="inlineStr">
        <is>
          <t>7588793305</t>
        </is>
      </c>
      <c r="C117" t="inlineStr">
        <is>
          <t>2025-12-17 04:20:28</t>
        </is>
      </c>
      <c r="D117" t="inlineStr">
        <is>
          <t>51</t>
        </is>
      </c>
      <c r="E117" t="inlineStr">
        <is>
          <t>Sha Sha - Shandaar Shawarma</t>
        </is>
      </c>
      <c r="F117" t="inlineStr">
        <is>
          <t>18557902</t>
        </is>
      </c>
      <c r="G117" t="inlineStr">
        <is>
          <t>30% off upto ₹75 (2025-06-25 - 2031-01-01)</t>
        </is>
      </c>
      <c r="H117" t="inlineStr">
        <is>
          <t>ONLINE</t>
        </is>
      </c>
      <c r="I117" t="inlineStr">
        <is>
          <t>DELIVERED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O2</t>
        </is>
      </c>
      <c r="N117" t="inlineStr">
        <is>
          <t>36</t>
        </is>
      </c>
      <c r="O117" t="n">
        <v>229</v>
      </c>
      <c r="P117" t="n">
        <v>3.5</v>
      </c>
      <c r="Q117" t="n">
        <v>0</v>
      </c>
      <c r="R117" t="n">
        <v>68.7</v>
      </c>
      <c r="S117" t="n">
        <v>0</v>
      </c>
      <c r="T117" t="n">
        <v>0</v>
      </c>
      <c r="U117" t="n">
        <v>0</v>
      </c>
      <c r="V117" t="n">
        <v>8.19</v>
      </c>
      <c r="W117" t="n">
        <v>171.99</v>
      </c>
      <c r="X117" t="n">
        <v>163.8</v>
      </c>
      <c r="Y117" t="n">
        <v>19</v>
      </c>
      <c r="Z117" t="n">
        <v>31.12</v>
      </c>
      <c r="AA117" t="n">
        <v>3.16</v>
      </c>
      <c r="AB117" t="n">
        <v>34.28</v>
      </c>
      <c r="AC117" t="n">
        <v>6.17</v>
      </c>
      <c r="AD117" t="n">
        <v>0</v>
      </c>
      <c r="AE117" t="n">
        <v>163.8</v>
      </c>
      <c r="AF117" t="n">
        <v>0</v>
      </c>
      <c r="AG117" t="n">
        <v>0</v>
      </c>
      <c r="AH117" t="n">
        <v>0.16</v>
      </c>
      <c r="AI117" t="n">
        <v>8.199999999999999</v>
      </c>
      <c r="AJ117" t="n">
        <v>-0.01</v>
      </c>
      <c r="AK117" t="n">
        <v>14.53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48.81</v>
      </c>
      <c r="AV117" t="n">
        <v>0</v>
      </c>
      <c r="AW117" t="n">
        <v>123.18</v>
      </c>
      <c r="AX117" t="inlineStr">
        <is>
          <t>settled</t>
        </is>
      </c>
      <c r="AY117" t="inlineStr">
        <is>
          <t>NA</t>
        </is>
      </c>
      <c r="AZ117" t="inlineStr">
        <is>
          <t>NA</t>
        </is>
      </c>
      <c r="BA117" t="n">
        <v>0</v>
      </c>
      <c r="BB117" t="inlineStr">
        <is>
          <t>96cc48a91d9719bfae1643bf98c82813e7b3e4fe1f3d2fb58e2269f9c71bfe20</t>
        </is>
      </c>
    </row>
    <row r="118">
      <c r="A118" t="inlineStr">
        <is>
          <t>802</t>
        </is>
      </c>
      <c r="B118" t="inlineStr">
        <is>
          <t>7576943585</t>
        </is>
      </c>
      <c r="C118" t="inlineStr">
        <is>
          <t>2025-12-17 04:26:11</t>
        </is>
      </c>
      <c r="D118" t="inlineStr">
        <is>
          <t>51</t>
        </is>
      </c>
      <c r="E118" t="inlineStr">
        <is>
          <t>Sha Sha - Shandaar Shawarma</t>
        </is>
      </c>
      <c r="F118" t="inlineStr">
        <is>
          <t>18557902</t>
        </is>
      </c>
      <c r="G118" t="inlineStr">
        <is>
          <t>30% off upto ₹75 (2025-06-25 - 2031-01-01)</t>
        </is>
      </c>
      <c r="H118" t="inlineStr">
        <is>
          <t>ONLINE</t>
        </is>
      </c>
      <c r="I118" t="inlineStr">
        <is>
          <t>DELIVERED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O2</t>
        </is>
      </c>
      <c r="N118" t="inlineStr">
        <is>
          <t>36</t>
        </is>
      </c>
      <c r="O118" t="n">
        <v>268</v>
      </c>
      <c r="P118" t="n">
        <v>3.5</v>
      </c>
      <c r="Q118" t="n">
        <v>0</v>
      </c>
      <c r="R118" t="n">
        <v>75</v>
      </c>
      <c r="S118" t="n">
        <v>0</v>
      </c>
      <c r="T118" t="n">
        <v>0</v>
      </c>
      <c r="U118" t="n">
        <v>0</v>
      </c>
      <c r="V118" t="n">
        <v>9.83</v>
      </c>
      <c r="W118" t="n">
        <v>206.33</v>
      </c>
      <c r="X118" t="n">
        <v>196.5</v>
      </c>
      <c r="Y118" t="n">
        <v>19</v>
      </c>
      <c r="Z118" t="n">
        <v>37.34</v>
      </c>
      <c r="AA118" t="n">
        <v>3.8</v>
      </c>
      <c r="AB118" t="n">
        <v>41.14</v>
      </c>
      <c r="AC118" t="n">
        <v>7.4</v>
      </c>
      <c r="AD118" t="n">
        <v>0</v>
      </c>
      <c r="AE118" t="n">
        <v>196.5</v>
      </c>
      <c r="AF118" t="n">
        <v>0</v>
      </c>
      <c r="AG118" t="n">
        <v>0</v>
      </c>
      <c r="AH118" t="n">
        <v>0.2</v>
      </c>
      <c r="AI118" t="n">
        <v>9.83</v>
      </c>
      <c r="AJ118" t="n">
        <v>0</v>
      </c>
      <c r="AK118" t="n">
        <v>17.43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58.57</v>
      </c>
      <c r="AV118" t="n">
        <v>0</v>
      </c>
      <c r="AW118" t="n">
        <v>147.76</v>
      </c>
      <c r="AX118" t="inlineStr">
        <is>
          <t>settled</t>
        </is>
      </c>
      <c r="AY118" t="inlineStr">
        <is>
          <t>NA</t>
        </is>
      </c>
      <c r="AZ118" t="inlineStr">
        <is>
          <t>NA</t>
        </is>
      </c>
      <c r="BA118" t="n">
        <v>0</v>
      </c>
      <c r="BB118" t="inlineStr">
        <is>
          <t>ab5ffbf0494270169f8616e80763409c29fefebd45c286a78cbd0aeaeb5359bf</t>
        </is>
      </c>
    </row>
    <row r="119">
      <c r="A119" t="inlineStr">
        <is>
          <t>803</t>
        </is>
      </c>
      <c r="B119" t="inlineStr">
        <is>
          <t>7591765650</t>
        </is>
      </c>
      <c r="C119" t="inlineStr">
        <is>
          <t>2025-12-17 12:26:02</t>
        </is>
      </c>
      <c r="D119" t="inlineStr">
        <is>
          <t>51</t>
        </is>
      </c>
      <c r="E119" t="inlineStr">
        <is>
          <t>Sha Sha - Shandaar Shawarma</t>
        </is>
      </c>
      <c r="F119" t="inlineStr">
        <is>
          <t>18557902</t>
        </is>
      </c>
      <c r="G119" t="inlineStr">
        <is>
          <t>30% off upto ₹75 (2025-06-25 - 2031-01-01)</t>
        </is>
      </c>
      <c r="H119" t="inlineStr">
        <is>
          <t>ONLINE</t>
        </is>
      </c>
      <c r="I119" t="inlineStr">
        <is>
          <t>DELIVERED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O2</t>
        </is>
      </c>
      <c r="N119" t="inlineStr">
        <is>
          <t>36</t>
        </is>
      </c>
      <c r="O119" t="n">
        <v>458</v>
      </c>
      <c r="P119" t="n">
        <v>3.5</v>
      </c>
      <c r="Q119" t="n">
        <v>0</v>
      </c>
      <c r="R119" t="n">
        <v>75</v>
      </c>
      <c r="S119" t="n">
        <v>0</v>
      </c>
      <c r="T119" t="n">
        <v>0</v>
      </c>
      <c r="U119" t="n">
        <v>0</v>
      </c>
      <c r="V119" t="n">
        <v>19.33</v>
      </c>
      <c r="W119" t="n">
        <v>405.83</v>
      </c>
      <c r="X119" t="n">
        <v>386.5</v>
      </c>
      <c r="Y119" t="n">
        <v>19</v>
      </c>
      <c r="Z119" t="n">
        <v>73.44</v>
      </c>
      <c r="AA119" t="n">
        <v>7.47</v>
      </c>
      <c r="AB119" t="n">
        <v>80.91</v>
      </c>
      <c r="AC119" t="n">
        <v>14.56</v>
      </c>
      <c r="AD119" t="n">
        <v>0</v>
      </c>
      <c r="AE119" t="n">
        <v>386.5</v>
      </c>
      <c r="AF119" t="n">
        <v>0</v>
      </c>
      <c r="AG119" t="n">
        <v>0</v>
      </c>
      <c r="AH119" t="n">
        <v>0.39</v>
      </c>
      <c r="AI119" t="n">
        <v>19.33</v>
      </c>
      <c r="AJ119" t="n">
        <v>0</v>
      </c>
      <c r="AK119" t="n">
        <v>34.28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115.19</v>
      </c>
      <c r="AV119" t="n">
        <v>0</v>
      </c>
      <c r="AW119" t="n">
        <v>290.64</v>
      </c>
      <c r="AX119" t="inlineStr">
        <is>
          <t>settled</t>
        </is>
      </c>
      <c r="AY119" t="inlineStr">
        <is>
          <t>NA</t>
        </is>
      </c>
      <c r="AZ119" t="inlineStr">
        <is>
          <t>NA</t>
        </is>
      </c>
      <c r="BA119" t="n">
        <v>0</v>
      </c>
      <c r="BB119" t="inlineStr">
        <is>
          <t>7aae7ffdf4eb29063dec469b14690730c006e0f4e5c4e08b7d9f6958a044874c</t>
        </is>
      </c>
    </row>
    <row r="120">
      <c r="A120" t="inlineStr">
        <is>
          <t>804</t>
        </is>
      </c>
      <c r="B120" t="inlineStr">
        <is>
          <t>7589381179</t>
        </is>
      </c>
      <c r="C120" t="inlineStr">
        <is>
          <t>2025-12-17 13:52:04</t>
        </is>
      </c>
      <c r="D120" t="inlineStr">
        <is>
          <t>51</t>
        </is>
      </c>
      <c r="E120" t="inlineStr">
        <is>
          <t>Sha Sha - Shandaar Shawarma</t>
        </is>
      </c>
      <c r="F120" t="inlineStr">
        <is>
          <t>18557902</t>
        </is>
      </c>
      <c r="G120" t="inlineStr">
        <is>
          <t>30% off upto ₹75 (2025-06-25 - 2031-01-01)</t>
        </is>
      </c>
      <c r="H120" t="inlineStr">
        <is>
          <t>ONLINE</t>
        </is>
      </c>
      <c r="I120" t="inlineStr">
        <is>
          <t>DELIVERED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O2</t>
        </is>
      </c>
      <c r="N120" t="inlineStr">
        <is>
          <t>36</t>
        </is>
      </c>
      <c r="O120" t="n">
        <v>438</v>
      </c>
      <c r="P120" t="n">
        <v>3.5</v>
      </c>
      <c r="Q120" t="n">
        <v>0</v>
      </c>
      <c r="R120" t="n">
        <v>75</v>
      </c>
      <c r="S120" t="n">
        <v>0</v>
      </c>
      <c r="T120" t="n">
        <v>0</v>
      </c>
      <c r="U120" t="n">
        <v>0</v>
      </c>
      <c r="V120" t="n">
        <v>18.33</v>
      </c>
      <c r="W120" t="n">
        <v>384.83</v>
      </c>
      <c r="X120" t="n">
        <v>366.5</v>
      </c>
      <c r="Y120" t="n">
        <v>19</v>
      </c>
      <c r="Z120" t="n">
        <v>69.64</v>
      </c>
      <c r="AA120" t="n">
        <v>7.08</v>
      </c>
      <c r="AB120" t="n">
        <v>76.72</v>
      </c>
      <c r="AC120" t="n">
        <v>13.81</v>
      </c>
      <c r="AD120" t="n">
        <v>0</v>
      </c>
      <c r="AE120" t="n">
        <v>366.5</v>
      </c>
      <c r="AF120" t="n">
        <v>0</v>
      </c>
      <c r="AG120" t="n">
        <v>0</v>
      </c>
      <c r="AH120" t="n">
        <v>0.37</v>
      </c>
      <c r="AI120" t="n">
        <v>18.33</v>
      </c>
      <c r="AJ120" t="n">
        <v>0</v>
      </c>
      <c r="AK120" t="n">
        <v>32.51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109.23</v>
      </c>
      <c r="AV120" t="n">
        <v>0</v>
      </c>
      <c r="AW120" t="n">
        <v>275.6</v>
      </c>
      <c r="AX120" t="inlineStr">
        <is>
          <t>settled</t>
        </is>
      </c>
      <c r="AY120" t="inlineStr">
        <is>
          <t>NA</t>
        </is>
      </c>
      <c r="AZ120" t="inlineStr">
        <is>
          <t>NA</t>
        </is>
      </c>
      <c r="BA120" t="n">
        <v>0</v>
      </c>
      <c r="BB120" t="inlineStr">
        <is>
          <t>4359fa8803c32f170e7af9928bc9454cf3044a9f9045f0dee20936b28e8ffbfa</t>
        </is>
      </c>
    </row>
    <row r="121">
      <c r="A121" t="inlineStr">
        <is>
          <t>805</t>
        </is>
      </c>
      <c r="B121" t="inlineStr">
        <is>
          <t>7583528820</t>
        </is>
      </c>
      <c r="C121" t="inlineStr">
        <is>
          <t>2025-12-17 17:36:41</t>
        </is>
      </c>
      <c r="D121" t="inlineStr">
        <is>
          <t>51</t>
        </is>
      </c>
      <c r="E121" t="inlineStr">
        <is>
          <t>Sha Sha - Shandaar Shawarma</t>
        </is>
      </c>
      <c r="F121" t="inlineStr">
        <is>
          <t>18557902</t>
        </is>
      </c>
      <c r="G121" t="inlineStr">
        <is>
          <t>30% off upto ₹75 (2025-06-25 - 2031-01-01)</t>
        </is>
      </c>
      <c r="H121" t="inlineStr">
        <is>
          <t>ONLINE</t>
        </is>
      </c>
      <c r="I121" t="inlineStr">
        <is>
          <t>DELIVERED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O2</t>
        </is>
      </c>
      <c r="N121" t="inlineStr">
        <is>
          <t>36</t>
        </is>
      </c>
      <c r="O121" t="n">
        <v>219</v>
      </c>
      <c r="P121" t="n">
        <v>3.5</v>
      </c>
      <c r="Q121" t="n">
        <v>0</v>
      </c>
      <c r="R121" t="n">
        <v>65.7</v>
      </c>
      <c r="S121" t="n">
        <v>0</v>
      </c>
      <c r="T121" t="n">
        <v>0</v>
      </c>
      <c r="U121" t="n">
        <v>0</v>
      </c>
      <c r="V121" t="n">
        <v>7.84</v>
      </c>
      <c r="W121" t="n">
        <v>164.64</v>
      </c>
      <c r="X121" t="n">
        <v>156.8</v>
      </c>
      <c r="Y121" t="n">
        <v>19</v>
      </c>
      <c r="Z121" t="n">
        <v>29.79</v>
      </c>
      <c r="AA121" t="n">
        <v>3.03</v>
      </c>
      <c r="AB121" t="n">
        <v>32.82</v>
      </c>
      <c r="AC121" t="n">
        <v>5.91</v>
      </c>
      <c r="AD121" t="n">
        <v>0</v>
      </c>
      <c r="AE121" t="n">
        <v>156.8</v>
      </c>
      <c r="AF121" t="n">
        <v>0</v>
      </c>
      <c r="AG121" t="n">
        <v>0</v>
      </c>
      <c r="AH121" t="n">
        <v>0.16</v>
      </c>
      <c r="AI121" t="n">
        <v>7.85</v>
      </c>
      <c r="AJ121" t="n">
        <v>-0.01</v>
      </c>
      <c r="AK121" t="n">
        <v>13.92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46.74</v>
      </c>
      <c r="AV121" t="n">
        <v>0</v>
      </c>
      <c r="AW121" t="n">
        <v>117.9</v>
      </c>
      <c r="AX121" t="inlineStr">
        <is>
          <t>settled</t>
        </is>
      </c>
      <c r="AY121" t="inlineStr">
        <is>
          <t>NA</t>
        </is>
      </c>
      <c r="AZ121" t="inlineStr">
        <is>
          <t>NA</t>
        </is>
      </c>
      <c r="BA121" t="n">
        <v>0</v>
      </c>
      <c r="BB121" t="inlineStr">
        <is>
          <t>84915504c8a1483745cfaaa7c05cfee8adbbb731e2a0496e957f5f65f5839b49</t>
        </is>
      </c>
    </row>
    <row r="122">
      <c r="A122" t="inlineStr">
        <is>
          <t>806</t>
        </is>
      </c>
      <c r="B122" t="inlineStr">
        <is>
          <t>7582802662</t>
        </is>
      </c>
      <c r="C122" t="inlineStr">
        <is>
          <t>2025-12-17 17:57:26</t>
        </is>
      </c>
      <c r="D122" t="inlineStr">
        <is>
          <t>51</t>
        </is>
      </c>
      <c r="E122" t="inlineStr">
        <is>
          <t>Sha Sha - Shandaar Shawarma</t>
        </is>
      </c>
      <c r="F122" t="inlineStr">
        <is>
          <t>18557902</t>
        </is>
      </c>
      <c r="G122" t="inlineStr">
        <is>
          <t>NA</t>
        </is>
      </c>
      <c r="H122" t="inlineStr">
        <is>
          <t>ONLINE</t>
        </is>
      </c>
      <c r="I122" t="inlineStr">
        <is>
          <t>DELIVERED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O2</t>
        </is>
      </c>
      <c r="N122" t="inlineStr">
        <is>
          <t>36</t>
        </is>
      </c>
      <c r="O122" t="n">
        <v>219</v>
      </c>
      <c r="P122" t="n">
        <v>3.5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11.13</v>
      </c>
      <c r="W122" t="n">
        <v>233.63</v>
      </c>
      <c r="X122" t="n">
        <v>222.5</v>
      </c>
      <c r="Y122" t="n">
        <v>19</v>
      </c>
      <c r="Z122" t="n">
        <v>42.28</v>
      </c>
      <c r="AA122" t="n">
        <v>4.3</v>
      </c>
      <c r="AB122" t="n">
        <v>46.58</v>
      </c>
      <c r="AC122" t="n">
        <v>8.380000000000001</v>
      </c>
      <c r="AD122" t="n">
        <v>0</v>
      </c>
      <c r="AE122" t="n">
        <v>222.5</v>
      </c>
      <c r="AF122" t="n">
        <v>0</v>
      </c>
      <c r="AG122" t="n">
        <v>0</v>
      </c>
      <c r="AH122" t="n">
        <v>0.22</v>
      </c>
      <c r="AI122" t="n">
        <v>11.13</v>
      </c>
      <c r="AJ122" t="n">
        <v>0</v>
      </c>
      <c r="AK122" t="n">
        <v>19.73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66.31</v>
      </c>
      <c r="AV122" t="n">
        <v>0</v>
      </c>
      <c r="AW122" t="n">
        <v>167.32</v>
      </c>
      <c r="AX122" t="inlineStr">
        <is>
          <t>settled</t>
        </is>
      </c>
      <c r="AY122" t="inlineStr">
        <is>
          <t>NA</t>
        </is>
      </c>
      <c r="AZ122" t="inlineStr">
        <is>
          <t>NA</t>
        </is>
      </c>
      <c r="BA122" t="n">
        <v>0</v>
      </c>
      <c r="BB122" t="inlineStr">
        <is>
          <t>99bbec3f3557c37fbf25d3f02048aa6cb8f261ad1ed9403e3c0189a570cd6178</t>
        </is>
      </c>
    </row>
    <row r="123">
      <c r="A123" t="inlineStr">
        <is>
          <t>807</t>
        </is>
      </c>
      <c r="B123" t="inlineStr">
        <is>
          <t>7592138283</t>
        </is>
      </c>
      <c r="C123" t="inlineStr">
        <is>
          <t>2025-12-17 18:20:41</t>
        </is>
      </c>
      <c r="D123" t="inlineStr">
        <is>
          <t>51</t>
        </is>
      </c>
      <c r="E123" t="inlineStr">
        <is>
          <t>Sha Sha - Shandaar Shawarma</t>
        </is>
      </c>
      <c r="F123" t="inlineStr">
        <is>
          <t>18557902</t>
        </is>
      </c>
      <c r="G123" t="inlineStr">
        <is>
          <t>NA</t>
        </is>
      </c>
      <c r="H123" t="inlineStr">
        <is>
          <t>ONLINE</t>
        </is>
      </c>
      <c r="I123" t="inlineStr">
        <is>
          <t>DELIVERED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O2</t>
        </is>
      </c>
      <c r="N123" t="inlineStr">
        <is>
          <t>36</t>
        </is>
      </c>
      <c r="O123" t="n">
        <v>229</v>
      </c>
      <c r="P123" t="n">
        <v>3.5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11.63</v>
      </c>
      <c r="W123" t="n">
        <v>244.13</v>
      </c>
      <c r="X123" t="n">
        <v>232.5</v>
      </c>
      <c r="Y123" t="n">
        <v>19</v>
      </c>
      <c r="Z123" t="n">
        <v>44.18</v>
      </c>
      <c r="AA123" t="n">
        <v>4.49</v>
      </c>
      <c r="AB123" t="n">
        <v>48.67</v>
      </c>
      <c r="AC123" t="n">
        <v>8.76</v>
      </c>
      <c r="AD123" t="n">
        <v>0</v>
      </c>
      <c r="AE123" t="n">
        <v>232.5</v>
      </c>
      <c r="AF123" t="n">
        <v>0</v>
      </c>
      <c r="AG123" t="n">
        <v>0</v>
      </c>
      <c r="AH123" t="n">
        <v>0.23</v>
      </c>
      <c r="AI123" t="n">
        <v>11.63</v>
      </c>
      <c r="AJ123" t="n">
        <v>0</v>
      </c>
      <c r="AK123" t="n">
        <v>20.62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69.29000000000001</v>
      </c>
      <c r="AV123" t="n">
        <v>0</v>
      </c>
      <c r="AW123" t="n">
        <v>174.84</v>
      </c>
      <c r="AX123" t="inlineStr">
        <is>
          <t>settled</t>
        </is>
      </c>
      <c r="AY123" t="inlineStr">
        <is>
          <t>NA</t>
        </is>
      </c>
      <c r="AZ123" t="inlineStr">
        <is>
          <t>NA</t>
        </is>
      </c>
      <c r="BA123" t="n">
        <v>0</v>
      </c>
      <c r="BB123" t="inlineStr">
        <is>
          <t>a708de35e99abc46f2a80b2cc23ee24fc4d8d29985164f4c53cf65a7298c46d6</t>
        </is>
      </c>
    </row>
    <row r="124">
      <c r="A124" t="inlineStr">
        <is>
          <t>808</t>
        </is>
      </c>
      <c r="B124" t="inlineStr">
        <is>
          <t>7584277086</t>
        </is>
      </c>
      <c r="C124" t="inlineStr">
        <is>
          <t>2025-12-17 18:22:35</t>
        </is>
      </c>
      <c r="D124" t="inlineStr">
        <is>
          <t>51</t>
        </is>
      </c>
      <c r="E124" t="inlineStr">
        <is>
          <t>Sha Sha - Shandaar Shawarma</t>
        </is>
      </c>
      <c r="F124" t="inlineStr">
        <is>
          <t>18557902</t>
        </is>
      </c>
      <c r="G124" t="inlineStr">
        <is>
          <t>30% off upto ₹75 (2025-06-25 - 2031-01-01)</t>
        </is>
      </c>
      <c r="H124" t="inlineStr">
        <is>
          <t>ONLINE</t>
        </is>
      </c>
      <c r="I124" t="inlineStr">
        <is>
          <t>DELIVERED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O2</t>
        </is>
      </c>
      <c r="N124" t="inlineStr">
        <is>
          <t>36</t>
        </is>
      </c>
      <c r="O124" t="n">
        <v>229</v>
      </c>
      <c r="P124" t="n">
        <v>3.5</v>
      </c>
      <c r="Q124" t="n">
        <v>0</v>
      </c>
      <c r="R124" t="n">
        <v>68.7</v>
      </c>
      <c r="S124" t="n">
        <v>0</v>
      </c>
      <c r="T124" t="n">
        <v>0</v>
      </c>
      <c r="U124" t="n">
        <v>0</v>
      </c>
      <c r="V124" t="n">
        <v>8.19</v>
      </c>
      <c r="W124" t="n">
        <v>171.99</v>
      </c>
      <c r="X124" t="n">
        <v>163.8</v>
      </c>
      <c r="Y124" t="n">
        <v>19</v>
      </c>
      <c r="Z124" t="n">
        <v>31.12</v>
      </c>
      <c r="AA124" t="n">
        <v>3.16</v>
      </c>
      <c r="AB124" t="n">
        <v>34.28</v>
      </c>
      <c r="AC124" t="n">
        <v>6.17</v>
      </c>
      <c r="AD124" t="n">
        <v>0</v>
      </c>
      <c r="AE124" t="n">
        <v>163.8</v>
      </c>
      <c r="AF124" t="n">
        <v>0</v>
      </c>
      <c r="AG124" t="n">
        <v>0</v>
      </c>
      <c r="AH124" t="n">
        <v>0.16</v>
      </c>
      <c r="AI124" t="n">
        <v>8.199999999999999</v>
      </c>
      <c r="AJ124" t="n">
        <v>-0.01</v>
      </c>
      <c r="AK124" t="n">
        <v>14.53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48.81</v>
      </c>
      <c r="AV124" t="n">
        <v>0</v>
      </c>
      <c r="AW124" t="n">
        <v>123.18</v>
      </c>
      <c r="AX124" t="inlineStr">
        <is>
          <t>settled</t>
        </is>
      </c>
      <c r="AY124" t="inlineStr">
        <is>
          <t>NA</t>
        </is>
      </c>
      <c r="AZ124" t="inlineStr">
        <is>
          <t>NA</t>
        </is>
      </c>
      <c r="BA124" t="n">
        <v>0</v>
      </c>
      <c r="BB124" t="inlineStr">
        <is>
          <t>cc0560ff73982819bf1d559225e7545cf08d3f867e53b43ac96360e9cad70d83</t>
        </is>
      </c>
    </row>
    <row r="125">
      <c r="A125" t="inlineStr">
        <is>
          <t>809</t>
        </is>
      </c>
      <c r="B125" t="inlineStr">
        <is>
          <t>7592197541</t>
        </is>
      </c>
      <c r="C125" t="inlineStr">
        <is>
          <t>2025-12-17 18:32:41</t>
        </is>
      </c>
      <c r="D125" t="inlineStr">
        <is>
          <t>51</t>
        </is>
      </c>
      <c r="E125" t="inlineStr">
        <is>
          <t>Sha Sha - Shandaar Shawarma</t>
        </is>
      </c>
      <c r="F125" t="inlineStr">
        <is>
          <t>18557902</t>
        </is>
      </c>
      <c r="G125" t="inlineStr">
        <is>
          <t>30% off upto ₹75 (2025-06-25 - 2031-01-01)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O2</t>
        </is>
      </c>
      <c r="N125" t="inlineStr">
        <is>
          <t>36</t>
        </is>
      </c>
      <c r="O125" t="n">
        <v>229</v>
      </c>
      <c r="P125" t="n">
        <v>3.5</v>
      </c>
      <c r="Q125" t="n">
        <v>0</v>
      </c>
      <c r="R125" t="n">
        <v>68.7</v>
      </c>
      <c r="S125" t="n">
        <v>0</v>
      </c>
      <c r="T125" t="n">
        <v>0</v>
      </c>
      <c r="U125" t="n">
        <v>0</v>
      </c>
      <c r="V125" t="n">
        <v>8.19</v>
      </c>
      <c r="W125" t="n">
        <v>171.99</v>
      </c>
      <c r="X125" t="n">
        <v>163.8</v>
      </c>
      <c r="Y125" t="n">
        <v>19</v>
      </c>
      <c r="Z125" t="n">
        <v>31.12</v>
      </c>
      <c r="AA125" t="n">
        <v>3.16</v>
      </c>
      <c r="AB125" t="n">
        <v>34.28</v>
      </c>
      <c r="AC125" t="n">
        <v>6.17</v>
      </c>
      <c r="AD125" t="n">
        <v>0</v>
      </c>
      <c r="AE125" t="n">
        <v>163.8</v>
      </c>
      <c r="AF125" t="n">
        <v>0</v>
      </c>
      <c r="AG125" t="n">
        <v>0</v>
      </c>
      <c r="AH125" t="n">
        <v>0.16</v>
      </c>
      <c r="AI125" t="n">
        <v>8.199999999999999</v>
      </c>
      <c r="AJ125" t="n">
        <v>-0.01</v>
      </c>
      <c r="AK125" t="n">
        <v>14.53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48.81</v>
      </c>
      <c r="AV125" t="n">
        <v>0</v>
      </c>
      <c r="AW125" t="n">
        <v>123.18</v>
      </c>
      <c r="AX125" t="inlineStr">
        <is>
          <t>settled</t>
        </is>
      </c>
      <c r="AY125" t="inlineStr">
        <is>
          <t>NA</t>
        </is>
      </c>
      <c r="AZ125" t="inlineStr">
        <is>
          <t>NA</t>
        </is>
      </c>
      <c r="BA125" t="n">
        <v>0</v>
      </c>
      <c r="BB125" t="inlineStr">
        <is>
          <t>019510b195e5619c98690c0fba51eb86eb62737b2dd98ae26275f8cf2db7f669</t>
        </is>
      </c>
    </row>
    <row r="126">
      <c r="A126" t="inlineStr">
        <is>
          <t>810</t>
        </is>
      </c>
      <c r="B126" t="inlineStr">
        <is>
          <t>7584970627</t>
        </is>
      </c>
      <c r="C126" t="inlineStr">
        <is>
          <t>2025-12-17 18:41:55</t>
        </is>
      </c>
      <c r="D126" t="inlineStr">
        <is>
          <t>51</t>
        </is>
      </c>
      <c r="E126" t="inlineStr">
        <is>
          <t>Sha Sha - Shandaar Shawarma</t>
        </is>
      </c>
      <c r="F126" t="inlineStr">
        <is>
          <t>18557902</t>
        </is>
      </c>
      <c r="G126" t="inlineStr">
        <is>
          <t>NA</t>
        </is>
      </c>
      <c r="H126" t="inlineStr">
        <is>
          <t>ONLINE</t>
        </is>
      </c>
      <c r="I126" t="inlineStr">
        <is>
          <t>DELIVERED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O2</t>
        </is>
      </c>
      <c r="N126" t="inlineStr">
        <is>
          <t>36</t>
        </is>
      </c>
      <c r="O126" t="n">
        <v>219</v>
      </c>
      <c r="P126" t="n">
        <v>3.5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11.13</v>
      </c>
      <c r="W126" t="n">
        <v>233.63</v>
      </c>
      <c r="X126" t="n">
        <v>222.5</v>
      </c>
      <c r="Y126" t="n">
        <v>19</v>
      </c>
      <c r="Z126" t="n">
        <v>42.28</v>
      </c>
      <c r="AA126" t="n">
        <v>4.3</v>
      </c>
      <c r="AB126" t="n">
        <v>46.58</v>
      </c>
      <c r="AC126" t="n">
        <v>8.380000000000001</v>
      </c>
      <c r="AD126" t="n">
        <v>0</v>
      </c>
      <c r="AE126" t="n">
        <v>222.5</v>
      </c>
      <c r="AF126" t="n">
        <v>0</v>
      </c>
      <c r="AG126" t="n">
        <v>0</v>
      </c>
      <c r="AH126" t="n">
        <v>0.22</v>
      </c>
      <c r="AI126" t="n">
        <v>11.13</v>
      </c>
      <c r="AJ126" t="n">
        <v>0</v>
      </c>
      <c r="AK126" t="n">
        <v>19.73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66.31</v>
      </c>
      <c r="AV126" t="n">
        <v>0</v>
      </c>
      <c r="AW126" t="n">
        <v>167.32</v>
      </c>
      <c r="AX126" t="inlineStr">
        <is>
          <t>settled</t>
        </is>
      </c>
      <c r="AY126" t="inlineStr">
        <is>
          <t>NA</t>
        </is>
      </c>
      <c r="AZ126" t="inlineStr">
        <is>
          <t>NA</t>
        </is>
      </c>
      <c r="BA126" t="n">
        <v>0</v>
      </c>
      <c r="BB126" t="inlineStr">
        <is>
          <t>e8a4500ce7989dc36135afe08c3539be26c6f99d3c7c31e3b03ba1f6294278fd</t>
        </is>
      </c>
    </row>
    <row r="127">
      <c r="A127" t="inlineStr">
        <is>
          <t>811</t>
        </is>
      </c>
      <c r="B127" t="inlineStr">
        <is>
          <t>7587714762</t>
        </is>
      </c>
      <c r="C127" t="inlineStr">
        <is>
          <t>2025-12-17 18:59:30</t>
        </is>
      </c>
      <c r="D127" t="inlineStr">
        <is>
          <t>51</t>
        </is>
      </c>
      <c r="E127" t="inlineStr">
        <is>
          <t>Sha Sha - Shandaar Shawarma</t>
        </is>
      </c>
      <c r="F127" t="inlineStr">
        <is>
          <t>18557902</t>
        </is>
      </c>
      <c r="G127" t="inlineStr">
        <is>
          <t>30% off upto ₹75 (2025-06-25 - 2031-01-01)</t>
        </is>
      </c>
      <c r="H127" t="inlineStr">
        <is>
          <t>ONLINE</t>
        </is>
      </c>
      <c r="I127" t="inlineStr">
        <is>
          <t>DELIVERED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O2</t>
        </is>
      </c>
      <c r="N127" t="inlineStr">
        <is>
          <t>36</t>
        </is>
      </c>
      <c r="O127" t="n">
        <v>458</v>
      </c>
      <c r="P127" t="n">
        <v>3.5</v>
      </c>
      <c r="Q127" t="n">
        <v>0</v>
      </c>
      <c r="R127" t="n">
        <v>75</v>
      </c>
      <c r="S127" t="n">
        <v>0</v>
      </c>
      <c r="T127" t="n">
        <v>0</v>
      </c>
      <c r="U127" t="n">
        <v>0</v>
      </c>
      <c r="V127" t="n">
        <v>19.33</v>
      </c>
      <c r="W127" t="n">
        <v>405.83</v>
      </c>
      <c r="X127" t="n">
        <v>386.5</v>
      </c>
      <c r="Y127" t="n">
        <v>19</v>
      </c>
      <c r="Z127" t="n">
        <v>73.44</v>
      </c>
      <c r="AA127" t="n">
        <v>7.47</v>
      </c>
      <c r="AB127" t="n">
        <v>80.91</v>
      </c>
      <c r="AC127" t="n">
        <v>14.56</v>
      </c>
      <c r="AD127" t="n">
        <v>0</v>
      </c>
      <c r="AE127" t="n">
        <v>386.5</v>
      </c>
      <c r="AF127" t="n">
        <v>0</v>
      </c>
      <c r="AG127" t="n">
        <v>0</v>
      </c>
      <c r="AH127" t="n">
        <v>0.39</v>
      </c>
      <c r="AI127" t="n">
        <v>19.33</v>
      </c>
      <c r="AJ127" t="n">
        <v>0</v>
      </c>
      <c r="AK127" t="n">
        <v>34.28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115.19</v>
      </c>
      <c r="AV127" t="n">
        <v>0</v>
      </c>
      <c r="AW127" t="n">
        <v>290.64</v>
      </c>
      <c r="AX127" t="inlineStr">
        <is>
          <t>settled</t>
        </is>
      </c>
      <c r="AY127" t="inlineStr">
        <is>
          <t>NA</t>
        </is>
      </c>
      <c r="AZ127" t="inlineStr">
        <is>
          <t>NA</t>
        </is>
      </c>
      <c r="BA127" t="n">
        <v>0</v>
      </c>
      <c r="BB127" t="inlineStr">
        <is>
          <t>6ce37280bb83418386da86fd11577b1ed47834780b93b62e2a3f67a1e27682a6</t>
        </is>
      </c>
    </row>
    <row r="128">
      <c r="A128" t="inlineStr">
        <is>
          <t>812</t>
        </is>
      </c>
      <c r="B128" t="inlineStr">
        <is>
          <t>7585453153</t>
        </is>
      </c>
      <c r="C128" t="inlineStr">
        <is>
          <t>2025-12-17 19:00:44</t>
        </is>
      </c>
      <c r="D128" t="inlineStr">
        <is>
          <t>51</t>
        </is>
      </c>
      <c r="E128" t="inlineStr">
        <is>
          <t>Sha Sha - Shandaar Shawarma</t>
        </is>
      </c>
      <c r="F128" t="inlineStr">
        <is>
          <t>18557902</t>
        </is>
      </c>
      <c r="G128" t="inlineStr">
        <is>
          <t>30% off upto ₹75 (2025-06-25 - 2031-01-01)</t>
        </is>
      </c>
      <c r="H128" t="inlineStr">
        <is>
          <t>ONLINE</t>
        </is>
      </c>
      <c r="I128" t="inlineStr">
        <is>
          <t>DELIVERED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O2</t>
        </is>
      </c>
      <c r="N128" t="inlineStr">
        <is>
          <t>36</t>
        </is>
      </c>
      <c r="O128" t="n">
        <v>219</v>
      </c>
      <c r="P128" t="n">
        <v>3.5</v>
      </c>
      <c r="Q128" t="n">
        <v>0</v>
      </c>
      <c r="R128" t="n">
        <v>65.7</v>
      </c>
      <c r="S128" t="n">
        <v>0</v>
      </c>
      <c r="T128" t="n">
        <v>0</v>
      </c>
      <c r="U128" t="n">
        <v>0</v>
      </c>
      <c r="V128" t="n">
        <v>7.84</v>
      </c>
      <c r="W128" t="n">
        <v>164.64</v>
      </c>
      <c r="X128" t="n">
        <v>156.8</v>
      </c>
      <c r="Y128" t="n">
        <v>19</v>
      </c>
      <c r="Z128" t="n">
        <v>29.79</v>
      </c>
      <c r="AA128" t="n">
        <v>3.03</v>
      </c>
      <c r="AB128" t="n">
        <v>32.82</v>
      </c>
      <c r="AC128" t="n">
        <v>5.91</v>
      </c>
      <c r="AD128" t="n">
        <v>0</v>
      </c>
      <c r="AE128" t="n">
        <v>156.8</v>
      </c>
      <c r="AF128" t="n">
        <v>0</v>
      </c>
      <c r="AG128" t="n">
        <v>0</v>
      </c>
      <c r="AH128" t="n">
        <v>0.16</v>
      </c>
      <c r="AI128" t="n">
        <v>7.85</v>
      </c>
      <c r="AJ128" t="n">
        <v>-0.01</v>
      </c>
      <c r="AK128" t="n">
        <v>13.92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46.74</v>
      </c>
      <c r="AV128" t="n">
        <v>0</v>
      </c>
      <c r="AW128" t="n">
        <v>117.9</v>
      </c>
      <c r="AX128" t="inlineStr">
        <is>
          <t>settled</t>
        </is>
      </c>
      <c r="AY128" t="inlineStr">
        <is>
          <t>NA</t>
        </is>
      </c>
      <c r="AZ128" t="inlineStr">
        <is>
          <t>NA</t>
        </is>
      </c>
      <c r="BA128" t="n">
        <v>0</v>
      </c>
      <c r="BB128" t="inlineStr">
        <is>
          <t>518b78bfabd21dbfb66e52ea85056b44b50b0fed689621359ab8f7d42e29cdd7</t>
        </is>
      </c>
    </row>
    <row r="129">
      <c r="A129" t="inlineStr">
        <is>
          <t>813</t>
        </is>
      </c>
      <c r="B129" t="inlineStr">
        <is>
          <t>7578327320</t>
        </is>
      </c>
      <c r="C129" t="inlineStr">
        <is>
          <t>2025-12-17 19:35:53</t>
        </is>
      </c>
      <c r="D129" t="inlineStr">
        <is>
          <t>51</t>
        </is>
      </c>
      <c r="E129" t="inlineStr">
        <is>
          <t>Sha Sha - Shandaar Shawarma</t>
        </is>
      </c>
      <c r="F129" t="inlineStr">
        <is>
          <t>18557902</t>
        </is>
      </c>
      <c r="G129" t="inlineStr">
        <is>
          <t>30% off upto ₹75 (2025-06-25 - 2031-01-01)</t>
        </is>
      </c>
      <c r="H129" t="inlineStr">
        <is>
          <t>ONLINE</t>
        </is>
      </c>
      <c r="I129" t="inlineStr">
        <is>
          <t>DELIVERED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O2</t>
        </is>
      </c>
      <c r="N129" t="inlineStr">
        <is>
          <t>36</t>
        </is>
      </c>
      <c r="O129" t="n">
        <v>229</v>
      </c>
      <c r="P129" t="n">
        <v>3.5</v>
      </c>
      <c r="Q129" t="n">
        <v>0</v>
      </c>
      <c r="R129" t="n">
        <v>68.7</v>
      </c>
      <c r="S129" t="n">
        <v>0</v>
      </c>
      <c r="T129" t="n">
        <v>0</v>
      </c>
      <c r="U129" t="n">
        <v>0</v>
      </c>
      <c r="V129" t="n">
        <v>8.19</v>
      </c>
      <c r="W129" t="n">
        <v>171.99</v>
      </c>
      <c r="X129" t="n">
        <v>163.8</v>
      </c>
      <c r="Y129" t="n">
        <v>19</v>
      </c>
      <c r="Z129" t="n">
        <v>31.12</v>
      </c>
      <c r="AA129" t="n">
        <v>3.16</v>
      </c>
      <c r="AB129" t="n">
        <v>34.28</v>
      </c>
      <c r="AC129" t="n">
        <v>6.17</v>
      </c>
      <c r="AD129" t="n">
        <v>0</v>
      </c>
      <c r="AE129" t="n">
        <v>163.8</v>
      </c>
      <c r="AF129" t="n">
        <v>0</v>
      </c>
      <c r="AG129" t="n">
        <v>0</v>
      </c>
      <c r="AH129" t="n">
        <v>0.16</v>
      </c>
      <c r="AI129" t="n">
        <v>8.199999999999999</v>
      </c>
      <c r="AJ129" t="n">
        <v>-0.01</v>
      </c>
      <c r="AK129" t="n">
        <v>14.53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48.81</v>
      </c>
      <c r="AV129" t="n">
        <v>0</v>
      </c>
      <c r="AW129" t="n">
        <v>123.18</v>
      </c>
      <c r="AX129" t="inlineStr">
        <is>
          <t>settled</t>
        </is>
      </c>
      <c r="AY129" t="inlineStr">
        <is>
          <t>NA</t>
        </is>
      </c>
      <c r="AZ129" t="inlineStr">
        <is>
          <t>NA</t>
        </is>
      </c>
      <c r="BA129" t="n">
        <v>0</v>
      </c>
      <c r="BB129" t="inlineStr">
        <is>
          <t>e8c261c06e2758f5d5598f44f2209d4cd76b7436403b3b75d02abdbf7603a245</t>
        </is>
      </c>
    </row>
    <row r="130">
      <c r="A130" t="inlineStr">
        <is>
          <t>814</t>
        </is>
      </c>
      <c r="B130" t="inlineStr">
        <is>
          <t>7585827529</t>
        </is>
      </c>
      <c r="C130" t="inlineStr">
        <is>
          <t>2025-12-17 19:39:56</t>
        </is>
      </c>
      <c r="D130" t="inlineStr">
        <is>
          <t>51</t>
        </is>
      </c>
      <c r="E130" t="inlineStr">
        <is>
          <t>Sha Sha - Shandaar Shawarma</t>
        </is>
      </c>
      <c r="F130" t="inlineStr">
        <is>
          <t>18557902</t>
        </is>
      </c>
      <c r="G130" t="inlineStr">
        <is>
          <t>NA</t>
        </is>
      </c>
      <c r="H130" t="inlineStr">
        <is>
          <t>ONLINE</t>
        </is>
      </c>
      <c r="I130" t="inlineStr">
        <is>
          <t>DELIVERED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O2</t>
        </is>
      </c>
      <c r="N130" t="inlineStr">
        <is>
          <t>36</t>
        </is>
      </c>
      <c r="O130" t="n">
        <v>407</v>
      </c>
      <c r="P130" t="n">
        <v>3.5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20.53</v>
      </c>
      <c r="W130" t="n">
        <v>431.03</v>
      </c>
      <c r="X130" t="n">
        <v>410.5</v>
      </c>
      <c r="Y130" t="n">
        <v>19</v>
      </c>
      <c r="Z130" t="n">
        <v>78</v>
      </c>
      <c r="AA130" t="n">
        <v>7.93</v>
      </c>
      <c r="AB130" t="n">
        <v>85.93000000000001</v>
      </c>
      <c r="AC130" t="n">
        <v>15.47</v>
      </c>
      <c r="AD130" t="n">
        <v>0</v>
      </c>
      <c r="AE130" t="n">
        <v>410.5</v>
      </c>
      <c r="AF130" t="n">
        <v>0</v>
      </c>
      <c r="AG130" t="n">
        <v>0</v>
      </c>
      <c r="AH130" t="n">
        <v>0.41</v>
      </c>
      <c r="AI130" t="n">
        <v>20.53</v>
      </c>
      <c r="AJ130" t="n">
        <v>0</v>
      </c>
      <c r="AK130" t="n">
        <v>36.41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122.34</v>
      </c>
      <c r="AV130" t="n">
        <v>0</v>
      </c>
      <c r="AW130" t="n">
        <v>308.69</v>
      </c>
      <c r="AX130" t="inlineStr">
        <is>
          <t>settled</t>
        </is>
      </c>
      <c r="AY130" t="inlineStr">
        <is>
          <t>NA</t>
        </is>
      </c>
      <c r="AZ130" t="inlineStr">
        <is>
          <t>NA</t>
        </is>
      </c>
      <c r="BA130" t="n">
        <v>0</v>
      </c>
      <c r="BB130" t="inlineStr">
        <is>
          <t>3da1c1f192a09c80f815dadcabf27ba85136463c7de9edbf87627735e7a07f00</t>
        </is>
      </c>
    </row>
    <row r="131">
      <c r="A131" t="inlineStr">
        <is>
          <t>815</t>
        </is>
      </c>
      <c r="B131" t="inlineStr">
        <is>
          <t>7591574802</t>
        </is>
      </c>
      <c r="C131" t="inlineStr">
        <is>
          <t>2025-12-17 19:42:30</t>
        </is>
      </c>
      <c r="D131" t="inlineStr">
        <is>
          <t>51</t>
        </is>
      </c>
      <c r="E131" t="inlineStr">
        <is>
          <t>Sha Sha - Shandaar Shawarma</t>
        </is>
      </c>
      <c r="F131" t="inlineStr">
        <is>
          <t>18557902</t>
        </is>
      </c>
      <c r="G131" t="inlineStr">
        <is>
          <t>30% off upto ₹75 (2025-06-25 - 2031-01-01)</t>
        </is>
      </c>
      <c r="H131" t="inlineStr">
        <is>
          <t>ONLINE</t>
        </is>
      </c>
      <c r="I131" t="inlineStr">
        <is>
          <t>DELIVERED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O2</t>
        </is>
      </c>
      <c r="N131" t="inlineStr">
        <is>
          <t>36</t>
        </is>
      </c>
      <c r="O131" t="n">
        <v>634</v>
      </c>
      <c r="P131" t="n">
        <v>3.5</v>
      </c>
      <c r="Q131" t="n">
        <v>0</v>
      </c>
      <c r="R131" t="n">
        <v>75</v>
      </c>
      <c r="S131" t="n">
        <v>0</v>
      </c>
      <c r="T131" t="n">
        <v>0</v>
      </c>
      <c r="U131" t="n">
        <v>0</v>
      </c>
      <c r="V131" t="n">
        <v>28.13</v>
      </c>
      <c r="W131" t="n">
        <v>590.63</v>
      </c>
      <c r="X131" t="n">
        <v>562.5</v>
      </c>
      <c r="Y131" t="n">
        <v>19</v>
      </c>
      <c r="Z131" t="n">
        <v>106.88</v>
      </c>
      <c r="AA131" t="n">
        <v>10.87</v>
      </c>
      <c r="AB131" t="n">
        <v>117.75</v>
      </c>
      <c r="AC131" t="n">
        <v>21.2</v>
      </c>
      <c r="AD131" t="n">
        <v>0</v>
      </c>
      <c r="AE131" t="n">
        <v>562.5</v>
      </c>
      <c r="AF131" t="n">
        <v>0</v>
      </c>
      <c r="AG131" t="n">
        <v>0</v>
      </c>
      <c r="AH131" t="n">
        <v>0.5600000000000001</v>
      </c>
      <c r="AI131" t="n">
        <v>28.13</v>
      </c>
      <c r="AJ131" t="n">
        <v>0</v>
      </c>
      <c r="AK131" t="n">
        <v>49.89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167.64</v>
      </c>
      <c r="AV131" t="n">
        <v>0</v>
      </c>
      <c r="AW131" t="n">
        <v>422.99</v>
      </c>
      <c r="AX131" t="inlineStr">
        <is>
          <t>settled</t>
        </is>
      </c>
      <c r="AY131" t="inlineStr">
        <is>
          <t>NA</t>
        </is>
      </c>
      <c r="AZ131" t="inlineStr">
        <is>
          <t>NA</t>
        </is>
      </c>
      <c r="BA131" t="n">
        <v>0</v>
      </c>
      <c r="BB131" t="inlineStr">
        <is>
          <t>8ced41d5c09616d32fd8a7dfd7ce8a730e5359d9784036ffe881835bc8200ae2</t>
        </is>
      </c>
    </row>
    <row r="132">
      <c r="A132" t="inlineStr">
        <is>
          <t>816</t>
        </is>
      </c>
      <c r="B132" t="inlineStr">
        <is>
          <t>7590505274</t>
        </is>
      </c>
      <c r="C132" t="inlineStr">
        <is>
          <t>2025-12-17 19:53:20</t>
        </is>
      </c>
      <c r="D132" t="inlineStr">
        <is>
          <t>51</t>
        </is>
      </c>
      <c r="E132" t="inlineStr">
        <is>
          <t>Sha Sha - Shandaar Shawarma</t>
        </is>
      </c>
      <c r="F132" t="inlineStr">
        <is>
          <t>18557902</t>
        </is>
      </c>
      <c r="G132" t="inlineStr">
        <is>
          <t>30% off upto ₹75 (2025-06-25 - 2031-01-01)</t>
        </is>
      </c>
      <c r="H132" t="inlineStr">
        <is>
          <t>ONLINE</t>
        </is>
      </c>
      <c r="I132" t="inlineStr">
        <is>
          <t>DELIVERED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O2</t>
        </is>
      </c>
      <c r="N132" t="inlineStr">
        <is>
          <t>36</t>
        </is>
      </c>
      <c r="O132" t="n">
        <v>229</v>
      </c>
      <c r="P132" t="n">
        <v>3.5</v>
      </c>
      <c r="Q132" t="n">
        <v>0</v>
      </c>
      <c r="R132" t="n">
        <v>68.7</v>
      </c>
      <c r="S132" t="n">
        <v>0</v>
      </c>
      <c r="T132" t="n">
        <v>0</v>
      </c>
      <c r="U132" t="n">
        <v>0</v>
      </c>
      <c r="V132" t="n">
        <v>8.19</v>
      </c>
      <c r="W132" t="n">
        <v>171.99</v>
      </c>
      <c r="X132" t="n">
        <v>163.8</v>
      </c>
      <c r="Y132" t="n">
        <v>19</v>
      </c>
      <c r="Z132" t="n">
        <v>31.12</v>
      </c>
      <c r="AA132" t="n">
        <v>3.16</v>
      </c>
      <c r="AB132" t="n">
        <v>34.28</v>
      </c>
      <c r="AC132" t="n">
        <v>6.17</v>
      </c>
      <c r="AD132" t="n">
        <v>0</v>
      </c>
      <c r="AE132" t="n">
        <v>163.8</v>
      </c>
      <c r="AF132" t="n">
        <v>0</v>
      </c>
      <c r="AG132" t="n">
        <v>0</v>
      </c>
      <c r="AH132" t="n">
        <v>0.16</v>
      </c>
      <c r="AI132" t="n">
        <v>8.199999999999999</v>
      </c>
      <c r="AJ132" t="n">
        <v>-0.01</v>
      </c>
      <c r="AK132" t="n">
        <v>14.53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48.81</v>
      </c>
      <c r="AV132" t="n">
        <v>0</v>
      </c>
      <c r="AW132" t="n">
        <v>123.18</v>
      </c>
      <c r="AX132" t="inlineStr">
        <is>
          <t>settled</t>
        </is>
      </c>
      <c r="AY132" t="inlineStr">
        <is>
          <t>NA</t>
        </is>
      </c>
      <c r="AZ132" t="inlineStr">
        <is>
          <t>NA</t>
        </is>
      </c>
      <c r="BA132" t="n">
        <v>0</v>
      </c>
      <c r="BB132" t="inlineStr">
        <is>
          <t>5bbf14df8938f95d3b7c17a99beb70d7782f65008db9840edde8a35ba5e8e65f</t>
        </is>
      </c>
    </row>
    <row r="133">
      <c r="A133" t="inlineStr">
        <is>
          <t>817</t>
        </is>
      </c>
      <c r="B133" t="inlineStr">
        <is>
          <t>7593101862</t>
        </is>
      </c>
      <c r="C133" t="inlineStr">
        <is>
          <t>2025-12-17 20:06:04</t>
        </is>
      </c>
      <c r="D133" t="inlineStr">
        <is>
          <t>51</t>
        </is>
      </c>
      <c r="E133" t="inlineStr">
        <is>
          <t>Sha Sha - Shandaar Shawarma</t>
        </is>
      </c>
      <c r="F133" t="inlineStr">
        <is>
          <t>18557902</t>
        </is>
      </c>
      <c r="G133" t="inlineStr">
        <is>
          <t>30% off upto ₹75 (2025-06-25 - 2031-01-01)</t>
        </is>
      </c>
      <c r="H133" t="inlineStr">
        <is>
          <t>ONLINE</t>
        </is>
      </c>
      <c r="I133" t="inlineStr">
        <is>
          <t>DELIVERED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O2</t>
        </is>
      </c>
      <c r="N133" t="inlineStr">
        <is>
          <t>36</t>
        </is>
      </c>
      <c r="O133" t="n">
        <v>229</v>
      </c>
      <c r="P133" t="n">
        <v>3.5</v>
      </c>
      <c r="Q133" t="n">
        <v>0</v>
      </c>
      <c r="R133" t="n">
        <v>68.7</v>
      </c>
      <c r="S133" t="n">
        <v>0</v>
      </c>
      <c r="T133" t="n">
        <v>0</v>
      </c>
      <c r="U133" t="n">
        <v>0</v>
      </c>
      <c r="V133" t="n">
        <v>8.19</v>
      </c>
      <c r="W133" t="n">
        <v>171.99</v>
      </c>
      <c r="X133" t="n">
        <v>163.8</v>
      </c>
      <c r="Y133" t="n">
        <v>19</v>
      </c>
      <c r="Z133" t="n">
        <v>31.12</v>
      </c>
      <c r="AA133" t="n">
        <v>3.16</v>
      </c>
      <c r="AB133" t="n">
        <v>34.28</v>
      </c>
      <c r="AC133" t="n">
        <v>6.17</v>
      </c>
      <c r="AD133" t="n">
        <v>0</v>
      </c>
      <c r="AE133" t="n">
        <v>163.8</v>
      </c>
      <c r="AF133" t="n">
        <v>0</v>
      </c>
      <c r="AG133" t="n">
        <v>0</v>
      </c>
      <c r="AH133" t="n">
        <v>0.16</v>
      </c>
      <c r="AI133" t="n">
        <v>8.199999999999999</v>
      </c>
      <c r="AJ133" t="n">
        <v>-0.01</v>
      </c>
      <c r="AK133" t="n">
        <v>14.53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48.81</v>
      </c>
      <c r="AV133" t="n">
        <v>0</v>
      </c>
      <c r="AW133" t="n">
        <v>123.18</v>
      </c>
      <c r="AX133" t="inlineStr">
        <is>
          <t>settled</t>
        </is>
      </c>
      <c r="AY133" t="inlineStr">
        <is>
          <t>NA</t>
        </is>
      </c>
      <c r="AZ133" t="inlineStr">
        <is>
          <t>NA</t>
        </is>
      </c>
      <c r="BA133" t="n">
        <v>0</v>
      </c>
      <c r="BB133" t="inlineStr">
        <is>
          <t>f1efba0536fc9a4db105bb5c8c1a05c6b558a8c50766d59042368335af2d4b44</t>
        </is>
      </c>
    </row>
    <row r="134">
      <c r="A134" t="inlineStr">
        <is>
          <t>818</t>
        </is>
      </c>
      <c r="B134" t="inlineStr">
        <is>
          <t>7590070721</t>
        </is>
      </c>
      <c r="C134" t="inlineStr">
        <is>
          <t>2025-12-17 20:32:02</t>
        </is>
      </c>
      <c r="D134" t="inlineStr">
        <is>
          <t>51</t>
        </is>
      </c>
      <c r="E134" t="inlineStr">
        <is>
          <t>Sha Sha - Shandaar Shawarma</t>
        </is>
      </c>
      <c r="F134" t="inlineStr">
        <is>
          <t>18557902</t>
        </is>
      </c>
      <c r="G134" t="inlineStr">
        <is>
          <t>30% off upto ₹75 (2025-06-25 - 2031-01-01)</t>
        </is>
      </c>
      <c r="H134" t="inlineStr">
        <is>
          <t>ONLINE</t>
        </is>
      </c>
      <c r="I134" t="inlineStr">
        <is>
          <t>DELIVERED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O2</t>
        </is>
      </c>
      <c r="N134" t="inlineStr">
        <is>
          <t>36</t>
        </is>
      </c>
      <c r="O134" t="n">
        <v>345</v>
      </c>
      <c r="P134" t="n">
        <v>3.5</v>
      </c>
      <c r="Q134" t="n">
        <v>0</v>
      </c>
      <c r="R134" t="n">
        <v>75</v>
      </c>
      <c r="S134" t="n">
        <v>0</v>
      </c>
      <c r="T134" t="n">
        <v>0</v>
      </c>
      <c r="U134" t="n">
        <v>0</v>
      </c>
      <c r="V134" t="n">
        <v>13.68</v>
      </c>
      <c r="W134" t="n">
        <v>287.18</v>
      </c>
      <c r="X134" t="n">
        <v>273.5</v>
      </c>
      <c r="Y134" t="n">
        <v>19</v>
      </c>
      <c r="Z134" t="n">
        <v>51.96</v>
      </c>
      <c r="AA134" t="n">
        <v>5.28</v>
      </c>
      <c r="AB134" t="n">
        <v>57.24</v>
      </c>
      <c r="AC134" t="n">
        <v>10.3</v>
      </c>
      <c r="AD134" t="n">
        <v>0</v>
      </c>
      <c r="AE134" t="n">
        <v>273.5</v>
      </c>
      <c r="AF134" t="n">
        <v>0</v>
      </c>
      <c r="AG134" t="n">
        <v>0</v>
      </c>
      <c r="AH134" t="n">
        <v>0.27</v>
      </c>
      <c r="AI134" t="n">
        <v>13.68</v>
      </c>
      <c r="AJ134" t="n">
        <v>0</v>
      </c>
      <c r="AK134" t="n">
        <v>24.25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81.48999999999999</v>
      </c>
      <c r="AV134" t="n">
        <v>0</v>
      </c>
      <c r="AW134" t="n">
        <v>205.69</v>
      </c>
      <c r="AX134" t="inlineStr">
        <is>
          <t>settled</t>
        </is>
      </c>
      <c r="AY134" t="inlineStr">
        <is>
          <t>NA</t>
        </is>
      </c>
      <c r="AZ134" t="inlineStr">
        <is>
          <t>NA</t>
        </is>
      </c>
      <c r="BA134" t="n">
        <v>0</v>
      </c>
      <c r="BB134" t="inlineStr">
        <is>
          <t>12ef6450269f789687137b48252d07a00da4a6777304f4a37e8790c067c3881d</t>
        </is>
      </c>
    </row>
    <row r="135">
      <c r="A135" t="inlineStr">
        <is>
          <t>819</t>
        </is>
      </c>
      <c r="B135" t="inlineStr">
        <is>
          <t>7593183890</t>
        </is>
      </c>
      <c r="C135" t="inlineStr">
        <is>
          <t>2025-12-17 20:45:18</t>
        </is>
      </c>
      <c r="D135" t="inlineStr">
        <is>
          <t>51</t>
        </is>
      </c>
      <c r="E135" t="inlineStr">
        <is>
          <t>Sha Sha - Shandaar Shawarma</t>
        </is>
      </c>
      <c r="F135" t="inlineStr">
        <is>
          <t>18557902</t>
        </is>
      </c>
      <c r="G135" t="inlineStr">
        <is>
          <t>NA</t>
        </is>
      </c>
      <c r="H135" t="inlineStr">
        <is>
          <t>ONLINE</t>
        </is>
      </c>
      <c r="I135" t="inlineStr">
        <is>
          <t>DELIVERED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O2</t>
        </is>
      </c>
      <c r="N135" t="inlineStr">
        <is>
          <t>36</t>
        </is>
      </c>
      <c r="O135" t="n">
        <v>536</v>
      </c>
      <c r="P135" t="n">
        <v>3.5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26.98</v>
      </c>
      <c r="W135" t="n">
        <v>566.48</v>
      </c>
      <c r="X135" t="n">
        <v>539.5</v>
      </c>
      <c r="Y135" t="n">
        <v>19</v>
      </c>
      <c r="Z135" t="n">
        <v>102.5</v>
      </c>
      <c r="AA135" t="n">
        <v>10.42</v>
      </c>
      <c r="AB135" t="n">
        <v>112.92</v>
      </c>
      <c r="AC135" t="n">
        <v>20.33</v>
      </c>
      <c r="AD135" t="n">
        <v>0</v>
      </c>
      <c r="AE135" t="n">
        <v>539.5</v>
      </c>
      <c r="AF135" t="n">
        <v>0</v>
      </c>
      <c r="AG135" t="n">
        <v>0</v>
      </c>
      <c r="AH135" t="n">
        <v>0.54</v>
      </c>
      <c r="AI135" t="n">
        <v>26.98</v>
      </c>
      <c r="AJ135" t="n">
        <v>0</v>
      </c>
      <c r="AK135" t="n">
        <v>47.85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160.77</v>
      </c>
      <c r="AV135" t="n">
        <v>0</v>
      </c>
      <c r="AW135" t="n">
        <v>405.71</v>
      </c>
      <c r="AX135" t="inlineStr">
        <is>
          <t>settled</t>
        </is>
      </c>
      <c r="AY135" t="inlineStr">
        <is>
          <t>NA</t>
        </is>
      </c>
      <c r="AZ135" t="inlineStr">
        <is>
          <t>NA</t>
        </is>
      </c>
      <c r="BA135" t="n">
        <v>0</v>
      </c>
      <c r="BB135" t="inlineStr">
        <is>
          <t>dd17258190d98ace80fb2e71701f27a9e600b0521e35e0f7b219f8ff12f9fb68</t>
        </is>
      </c>
    </row>
    <row r="136">
      <c r="A136" t="inlineStr">
        <is>
          <t>820</t>
        </is>
      </c>
      <c r="B136" t="inlineStr">
        <is>
          <t>7589725329</t>
        </is>
      </c>
      <c r="C136" t="inlineStr">
        <is>
          <t>2025-12-17 21:32:18</t>
        </is>
      </c>
      <c r="D136" t="inlineStr">
        <is>
          <t>51</t>
        </is>
      </c>
      <c r="E136" t="inlineStr">
        <is>
          <t>Sha Sha - Shandaar Shawarma</t>
        </is>
      </c>
      <c r="F136" t="inlineStr">
        <is>
          <t>18557902</t>
        </is>
      </c>
      <c r="G136" t="inlineStr">
        <is>
          <t>30% off upto ₹75 (2025-06-25 - 2031-01-01)</t>
        </is>
      </c>
      <c r="H136" t="inlineStr">
        <is>
          <t>ONLINE</t>
        </is>
      </c>
      <c r="I136" t="inlineStr">
        <is>
          <t>DELIVERED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O2</t>
        </is>
      </c>
      <c r="N136" t="inlineStr">
        <is>
          <t>36</t>
        </is>
      </c>
      <c r="O136" t="n">
        <v>229</v>
      </c>
      <c r="P136" t="n">
        <v>3.5</v>
      </c>
      <c r="Q136" t="n">
        <v>0</v>
      </c>
      <c r="R136" t="n">
        <v>68.7</v>
      </c>
      <c r="S136" t="n">
        <v>0</v>
      </c>
      <c r="T136" t="n">
        <v>0</v>
      </c>
      <c r="U136" t="n">
        <v>0</v>
      </c>
      <c r="V136" t="n">
        <v>8.19</v>
      </c>
      <c r="W136" t="n">
        <v>171.99</v>
      </c>
      <c r="X136" t="n">
        <v>163.8</v>
      </c>
      <c r="Y136" t="n">
        <v>19</v>
      </c>
      <c r="Z136" t="n">
        <v>31.12</v>
      </c>
      <c r="AA136" t="n">
        <v>3.16</v>
      </c>
      <c r="AB136" t="n">
        <v>34.28</v>
      </c>
      <c r="AC136" t="n">
        <v>6.17</v>
      </c>
      <c r="AD136" t="n">
        <v>0</v>
      </c>
      <c r="AE136" t="n">
        <v>163.8</v>
      </c>
      <c r="AF136" t="n">
        <v>0</v>
      </c>
      <c r="AG136" t="n">
        <v>0</v>
      </c>
      <c r="AH136" t="n">
        <v>0.16</v>
      </c>
      <c r="AI136" t="n">
        <v>8.199999999999999</v>
      </c>
      <c r="AJ136" t="n">
        <v>-0.01</v>
      </c>
      <c r="AK136" t="n">
        <v>14.53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48.81</v>
      </c>
      <c r="AV136" t="n">
        <v>0</v>
      </c>
      <c r="AW136" t="n">
        <v>123.18</v>
      </c>
      <c r="AX136" t="inlineStr">
        <is>
          <t>settled</t>
        </is>
      </c>
      <c r="AY136" t="inlineStr">
        <is>
          <t>NA</t>
        </is>
      </c>
      <c r="AZ136" t="inlineStr">
        <is>
          <t>NA</t>
        </is>
      </c>
      <c r="BA136" t="n">
        <v>0</v>
      </c>
      <c r="BB136" t="inlineStr">
        <is>
          <t>1d24fe32431aea31cb6f9cb2b090285b599177e831fdb96945203504279ef56a</t>
        </is>
      </c>
    </row>
    <row r="137">
      <c r="A137" t="inlineStr">
        <is>
          <t>821</t>
        </is>
      </c>
      <c r="B137" t="inlineStr">
        <is>
          <t>7594141243</t>
        </is>
      </c>
      <c r="C137" t="inlineStr">
        <is>
          <t>2025-12-17 21:45:10</t>
        </is>
      </c>
      <c r="D137" t="inlineStr">
        <is>
          <t>51</t>
        </is>
      </c>
      <c r="E137" t="inlineStr">
        <is>
          <t>Sha Sha - Shandaar Shawarma</t>
        </is>
      </c>
      <c r="F137" t="inlineStr">
        <is>
          <t>18557902</t>
        </is>
      </c>
      <c r="G137" t="inlineStr">
        <is>
          <t>NA</t>
        </is>
      </c>
      <c r="H137" t="inlineStr">
        <is>
          <t>ONLINE</t>
        </is>
      </c>
      <c r="I137" t="inlineStr">
        <is>
          <t>DELIVERED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O2</t>
        </is>
      </c>
      <c r="N137" t="inlineStr">
        <is>
          <t>36</t>
        </is>
      </c>
      <c r="O137" t="n">
        <v>438</v>
      </c>
      <c r="P137" t="n">
        <v>3.5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22.08</v>
      </c>
      <c r="W137" t="n">
        <v>463.58</v>
      </c>
      <c r="X137" t="n">
        <v>441.5</v>
      </c>
      <c r="Y137" t="n">
        <v>19</v>
      </c>
      <c r="Z137" t="n">
        <v>83.88</v>
      </c>
      <c r="AA137" t="n">
        <v>8.529999999999999</v>
      </c>
      <c r="AB137" t="n">
        <v>92.41</v>
      </c>
      <c r="AC137" t="n">
        <v>16.64</v>
      </c>
      <c r="AD137" t="n">
        <v>0</v>
      </c>
      <c r="AE137" t="n">
        <v>441.5</v>
      </c>
      <c r="AF137" t="n">
        <v>0</v>
      </c>
      <c r="AG137" t="n">
        <v>0</v>
      </c>
      <c r="AH137" t="n">
        <v>0.44</v>
      </c>
      <c r="AI137" t="n">
        <v>22.08</v>
      </c>
      <c r="AJ137" t="n">
        <v>0</v>
      </c>
      <c r="AK137" t="n">
        <v>39.16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131.57</v>
      </c>
      <c r="AV137" t="n">
        <v>0</v>
      </c>
      <c r="AW137" t="n">
        <v>332.01</v>
      </c>
      <c r="AX137" t="inlineStr">
        <is>
          <t>settled</t>
        </is>
      </c>
      <c r="AY137" t="inlineStr">
        <is>
          <t>NA</t>
        </is>
      </c>
      <c r="AZ137" t="inlineStr">
        <is>
          <t>NA</t>
        </is>
      </c>
      <c r="BA137" t="n">
        <v>0</v>
      </c>
      <c r="BB137" t="inlineStr">
        <is>
          <t>ec81291e3c6e5743cceac95a2f4a6256eb7537cf42882b912a4c4c8731040a64</t>
        </is>
      </c>
    </row>
    <row r="138">
      <c r="A138" t="inlineStr">
        <is>
          <t>822</t>
        </is>
      </c>
      <c r="B138" t="inlineStr">
        <is>
          <t>7589458529</t>
        </is>
      </c>
      <c r="C138" t="inlineStr">
        <is>
          <t>2025-12-17 21:53:05</t>
        </is>
      </c>
      <c r="D138" t="inlineStr">
        <is>
          <t>51</t>
        </is>
      </c>
      <c r="E138" t="inlineStr">
        <is>
          <t>Sha Sha - Shandaar Shawarma</t>
        </is>
      </c>
      <c r="F138" t="inlineStr">
        <is>
          <t>18557902</t>
        </is>
      </c>
      <c r="G138" t="inlineStr">
        <is>
          <t>30% off upto ₹75 (2025-06-25 - 2031-01-01)</t>
        </is>
      </c>
      <c r="H138" t="inlineStr">
        <is>
          <t>ONLINE</t>
        </is>
      </c>
      <c r="I138" t="inlineStr">
        <is>
          <t>DELIVERED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O2</t>
        </is>
      </c>
      <c r="N138" t="inlineStr">
        <is>
          <t>36</t>
        </is>
      </c>
      <c r="O138" t="n">
        <v>229</v>
      </c>
      <c r="P138" t="n">
        <v>3.5</v>
      </c>
      <c r="Q138" t="n">
        <v>0</v>
      </c>
      <c r="R138" t="n">
        <v>68.7</v>
      </c>
      <c r="S138" t="n">
        <v>0</v>
      </c>
      <c r="T138" t="n">
        <v>0</v>
      </c>
      <c r="U138" t="n">
        <v>0</v>
      </c>
      <c r="V138" t="n">
        <v>8.19</v>
      </c>
      <c r="W138" t="n">
        <v>171.99</v>
      </c>
      <c r="X138" t="n">
        <v>163.8</v>
      </c>
      <c r="Y138" t="n">
        <v>19</v>
      </c>
      <c r="Z138" t="n">
        <v>31.12</v>
      </c>
      <c r="AA138" t="n">
        <v>3.16</v>
      </c>
      <c r="AB138" t="n">
        <v>34.28</v>
      </c>
      <c r="AC138" t="n">
        <v>6.17</v>
      </c>
      <c r="AD138" t="n">
        <v>0</v>
      </c>
      <c r="AE138" t="n">
        <v>163.8</v>
      </c>
      <c r="AF138" t="n">
        <v>0</v>
      </c>
      <c r="AG138" t="n">
        <v>0</v>
      </c>
      <c r="AH138" t="n">
        <v>0.16</v>
      </c>
      <c r="AI138" t="n">
        <v>8.199999999999999</v>
      </c>
      <c r="AJ138" t="n">
        <v>-0.01</v>
      </c>
      <c r="AK138" t="n">
        <v>14.53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48.81</v>
      </c>
      <c r="AV138" t="n">
        <v>0</v>
      </c>
      <c r="AW138" t="n">
        <v>123.18</v>
      </c>
      <c r="AX138" t="inlineStr">
        <is>
          <t>settled</t>
        </is>
      </c>
      <c r="AY138" t="inlineStr">
        <is>
          <t>NA</t>
        </is>
      </c>
      <c r="AZ138" t="inlineStr">
        <is>
          <t>NA</t>
        </is>
      </c>
      <c r="BA138" t="n">
        <v>0</v>
      </c>
      <c r="BB138" t="inlineStr">
        <is>
          <t>bad76ae067b3ec107f8b51fd61667590ec9050add313ac10d28a0c285023d530</t>
        </is>
      </c>
    </row>
    <row r="139">
      <c r="A139" t="inlineStr">
        <is>
          <t>823</t>
        </is>
      </c>
      <c r="B139" t="inlineStr">
        <is>
          <t>7593145885</t>
        </is>
      </c>
      <c r="C139" t="inlineStr">
        <is>
          <t>2025-12-17 22:29:47</t>
        </is>
      </c>
      <c r="D139" t="inlineStr">
        <is>
          <t>51</t>
        </is>
      </c>
      <c r="E139" t="inlineStr">
        <is>
          <t>Sha Sha - Shandaar Shawarma</t>
        </is>
      </c>
      <c r="F139" t="inlineStr">
        <is>
          <t>18557902</t>
        </is>
      </c>
      <c r="G139" t="inlineStr">
        <is>
          <t>30% off upto ₹75 (2025-06-25 - 2031-01-01)</t>
        </is>
      </c>
      <c r="H139" t="inlineStr">
        <is>
          <t>ONLINE</t>
        </is>
      </c>
      <c r="I139" t="inlineStr">
        <is>
          <t>DELIVERED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O2</t>
        </is>
      </c>
      <c r="N139" t="inlineStr">
        <is>
          <t>36</t>
        </is>
      </c>
      <c r="O139" t="n">
        <v>229</v>
      </c>
      <c r="P139" t="n">
        <v>3.5</v>
      </c>
      <c r="Q139" t="n">
        <v>0</v>
      </c>
      <c r="R139" t="n">
        <v>68.7</v>
      </c>
      <c r="S139" t="n">
        <v>0</v>
      </c>
      <c r="T139" t="n">
        <v>0</v>
      </c>
      <c r="U139" t="n">
        <v>0</v>
      </c>
      <c r="V139" t="n">
        <v>8.19</v>
      </c>
      <c r="W139" t="n">
        <v>171.99</v>
      </c>
      <c r="X139" t="n">
        <v>163.8</v>
      </c>
      <c r="Y139" t="n">
        <v>19</v>
      </c>
      <c r="Z139" t="n">
        <v>31.12</v>
      </c>
      <c r="AA139" t="n">
        <v>3.16</v>
      </c>
      <c r="AB139" t="n">
        <v>34.28</v>
      </c>
      <c r="AC139" t="n">
        <v>6.17</v>
      </c>
      <c r="AD139" t="n">
        <v>0</v>
      </c>
      <c r="AE139" t="n">
        <v>163.8</v>
      </c>
      <c r="AF139" t="n">
        <v>0</v>
      </c>
      <c r="AG139" t="n">
        <v>0</v>
      </c>
      <c r="AH139" t="n">
        <v>0.16</v>
      </c>
      <c r="AI139" t="n">
        <v>8.199999999999999</v>
      </c>
      <c r="AJ139" t="n">
        <v>-0.01</v>
      </c>
      <c r="AK139" t="n">
        <v>14.53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48.81</v>
      </c>
      <c r="AV139" t="n">
        <v>0</v>
      </c>
      <c r="AW139" t="n">
        <v>123.18</v>
      </c>
      <c r="AX139" t="inlineStr">
        <is>
          <t>settled</t>
        </is>
      </c>
      <c r="AY139" t="inlineStr">
        <is>
          <t>NA</t>
        </is>
      </c>
      <c r="AZ139" t="inlineStr">
        <is>
          <t>NA</t>
        </is>
      </c>
      <c r="BA139" t="n">
        <v>0</v>
      </c>
      <c r="BB139" t="inlineStr">
        <is>
          <t>195fd90dfaaa06cdd425a6d5fe5087f2217d9f812bacb45effad01d5fa0ff806</t>
        </is>
      </c>
    </row>
    <row r="140">
      <c r="A140" t="inlineStr">
        <is>
          <t>824</t>
        </is>
      </c>
      <c r="B140" t="inlineStr">
        <is>
          <t>7590860671</t>
        </is>
      </c>
      <c r="C140" t="inlineStr">
        <is>
          <t>2025-12-17 22:30:16</t>
        </is>
      </c>
      <c r="D140" t="inlineStr">
        <is>
          <t>51</t>
        </is>
      </c>
      <c r="E140" t="inlineStr">
        <is>
          <t>Sha Sha - Shandaar Shawarma</t>
        </is>
      </c>
      <c r="F140" t="inlineStr">
        <is>
          <t>18557902</t>
        </is>
      </c>
      <c r="G140" t="inlineStr">
        <is>
          <t>30% off upto ₹75 (2025-06-25 - 2031-01-01)</t>
        </is>
      </c>
      <c r="H140" t="inlineStr">
        <is>
          <t>ONLINE</t>
        </is>
      </c>
      <c r="I140" t="inlineStr">
        <is>
          <t>DELIVERED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O2</t>
        </is>
      </c>
      <c r="N140" t="inlineStr">
        <is>
          <t>36</t>
        </is>
      </c>
      <c r="O140" t="n">
        <v>289</v>
      </c>
      <c r="P140" t="n">
        <v>3.5</v>
      </c>
      <c r="Q140" t="n">
        <v>0</v>
      </c>
      <c r="R140" t="n">
        <v>75</v>
      </c>
      <c r="S140" t="n">
        <v>0</v>
      </c>
      <c r="T140" t="n">
        <v>0</v>
      </c>
      <c r="U140" t="n">
        <v>0</v>
      </c>
      <c r="V140" t="n">
        <v>10.88</v>
      </c>
      <c r="W140" t="n">
        <v>228.38</v>
      </c>
      <c r="X140" t="n">
        <v>217.5</v>
      </c>
      <c r="Y140" t="n">
        <v>19</v>
      </c>
      <c r="Z140" t="n">
        <v>41.32</v>
      </c>
      <c r="AA140" t="n">
        <v>4.2</v>
      </c>
      <c r="AB140" t="n">
        <v>45.52</v>
      </c>
      <c r="AC140" t="n">
        <v>8.199999999999999</v>
      </c>
      <c r="AD140" t="n">
        <v>0</v>
      </c>
      <c r="AE140" t="n">
        <v>217.5</v>
      </c>
      <c r="AF140" t="n">
        <v>0</v>
      </c>
      <c r="AG140" t="n">
        <v>0</v>
      </c>
      <c r="AH140" t="n">
        <v>0.22</v>
      </c>
      <c r="AI140" t="n">
        <v>10.88</v>
      </c>
      <c r="AJ140" t="n">
        <v>0</v>
      </c>
      <c r="AK140" t="n">
        <v>19.3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64.81999999999999</v>
      </c>
      <c r="AV140" t="n">
        <v>0</v>
      </c>
      <c r="AW140" t="n">
        <v>163.56</v>
      </c>
      <c r="AX140" t="inlineStr">
        <is>
          <t>settled</t>
        </is>
      </c>
      <c r="AY140" t="inlineStr">
        <is>
          <t>NA</t>
        </is>
      </c>
      <c r="AZ140" t="inlineStr">
        <is>
          <t>NA</t>
        </is>
      </c>
      <c r="BA140" t="n">
        <v>0</v>
      </c>
      <c r="BB140" t="inlineStr">
        <is>
          <t>e6d3ad110dee25423070949abf23b57b0760adbf4a8edb67fdea845a21fec6c9</t>
        </is>
      </c>
    </row>
    <row r="141">
      <c r="A141" t="inlineStr">
        <is>
          <t>825</t>
        </is>
      </c>
      <c r="B141" t="inlineStr">
        <is>
          <t>7591123345</t>
        </is>
      </c>
      <c r="C141" t="inlineStr">
        <is>
          <t>2025-12-17 22:59:15</t>
        </is>
      </c>
      <c r="D141" t="inlineStr">
        <is>
          <t>51</t>
        </is>
      </c>
      <c r="E141" t="inlineStr">
        <is>
          <t>Sha Sha - Shandaar Shawarma</t>
        </is>
      </c>
      <c r="F141" t="inlineStr">
        <is>
          <t>18557902</t>
        </is>
      </c>
      <c r="G141" t="inlineStr">
        <is>
          <t>30% off upto ₹75 (2025-06-25 - 2031-01-01)</t>
        </is>
      </c>
      <c r="H141" t="inlineStr">
        <is>
          <t>ONLINE</t>
        </is>
      </c>
      <c r="I141" t="inlineStr">
        <is>
          <t>DELIVERED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O2</t>
        </is>
      </c>
      <c r="N141" t="inlineStr">
        <is>
          <t>36</t>
        </is>
      </c>
      <c r="O141" t="n">
        <v>219</v>
      </c>
      <c r="P141" t="n">
        <v>3.5</v>
      </c>
      <c r="Q141" t="n">
        <v>0</v>
      </c>
      <c r="R141" t="n">
        <v>65.7</v>
      </c>
      <c r="S141" t="n">
        <v>0</v>
      </c>
      <c r="T141" t="n">
        <v>0</v>
      </c>
      <c r="U141" t="n">
        <v>0</v>
      </c>
      <c r="V141" t="n">
        <v>7.84</v>
      </c>
      <c r="W141" t="n">
        <v>164.64</v>
      </c>
      <c r="X141" t="n">
        <v>156.8</v>
      </c>
      <c r="Y141" t="n">
        <v>19</v>
      </c>
      <c r="Z141" t="n">
        <v>29.79</v>
      </c>
      <c r="AA141" t="n">
        <v>3.03</v>
      </c>
      <c r="AB141" t="n">
        <v>32.82</v>
      </c>
      <c r="AC141" t="n">
        <v>5.91</v>
      </c>
      <c r="AD141" t="n">
        <v>0</v>
      </c>
      <c r="AE141" t="n">
        <v>156.8</v>
      </c>
      <c r="AF141" t="n">
        <v>0</v>
      </c>
      <c r="AG141" t="n">
        <v>0</v>
      </c>
      <c r="AH141" t="n">
        <v>0.16</v>
      </c>
      <c r="AI141" t="n">
        <v>7.85</v>
      </c>
      <c r="AJ141" t="n">
        <v>-0.01</v>
      </c>
      <c r="AK141" t="n">
        <v>13.92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46.74</v>
      </c>
      <c r="AV141" t="n">
        <v>0</v>
      </c>
      <c r="AW141" t="n">
        <v>117.9</v>
      </c>
      <c r="AX141" t="inlineStr">
        <is>
          <t>settled</t>
        </is>
      </c>
      <c r="AY141" t="inlineStr">
        <is>
          <t>NA</t>
        </is>
      </c>
      <c r="AZ141" t="inlineStr">
        <is>
          <t>NA</t>
        </is>
      </c>
      <c r="BA141" t="n">
        <v>0</v>
      </c>
      <c r="BB141" t="inlineStr">
        <is>
          <t>6ebf2d5769b8b1656d9c8acd138c46bb10dd42b840699deb4698450d5b251550</t>
        </is>
      </c>
    </row>
    <row r="142">
      <c r="A142" t="inlineStr">
        <is>
          <t>826</t>
        </is>
      </c>
      <c r="B142" t="inlineStr">
        <is>
          <t>7593818602</t>
        </is>
      </c>
      <c r="C142" t="inlineStr">
        <is>
          <t>2025-12-17 23:04:02</t>
        </is>
      </c>
      <c r="D142" t="inlineStr">
        <is>
          <t>51</t>
        </is>
      </c>
      <c r="E142" t="inlineStr">
        <is>
          <t>Sha Sha - Shandaar Shawarma</t>
        </is>
      </c>
      <c r="F142" t="inlineStr">
        <is>
          <t>18557902</t>
        </is>
      </c>
      <c r="G142" t="inlineStr">
        <is>
          <t>30% off upto ₹75 (2025-06-25 - 2031-01-01)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O2</t>
        </is>
      </c>
      <c r="N142" t="inlineStr">
        <is>
          <t>36</t>
        </is>
      </c>
      <c r="O142" t="n">
        <v>229</v>
      </c>
      <c r="P142" t="n">
        <v>3.5</v>
      </c>
      <c r="Q142" t="n">
        <v>0</v>
      </c>
      <c r="R142" t="n">
        <v>68.7</v>
      </c>
      <c r="S142" t="n">
        <v>0</v>
      </c>
      <c r="T142" t="n">
        <v>0</v>
      </c>
      <c r="U142" t="n">
        <v>0</v>
      </c>
      <c r="V142" t="n">
        <v>8.19</v>
      </c>
      <c r="W142" t="n">
        <v>171.99</v>
      </c>
      <c r="X142" t="n">
        <v>163.8</v>
      </c>
      <c r="Y142" t="n">
        <v>19</v>
      </c>
      <c r="Z142" t="n">
        <v>31.12</v>
      </c>
      <c r="AA142" t="n">
        <v>3.16</v>
      </c>
      <c r="AB142" t="n">
        <v>34.28</v>
      </c>
      <c r="AC142" t="n">
        <v>6.17</v>
      </c>
      <c r="AD142" t="n">
        <v>0</v>
      </c>
      <c r="AE142" t="n">
        <v>163.8</v>
      </c>
      <c r="AF142" t="n">
        <v>0</v>
      </c>
      <c r="AG142" t="n">
        <v>0</v>
      </c>
      <c r="AH142" t="n">
        <v>0.16</v>
      </c>
      <c r="AI142" t="n">
        <v>8.199999999999999</v>
      </c>
      <c r="AJ142" t="n">
        <v>-0.01</v>
      </c>
      <c r="AK142" t="n">
        <v>14.53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48.81</v>
      </c>
      <c r="AV142" t="n">
        <v>0</v>
      </c>
      <c r="AW142" t="n">
        <v>123.18</v>
      </c>
      <c r="AX142" t="inlineStr">
        <is>
          <t>settled</t>
        </is>
      </c>
      <c r="AY142" t="inlineStr">
        <is>
          <t>NA</t>
        </is>
      </c>
      <c r="AZ142" t="inlineStr">
        <is>
          <t>NA</t>
        </is>
      </c>
      <c r="BA142" t="n">
        <v>0</v>
      </c>
      <c r="BB142" t="inlineStr">
        <is>
          <t>fe8d3f91e8daeea172b1b64411a6eee2e45a748f67a0f17820e05681d373c607</t>
        </is>
      </c>
    </row>
    <row r="143">
      <c r="A143" t="inlineStr">
        <is>
          <t>827</t>
        </is>
      </c>
      <c r="B143" t="inlineStr">
        <is>
          <t>7576312781</t>
        </is>
      </c>
      <c r="C143" t="inlineStr">
        <is>
          <t>2025-12-17 23:16:03</t>
        </is>
      </c>
      <c r="D143" t="inlineStr">
        <is>
          <t>51</t>
        </is>
      </c>
      <c r="E143" t="inlineStr">
        <is>
          <t>Sha Sha - Shandaar Shawarma</t>
        </is>
      </c>
      <c r="F143" t="inlineStr">
        <is>
          <t>18557902</t>
        </is>
      </c>
      <c r="G143" t="inlineStr">
        <is>
          <t>30% off upto ₹75 (2025-06-25 - 2031-01-01)</t>
        </is>
      </c>
      <c r="H143" t="inlineStr">
        <is>
          <t>ONLINE</t>
        </is>
      </c>
      <c r="I143" t="inlineStr">
        <is>
          <t>DELIVERED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O2</t>
        </is>
      </c>
      <c r="N143" t="inlineStr">
        <is>
          <t>36</t>
        </is>
      </c>
      <c r="O143" t="n">
        <v>219</v>
      </c>
      <c r="P143" t="n">
        <v>3.5</v>
      </c>
      <c r="Q143" t="n">
        <v>0</v>
      </c>
      <c r="R143" t="n">
        <v>65.7</v>
      </c>
      <c r="S143" t="n">
        <v>0</v>
      </c>
      <c r="T143" t="n">
        <v>0</v>
      </c>
      <c r="U143" t="n">
        <v>0</v>
      </c>
      <c r="V143" t="n">
        <v>7.84</v>
      </c>
      <c r="W143" t="n">
        <v>164.64</v>
      </c>
      <c r="X143" t="n">
        <v>156.8</v>
      </c>
      <c r="Y143" t="n">
        <v>19</v>
      </c>
      <c r="Z143" t="n">
        <v>29.79</v>
      </c>
      <c r="AA143" t="n">
        <v>3.03</v>
      </c>
      <c r="AB143" t="n">
        <v>32.82</v>
      </c>
      <c r="AC143" t="n">
        <v>5.91</v>
      </c>
      <c r="AD143" t="n">
        <v>0</v>
      </c>
      <c r="AE143" t="n">
        <v>156.8</v>
      </c>
      <c r="AF143" t="n">
        <v>0</v>
      </c>
      <c r="AG143" t="n">
        <v>0</v>
      </c>
      <c r="AH143" t="n">
        <v>0.16</v>
      </c>
      <c r="AI143" t="n">
        <v>7.85</v>
      </c>
      <c r="AJ143" t="n">
        <v>-0.01</v>
      </c>
      <c r="AK143" t="n">
        <v>13.92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46.74</v>
      </c>
      <c r="AV143" t="n">
        <v>0</v>
      </c>
      <c r="AW143" t="n">
        <v>117.9</v>
      </c>
      <c r="AX143" t="inlineStr">
        <is>
          <t>settled</t>
        </is>
      </c>
      <c r="AY143" t="inlineStr">
        <is>
          <t>NA</t>
        </is>
      </c>
      <c r="AZ143" t="inlineStr">
        <is>
          <t>NA</t>
        </is>
      </c>
      <c r="BA143" t="n">
        <v>0</v>
      </c>
      <c r="BB143" t="inlineStr">
        <is>
          <t>1f7851a4315ac5c0aafd1866e40379128e2deab1177413fe2366cef93917dc62</t>
        </is>
      </c>
    </row>
    <row r="144">
      <c r="A144" t="inlineStr">
        <is>
          <t>828</t>
        </is>
      </c>
      <c r="B144" t="inlineStr">
        <is>
          <t>7583156309</t>
        </is>
      </c>
      <c r="C144" t="inlineStr">
        <is>
          <t>2025-12-17 23:32:17</t>
        </is>
      </c>
      <c r="D144" t="inlineStr">
        <is>
          <t>51</t>
        </is>
      </c>
      <c r="E144" t="inlineStr">
        <is>
          <t>Sha Sha - Shandaar Shawarma</t>
        </is>
      </c>
      <c r="F144" t="inlineStr">
        <is>
          <t>18557902</t>
        </is>
      </c>
      <c r="G144" t="inlineStr">
        <is>
          <t>NA</t>
        </is>
      </c>
      <c r="H144" t="inlineStr">
        <is>
          <t>ONLINE</t>
        </is>
      </c>
      <c r="I144" t="inlineStr">
        <is>
          <t>DELIVERED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O2</t>
        </is>
      </c>
      <c r="N144" t="inlineStr">
        <is>
          <t>36</t>
        </is>
      </c>
      <c r="O144" t="n">
        <v>229</v>
      </c>
      <c r="P144" t="n">
        <v>3.5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11.63</v>
      </c>
      <c r="W144" t="n">
        <v>244.13</v>
      </c>
      <c r="X144" t="n">
        <v>232.5</v>
      </c>
      <c r="Y144" t="n">
        <v>19</v>
      </c>
      <c r="Z144" t="n">
        <v>44.18</v>
      </c>
      <c r="AA144" t="n">
        <v>4.49</v>
      </c>
      <c r="AB144" t="n">
        <v>48.67</v>
      </c>
      <c r="AC144" t="n">
        <v>8.76</v>
      </c>
      <c r="AD144" t="n">
        <v>0</v>
      </c>
      <c r="AE144" t="n">
        <v>232.5</v>
      </c>
      <c r="AF144" t="n">
        <v>0</v>
      </c>
      <c r="AG144" t="n">
        <v>0</v>
      </c>
      <c r="AH144" t="n">
        <v>0.23</v>
      </c>
      <c r="AI144" t="n">
        <v>11.63</v>
      </c>
      <c r="AJ144" t="n">
        <v>0</v>
      </c>
      <c r="AK144" t="n">
        <v>20.62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69.29000000000001</v>
      </c>
      <c r="AV144" t="n">
        <v>0</v>
      </c>
      <c r="AW144" t="n">
        <v>174.84</v>
      </c>
      <c r="AX144" t="inlineStr">
        <is>
          <t>settled</t>
        </is>
      </c>
      <c r="AY144" t="inlineStr">
        <is>
          <t>NA</t>
        </is>
      </c>
      <c r="AZ144" t="inlineStr">
        <is>
          <t>NA</t>
        </is>
      </c>
      <c r="BA144" t="n">
        <v>0</v>
      </c>
      <c r="BB144" t="inlineStr">
        <is>
          <t>8a9f46eff79a3840a02e377cc2ab8767c5152efcffded65e3cee52a57eee1773</t>
        </is>
      </c>
    </row>
    <row r="145">
      <c r="A145" t="inlineStr">
        <is>
          <t>829</t>
        </is>
      </c>
      <c r="B145" t="inlineStr">
        <is>
          <t>7593316331</t>
        </is>
      </c>
      <c r="C145" t="inlineStr">
        <is>
          <t>2025-12-17 23:40:33</t>
        </is>
      </c>
      <c r="D145" t="inlineStr">
        <is>
          <t>51</t>
        </is>
      </c>
      <c r="E145" t="inlineStr">
        <is>
          <t>Sha Sha - Shandaar Shawarma</t>
        </is>
      </c>
      <c r="F145" t="inlineStr">
        <is>
          <t>18557902</t>
        </is>
      </c>
      <c r="G145" t="inlineStr">
        <is>
          <t>30% off upto ₹75 (2025-06-25 - 2031-01-01)</t>
        </is>
      </c>
      <c r="H145" t="inlineStr">
        <is>
          <t>ONLINE</t>
        </is>
      </c>
      <c r="I145" t="inlineStr">
        <is>
          <t>DELIVERED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O2</t>
        </is>
      </c>
      <c r="N145" t="inlineStr">
        <is>
          <t>36</t>
        </is>
      </c>
      <c r="O145" t="n">
        <v>229</v>
      </c>
      <c r="P145" t="n">
        <v>3.5</v>
      </c>
      <c r="Q145" t="n">
        <v>0</v>
      </c>
      <c r="R145" t="n">
        <v>68.7</v>
      </c>
      <c r="S145" t="n">
        <v>0</v>
      </c>
      <c r="T145" t="n">
        <v>0</v>
      </c>
      <c r="U145" t="n">
        <v>0</v>
      </c>
      <c r="V145" t="n">
        <v>8.19</v>
      </c>
      <c r="W145" t="n">
        <v>171.99</v>
      </c>
      <c r="X145" t="n">
        <v>163.8</v>
      </c>
      <c r="Y145" t="n">
        <v>19</v>
      </c>
      <c r="Z145" t="n">
        <v>31.12</v>
      </c>
      <c r="AA145" t="n">
        <v>3.16</v>
      </c>
      <c r="AB145" t="n">
        <v>34.28</v>
      </c>
      <c r="AC145" t="n">
        <v>6.17</v>
      </c>
      <c r="AD145" t="n">
        <v>0</v>
      </c>
      <c r="AE145" t="n">
        <v>163.8</v>
      </c>
      <c r="AF145" t="n">
        <v>0</v>
      </c>
      <c r="AG145" t="n">
        <v>0</v>
      </c>
      <c r="AH145" t="n">
        <v>0.16</v>
      </c>
      <c r="AI145" t="n">
        <v>8.199999999999999</v>
      </c>
      <c r="AJ145" t="n">
        <v>-0.01</v>
      </c>
      <c r="AK145" t="n">
        <v>14.53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48.81</v>
      </c>
      <c r="AV145" t="n">
        <v>0</v>
      </c>
      <c r="AW145" t="n">
        <v>123.18</v>
      </c>
      <c r="AX145" t="inlineStr">
        <is>
          <t>settled</t>
        </is>
      </c>
      <c r="AY145" t="inlineStr">
        <is>
          <t>NA</t>
        </is>
      </c>
      <c r="AZ145" t="inlineStr">
        <is>
          <t>NA</t>
        </is>
      </c>
      <c r="BA145" t="n">
        <v>0</v>
      </c>
      <c r="BB145" t="inlineStr">
        <is>
          <t>03f31a617c0d0d8ed91969db274e8727355b418a639229b4223eb5e51bbc3770</t>
        </is>
      </c>
    </row>
    <row r="146">
      <c r="A146" t="inlineStr">
        <is>
          <t>830</t>
        </is>
      </c>
      <c r="B146" t="inlineStr">
        <is>
          <t>7592922384</t>
        </is>
      </c>
      <c r="C146" t="inlineStr">
        <is>
          <t>2025-12-17 23:40:58</t>
        </is>
      </c>
      <c r="D146" t="inlineStr">
        <is>
          <t>51</t>
        </is>
      </c>
      <c r="E146" t="inlineStr">
        <is>
          <t>Sha Sha - Shandaar Shawarma</t>
        </is>
      </c>
      <c r="F146" t="inlineStr">
        <is>
          <t>18557902</t>
        </is>
      </c>
      <c r="G146" t="inlineStr">
        <is>
          <t>30% off upto ₹75 (2025-06-25 - 2031-01-01)</t>
        </is>
      </c>
      <c r="H146" t="inlineStr">
        <is>
          <t>ONLINE</t>
        </is>
      </c>
      <c r="I146" t="inlineStr">
        <is>
          <t>DELIVERED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O2</t>
        </is>
      </c>
      <c r="N146" t="inlineStr">
        <is>
          <t>36</t>
        </is>
      </c>
      <c r="O146" t="n">
        <v>229</v>
      </c>
      <c r="P146" t="n">
        <v>3.5</v>
      </c>
      <c r="Q146" t="n">
        <v>0</v>
      </c>
      <c r="R146" t="n">
        <v>68.7</v>
      </c>
      <c r="S146" t="n">
        <v>0</v>
      </c>
      <c r="T146" t="n">
        <v>0</v>
      </c>
      <c r="U146" t="n">
        <v>0</v>
      </c>
      <c r="V146" t="n">
        <v>8.19</v>
      </c>
      <c r="W146" t="n">
        <v>171.99</v>
      </c>
      <c r="X146" t="n">
        <v>163.8</v>
      </c>
      <c r="Y146" t="n">
        <v>19</v>
      </c>
      <c r="Z146" t="n">
        <v>31.12</v>
      </c>
      <c r="AA146" t="n">
        <v>3.16</v>
      </c>
      <c r="AB146" t="n">
        <v>34.28</v>
      </c>
      <c r="AC146" t="n">
        <v>6.17</v>
      </c>
      <c r="AD146" t="n">
        <v>0</v>
      </c>
      <c r="AE146" t="n">
        <v>163.8</v>
      </c>
      <c r="AF146" t="n">
        <v>0</v>
      </c>
      <c r="AG146" t="n">
        <v>0</v>
      </c>
      <c r="AH146" t="n">
        <v>0.16</v>
      </c>
      <c r="AI146" t="n">
        <v>8.199999999999999</v>
      </c>
      <c r="AJ146" t="n">
        <v>-0.01</v>
      </c>
      <c r="AK146" t="n">
        <v>14.53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48.81</v>
      </c>
      <c r="AV146" t="n">
        <v>0</v>
      </c>
      <c r="AW146" t="n">
        <v>123.18</v>
      </c>
      <c r="AX146" t="inlineStr">
        <is>
          <t>settled</t>
        </is>
      </c>
      <c r="AY146" t="inlineStr">
        <is>
          <t>NA</t>
        </is>
      </c>
      <c r="AZ146" t="inlineStr">
        <is>
          <t>NA</t>
        </is>
      </c>
      <c r="BA146" t="n">
        <v>0</v>
      </c>
      <c r="BB146" t="inlineStr">
        <is>
          <t>5dc22ad59323026a06ce124e00e0d720f2404d2315f8654a6ce17bc7f9c34ac8</t>
        </is>
      </c>
    </row>
    <row r="147">
      <c r="A147" t="inlineStr">
        <is>
          <t>831</t>
        </is>
      </c>
      <c r="B147" t="inlineStr">
        <is>
          <t>7590524338</t>
        </is>
      </c>
      <c r="C147" t="inlineStr">
        <is>
          <t>2025-12-17 23:50:53</t>
        </is>
      </c>
      <c r="D147" t="inlineStr">
        <is>
          <t>51</t>
        </is>
      </c>
      <c r="E147" t="inlineStr">
        <is>
          <t>Sha Sha - Shandaar Shawarma</t>
        </is>
      </c>
      <c r="F147" t="inlineStr">
        <is>
          <t>18557902</t>
        </is>
      </c>
      <c r="G147" t="inlineStr">
        <is>
          <t>30% off upto ₹75 (2025-06-25 - 2031-01-01)</t>
        </is>
      </c>
      <c r="H147" t="inlineStr">
        <is>
          <t>ONLINE</t>
        </is>
      </c>
      <c r="I147" t="inlineStr">
        <is>
          <t>DELIVERED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O2</t>
        </is>
      </c>
      <c r="N147" t="inlineStr">
        <is>
          <t>36</t>
        </is>
      </c>
      <c r="O147" t="n">
        <v>458</v>
      </c>
      <c r="P147" t="n">
        <v>3.5</v>
      </c>
      <c r="Q147" t="n">
        <v>0</v>
      </c>
      <c r="R147" t="n">
        <v>75</v>
      </c>
      <c r="S147" t="n">
        <v>0</v>
      </c>
      <c r="T147" t="n">
        <v>0</v>
      </c>
      <c r="U147" t="n">
        <v>0</v>
      </c>
      <c r="V147" t="n">
        <v>19.33</v>
      </c>
      <c r="W147" t="n">
        <v>405.83</v>
      </c>
      <c r="X147" t="n">
        <v>386.5</v>
      </c>
      <c r="Y147" t="n">
        <v>19</v>
      </c>
      <c r="Z147" t="n">
        <v>73.44</v>
      </c>
      <c r="AA147" t="n">
        <v>7.47</v>
      </c>
      <c r="AB147" t="n">
        <v>80.91</v>
      </c>
      <c r="AC147" t="n">
        <v>14.56</v>
      </c>
      <c r="AD147" t="n">
        <v>0</v>
      </c>
      <c r="AE147" t="n">
        <v>386.5</v>
      </c>
      <c r="AF147" t="n">
        <v>0</v>
      </c>
      <c r="AG147" t="n">
        <v>0</v>
      </c>
      <c r="AH147" t="n">
        <v>0.39</v>
      </c>
      <c r="AI147" t="n">
        <v>19.33</v>
      </c>
      <c r="AJ147" t="n">
        <v>0</v>
      </c>
      <c r="AK147" t="n">
        <v>34.28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115.19</v>
      </c>
      <c r="AV147" t="n">
        <v>0</v>
      </c>
      <c r="AW147" t="n">
        <v>290.64</v>
      </c>
      <c r="AX147" t="inlineStr">
        <is>
          <t>settled</t>
        </is>
      </c>
      <c r="AY147" t="inlineStr">
        <is>
          <t>NA</t>
        </is>
      </c>
      <c r="AZ147" t="inlineStr">
        <is>
          <t>NA</t>
        </is>
      </c>
      <c r="BA147" t="n">
        <v>0</v>
      </c>
      <c r="BB147" t="inlineStr">
        <is>
          <t>234cebdd2834bdab0d212f79bf848889a34026e584330f0e81778e0f30704774</t>
        </is>
      </c>
    </row>
    <row r="148">
      <c r="A148" t="inlineStr">
        <is>
          <t>832</t>
        </is>
      </c>
      <c r="B148" t="inlineStr">
        <is>
          <t>7594447073</t>
        </is>
      </c>
      <c r="C148" t="inlineStr">
        <is>
          <t>2025-12-18 00:36:36</t>
        </is>
      </c>
      <c r="D148" t="inlineStr">
        <is>
          <t>51</t>
        </is>
      </c>
      <c r="E148" t="inlineStr">
        <is>
          <t>Sha Sha - Shandaar Shawarma</t>
        </is>
      </c>
      <c r="F148" t="inlineStr">
        <is>
          <t>18557902</t>
        </is>
      </c>
      <c r="G148" t="inlineStr">
        <is>
          <t>30% off upto ₹75 (2025-06-25 - 2031-01-01)</t>
        </is>
      </c>
      <c r="H148" t="inlineStr">
        <is>
          <t>ONLINE</t>
        </is>
      </c>
      <c r="I148" t="inlineStr">
        <is>
          <t>DELIVERED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O2</t>
        </is>
      </c>
      <c r="N148" t="inlineStr">
        <is>
          <t>36</t>
        </is>
      </c>
      <c r="O148" t="n">
        <v>407</v>
      </c>
      <c r="P148" t="n">
        <v>3.5</v>
      </c>
      <c r="Q148" t="n">
        <v>0</v>
      </c>
      <c r="R148" t="n">
        <v>75</v>
      </c>
      <c r="S148" t="n">
        <v>0</v>
      </c>
      <c r="T148" t="n">
        <v>0</v>
      </c>
      <c r="U148" t="n">
        <v>0</v>
      </c>
      <c r="V148" t="n">
        <v>16.78</v>
      </c>
      <c r="W148" t="n">
        <v>352.28</v>
      </c>
      <c r="X148" t="n">
        <v>335.5</v>
      </c>
      <c r="Y148" t="n">
        <v>19</v>
      </c>
      <c r="Z148" t="n">
        <v>63.74</v>
      </c>
      <c r="AA148" t="n">
        <v>6.48</v>
      </c>
      <c r="AB148" t="n">
        <v>70.22</v>
      </c>
      <c r="AC148" t="n">
        <v>12.64</v>
      </c>
      <c r="AD148" t="n">
        <v>0</v>
      </c>
      <c r="AE148" t="n">
        <v>335.5</v>
      </c>
      <c r="AF148" t="n">
        <v>0</v>
      </c>
      <c r="AG148" t="n">
        <v>0</v>
      </c>
      <c r="AH148" t="n">
        <v>0.34</v>
      </c>
      <c r="AI148" t="n">
        <v>16.78</v>
      </c>
      <c r="AJ148" t="n">
        <v>0</v>
      </c>
      <c r="AK148" t="n">
        <v>29.76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99.98</v>
      </c>
      <c r="AV148" t="n">
        <v>0</v>
      </c>
      <c r="AW148" t="n">
        <v>252.3</v>
      </c>
      <c r="AX148" t="inlineStr">
        <is>
          <t>settled</t>
        </is>
      </c>
      <c r="AY148" t="inlineStr">
        <is>
          <t>NA</t>
        </is>
      </c>
      <c r="AZ148" t="inlineStr">
        <is>
          <t>NA</t>
        </is>
      </c>
      <c r="BA148" t="n">
        <v>0</v>
      </c>
      <c r="BB148" t="inlineStr">
        <is>
          <t>bd6bdac52964cebef12bb39d5dbf71fba9de5c859d846e4271a04fcd0f0c9919</t>
        </is>
      </c>
    </row>
    <row r="149">
      <c r="A149" t="inlineStr">
        <is>
          <t>833</t>
        </is>
      </c>
      <c r="B149" t="inlineStr">
        <is>
          <t>7594683559</t>
        </is>
      </c>
      <c r="C149" t="inlineStr">
        <is>
          <t>2025-12-18 00:50:32</t>
        </is>
      </c>
      <c r="D149" t="inlineStr">
        <is>
          <t>51</t>
        </is>
      </c>
      <c r="E149" t="inlineStr">
        <is>
          <t>Sha Sha - Shandaar Shawarma</t>
        </is>
      </c>
      <c r="F149" t="inlineStr">
        <is>
          <t>18557902</t>
        </is>
      </c>
      <c r="G149" t="inlineStr">
        <is>
          <t>30% off upto ₹75 (2025-06-25 - 2031-01-01)</t>
        </is>
      </c>
      <c r="H149" t="inlineStr">
        <is>
          <t>ONLINE</t>
        </is>
      </c>
      <c r="I149" t="inlineStr">
        <is>
          <t>DELIVERED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O2</t>
        </is>
      </c>
      <c r="N149" t="inlineStr">
        <is>
          <t>36</t>
        </is>
      </c>
      <c r="O149" t="n">
        <v>229</v>
      </c>
      <c r="P149" t="n">
        <v>3.5</v>
      </c>
      <c r="Q149" t="n">
        <v>0</v>
      </c>
      <c r="R149" t="n">
        <v>68.7</v>
      </c>
      <c r="S149" t="n">
        <v>0</v>
      </c>
      <c r="T149" t="n">
        <v>0</v>
      </c>
      <c r="U149" t="n">
        <v>0</v>
      </c>
      <c r="V149" t="n">
        <v>8.19</v>
      </c>
      <c r="W149" t="n">
        <v>171.99</v>
      </c>
      <c r="X149" t="n">
        <v>163.8</v>
      </c>
      <c r="Y149" t="n">
        <v>19</v>
      </c>
      <c r="Z149" t="n">
        <v>31.12</v>
      </c>
      <c r="AA149" t="n">
        <v>3.16</v>
      </c>
      <c r="AB149" t="n">
        <v>34.28</v>
      </c>
      <c r="AC149" t="n">
        <v>6.17</v>
      </c>
      <c r="AD149" t="n">
        <v>0</v>
      </c>
      <c r="AE149" t="n">
        <v>163.8</v>
      </c>
      <c r="AF149" t="n">
        <v>0</v>
      </c>
      <c r="AG149" t="n">
        <v>0</v>
      </c>
      <c r="AH149" t="n">
        <v>0.16</v>
      </c>
      <c r="AI149" t="n">
        <v>8.199999999999999</v>
      </c>
      <c r="AJ149" t="n">
        <v>-0.01</v>
      </c>
      <c r="AK149" t="n">
        <v>14.53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48.81</v>
      </c>
      <c r="AV149" t="n">
        <v>0</v>
      </c>
      <c r="AW149" t="n">
        <v>123.18</v>
      </c>
      <c r="AX149" t="inlineStr">
        <is>
          <t>settled</t>
        </is>
      </c>
      <c r="AY149" t="inlineStr">
        <is>
          <t>NA</t>
        </is>
      </c>
      <c r="AZ149" t="inlineStr">
        <is>
          <t>NA</t>
        </is>
      </c>
      <c r="BA149" t="n">
        <v>0</v>
      </c>
      <c r="BB149" t="inlineStr">
        <is>
          <t>ff15cc773c085e238a69f19db58a6ec992a37a33513c9d7ddedee7fe15fb9147</t>
        </is>
      </c>
    </row>
    <row r="150">
      <c r="A150" t="inlineStr">
        <is>
          <t>834</t>
        </is>
      </c>
      <c r="B150" t="inlineStr">
        <is>
          <t>7587227704</t>
        </is>
      </c>
      <c r="C150" t="inlineStr">
        <is>
          <t>2025-12-18 01:53:13</t>
        </is>
      </c>
      <c r="D150" t="inlineStr">
        <is>
          <t>51</t>
        </is>
      </c>
      <c r="E150" t="inlineStr">
        <is>
          <t>Sha Sha - Shandaar Shawarma</t>
        </is>
      </c>
      <c r="F150" t="inlineStr">
        <is>
          <t>18557902</t>
        </is>
      </c>
      <c r="G150" t="inlineStr">
        <is>
          <t>30% off upto ₹75 (2025-06-25 - 2031-01-01)</t>
        </is>
      </c>
      <c r="H150" t="inlineStr">
        <is>
          <t>ONLINE</t>
        </is>
      </c>
      <c r="I150" t="inlineStr">
        <is>
          <t>DELIVERED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O2</t>
        </is>
      </c>
      <c r="N150" t="inlineStr">
        <is>
          <t>36</t>
        </is>
      </c>
      <c r="O150" t="n">
        <v>438</v>
      </c>
      <c r="P150" t="n">
        <v>3.5</v>
      </c>
      <c r="Q150" t="n">
        <v>0</v>
      </c>
      <c r="R150" t="n">
        <v>75</v>
      </c>
      <c r="S150" t="n">
        <v>0</v>
      </c>
      <c r="T150" t="n">
        <v>0</v>
      </c>
      <c r="U150" t="n">
        <v>0</v>
      </c>
      <c r="V150" t="n">
        <v>18.33</v>
      </c>
      <c r="W150" t="n">
        <v>384.83</v>
      </c>
      <c r="X150" t="n">
        <v>366.5</v>
      </c>
      <c r="Y150" t="n">
        <v>19</v>
      </c>
      <c r="Z150" t="n">
        <v>69.64</v>
      </c>
      <c r="AA150" t="n">
        <v>7.08</v>
      </c>
      <c r="AB150" t="n">
        <v>76.72</v>
      </c>
      <c r="AC150" t="n">
        <v>13.81</v>
      </c>
      <c r="AD150" t="n">
        <v>0</v>
      </c>
      <c r="AE150" t="n">
        <v>366.5</v>
      </c>
      <c r="AF150" t="n">
        <v>0</v>
      </c>
      <c r="AG150" t="n">
        <v>0</v>
      </c>
      <c r="AH150" t="n">
        <v>0.37</v>
      </c>
      <c r="AI150" t="n">
        <v>18.33</v>
      </c>
      <c r="AJ150" t="n">
        <v>0</v>
      </c>
      <c r="AK150" t="n">
        <v>32.51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109.23</v>
      </c>
      <c r="AV150" t="n">
        <v>0</v>
      </c>
      <c r="AW150" t="n">
        <v>275.6</v>
      </c>
      <c r="AX150" t="inlineStr">
        <is>
          <t>settled</t>
        </is>
      </c>
      <c r="AY150" t="inlineStr">
        <is>
          <t>NA</t>
        </is>
      </c>
      <c r="AZ150" t="inlineStr">
        <is>
          <t>NA</t>
        </is>
      </c>
      <c r="BA150" t="n">
        <v>0</v>
      </c>
      <c r="BB150" t="inlineStr">
        <is>
          <t>b9a893d3ffff2804120608716d14426061eb43bb787de078241505e58e492037</t>
        </is>
      </c>
    </row>
    <row r="151">
      <c r="A151" t="inlineStr">
        <is>
          <t>835</t>
        </is>
      </c>
      <c r="B151" t="inlineStr">
        <is>
          <t>7592170020</t>
        </is>
      </c>
      <c r="C151" t="inlineStr">
        <is>
          <t>2025-12-18 02:08:10</t>
        </is>
      </c>
      <c r="D151" t="inlineStr">
        <is>
          <t>51</t>
        </is>
      </c>
      <c r="E151" t="inlineStr">
        <is>
          <t>Sha Sha - Shandaar Shawarma</t>
        </is>
      </c>
      <c r="F151" t="inlineStr">
        <is>
          <t>18557902</t>
        </is>
      </c>
      <c r="G151" t="inlineStr">
        <is>
          <t>30% off upto ₹75 (2025-06-25 - 2031-01-01)</t>
        </is>
      </c>
      <c r="H151" t="inlineStr">
        <is>
          <t>ONLINE</t>
        </is>
      </c>
      <c r="I151" t="inlineStr">
        <is>
          <t>DELIVERED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O2</t>
        </is>
      </c>
      <c r="N151" t="inlineStr">
        <is>
          <t>36</t>
        </is>
      </c>
      <c r="O151" t="n">
        <v>229</v>
      </c>
      <c r="P151" t="n">
        <v>3.5</v>
      </c>
      <c r="Q151" t="n">
        <v>0</v>
      </c>
      <c r="R151" t="n">
        <v>68.7</v>
      </c>
      <c r="S151" t="n">
        <v>0</v>
      </c>
      <c r="T151" t="n">
        <v>0</v>
      </c>
      <c r="U151" t="n">
        <v>0</v>
      </c>
      <c r="V151" t="n">
        <v>8.19</v>
      </c>
      <c r="W151" t="n">
        <v>171.99</v>
      </c>
      <c r="X151" t="n">
        <v>163.8</v>
      </c>
      <c r="Y151" t="n">
        <v>19</v>
      </c>
      <c r="Z151" t="n">
        <v>31.12</v>
      </c>
      <c r="AA151" t="n">
        <v>3.16</v>
      </c>
      <c r="AB151" t="n">
        <v>34.28</v>
      </c>
      <c r="AC151" t="n">
        <v>6.17</v>
      </c>
      <c r="AD151" t="n">
        <v>0</v>
      </c>
      <c r="AE151" t="n">
        <v>163.8</v>
      </c>
      <c r="AF151" t="n">
        <v>0</v>
      </c>
      <c r="AG151" t="n">
        <v>0</v>
      </c>
      <c r="AH151" t="n">
        <v>0.16</v>
      </c>
      <c r="AI151" t="n">
        <v>8.199999999999999</v>
      </c>
      <c r="AJ151" t="n">
        <v>-0.01</v>
      </c>
      <c r="AK151" t="n">
        <v>14.53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48.81</v>
      </c>
      <c r="AV151" t="n">
        <v>0</v>
      </c>
      <c r="AW151" t="n">
        <v>123.18</v>
      </c>
      <c r="AX151" t="inlineStr">
        <is>
          <t>settled</t>
        </is>
      </c>
      <c r="AY151" t="inlineStr">
        <is>
          <t>NA</t>
        </is>
      </c>
      <c r="AZ151" t="inlineStr">
        <is>
          <t>NA</t>
        </is>
      </c>
      <c r="BA151" t="n">
        <v>0</v>
      </c>
      <c r="BB151" t="inlineStr">
        <is>
          <t>c7241f6af7bd606ba9c9d7267ebb33e5e2d52940cbba83627603e0bbc83ba96b</t>
        </is>
      </c>
    </row>
    <row r="152">
      <c r="A152" t="inlineStr">
        <is>
          <t>836</t>
        </is>
      </c>
      <c r="B152" t="inlineStr">
        <is>
          <t>7590254453</t>
        </is>
      </c>
      <c r="C152" t="inlineStr">
        <is>
          <t>2025-12-18 02:08:50</t>
        </is>
      </c>
      <c r="D152" t="inlineStr">
        <is>
          <t>51</t>
        </is>
      </c>
      <c r="E152" t="inlineStr">
        <is>
          <t>Sha Sha - Shandaar Shawarma</t>
        </is>
      </c>
      <c r="F152" t="inlineStr">
        <is>
          <t>18557902</t>
        </is>
      </c>
      <c r="G152" t="inlineStr">
        <is>
          <t>30% off upto ₹75 (2025-06-25 - 2031-01-01)</t>
        </is>
      </c>
      <c r="H152" t="inlineStr">
        <is>
          <t>ONLINE</t>
        </is>
      </c>
      <c r="I152" t="inlineStr">
        <is>
          <t>DELIVERED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O2</t>
        </is>
      </c>
      <c r="N152" t="inlineStr">
        <is>
          <t>36</t>
        </is>
      </c>
      <c r="O152" t="n">
        <v>229</v>
      </c>
      <c r="P152" t="n">
        <v>3.5</v>
      </c>
      <c r="Q152" t="n">
        <v>0</v>
      </c>
      <c r="R152" t="n">
        <v>68.7</v>
      </c>
      <c r="S152" t="n">
        <v>0</v>
      </c>
      <c r="T152" t="n">
        <v>0</v>
      </c>
      <c r="U152" t="n">
        <v>0</v>
      </c>
      <c r="V152" t="n">
        <v>8.19</v>
      </c>
      <c r="W152" t="n">
        <v>171.99</v>
      </c>
      <c r="X152" t="n">
        <v>163.8</v>
      </c>
      <c r="Y152" t="n">
        <v>19</v>
      </c>
      <c r="Z152" t="n">
        <v>31.12</v>
      </c>
      <c r="AA152" t="n">
        <v>3.16</v>
      </c>
      <c r="AB152" t="n">
        <v>34.28</v>
      </c>
      <c r="AC152" t="n">
        <v>6.17</v>
      </c>
      <c r="AD152" t="n">
        <v>0</v>
      </c>
      <c r="AE152" t="n">
        <v>163.8</v>
      </c>
      <c r="AF152" t="n">
        <v>0</v>
      </c>
      <c r="AG152" t="n">
        <v>0</v>
      </c>
      <c r="AH152" t="n">
        <v>0.16</v>
      </c>
      <c r="AI152" t="n">
        <v>8.199999999999999</v>
      </c>
      <c r="AJ152" t="n">
        <v>-0.01</v>
      </c>
      <c r="AK152" t="n">
        <v>14.53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48.81</v>
      </c>
      <c r="AV152" t="n">
        <v>0</v>
      </c>
      <c r="AW152" t="n">
        <v>123.18</v>
      </c>
      <c r="AX152" t="inlineStr">
        <is>
          <t>settled</t>
        </is>
      </c>
      <c r="AY152" t="inlineStr">
        <is>
          <t>NA</t>
        </is>
      </c>
      <c r="AZ152" t="inlineStr">
        <is>
          <t>NA</t>
        </is>
      </c>
      <c r="BA152" t="n">
        <v>0</v>
      </c>
      <c r="BB152" t="inlineStr">
        <is>
          <t>4c99d85ae14de6bcde6ae29f860dc2570a239a29b93c5a2e7ff632af32c509bf</t>
        </is>
      </c>
    </row>
    <row r="153">
      <c r="A153" t="inlineStr">
        <is>
          <t>837</t>
        </is>
      </c>
      <c r="B153" t="inlineStr">
        <is>
          <t>7590106482</t>
        </is>
      </c>
      <c r="C153" t="inlineStr">
        <is>
          <t>2025-12-18 02:14:15</t>
        </is>
      </c>
      <c r="D153" t="inlineStr">
        <is>
          <t>51</t>
        </is>
      </c>
      <c r="E153" t="inlineStr">
        <is>
          <t>Sha Sha - Shandaar Shawarma</t>
        </is>
      </c>
      <c r="F153" t="inlineStr">
        <is>
          <t>18557902</t>
        </is>
      </c>
      <c r="G153" t="inlineStr">
        <is>
          <t>30% off upto ₹75 (2025-06-25 - 2031-01-01)</t>
        </is>
      </c>
      <c r="H153" t="inlineStr">
        <is>
          <t>ONLINE</t>
        </is>
      </c>
      <c r="I153" t="inlineStr">
        <is>
          <t>DELIVERED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O2</t>
        </is>
      </c>
      <c r="N153" t="inlineStr">
        <is>
          <t>36</t>
        </is>
      </c>
      <c r="O153" t="n">
        <v>219</v>
      </c>
      <c r="P153" t="n">
        <v>3.5</v>
      </c>
      <c r="Q153" t="n">
        <v>0</v>
      </c>
      <c r="R153" t="n">
        <v>65.7</v>
      </c>
      <c r="S153" t="n">
        <v>0</v>
      </c>
      <c r="T153" t="n">
        <v>0</v>
      </c>
      <c r="U153" t="n">
        <v>0</v>
      </c>
      <c r="V153" t="n">
        <v>7.84</v>
      </c>
      <c r="W153" t="n">
        <v>164.64</v>
      </c>
      <c r="X153" t="n">
        <v>156.8</v>
      </c>
      <c r="Y153" t="n">
        <v>19</v>
      </c>
      <c r="Z153" t="n">
        <v>29.79</v>
      </c>
      <c r="AA153" t="n">
        <v>3.03</v>
      </c>
      <c r="AB153" t="n">
        <v>32.82</v>
      </c>
      <c r="AC153" t="n">
        <v>5.91</v>
      </c>
      <c r="AD153" t="n">
        <v>0</v>
      </c>
      <c r="AE153" t="n">
        <v>156.8</v>
      </c>
      <c r="AF153" t="n">
        <v>0</v>
      </c>
      <c r="AG153" t="n">
        <v>0</v>
      </c>
      <c r="AH153" t="n">
        <v>0.16</v>
      </c>
      <c r="AI153" t="n">
        <v>7.85</v>
      </c>
      <c r="AJ153" t="n">
        <v>-0.01</v>
      </c>
      <c r="AK153" t="n">
        <v>13.92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46.74</v>
      </c>
      <c r="AV153" t="n">
        <v>0</v>
      </c>
      <c r="AW153" t="n">
        <v>117.9</v>
      </c>
      <c r="AX153" t="inlineStr">
        <is>
          <t>settled</t>
        </is>
      </c>
      <c r="AY153" t="inlineStr">
        <is>
          <t>NA</t>
        </is>
      </c>
      <c r="AZ153" t="inlineStr">
        <is>
          <t>NA</t>
        </is>
      </c>
      <c r="BA153" t="n">
        <v>0</v>
      </c>
      <c r="BB153" t="inlineStr">
        <is>
          <t>4b32e333d67516c3354481e8712dd927059702bd8befd6c967e34e4fdb73424f</t>
        </is>
      </c>
    </row>
    <row r="154">
      <c r="A154" t="inlineStr">
        <is>
          <t>838</t>
        </is>
      </c>
      <c r="B154" t="inlineStr">
        <is>
          <t>7588990503</t>
        </is>
      </c>
      <c r="C154" t="inlineStr">
        <is>
          <t>2025-12-18 02:24:27</t>
        </is>
      </c>
      <c r="D154" t="inlineStr">
        <is>
          <t>51</t>
        </is>
      </c>
      <c r="E154" t="inlineStr">
        <is>
          <t>Sha Sha - Shandaar Shawarma</t>
        </is>
      </c>
      <c r="F154" t="inlineStr">
        <is>
          <t>18557902</t>
        </is>
      </c>
      <c r="G154" t="inlineStr">
        <is>
          <t>NA</t>
        </is>
      </c>
      <c r="H154" t="inlineStr">
        <is>
          <t>ONLINE</t>
        </is>
      </c>
      <c r="I154" t="inlineStr">
        <is>
          <t>DELIVERED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O2</t>
        </is>
      </c>
      <c r="N154" t="inlineStr">
        <is>
          <t>36</t>
        </is>
      </c>
      <c r="O154" t="n">
        <v>229</v>
      </c>
      <c r="P154" t="n">
        <v>3.5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11.63</v>
      </c>
      <c r="W154" t="n">
        <v>244.13</v>
      </c>
      <c r="X154" t="n">
        <v>232.5</v>
      </c>
      <c r="Y154" t="n">
        <v>19</v>
      </c>
      <c r="Z154" t="n">
        <v>44.18</v>
      </c>
      <c r="AA154" t="n">
        <v>4.49</v>
      </c>
      <c r="AB154" t="n">
        <v>48.67</v>
      </c>
      <c r="AC154" t="n">
        <v>8.76</v>
      </c>
      <c r="AD154" t="n">
        <v>0</v>
      </c>
      <c r="AE154" t="n">
        <v>232.5</v>
      </c>
      <c r="AF154" t="n">
        <v>0</v>
      </c>
      <c r="AG154" t="n">
        <v>0</v>
      </c>
      <c r="AH154" t="n">
        <v>0.23</v>
      </c>
      <c r="AI154" t="n">
        <v>11.63</v>
      </c>
      <c r="AJ154" t="n">
        <v>0</v>
      </c>
      <c r="AK154" t="n">
        <v>20.62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69.29000000000001</v>
      </c>
      <c r="AV154" t="n">
        <v>0</v>
      </c>
      <c r="AW154" t="n">
        <v>174.84</v>
      </c>
      <c r="AX154" t="inlineStr">
        <is>
          <t>settled</t>
        </is>
      </c>
      <c r="AY154" t="inlineStr">
        <is>
          <t>NA</t>
        </is>
      </c>
      <c r="AZ154" t="inlineStr">
        <is>
          <t>NA</t>
        </is>
      </c>
      <c r="BA154" t="n">
        <v>0</v>
      </c>
      <c r="BB154" t="inlineStr">
        <is>
          <t>6e3685c2465f4254de061cc61fb2798956f22f976fb95bba8faedc3705a100a1</t>
        </is>
      </c>
    </row>
    <row r="155">
      <c r="A155" t="inlineStr">
        <is>
          <t>839</t>
        </is>
      </c>
      <c r="B155" t="inlineStr">
        <is>
          <t>7590428113</t>
        </is>
      </c>
      <c r="C155" t="inlineStr">
        <is>
          <t>2025-12-18 02:41:29</t>
        </is>
      </c>
      <c r="D155" t="inlineStr">
        <is>
          <t>51</t>
        </is>
      </c>
      <c r="E155" t="inlineStr">
        <is>
          <t>Sha Sha - Shandaar Shawarma</t>
        </is>
      </c>
      <c r="F155" t="inlineStr">
        <is>
          <t>18557902</t>
        </is>
      </c>
      <c r="G155" t="inlineStr">
        <is>
          <t>30% off upto ₹75 (2025-06-25 - 2031-01-01)</t>
        </is>
      </c>
      <c r="H155" t="inlineStr">
        <is>
          <t>ONLINE</t>
        </is>
      </c>
      <c r="I155" t="inlineStr">
        <is>
          <t>DELIVERED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O2</t>
        </is>
      </c>
      <c r="N155" t="inlineStr">
        <is>
          <t>36</t>
        </is>
      </c>
      <c r="O155" t="n">
        <v>378</v>
      </c>
      <c r="P155" t="n">
        <v>3.5</v>
      </c>
      <c r="Q155" t="n">
        <v>0</v>
      </c>
      <c r="R155" t="n">
        <v>75</v>
      </c>
      <c r="S155" t="n">
        <v>0</v>
      </c>
      <c r="T155" t="n">
        <v>0</v>
      </c>
      <c r="U155" t="n">
        <v>0</v>
      </c>
      <c r="V155" t="n">
        <v>15.33</v>
      </c>
      <c r="W155" t="n">
        <v>321.83</v>
      </c>
      <c r="X155" t="n">
        <v>306.5</v>
      </c>
      <c r="Y155" t="n">
        <v>19</v>
      </c>
      <c r="Z155" t="n">
        <v>58.24</v>
      </c>
      <c r="AA155" t="n">
        <v>5.92</v>
      </c>
      <c r="AB155" t="n">
        <v>64.16</v>
      </c>
      <c r="AC155" t="n">
        <v>11.55</v>
      </c>
      <c r="AD155" t="n">
        <v>0</v>
      </c>
      <c r="AE155" t="n">
        <v>306.5</v>
      </c>
      <c r="AF155" t="n">
        <v>0</v>
      </c>
      <c r="AG155" t="n">
        <v>0</v>
      </c>
      <c r="AH155" t="n">
        <v>0.31</v>
      </c>
      <c r="AI155" t="n">
        <v>15.33</v>
      </c>
      <c r="AJ155" t="n">
        <v>0</v>
      </c>
      <c r="AK155" t="n">
        <v>27.19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91.34999999999999</v>
      </c>
      <c r="AV155" t="n">
        <v>0</v>
      </c>
      <c r="AW155" t="n">
        <v>230.48</v>
      </c>
      <c r="AX155" t="inlineStr">
        <is>
          <t>settled</t>
        </is>
      </c>
      <c r="AY155" t="inlineStr">
        <is>
          <t>NA</t>
        </is>
      </c>
      <c r="AZ155" t="inlineStr">
        <is>
          <t>NA</t>
        </is>
      </c>
      <c r="BA155" t="n">
        <v>0</v>
      </c>
      <c r="BB155" t="inlineStr">
        <is>
          <t>64cafe37bd9274d44b1a50ea3485a32c2a863c28326de5c992e307b64ab3f7f2</t>
        </is>
      </c>
    </row>
    <row r="156">
      <c r="A156" t="inlineStr">
        <is>
          <t>840</t>
        </is>
      </c>
      <c r="B156" t="inlineStr">
        <is>
          <t>7585360051</t>
        </is>
      </c>
      <c r="C156" t="inlineStr">
        <is>
          <t>2025-12-18 02:49:58</t>
        </is>
      </c>
      <c r="D156" t="inlineStr">
        <is>
          <t>51</t>
        </is>
      </c>
      <c r="E156" t="inlineStr">
        <is>
          <t>Sha Sha - Shandaar Shawarma</t>
        </is>
      </c>
      <c r="F156" t="inlineStr">
        <is>
          <t>18557902</t>
        </is>
      </c>
      <c r="G156" t="inlineStr">
        <is>
          <t>NA</t>
        </is>
      </c>
      <c r="H156" t="inlineStr">
        <is>
          <t>ONLINE</t>
        </is>
      </c>
      <c r="I156" t="inlineStr">
        <is>
          <t>DELIVERED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O2</t>
        </is>
      </c>
      <c r="N156" t="inlineStr">
        <is>
          <t>36</t>
        </is>
      </c>
      <c r="O156" t="n">
        <v>219</v>
      </c>
      <c r="P156" t="n">
        <v>3.5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11.13</v>
      </c>
      <c r="W156" t="n">
        <v>233.63</v>
      </c>
      <c r="X156" t="n">
        <v>222.5</v>
      </c>
      <c r="Y156" t="n">
        <v>19</v>
      </c>
      <c r="Z156" t="n">
        <v>42.28</v>
      </c>
      <c r="AA156" t="n">
        <v>4.3</v>
      </c>
      <c r="AB156" t="n">
        <v>46.58</v>
      </c>
      <c r="AC156" t="n">
        <v>8.380000000000001</v>
      </c>
      <c r="AD156" t="n">
        <v>0</v>
      </c>
      <c r="AE156" t="n">
        <v>222.5</v>
      </c>
      <c r="AF156" t="n">
        <v>0</v>
      </c>
      <c r="AG156" t="n">
        <v>0</v>
      </c>
      <c r="AH156" t="n">
        <v>0.22</v>
      </c>
      <c r="AI156" t="n">
        <v>11.13</v>
      </c>
      <c r="AJ156" t="n">
        <v>0</v>
      </c>
      <c r="AK156" t="n">
        <v>19.73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66.31</v>
      </c>
      <c r="AV156" t="n">
        <v>0</v>
      </c>
      <c r="AW156" t="n">
        <v>167.32</v>
      </c>
      <c r="AX156" t="inlineStr">
        <is>
          <t>settled</t>
        </is>
      </c>
      <c r="AY156" t="inlineStr">
        <is>
          <t>NA</t>
        </is>
      </c>
      <c r="AZ156" t="inlineStr">
        <is>
          <t>NA</t>
        </is>
      </c>
      <c r="BA156" t="n">
        <v>0</v>
      </c>
      <c r="BB156" t="inlineStr">
        <is>
          <t>ee8b9fcf53e8f3c98210584225ce45d52cf9027d11aace69bfef4cf97b1dadba</t>
        </is>
      </c>
    </row>
    <row r="157">
      <c r="A157" t="inlineStr">
        <is>
          <t>841</t>
        </is>
      </c>
      <c r="B157" t="inlineStr">
        <is>
          <t>7591249584</t>
        </is>
      </c>
      <c r="C157" t="inlineStr">
        <is>
          <t>2025-12-18 03:22:01</t>
        </is>
      </c>
      <c r="D157" t="inlineStr">
        <is>
          <t>51</t>
        </is>
      </c>
      <c r="E157" t="inlineStr">
        <is>
          <t>Sha Sha - Shandaar Shawarma</t>
        </is>
      </c>
      <c r="F157" t="inlineStr">
        <is>
          <t>18557902</t>
        </is>
      </c>
      <c r="G157" t="inlineStr">
        <is>
          <t>NA</t>
        </is>
      </c>
      <c r="H157" t="inlineStr">
        <is>
          <t>ONLINE</t>
        </is>
      </c>
      <c r="I157" t="inlineStr">
        <is>
          <t>DELIVERED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O2</t>
        </is>
      </c>
      <c r="N157" t="inlineStr">
        <is>
          <t>36</t>
        </is>
      </c>
      <c r="O157" t="n">
        <v>219</v>
      </c>
      <c r="P157" t="n">
        <v>3.5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11.13</v>
      </c>
      <c r="W157" t="n">
        <v>233.63</v>
      </c>
      <c r="X157" t="n">
        <v>222.5</v>
      </c>
      <c r="Y157" t="n">
        <v>19</v>
      </c>
      <c r="Z157" t="n">
        <v>42.28</v>
      </c>
      <c r="AA157" t="n">
        <v>4.3</v>
      </c>
      <c r="AB157" t="n">
        <v>46.58</v>
      </c>
      <c r="AC157" t="n">
        <v>8.380000000000001</v>
      </c>
      <c r="AD157" t="n">
        <v>0</v>
      </c>
      <c r="AE157" t="n">
        <v>222.5</v>
      </c>
      <c r="AF157" t="n">
        <v>0</v>
      </c>
      <c r="AG157" t="n">
        <v>0</v>
      </c>
      <c r="AH157" t="n">
        <v>0.22</v>
      </c>
      <c r="AI157" t="n">
        <v>11.13</v>
      </c>
      <c r="AJ157" t="n">
        <v>0</v>
      </c>
      <c r="AK157" t="n">
        <v>19.73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66.31</v>
      </c>
      <c r="AV157" t="n">
        <v>0</v>
      </c>
      <c r="AW157" t="n">
        <v>167.32</v>
      </c>
      <c r="AX157" t="inlineStr">
        <is>
          <t>settled</t>
        </is>
      </c>
      <c r="AY157" t="inlineStr">
        <is>
          <t>NA</t>
        </is>
      </c>
      <c r="AZ157" t="inlineStr">
        <is>
          <t>NA</t>
        </is>
      </c>
      <c r="BA157" t="n">
        <v>0</v>
      </c>
      <c r="BB157" t="inlineStr">
        <is>
          <t>9113c090bee8b7e00356ee588f4f51349a971d5bac95eb6cb671799fcea8f3a5</t>
        </is>
      </c>
    </row>
    <row r="158">
      <c r="A158" t="inlineStr">
        <is>
          <t>842</t>
        </is>
      </c>
      <c r="B158" t="inlineStr">
        <is>
          <t>7580426768</t>
        </is>
      </c>
      <c r="C158" t="inlineStr">
        <is>
          <t>2025-12-18 03:35:25</t>
        </is>
      </c>
      <c r="D158" t="inlineStr">
        <is>
          <t>51</t>
        </is>
      </c>
      <c r="E158" t="inlineStr">
        <is>
          <t>Sha Sha - Shandaar Shawarma</t>
        </is>
      </c>
      <c r="F158" t="inlineStr">
        <is>
          <t>18557902</t>
        </is>
      </c>
      <c r="G158" t="inlineStr">
        <is>
          <t>30% off upto ₹75 (2025-06-25 - 2031-01-01)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O2</t>
        </is>
      </c>
      <c r="N158" t="inlineStr">
        <is>
          <t>36</t>
        </is>
      </c>
      <c r="O158" t="n">
        <v>229</v>
      </c>
      <c r="P158" t="n">
        <v>3.5</v>
      </c>
      <c r="Q158" t="n">
        <v>0</v>
      </c>
      <c r="R158" t="n">
        <v>68.7</v>
      </c>
      <c r="S158" t="n">
        <v>0</v>
      </c>
      <c r="T158" t="n">
        <v>0</v>
      </c>
      <c r="U158" t="n">
        <v>0</v>
      </c>
      <c r="V158" t="n">
        <v>8.19</v>
      </c>
      <c r="W158" t="n">
        <v>171.99</v>
      </c>
      <c r="X158" t="n">
        <v>163.8</v>
      </c>
      <c r="Y158" t="n">
        <v>19</v>
      </c>
      <c r="Z158" t="n">
        <v>31.12</v>
      </c>
      <c r="AA158" t="n">
        <v>3.16</v>
      </c>
      <c r="AB158" t="n">
        <v>34.28</v>
      </c>
      <c r="AC158" t="n">
        <v>6.17</v>
      </c>
      <c r="AD158" t="n">
        <v>0</v>
      </c>
      <c r="AE158" t="n">
        <v>163.8</v>
      </c>
      <c r="AF158" t="n">
        <v>0</v>
      </c>
      <c r="AG158" t="n">
        <v>0</v>
      </c>
      <c r="AH158" t="n">
        <v>0.16</v>
      </c>
      <c r="AI158" t="n">
        <v>8.199999999999999</v>
      </c>
      <c r="AJ158" t="n">
        <v>-0.01</v>
      </c>
      <c r="AK158" t="n">
        <v>14.53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48.81</v>
      </c>
      <c r="AV158" t="n">
        <v>0</v>
      </c>
      <c r="AW158" t="n">
        <v>123.18</v>
      </c>
      <c r="AX158" t="inlineStr">
        <is>
          <t>settled</t>
        </is>
      </c>
      <c r="AY158" t="inlineStr">
        <is>
          <t>NA</t>
        </is>
      </c>
      <c r="AZ158" t="inlineStr">
        <is>
          <t>NA</t>
        </is>
      </c>
      <c r="BA158" t="n">
        <v>0</v>
      </c>
      <c r="BB158" t="inlineStr">
        <is>
          <t>d1feaf1dc3d53402b8ca474c97351dac8590df1c99d54369d3491dba308727a1</t>
        </is>
      </c>
    </row>
    <row r="159">
      <c r="A159" t="inlineStr">
        <is>
          <t>843</t>
        </is>
      </c>
      <c r="B159" t="inlineStr">
        <is>
          <t>7592131165</t>
        </is>
      </c>
      <c r="C159" t="inlineStr">
        <is>
          <t>2025-12-18 03:55:57</t>
        </is>
      </c>
      <c r="D159" t="inlineStr">
        <is>
          <t>51</t>
        </is>
      </c>
      <c r="E159" t="inlineStr">
        <is>
          <t>Sha Sha - Shandaar Shawarma</t>
        </is>
      </c>
      <c r="F159" t="inlineStr">
        <is>
          <t>18557902</t>
        </is>
      </c>
      <c r="G159" t="inlineStr">
        <is>
          <t>30% off upto ₹75 (2025-06-25 - 2031-01-01)</t>
        </is>
      </c>
      <c r="H159" t="inlineStr">
        <is>
          <t>ONLINE</t>
        </is>
      </c>
      <c r="I159" t="inlineStr">
        <is>
          <t>DELIVERED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O2</t>
        </is>
      </c>
      <c r="N159" t="inlineStr">
        <is>
          <t>36</t>
        </is>
      </c>
      <c r="O159" t="n">
        <v>368</v>
      </c>
      <c r="P159" t="n">
        <v>3.5</v>
      </c>
      <c r="Q159" t="n">
        <v>0</v>
      </c>
      <c r="R159" t="n">
        <v>75</v>
      </c>
      <c r="S159" t="n">
        <v>0</v>
      </c>
      <c r="T159" t="n">
        <v>0</v>
      </c>
      <c r="U159" t="n">
        <v>0</v>
      </c>
      <c r="V159" t="n">
        <v>14.83</v>
      </c>
      <c r="W159" t="n">
        <v>311.33</v>
      </c>
      <c r="X159" t="n">
        <v>296.5</v>
      </c>
      <c r="Y159" t="n">
        <v>19</v>
      </c>
      <c r="Z159" t="n">
        <v>56.34</v>
      </c>
      <c r="AA159" t="n">
        <v>5.73</v>
      </c>
      <c r="AB159" t="n">
        <v>62.07</v>
      </c>
      <c r="AC159" t="n">
        <v>11.17</v>
      </c>
      <c r="AD159" t="n">
        <v>0</v>
      </c>
      <c r="AE159" t="n">
        <v>296.5</v>
      </c>
      <c r="AF159" t="n">
        <v>0</v>
      </c>
      <c r="AG159" t="n">
        <v>0</v>
      </c>
      <c r="AH159" t="n">
        <v>0.3</v>
      </c>
      <c r="AI159" t="n">
        <v>14.83</v>
      </c>
      <c r="AJ159" t="n">
        <v>0</v>
      </c>
      <c r="AK159" t="n">
        <v>26.3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88.37</v>
      </c>
      <c r="AV159" t="n">
        <v>0</v>
      </c>
      <c r="AW159" t="n">
        <v>222.96</v>
      </c>
      <c r="AX159" t="inlineStr">
        <is>
          <t>settled</t>
        </is>
      </c>
      <c r="AY159" t="inlineStr">
        <is>
          <t>NA</t>
        </is>
      </c>
      <c r="AZ159" t="inlineStr">
        <is>
          <t>NA</t>
        </is>
      </c>
      <c r="BA159" t="n">
        <v>0</v>
      </c>
      <c r="BB159" t="inlineStr">
        <is>
          <t>7b988044ebf021633c5486714852e3131fb879bf746d5c41622cbf92bbbeff58</t>
        </is>
      </c>
    </row>
    <row r="160">
      <c r="A160" t="inlineStr">
        <is>
          <t>844</t>
        </is>
      </c>
      <c r="B160" t="inlineStr">
        <is>
          <t>7581893133</t>
        </is>
      </c>
      <c r="C160" t="inlineStr">
        <is>
          <t>2025-12-18 03:57:34</t>
        </is>
      </c>
      <c r="D160" t="inlineStr">
        <is>
          <t>51</t>
        </is>
      </c>
      <c r="E160" t="inlineStr">
        <is>
          <t>Sha Sha - Shandaar Shawarma</t>
        </is>
      </c>
      <c r="F160" t="inlineStr">
        <is>
          <t>18557902</t>
        </is>
      </c>
      <c r="G160" t="inlineStr">
        <is>
          <t>NA</t>
        </is>
      </c>
      <c r="H160" t="inlineStr">
        <is>
          <t>ONLINE</t>
        </is>
      </c>
      <c r="I160" t="inlineStr">
        <is>
          <t>DELIVERED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O2</t>
        </is>
      </c>
      <c r="N160" t="inlineStr">
        <is>
          <t>36</t>
        </is>
      </c>
      <c r="O160" t="n">
        <v>229</v>
      </c>
      <c r="P160" t="n">
        <v>3.5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11.63</v>
      </c>
      <c r="W160" t="n">
        <v>244.13</v>
      </c>
      <c r="X160" t="n">
        <v>232.5</v>
      </c>
      <c r="Y160" t="n">
        <v>19</v>
      </c>
      <c r="Z160" t="n">
        <v>44.18</v>
      </c>
      <c r="AA160" t="n">
        <v>4.49</v>
      </c>
      <c r="AB160" t="n">
        <v>48.67</v>
      </c>
      <c r="AC160" t="n">
        <v>8.76</v>
      </c>
      <c r="AD160" t="n">
        <v>0</v>
      </c>
      <c r="AE160" t="n">
        <v>232.5</v>
      </c>
      <c r="AF160" t="n">
        <v>0</v>
      </c>
      <c r="AG160" t="n">
        <v>0</v>
      </c>
      <c r="AH160" t="n">
        <v>0.23</v>
      </c>
      <c r="AI160" t="n">
        <v>11.63</v>
      </c>
      <c r="AJ160" t="n">
        <v>0</v>
      </c>
      <c r="AK160" t="n">
        <v>20.62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69.29000000000001</v>
      </c>
      <c r="AV160" t="n">
        <v>0</v>
      </c>
      <c r="AW160" t="n">
        <v>174.84</v>
      </c>
      <c r="AX160" t="inlineStr">
        <is>
          <t>settled</t>
        </is>
      </c>
      <c r="AY160" t="inlineStr">
        <is>
          <t>NA</t>
        </is>
      </c>
      <c r="AZ160" t="inlineStr">
        <is>
          <t>NA</t>
        </is>
      </c>
      <c r="BA160" t="n">
        <v>0</v>
      </c>
      <c r="BB160" t="inlineStr">
        <is>
          <t>f0bbc1b6e2b8750c2bd5df65ea5756395c28c69a4484c00a78b9248efd8e8987</t>
        </is>
      </c>
    </row>
    <row r="161">
      <c r="A161" t="inlineStr">
        <is>
          <t>845</t>
        </is>
      </c>
      <c r="B161" t="inlineStr">
        <is>
          <t>7592980770</t>
        </is>
      </c>
      <c r="C161" t="inlineStr">
        <is>
          <t>2025-12-18 04:35:02</t>
        </is>
      </c>
      <c r="D161" t="inlineStr">
        <is>
          <t>51</t>
        </is>
      </c>
      <c r="E161" t="inlineStr">
        <is>
          <t>Sha Sha - Shandaar Shawarma</t>
        </is>
      </c>
      <c r="F161" t="inlineStr">
        <is>
          <t>18557902</t>
        </is>
      </c>
      <c r="G161" t="inlineStr">
        <is>
          <t>NA</t>
        </is>
      </c>
      <c r="H161" t="inlineStr">
        <is>
          <t>ONLINE</t>
        </is>
      </c>
      <c r="I161" t="inlineStr">
        <is>
          <t>DELIVERED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O2</t>
        </is>
      </c>
      <c r="N161" t="inlineStr">
        <is>
          <t>36</t>
        </is>
      </c>
      <c r="O161" t="n">
        <v>229</v>
      </c>
      <c r="P161" t="n">
        <v>3.5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11.63</v>
      </c>
      <c r="W161" t="n">
        <v>244.13</v>
      </c>
      <c r="X161" t="n">
        <v>232.5</v>
      </c>
      <c r="Y161" t="n">
        <v>19</v>
      </c>
      <c r="Z161" t="n">
        <v>44.18</v>
      </c>
      <c r="AA161" t="n">
        <v>4.49</v>
      </c>
      <c r="AB161" t="n">
        <v>48.67</v>
      </c>
      <c r="AC161" t="n">
        <v>8.76</v>
      </c>
      <c r="AD161" t="n">
        <v>0</v>
      </c>
      <c r="AE161" t="n">
        <v>232.5</v>
      </c>
      <c r="AF161" t="n">
        <v>0</v>
      </c>
      <c r="AG161" t="n">
        <v>0</v>
      </c>
      <c r="AH161" t="n">
        <v>0.23</v>
      </c>
      <c r="AI161" t="n">
        <v>11.63</v>
      </c>
      <c r="AJ161" t="n">
        <v>0</v>
      </c>
      <c r="AK161" t="n">
        <v>20.62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69.29000000000001</v>
      </c>
      <c r="AV161" t="n">
        <v>0</v>
      </c>
      <c r="AW161" t="n">
        <v>174.84</v>
      </c>
      <c r="AX161" t="inlineStr">
        <is>
          <t>settled</t>
        </is>
      </c>
      <c r="AY161" t="inlineStr">
        <is>
          <t>NA</t>
        </is>
      </c>
      <c r="AZ161" t="inlineStr">
        <is>
          <t>NA</t>
        </is>
      </c>
      <c r="BA161" t="n">
        <v>0</v>
      </c>
      <c r="BB161" t="inlineStr">
        <is>
          <t>5a7e350c4769ffae1663150fc8c44be0bd80df7003040631dbc9bd908ae11a82</t>
        </is>
      </c>
    </row>
    <row r="162">
      <c r="A162" t="inlineStr">
        <is>
          <t>846</t>
        </is>
      </c>
      <c r="B162" t="inlineStr">
        <is>
          <t>7582173266</t>
        </is>
      </c>
      <c r="C162" t="inlineStr">
        <is>
          <t>2025-12-18 04:43:36</t>
        </is>
      </c>
      <c r="D162" t="inlineStr">
        <is>
          <t>51</t>
        </is>
      </c>
      <c r="E162" t="inlineStr">
        <is>
          <t>Sha Sha - Shandaar Shawarma</t>
        </is>
      </c>
      <c r="F162" t="inlineStr">
        <is>
          <t>18557902</t>
        </is>
      </c>
      <c r="G162" t="inlineStr">
        <is>
          <t>NA</t>
        </is>
      </c>
      <c r="H162" t="inlineStr">
        <is>
          <t>ONLINE</t>
        </is>
      </c>
      <c r="I162" t="inlineStr">
        <is>
          <t>DELIVERED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O2</t>
        </is>
      </c>
      <c r="N162" t="inlineStr">
        <is>
          <t>36</t>
        </is>
      </c>
      <c r="O162" t="n">
        <v>229</v>
      </c>
      <c r="P162" t="n">
        <v>3.5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11.63</v>
      </c>
      <c r="W162" t="n">
        <v>244.13</v>
      </c>
      <c r="X162" t="n">
        <v>232.5</v>
      </c>
      <c r="Y162" t="n">
        <v>19</v>
      </c>
      <c r="Z162" t="n">
        <v>44.18</v>
      </c>
      <c r="AA162" t="n">
        <v>4.49</v>
      </c>
      <c r="AB162" t="n">
        <v>48.67</v>
      </c>
      <c r="AC162" t="n">
        <v>8.76</v>
      </c>
      <c r="AD162" t="n">
        <v>0</v>
      </c>
      <c r="AE162" t="n">
        <v>232.5</v>
      </c>
      <c r="AF162" t="n">
        <v>0</v>
      </c>
      <c r="AG162" t="n">
        <v>0</v>
      </c>
      <c r="AH162" t="n">
        <v>0.23</v>
      </c>
      <c r="AI162" t="n">
        <v>11.63</v>
      </c>
      <c r="AJ162" t="n">
        <v>0</v>
      </c>
      <c r="AK162" t="n">
        <v>20.62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69.29000000000001</v>
      </c>
      <c r="AV162" t="n">
        <v>0</v>
      </c>
      <c r="AW162" t="n">
        <v>174.84</v>
      </c>
      <c r="AX162" t="inlineStr">
        <is>
          <t>settled</t>
        </is>
      </c>
      <c r="AY162" t="inlineStr">
        <is>
          <t>NA</t>
        </is>
      </c>
      <c r="AZ162" t="inlineStr">
        <is>
          <t>NA</t>
        </is>
      </c>
      <c r="BA162" t="n">
        <v>0</v>
      </c>
      <c r="BB162" t="inlineStr">
        <is>
          <t>159b7db69aad67004ff2b9f1a3e4d9a5a2e1c517024c2a518f83e71fd011a0c1</t>
        </is>
      </c>
    </row>
    <row r="163">
      <c r="A163" t="inlineStr">
        <is>
          <t>847</t>
        </is>
      </c>
      <c r="B163" t="inlineStr">
        <is>
          <t>7589522836</t>
        </is>
      </c>
      <c r="C163" t="inlineStr">
        <is>
          <t>2025-12-18 12:48:51</t>
        </is>
      </c>
      <c r="D163" t="inlineStr">
        <is>
          <t>51</t>
        </is>
      </c>
      <c r="E163" t="inlineStr">
        <is>
          <t>Sha Sha - Shandaar Shawarma</t>
        </is>
      </c>
      <c r="F163" t="inlineStr">
        <is>
          <t>18557902</t>
        </is>
      </c>
      <c r="G163" t="inlineStr">
        <is>
          <t>NA</t>
        </is>
      </c>
      <c r="H163" t="inlineStr">
        <is>
          <t>ONLINE</t>
        </is>
      </c>
      <c r="I163" t="inlineStr">
        <is>
          <t>DELIVERED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O2</t>
        </is>
      </c>
      <c r="N163" t="inlineStr">
        <is>
          <t>36</t>
        </is>
      </c>
      <c r="O163" t="n">
        <v>219</v>
      </c>
      <c r="P163" t="n">
        <v>3.5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11.13</v>
      </c>
      <c r="W163" t="n">
        <v>233.63</v>
      </c>
      <c r="X163" t="n">
        <v>222.5</v>
      </c>
      <c r="Y163" t="n">
        <v>19</v>
      </c>
      <c r="Z163" t="n">
        <v>42.28</v>
      </c>
      <c r="AA163" t="n">
        <v>4.3</v>
      </c>
      <c r="AB163" t="n">
        <v>46.58</v>
      </c>
      <c r="AC163" t="n">
        <v>8.380000000000001</v>
      </c>
      <c r="AD163" t="n">
        <v>0</v>
      </c>
      <c r="AE163" t="n">
        <v>222.5</v>
      </c>
      <c r="AF163" t="n">
        <v>0</v>
      </c>
      <c r="AG163" t="n">
        <v>0</v>
      </c>
      <c r="AH163" t="n">
        <v>0.22</v>
      </c>
      <c r="AI163" t="n">
        <v>11.13</v>
      </c>
      <c r="AJ163" t="n">
        <v>0</v>
      </c>
      <c r="AK163" t="n">
        <v>19.73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66.31</v>
      </c>
      <c r="AV163" t="n">
        <v>0</v>
      </c>
      <c r="AW163" t="n">
        <v>167.32</v>
      </c>
      <c r="AX163" t="inlineStr">
        <is>
          <t>settled</t>
        </is>
      </c>
      <c r="AY163" t="inlineStr">
        <is>
          <t>NA</t>
        </is>
      </c>
      <c r="AZ163" t="inlineStr">
        <is>
          <t>NA</t>
        </is>
      </c>
      <c r="BA163" t="n">
        <v>0</v>
      </c>
      <c r="BB163" t="inlineStr">
        <is>
          <t>1c428290cc18ad06e7c4aaa1b4f2bcb8613488ef041ea2a85ae935ce83e56ab1</t>
        </is>
      </c>
    </row>
    <row r="164">
      <c r="A164" t="inlineStr">
        <is>
          <t>848</t>
        </is>
      </c>
      <c r="B164" t="inlineStr">
        <is>
          <t>7594621426</t>
        </is>
      </c>
      <c r="C164" t="inlineStr">
        <is>
          <t>2025-12-18 12:53:50</t>
        </is>
      </c>
      <c r="D164" t="inlineStr">
        <is>
          <t>51</t>
        </is>
      </c>
      <c r="E164" t="inlineStr">
        <is>
          <t>Sha Sha - Shandaar Shawarma</t>
        </is>
      </c>
      <c r="F164" t="inlineStr">
        <is>
          <t>18557902</t>
        </is>
      </c>
      <c r="G164" t="inlineStr">
        <is>
          <t>30% off upto ₹75 (2025-06-25 - 2031-01-01)</t>
        </is>
      </c>
      <c r="H164" t="inlineStr">
        <is>
          <t>ONLINE</t>
        </is>
      </c>
      <c r="I164" t="inlineStr">
        <is>
          <t>DELIVERED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O2</t>
        </is>
      </c>
      <c r="N164" t="inlineStr">
        <is>
          <t>36</t>
        </is>
      </c>
      <c r="O164" t="n">
        <v>229</v>
      </c>
      <c r="P164" t="n">
        <v>3.5</v>
      </c>
      <c r="Q164" t="n">
        <v>0</v>
      </c>
      <c r="R164" t="n">
        <v>68.7</v>
      </c>
      <c r="S164" t="n">
        <v>0</v>
      </c>
      <c r="T164" t="n">
        <v>0</v>
      </c>
      <c r="U164" t="n">
        <v>0</v>
      </c>
      <c r="V164" t="n">
        <v>8.19</v>
      </c>
      <c r="W164" t="n">
        <v>171.99</v>
      </c>
      <c r="X164" t="n">
        <v>163.8</v>
      </c>
      <c r="Y164" t="n">
        <v>19</v>
      </c>
      <c r="Z164" t="n">
        <v>31.12</v>
      </c>
      <c r="AA164" t="n">
        <v>3.16</v>
      </c>
      <c r="AB164" t="n">
        <v>34.28</v>
      </c>
      <c r="AC164" t="n">
        <v>6.17</v>
      </c>
      <c r="AD164" t="n">
        <v>0</v>
      </c>
      <c r="AE164" t="n">
        <v>163.8</v>
      </c>
      <c r="AF164" t="n">
        <v>0</v>
      </c>
      <c r="AG164" t="n">
        <v>0</v>
      </c>
      <c r="AH164" t="n">
        <v>0.16</v>
      </c>
      <c r="AI164" t="n">
        <v>8.199999999999999</v>
      </c>
      <c r="AJ164" t="n">
        <v>-0.01</v>
      </c>
      <c r="AK164" t="n">
        <v>14.53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48.81</v>
      </c>
      <c r="AV164" t="n">
        <v>0</v>
      </c>
      <c r="AW164" t="n">
        <v>123.18</v>
      </c>
      <c r="AX164" t="inlineStr">
        <is>
          <t>settled</t>
        </is>
      </c>
      <c r="AY164" t="inlineStr">
        <is>
          <t>NA</t>
        </is>
      </c>
      <c r="AZ164" t="inlineStr">
        <is>
          <t>NA</t>
        </is>
      </c>
      <c r="BA164" t="n">
        <v>0</v>
      </c>
      <c r="BB164" t="inlineStr">
        <is>
          <t>64c9168664b49b3b32044fe500249f4755abc357839cec5411a53255660dc09e</t>
        </is>
      </c>
    </row>
    <row r="165">
      <c r="A165" t="inlineStr">
        <is>
          <t>849</t>
        </is>
      </c>
      <c r="B165" t="inlineStr">
        <is>
          <t>7591859770</t>
        </is>
      </c>
      <c r="C165" t="inlineStr">
        <is>
          <t>2025-12-18 13:39:44</t>
        </is>
      </c>
      <c r="D165" t="inlineStr">
        <is>
          <t>51</t>
        </is>
      </c>
      <c r="E165" t="inlineStr">
        <is>
          <t>Sha Sha - Shandaar Shawarma</t>
        </is>
      </c>
      <c r="F165" t="inlineStr">
        <is>
          <t>18557902</t>
        </is>
      </c>
      <c r="G165" t="inlineStr">
        <is>
          <t>30% off upto ₹75 (2025-06-25 - 2031-01-01)</t>
        </is>
      </c>
      <c r="H165" t="inlineStr">
        <is>
          <t>ONLINE</t>
        </is>
      </c>
      <c r="I165" t="inlineStr">
        <is>
          <t>DELIVERED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O2</t>
        </is>
      </c>
      <c r="N165" t="inlineStr">
        <is>
          <t>36</t>
        </is>
      </c>
      <c r="O165" t="n">
        <v>268</v>
      </c>
      <c r="P165" t="n">
        <v>3.5</v>
      </c>
      <c r="Q165" t="n">
        <v>0</v>
      </c>
      <c r="R165" t="n">
        <v>75</v>
      </c>
      <c r="S165" t="n">
        <v>0</v>
      </c>
      <c r="T165" t="n">
        <v>0</v>
      </c>
      <c r="U165" t="n">
        <v>0</v>
      </c>
      <c r="V165" t="n">
        <v>9.83</v>
      </c>
      <c r="W165" t="n">
        <v>206.33</v>
      </c>
      <c r="X165" t="n">
        <v>196.5</v>
      </c>
      <c r="Y165" t="n">
        <v>19</v>
      </c>
      <c r="Z165" t="n">
        <v>37.34</v>
      </c>
      <c r="AA165" t="n">
        <v>3.8</v>
      </c>
      <c r="AB165" t="n">
        <v>41.14</v>
      </c>
      <c r="AC165" t="n">
        <v>7.4</v>
      </c>
      <c r="AD165" t="n">
        <v>0</v>
      </c>
      <c r="AE165" t="n">
        <v>196.5</v>
      </c>
      <c r="AF165" t="n">
        <v>0</v>
      </c>
      <c r="AG165" t="n">
        <v>0</v>
      </c>
      <c r="AH165" t="n">
        <v>0.2</v>
      </c>
      <c r="AI165" t="n">
        <v>9.83</v>
      </c>
      <c r="AJ165" t="n">
        <v>0</v>
      </c>
      <c r="AK165" t="n">
        <v>17.43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58.57</v>
      </c>
      <c r="AV165" t="n">
        <v>0</v>
      </c>
      <c r="AW165" t="n">
        <v>147.76</v>
      </c>
      <c r="AX165" t="inlineStr">
        <is>
          <t>settled</t>
        </is>
      </c>
      <c r="AY165" t="inlineStr">
        <is>
          <t>NA</t>
        </is>
      </c>
      <c r="AZ165" t="inlineStr">
        <is>
          <t>NA</t>
        </is>
      </c>
      <c r="BA165" t="n">
        <v>0</v>
      </c>
      <c r="BB165" t="inlineStr">
        <is>
          <t>dd0595b92e7bb1d400ce70a4e4f0f7dab485afd208f64731215de46679f46bff</t>
        </is>
      </c>
    </row>
    <row r="166">
      <c r="A166" t="inlineStr">
        <is>
          <t>850</t>
        </is>
      </c>
      <c r="B166" t="inlineStr">
        <is>
          <t>7595004677</t>
        </is>
      </c>
      <c r="C166" t="inlineStr">
        <is>
          <t>2025-12-18 13:41:03</t>
        </is>
      </c>
      <c r="D166" t="inlineStr">
        <is>
          <t>51</t>
        </is>
      </c>
      <c r="E166" t="inlineStr">
        <is>
          <t>Sha Sha - Shandaar Shawarma</t>
        </is>
      </c>
      <c r="F166" t="inlineStr">
        <is>
          <t>18557902</t>
        </is>
      </c>
      <c r="G166" t="inlineStr">
        <is>
          <t>30% off upto ₹75 (2025-06-25 - 2031-01-01)</t>
        </is>
      </c>
      <c r="H166" t="inlineStr">
        <is>
          <t>ONLINE</t>
        </is>
      </c>
      <c r="I166" t="inlineStr">
        <is>
          <t>DELIVERED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O2</t>
        </is>
      </c>
      <c r="N166" t="inlineStr">
        <is>
          <t>36</t>
        </is>
      </c>
      <c r="O166" t="n">
        <v>328</v>
      </c>
      <c r="P166" t="n">
        <v>3.5</v>
      </c>
      <c r="Q166" t="n">
        <v>0</v>
      </c>
      <c r="R166" t="n">
        <v>75</v>
      </c>
      <c r="S166" t="n">
        <v>0</v>
      </c>
      <c r="T166" t="n">
        <v>0</v>
      </c>
      <c r="U166" t="n">
        <v>0</v>
      </c>
      <c r="V166" t="n">
        <v>12.83</v>
      </c>
      <c r="W166" t="n">
        <v>269.33</v>
      </c>
      <c r="X166" t="n">
        <v>256.5</v>
      </c>
      <c r="Y166" t="n">
        <v>19</v>
      </c>
      <c r="Z166" t="n">
        <v>48.74</v>
      </c>
      <c r="AA166" t="n">
        <v>4.96</v>
      </c>
      <c r="AB166" t="n">
        <v>53.7</v>
      </c>
      <c r="AC166" t="n">
        <v>9.66</v>
      </c>
      <c r="AD166" t="n">
        <v>0</v>
      </c>
      <c r="AE166" t="n">
        <v>256.5</v>
      </c>
      <c r="AF166" t="n">
        <v>0</v>
      </c>
      <c r="AG166" t="n">
        <v>0</v>
      </c>
      <c r="AH166" t="n">
        <v>0.26</v>
      </c>
      <c r="AI166" t="n">
        <v>12.83</v>
      </c>
      <c r="AJ166" t="n">
        <v>0</v>
      </c>
      <c r="AK166" t="n">
        <v>22.75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76.45</v>
      </c>
      <c r="AV166" t="n">
        <v>0</v>
      </c>
      <c r="AW166" t="n">
        <v>192.88</v>
      </c>
      <c r="AX166" t="inlineStr">
        <is>
          <t>settled</t>
        </is>
      </c>
      <c r="AY166" t="inlineStr">
        <is>
          <t>NA</t>
        </is>
      </c>
      <c r="AZ166" t="inlineStr">
        <is>
          <t>NA</t>
        </is>
      </c>
      <c r="BA166" t="n">
        <v>0</v>
      </c>
      <c r="BB166" t="inlineStr">
        <is>
          <t>727c64b22616e9aa08d1c78cbdcb963803f2091fb786560c76f619fb83221d6c</t>
        </is>
      </c>
    </row>
    <row r="167">
      <c r="A167" t="inlineStr">
        <is>
          <t>851</t>
        </is>
      </c>
      <c r="B167" t="inlineStr">
        <is>
          <t>7589010677</t>
        </is>
      </c>
      <c r="C167" t="inlineStr">
        <is>
          <t>2025-12-18 13:52:02</t>
        </is>
      </c>
      <c r="D167" t="inlineStr">
        <is>
          <t>51</t>
        </is>
      </c>
      <c r="E167" t="inlineStr">
        <is>
          <t>Sha Sha - Shandaar Shawarma</t>
        </is>
      </c>
      <c r="F167" t="inlineStr">
        <is>
          <t>18557902</t>
        </is>
      </c>
      <c r="G167" t="inlineStr">
        <is>
          <t>30% off upto ₹75 (2025-06-25 - 2031-01-01)</t>
        </is>
      </c>
      <c r="H167" t="inlineStr">
        <is>
          <t>ONLINE</t>
        </is>
      </c>
      <c r="I167" t="inlineStr">
        <is>
          <t>DELIVERED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O2</t>
        </is>
      </c>
      <c r="N167" t="inlineStr">
        <is>
          <t>36</t>
        </is>
      </c>
      <c r="O167" t="n">
        <v>268</v>
      </c>
      <c r="P167" t="n">
        <v>3.5</v>
      </c>
      <c r="Q167" t="n">
        <v>0</v>
      </c>
      <c r="R167" t="n">
        <v>75</v>
      </c>
      <c r="S167" t="n">
        <v>0</v>
      </c>
      <c r="T167" t="n">
        <v>0</v>
      </c>
      <c r="U167" t="n">
        <v>0</v>
      </c>
      <c r="V167" t="n">
        <v>9.83</v>
      </c>
      <c r="W167" t="n">
        <v>206.33</v>
      </c>
      <c r="X167" t="n">
        <v>196.5</v>
      </c>
      <c r="Y167" t="n">
        <v>19</v>
      </c>
      <c r="Z167" t="n">
        <v>37.34</v>
      </c>
      <c r="AA167" t="n">
        <v>3.8</v>
      </c>
      <c r="AB167" t="n">
        <v>41.14</v>
      </c>
      <c r="AC167" t="n">
        <v>7.4</v>
      </c>
      <c r="AD167" t="n">
        <v>0</v>
      </c>
      <c r="AE167" t="n">
        <v>196.5</v>
      </c>
      <c r="AF167" t="n">
        <v>0</v>
      </c>
      <c r="AG167" t="n">
        <v>0</v>
      </c>
      <c r="AH167" t="n">
        <v>0.2</v>
      </c>
      <c r="AI167" t="n">
        <v>9.83</v>
      </c>
      <c r="AJ167" t="n">
        <v>0</v>
      </c>
      <c r="AK167" t="n">
        <v>17.43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58.57</v>
      </c>
      <c r="AV167" t="n">
        <v>0</v>
      </c>
      <c r="AW167" t="n">
        <v>147.76</v>
      </c>
      <c r="AX167" t="inlineStr">
        <is>
          <t>settled</t>
        </is>
      </c>
      <c r="AY167" t="inlineStr">
        <is>
          <t>NA</t>
        </is>
      </c>
      <c r="AZ167" t="inlineStr">
        <is>
          <t>NA</t>
        </is>
      </c>
      <c r="BA167" t="n">
        <v>0</v>
      </c>
      <c r="BB167" t="inlineStr">
        <is>
          <t>13c4e3dbee2373b9614e41fd0c670f869e8ae9a001a1cb58e9cc5f0fd9d759de</t>
        </is>
      </c>
    </row>
    <row r="168">
      <c r="A168" t="inlineStr">
        <is>
          <t>852</t>
        </is>
      </c>
      <c r="B168" t="inlineStr">
        <is>
          <t>7591153657</t>
        </is>
      </c>
      <c r="C168" t="inlineStr">
        <is>
          <t>2025-12-18 14:49:39</t>
        </is>
      </c>
      <c r="D168" t="inlineStr">
        <is>
          <t>51</t>
        </is>
      </c>
      <c r="E168" t="inlineStr">
        <is>
          <t>Sha Sha - Shandaar Shawarma</t>
        </is>
      </c>
      <c r="F168" t="inlineStr">
        <is>
          <t>18557902</t>
        </is>
      </c>
      <c r="G168" t="inlineStr">
        <is>
          <t>NA</t>
        </is>
      </c>
      <c r="H168" t="inlineStr">
        <is>
          <t>ONLINE</t>
        </is>
      </c>
      <c r="I168" t="inlineStr">
        <is>
          <t>DELIVERED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O2</t>
        </is>
      </c>
      <c r="N168" t="inlineStr">
        <is>
          <t>36</t>
        </is>
      </c>
      <c r="O168" t="n">
        <v>229</v>
      </c>
      <c r="P168" t="n">
        <v>3.5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11.63</v>
      </c>
      <c r="W168" t="n">
        <v>244.13</v>
      </c>
      <c r="X168" t="n">
        <v>232.5</v>
      </c>
      <c r="Y168" t="n">
        <v>19</v>
      </c>
      <c r="Z168" t="n">
        <v>44.18</v>
      </c>
      <c r="AA168" t="n">
        <v>4.49</v>
      </c>
      <c r="AB168" t="n">
        <v>48.67</v>
      </c>
      <c r="AC168" t="n">
        <v>8.76</v>
      </c>
      <c r="AD168" t="n">
        <v>0</v>
      </c>
      <c r="AE168" t="n">
        <v>232.5</v>
      </c>
      <c r="AF168" t="n">
        <v>0</v>
      </c>
      <c r="AG168" t="n">
        <v>0</v>
      </c>
      <c r="AH168" t="n">
        <v>0.23</v>
      </c>
      <c r="AI168" t="n">
        <v>11.63</v>
      </c>
      <c r="AJ168" t="n">
        <v>0</v>
      </c>
      <c r="AK168" t="n">
        <v>20.62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69.29000000000001</v>
      </c>
      <c r="AV168" t="n">
        <v>0</v>
      </c>
      <c r="AW168" t="n">
        <v>174.84</v>
      </c>
      <c r="AX168" t="inlineStr">
        <is>
          <t>settled</t>
        </is>
      </c>
      <c r="AY168" t="inlineStr">
        <is>
          <t>NA</t>
        </is>
      </c>
      <c r="AZ168" t="inlineStr">
        <is>
          <t>NA</t>
        </is>
      </c>
      <c r="BA168" t="n">
        <v>0</v>
      </c>
      <c r="BB168" t="inlineStr">
        <is>
          <t>67bbaeef55cc02dfa1b620caff1109e15a7b37e0340e44935b0fd02d3534f7e9</t>
        </is>
      </c>
    </row>
    <row r="169">
      <c r="A169" t="inlineStr">
        <is>
          <t>853</t>
        </is>
      </c>
      <c r="B169" t="inlineStr">
        <is>
          <t>7574900591</t>
        </is>
      </c>
      <c r="C169" t="inlineStr">
        <is>
          <t>2025-12-18 15:32:41</t>
        </is>
      </c>
      <c r="D169" t="inlineStr">
        <is>
          <t>51</t>
        </is>
      </c>
      <c r="E169" t="inlineStr">
        <is>
          <t>Sha Sha - Shandaar Shawarma</t>
        </is>
      </c>
      <c r="F169" t="inlineStr">
        <is>
          <t>18557902</t>
        </is>
      </c>
      <c r="G169" t="inlineStr">
        <is>
          <t>30% off upto ₹75 (2025-06-25 - 2031-01-01)</t>
        </is>
      </c>
      <c r="H169" t="inlineStr">
        <is>
          <t>ONLINE</t>
        </is>
      </c>
      <c r="I169" t="inlineStr">
        <is>
          <t>DELIVERED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O2</t>
        </is>
      </c>
      <c r="N169" t="inlineStr">
        <is>
          <t>36</t>
        </is>
      </c>
      <c r="O169" t="n">
        <v>229</v>
      </c>
      <c r="P169" t="n">
        <v>3.5</v>
      </c>
      <c r="Q169" t="n">
        <v>0</v>
      </c>
      <c r="R169" t="n">
        <v>68.7</v>
      </c>
      <c r="S169" t="n">
        <v>0</v>
      </c>
      <c r="T169" t="n">
        <v>0</v>
      </c>
      <c r="U169" t="n">
        <v>0</v>
      </c>
      <c r="V169" t="n">
        <v>8.19</v>
      </c>
      <c r="W169" t="n">
        <v>171.99</v>
      </c>
      <c r="X169" t="n">
        <v>163.8</v>
      </c>
      <c r="Y169" t="n">
        <v>19</v>
      </c>
      <c r="Z169" t="n">
        <v>31.12</v>
      </c>
      <c r="AA169" t="n">
        <v>3.16</v>
      </c>
      <c r="AB169" t="n">
        <v>34.28</v>
      </c>
      <c r="AC169" t="n">
        <v>6.17</v>
      </c>
      <c r="AD169" t="n">
        <v>0</v>
      </c>
      <c r="AE169" t="n">
        <v>163.8</v>
      </c>
      <c r="AF169" t="n">
        <v>0</v>
      </c>
      <c r="AG169" t="n">
        <v>0</v>
      </c>
      <c r="AH169" t="n">
        <v>0.16</v>
      </c>
      <c r="AI169" t="n">
        <v>8.199999999999999</v>
      </c>
      <c r="AJ169" t="n">
        <v>-0.01</v>
      </c>
      <c r="AK169" t="n">
        <v>14.53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48.81</v>
      </c>
      <c r="AV169" t="n">
        <v>0</v>
      </c>
      <c r="AW169" t="n">
        <v>123.18</v>
      </c>
      <c r="AX169" t="inlineStr">
        <is>
          <t>settled</t>
        </is>
      </c>
      <c r="AY169" t="inlineStr">
        <is>
          <t>NA</t>
        </is>
      </c>
      <c r="AZ169" t="inlineStr">
        <is>
          <t>NA</t>
        </is>
      </c>
      <c r="BA169" t="n">
        <v>0</v>
      </c>
      <c r="BB169" t="inlineStr">
        <is>
          <t>9c6bcac5d2e05b2341f2aecaaa1243209d7092b22d1b8c2151ba1323ea9d7a4a</t>
        </is>
      </c>
    </row>
    <row r="170">
      <c r="A170" t="inlineStr">
        <is>
          <t>854</t>
        </is>
      </c>
      <c r="B170" t="inlineStr">
        <is>
          <t>7595190024</t>
        </is>
      </c>
      <c r="C170" t="inlineStr">
        <is>
          <t>2025-12-18 15:36:51</t>
        </is>
      </c>
      <c r="D170" t="inlineStr">
        <is>
          <t>51</t>
        </is>
      </c>
      <c r="E170" t="inlineStr">
        <is>
          <t>Sha Sha - Shandaar Shawarma</t>
        </is>
      </c>
      <c r="F170" t="inlineStr">
        <is>
          <t>18557902</t>
        </is>
      </c>
      <c r="G170" t="inlineStr">
        <is>
          <t>30% off upto ₹75 (2025-06-25 - 2031-01-01)</t>
        </is>
      </c>
      <c r="H170" t="inlineStr">
        <is>
          <t>ONLINE</t>
        </is>
      </c>
      <c r="I170" t="inlineStr">
        <is>
          <t>DELIVERED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O2</t>
        </is>
      </c>
      <c r="N170" t="inlineStr">
        <is>
          <t>36</t>
        </is>
      </c>
      <c r="O170" t="n">
        <v>229</v>
      </c>
      <c r="P170" t="n">
        <v>3.5</v>
      </c>
      <c r="Q170" t="n">
        <v>0</v>
      </c>
      <c r="R170" t="n">
        <v>68.7</v>
      </c>
      <c r="S170" t="n">
        <v>0</v>
      </c>
      <c r="T170" t="n">
        <v>0</v>
      </c>
      <c r="U170" t="n">
        <v>0</v>
      </c>
      <c r="V170" t="n">
        <v>8.19</v>
      </c>
      <c r="W170" t="n">
        <v>171.99</v>
      </c>
      <c r="X170" t="n">
        <v>163.8</v>
      </c>
      <c r="Y170" t="n">
        <v>19</v>
      </c>
      <c r="Z170" t="n">
        <v>31.12</v>
      </c>
      <c r="AA170" t="n">
        <v>3.16</v>
      </c>
      <c r="AB170" t="n">
        <v>34.28</v>
      </c>
      <c r="AC170" t="n">
        <v>6.17</v>
      </c>
      <c r="AD170" t="n">
        <v>0</v>
      </c>
      <c r="AE170" t="n">
        <v>163.8</v>
      </c>
      <c r="AF170" t="n">
        <v>0</v>
      </c>
      <c r="AG170" t="n">
        <v>0</v>
      </c>
      <c r="AH170" t="n">
        <v>0.16</v>
      </c>
      <c r="AI170" t="n">
        <v>8.199999999999999</v>
      </c>
      <c r="AJ170" t="n">
        <v>-0.01</v>
      </c>
      <c r="AK170" t="n">
        <v>14.53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48.81</v>
      </c>
      <c r="AV170" t="n">
        <v>0</v>
      </c>
      <c r="AW170" t="n">
        <v>123.18</v>
      </c>
      <c r="AX170" t="inlineStr">
        <is>
          <t>settled</t>
        </is>
      </c>
      <c r="AY170" t="inlineStr">
        <is>
          <t>NA</t>
        </is>
      </c>
      <c r="AZ170" t="inlineStr">
        <is>
          <t>NA</t>
        </is>
      </c>
      <c r="BA170" t="n">
        <v>0</v>
      </c>
      <c r="BB170" t="inlineStr">
        <is>
          <t>19c169837356dda29ad2098f97811adc3df979375d0883a8c58c45f35caaeeae</t>
        </is>
      </c>
    </row>
    <row r="171">
      <c r="A171" t="inlineStr">
        <is>
          <t>855</t>
        </is>
      </c>
      <c r="B171" t="inlineStr">
        <is>
          <t>7591426807</t>
        </is>
      </c>
      <c r="C171" t="inlineStr">
        <is>
          <t>2025-12-18 16:47:05</t>
        </is>
      </c>
      <c r="D171" t="inlineStr">
        <is>
          <t>51</t>
        </is>
      </c>
      <c r="E171" t="inlineStr">
        <is>
          <t>Sha Sha - Shandaar Shawarma</t>
        </is>
      </c>
      <c r="F171" t="inlineStr">
        <is>
          <t>18557902</t>
        </is>
      </c>
      <c r="G171" t="inlineStr">
        <is>
          <t>30% off upto ₹75 (2025-06-25 - 2031-01-01)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O2</t>
        </is>
      </c>
      <c r="N171" t="inlineStr">
        <is>
          <t>36</t>
        </is>
      </c>
      <c r="O171" t="n">
        <v>229</v>
      </c>
      <c r="P171" t="n">
        <v>3.5</v>
      </c>
      <c r="Q171" t="n">
        <v>0</v>
      </c>
      <c r="R171" t="n">
        <v>68.7</v>
      </c>
      <c r="S171" t="n">
        <v>0</v>
      </c>
      <c r="T171" t="n">
        <v>0</v>
      </c>
      <c r="U171" t="n">
        <v>0</v>
      </c>
      <c r="V171" t="n">
        <v>8.19</v>
      </c>
      <c r="W171" t="n">
        <v>171.99</v>
      </c>
      <c r="X171" t="n">
        <v>163.8</v>
      </c>
      <c r="Y171" t="n">
        <v>19</v>
      </c>
      <c r="Z171" t="n">
        <v>31.12</v>
      </c>
      <c r="AA171" t="n">
        <v>3.16</v>
      </c>
      <c r="AB171" t="n">
        <v>34.28</v>
      </c>
      <c r="AC171" t="n">
        <v>6.17</v>
      </c>
      <c r="AD171" t="n">
        <v>0</v>
      </c>
      <c r="AE171" t="n">
        <v>163.8</v>
      </c>
      <c r="AF171" t="n">
        <v>0</v>
      </c>
      <c r="AG171" t="n">
        <v>0</v>
      </c>
      <c r="AH171" t="n">
        <v>0.16</v>
      </c>
      <c r="AI171" t="n">
        <v>8.199999999999999</v>
      </c>
      <c r="AJ171" t="n">
        <v>-0.01</v>
      </c>
      <c r="AK171" t="n">
        <v>14.53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48.81</v>
      </c>
      <c r="AV171" t="n">
        <v>0</v>
      </c>
      <c r="AW171" t="n">
        <v>123.18</v>
      </c>
      <c r="AX171" t="inlineStr">
        <is>
          <t>settled</t>
        </is>
      </c>
      <c r="AY171" t="inlineStr">
        <is>
          <t>NA</t>
        </is>
      </c>
      <c r="AZ171" t="inlineStr">
        <is>
          <t>NA</t>
        </is>
      </c>
      <c r="BA171" t="n">
        <v>0</v>
      </c>
      <c r="BB171" t="inlineStr">
        <is>
          <t>9ce10b7cd404ff1deb1ae4b6bbc83db963fd2413078a496aca2b26b40c6c7d77</t>
        </is>
      </c>
    </row>
    <row r="172">
      <c r="A172" t="inlineStr">
        <is>
          <t>856</t>
        </is>
      </c>
      <c r="B172" t="inlineStr">
        <is>
          <t>7595887360</t>
        </is>
      </c>
      <c r="C172" t="inlineStr">
        <is>
          <t>2025-12-18 16:50:39</t>
        </is>
      </c>
      <c r="D172" t="inlineStr">
        <is>
          <t>51</t>
        </is>
      </c>
      <c r="E172" t="inlineStr">
        <is>
          <t>Sha Sha - Shandaar Shawarma</t>
        </is>
      </c>
      <c r="F172" t="inlineStr">
        <is>
          <t>18557902</t>
        </is>
      </c>
      <c r="G172" t="inlineStr">
        <is>
          <t>30% off upto ₹75 (2025-06-25 - 2031-01-01)</t>
        </is>
      </c>
      <c r="H172" t="inlineStr">
        <is>
          <t>ONLINE</t>
        </is>
      </c>
      <c r="I172" t="inlineStr">
        <is>
          <t>DELIVERED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O2</t>
        </is>
      </c>
      <c r="N172" t="inlineStr">
        <is>
          <t>36</t>
        </is>
      </c>
      <c r="O172" t="n">
        <v>458</v>
      </c>
      <c r="P172" t="n">
        <v>3.5</v>
      </c>
      <c r="Q172" t="n">
        <v>0</v>
      </c>
      <c r="R172" t="n">
        <v>75</v>
      </c>
      <c r="S172" t="n">
        <v>0</v>
      </c>
      <c r="T172" t="n">
        <v>0</v>
      </c>
      <c r="U172" t="n">
        <v>0</v>
      </c>
      <c r="V172" t="n">
        <v>19.33</v>
      </c>
      <c r="W172" t="n">
        <v>405.83</v>
      </c>
      <c r="X172" t="n">
        <v>386.5</v>
      </c>
      <c r="Y172" t="n">
        <v>19</v>
      </c>
      <c r="Z172" t="n">
        <v>73.44</v>
      </c>
      <c r="AA172" t="n">
        <v>7.47</v>
      </c>
      <c r="AB172" t="n">
        <v>80.91</v>
      </c>
      <c r="AC172" t="n">
        <v>14.56</v>
      </c>
      <c r="AD172" t="n">
        <v>0</v>
      </c>
      <c r="AE172" t="n">
        <v>386.5</v>
      </c>
      <c r="AF172" t="n">
        <v>0</v>
      </c>
      <c r="AG172" t="n">
        <v>0</v>
      </c>
      <c r="AH172" t="n">
        <v>0.39</v>
      </c>
      <c r="AI172" t="n">
        <v>19.33</v>
      </c>
      <c r="AJ172" t="n">
        <v>0</v>
      </c>
      <c r="AK172" t="n">
        <v>34.28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115.19</v>
      </c>
      <c r="AV172" t="n">
        <v>0</v>
      </c>
      <c r="AW172" t="n">
        <v>290.64</v>
      </c>
      <c r="AX172" t="inlineStr">
        <is>
          <t>settled</t>
        </is>
      </c>
      <c r="AY172" t="inlineStr">
        <is>
          <t>NA</t>
        </is>
      </c>
      <c r="AZ172" t="inlineStr">
        <is>
          <t>NA</t>
        </is>
      </c>
      <c r="BA172" t="n">
        <v>0</v>
      </c>
      <c r="BB172" t="inlineStr">
        <is>
          <t>6ce37280bb83418386da86fd11577b1ed47834780b93b62e2a3f67a1e27682a6</t>
        </is>
      </c>
    </row>
    <row r="173">
      <c r="A173" t="inlineStr">
        <is>
          <t>857</t>
        </is>
      </c>
      <c r="B173" t="inlineStr">
        <is>
          <t>7593066111</t>
        </is>
      </c>
      <c r="C173" t="inlineStr">
        <is>
          <t>2025-12-18 16:57:29</t>
        </is>
      </c>
      <c r="D173" t="inlineStr">
        <is>
          <t>51</t>
        </is>
      </c>
      <c r="E173" t="inlineStr">
        <is>
          <t>Sha Sha - Shandaar Shawarma</t>
        </is>
      </c>
      <c r="F173" t="inlineStr">
        <is>
          <t>18557902</t>
        </is>
      </c>
      <c r="G173" t="inlineStr">
        <is>
          <t>30% off upto ₹75 (2025-06-25 - 2031-01-01)</t>
        </is>
      </c>
      <c r="H173" t="inlineStr">
        <is>
          <t>ONLINE</t>
        </is>
      </c>
      <c r="I173" t="inlineStr">
        <is>
          <t>DELIVERED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O2</t>
        </is>
      </c>
      <c r="N173" t="inlineStr">
        <is>
          <t>36</t>
        </is>
      </c>
      <c r="O173" t="n">
        <v>428</v>
      </c>
      <c r="P173" t="n">
        <v>3.5</v>
      </c>
      <c r="Q173" t="n">
        <v>0</v>
      </c>
      <c r="R173" t="n">
        <v>75</v>
      </c>
      <c r="S173" t="n">
        <v>0</v>
      </c>
      <c r="T173" t="n">
        <v>0</v>
      </c>
      <c r="U173" t="n">
        <v>0</v>
      </c>
      <c r="V173" t="n">
        <v>17.83</v>
      </c>
      <c r="W173" t="n">
        <v>374.33</v>
      </c>
      <c r="X173" t="n">
        <v>356.5</v>
      </c>
      <c r="Y173" t="n">
        <v>19</v>
      </c>
      <c r="Z173" t="n">
        <v>67.73999999999999</v>
      </c>
      <c r="AA173" t="n">
        <v>6.89</v>
      </c>
      <c r="AB173" t="n">
        <v>74.63</v>
      </c>
      <c r="AC173" t="n">
        <v>13.43</v>
      </c>
      <c r="AD173" t="n">
        <v>0</v>
      </c>
      <c r="AE173" t="n">
        <v>356.5</v>
      </c>
      <c r="AF173" t="n">
        <v>0</v>
      </c>
      <c r="AG173" t="n">
        <v>0</v>
      </c>
      <c r="AH173" t="n">
        <v>0.36</v>
      </c>
      <c r="AI173" t="n">
        <v>17.83</v>
      </c>
      <c r="AJ173" t="n">
        <v>0</v>
      </c>
      <c r="AK173" t="n">
        <v>31.62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106.25</v>
      </c>
      <c r="AV173" t="n">
        <v>0</v>
      </c>
      <c r="AW173" t="n">
        <v>268.08</v>
      </c>
      <c r="AX173" t="inlineStr">
        <is>
          <t>settled</t>
        </is>
      </c>
      <c r="AY173" t="inlineStr">
        <is>
          <t>NA</t>
        </is>
      </c>
      <c r="AZ173" t="inlineStr">
        <is>
          <t>NA</t>
        </is>
      </c>
      <c r="BA173" t="n">
        <v>0</v>
      </c>
      <c r="BB173" t="inlineStr">
        <is>
          <t>f6d665322b21683ef37ee398cbe49a724ca8cb1b0a18f65a555cc5c787ede14a</t>
        </is>
      </c>
    </row>
    <row r="174">
      <c r="A174" t="inlineStr">
        <is>
          <t>858</t>
        </is>
      </c>
      <c r="B174" t="inlineStr">
        <is>
          <t>7585404428</t>
        </is>
      </c>
      <c r="C174" t="inlineStr">
        <is>
          <t>2025-12-18 17:08:20</t>
        </is>
      </c>
      <c r="D174" t="inlineStr">
        <is>
          <t>51</t>
        </is>
      </c>
      <c r="E174" t="inlineStr">
        <is>
          <t>Sha Sha - Shandaar Shawarma</t>
        </is>
      </c>
      <c r="F174" t="inlineStr">
        <is>
          <t>18557902</t>
        </is>
      </c>
      <c r="G174" t="inlineStr">
        <is>
          <t>30% off upto ₹75 (2025-06-25 - 2031-01-01)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O2</t>
        </is>
      </c>
      <c r="N174" t="inlineStr">
        <is>
          <t>36</t>
        </is>
      </c>
      <c r="O174" t="n">
        <v>219</v>
      </c>
      <c r="P174" t="n">
        <v>3.5</v>
      </c>
      <c r="Q174" t="n">
        <v>0</v>
      </c>
      <c r="R174" t="n">
        <v>65.7</v>
      </c>
      <c r="S174" t="n">
        <v>0</v>
      </c>
      <c r="T174" t="n">
        <v>0</v>
      </c>
      <c r="U174" t="n">
        <v>0</v>
      </c>
      <c r="V174" t="n">
        <v>7.84</v>
      </c>
      <c r="W174" t="n">
        <v>164.64</v>
      </c>
      <c r="X174" t="n">
        <v>156.8</v>
      </c>
      <c r="Y174" t="n">
        <v>19</v>
      </c>
      <c r="Z174" t="n">
        <v>29.79</v>
      </c>
      <c r="AA174" t="n">
        <v>3.03</v>
      </c>
      <c r="AB174" t="n">
        <v>32.82</v>
      </c>
      <c r="AC174" t="n">
        <v>5.91</v>
      </c>
      <c r="AD174" t="n">
        <v>0</v>
      </c>
      <c r="AE174" t="n">
        <v>156.8</v>
      </c>
      <c r="AF174" t="n">
        <v>0</v>
      </c>
      <c r="AG174" t="n">
        <v>0</v>
      </c>
      <c r="AH174" t="n">
        <v>0.16</v>
      </c>
      <c r="AI174" t="n">
        <v>7.85</v>
      </c>
      <c r="AJ174" t="n">
        <v>-0.01</v>
      </c>
      <c r="AK174" t="n">
        <v>13.92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46.74</v>
      </c>
      <c r="AV174" t="n">
        <v>0</v>
      </c>
      <c r="AW174" t="n">
        <v>117.9</v>
      </c>
      <c r="AX174" t="inlineStr">
        <is>
          <t>settled</t>
        </is>
      </c>
      <c r="AY174" t="inlineStr">
        <is>
          <t>NA</t>
        </is>
      </c>
      <c r="AZ174" t="inlineStr">
        <is>
          <t>NA</t>
        </is>
      </c>
      <c r="BA174" t="n">
        <v>0</v>
      </c>
      <c r="BB174" t="inlineStr">
        <is>
          <t>aab5c06e2d57c89a6c74f2018de655d94b94ab089e70e9a86d456edf4abbc2e4</t>
        </is>
      </c>
    </row>
    <row r="175">
      <c r="A175" t="inlineStr">
        <is>
          <t>859</t>
        </is>
      </c>
      <c r="B175" t="inlineStr">
        <is>
          <t>7594293118</t>
        </is>
      </c>
      <c r="C175" t="inlineStr">
        <is>
          <t>2025-12-18 17:26:59</t>
        </is>
      </c>
      <c r="D175" t="inlineStr">
        <is>
          <t>51</t>
        </is>
      </c>
      <c r="E175" t="inlineStr">
        <is>
          <t>Sha Sha - Shandaar Shawarma</t>
        </is>
      </c>
      <c r="F175" t="inlineStr">
        <is>
          <t>18557902</t>
        </is>
      </c>
      <c r="G175" t="inlineStr">
        <is>
          <t>NA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O2</t>
        </is>
      </c>
      <c r="N175" t="inlineStr">
        <is>
          <t>36</t>
        </is>
      </c>
      <c r="O175" t="n">
        <v>219</v>
      </c>
      <c r="P175" t="n">
        <v>3.5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11.13</v>
      </c>
      <c r="W175" t="n">
        <v>233.63</v>
      </c>
      <c r="X175" t="n">
        <v>222.5</v>
      </c>
      <c r="Y175" t="n">
        <v>19</v>
      </c>
      <c r="Z175" t="n">
        <v>42.28</v>
      </c>
      <c r="AA175" t="n">
        <v>4.3</v>
      </c>
      <c r="AB175" t="n">
        <v>46.58</v>
      </c>
      <c r="AC175" t="n">
        <v>8.380000000000001</v>
      </c>
      <c r="AD175" t="n">
        <v>0</v>
      </c>
      <c r="AE175" t="n">
        <v>222.5</v>
      </c>
      <c r="AF175" t="n">
        <v>0</v>
      </c>
      <c r="AG175" t="n">
        <v>0</v>
      </c>
      <c r="AH175" t="n">
        <v>0.22</v>
      </c>
      <c r="AI175" t="n">
        <v>11.13</v>
      </c>
      <c r="AJ175" t="n">
        <v>0</v>
      </c>
      <c r="AK175" t="n">
        <v>19.73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66.31</v>
      </c>
      <c r="AV175" t="n">
        <v>0</v>
      </c>
      <c r="AW175" t="n">
        <v>167.32</v>
      </c>
      <c r="AX175" t="inlineStr">
        <is>
          <t>settled</t>
        </is>
      </c>
      <c r="AY175" t="inlineStr">
        <is>
          <t>NA</t>
        </is>
      </c>
      <c r="AZ175" t="inlineStr">
        <is>
          <t>NA</t>
        </is>
      </c>
      <c r="BA175" t="n">
        <v>0</v>
      </c>
      <c r="BB175" t="inlineStr">
        <is>
          <t>6bc04d2d1ced4adffce1a5001e257d8975f097a8bfdb75391eb6c1a6d77d687d</t>
        </is>
      </c>
    </row>
    <row r="176">
      <c r="A176" t="inlineStr">
        <is>
          <t>860</t>
        </is>
      </c>
      <c r="B176" t="inlineStr">
        <is>
          <t>7594794723</t>
        </is>
      </c>
      <c r="C176" t="inlineStr">
        <is>
          <t>2025-12-18 18:19:11</t>
        </is>
      </c>
      <c r="D176" t="inlineStr">
        <is>
          <t>51</t>
        </is>
      </c>
      <c r="E176" t="inlineStr">
        <is>
          <t>Sha Sha - Shandaar Shawarma</t>
        </is>
      </c>
      <c r="F176" t="inlineStr">
        <is>
          <t>18557902</t>
        </is>
      </c>
      <c r="G176" t="inlineStr">
        <is>
          <t>30% off upto ₹75 (2025-06-25 - 2031-01-01)</t>
        </is>
      </c>
      <c r="H176" t="inlineStr">
        <is>
          <t>ONLINE</t>
        </is>
      </c>
      <c r="I176" t="inlineStr">
        <is>
          <t>DELIVERED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O2</t>
        </is>
      </c>
      <c r="N176" t="inlineStr">
        <is>
          <t>36</t>
        </is>
      </c>
      <c r="O176" t="n">
        <v>229</v>
      </c>
      <c r="P176" t="n">
        <v>3.5</v>
      </c>
      <c r="Q176" t="n">
        <v>0</v>
      </c>
      <c r="R176" t="n">
        <v>68.7</v>
      </c>
      <c r="S176" t="n">
        <v>0</v>
      </c>
      <c r="T176" t="n">
        <v>0</v>
      </c>
      <c r="U176" t="n">
        <v>0</v>
      </c>
      <c r="V176" t="n">
        <v>8.19</v>
      </c>
      <c r="W176" t="n">
        <v>171.99</v>
      </c>
      <c r="X176" t="n">
        <v>163.8</v>
      </c>
      <c r="Y176" t="n">
        <v>19</v>
      </c>
      <c r="Z176" t="n">
        <v>31.12</v>
      </c>
      <c r="AA176" t="n">
        <v>3.16</v>
      </c>
      <c r="AB176" t="n">
        <v>34.28</v>
      </c>
      <c r="AC176" t="n">
        <v>6.17</v>
      </c>
      <c r="AD176" t="n">
        <v>0</v>
      </c>
      <c r="AE176" t="n">
        <v>163.8</v>
      </c>
      <c r="AF176" t="n">
        <v>0</v>
      </c>
      <c r="AG176" t="n">
        <v>0</v>
      </c>
      <c r="AH176" t="n">
        <v>0.16</v>
      </c>
      <c r="AI176" t="n">
        <v>8.199999999999999</v>
      </c>
      <c r="AJ176" t="n">
        <v>-0.01</v>
      </c>
      <c r="AK176" t="n">
        <v>14.53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48.81</v>
      </c>
      <c r="AV176" t="n">
        <v>0</v>
      </c>
      <c r="AW176" t="n">
        <v>123.18</v>
      </c>
      <c r="AX176" t="inlineStr">
        <is>
          <t>settled</t>
        </is>
      </c>
      <c r="AY176" t="inlineStr">
        <is>
          <t>NA</t>
        </is>
      </c>
      <c r="AZ176" t="inlineStr">
        <is>
          <t>NA</t>
        </is>
      </c>
      <c r="BA176" t="n">
        <v>0</v>
      </c>
      <c r="BB176" t="inlineStr">
        <is>
          <t>918d056f05e28ce91df4337125dbeb6a94114e7d574a60dc184de239f361d9ca</t>
        </is>
      </c>
    </row>
    <row r="177">
      <c r="A177" t="inlineStr">
        <is>
          <t>861</t>
        </is>
      </c>
      <c r="B177" t="inlineStr">
        <is>
          <t>7593055546</t>
        </is>
      </c>
      <c r="C177" t="inlineStr">
        <is>
          <t>2025-12-18 19:20:55</t>
        </is>
      </c>
      <c r="D177" t="inlineStr">
        <is>
          <t>51</t>
        </is>
      </c>
      <c r="E177" t="inlineStr">
        <is>
          <t>Sha Sha - Shandaar Shawarma</t>
        </is>
      </c>
      <c r="F177" t="inlineStr">
        <is>
          <t>18557902</t>
        </is>
      </c>
      <c r="G177" t="inlineStr">
        <is>
          <t>30% off upto ₹75 (2025-06-25 - 2031-01-01)</t>
        </is>
      </c>
      <c r="H177" t="inlineStr">
        <is>
          <t>ONLINE</t>
        </is>
      </c>
      <c r="I177" t="inlineStr">
        <is>
          <t>DELIVERED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O2</t>
        </is>
      </c>
      <c r="N177" t="inlineStr">
        <is>
          <t>36</t>
        </is>
      </c>
      <c r="O177" t="n">
        <v>229</v>
      </c>
      <c r="P177" t="n">
        <v>3.5</v>
      </c>
      <c r="Q177" t="n">
        <v>0</v>
      </c>
      <c r="R177" t="n">
        <v>68.7</v>
      </c>
      <c r="S177" t="n">
        <v>0</v>
      </c>
      <c r="T177" t="n">
        <v>0</v>
      </c>
      <c r="U177" t="n">
        <v>0</v>
      </c>
      <c r="V177" t="n">
        <v>8.19</v>
      </c>
      <c r="W177" t="n">
        <v>171.99</v>
      </c>
      <c r="X177" t="n">
        <v>163.8</v>
      </c>
      <c r="Y177" t="n">
        <v>19</v>
      </c>
      <c r="Z177" t="n">
        <v>31.12</v>
      </c>
      <c r="AA177" t="n">
        <v>3.16</v>
      </c>
      <c r="AB177" t="n">
        <v>34.28</v>
      </c>
      <c r="AC177" t="n">
        <v>6.17</v>
      </c>
      <c r="AD177" t="n">
        <v>0</v>
      </c>
      <c r="AE177" t="n">
        <v>163.8</v>
      </c>
      <c r="AF177" t="n">
        <v>0</v>
      </c>
      <c r="AG177" t="n">
        <v>0</v>
      </c>
      <c r="AH177" t="n">
        <v>0.16</v>
      </c>
      <c r="AI177" t="n">
        <v>8.199999999999999</v>
      </c>
      <c r="AJ177" t="n">
        <v>-0.01</v>
      </c>
      <c r="AK177" t="n">
        <v>14.53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48.81</v>
      </c>
      <c r="AV177" t="n">
        <v>0</v>
      </c>
      <c r="AW177" t="n">
        <v>123.18</v>
      </c>
      <c r="AX177" t="inlineStr">
        <is>
          <t>settled</t>
        </is>
      </c>
      <c r="AY177" t="inlineStr">
        <is>
          <t>NA</t>
        </is>
      </c>
      <c r="AZ177" t="inlineStr">
        <is>
          <t>NA</t>
        </is>
      </c>
      <c r="BA177" t="n">
        <v>0</v>
      </c>
      <c r="BB177" t="inlineStr">
        <is>
          <t>1addbf63dcef8004cc626f25c5ccd100e6e1b179d016eb4c12f0333bb7c0d06d</t>
        </is>
      </c>
    </row>
    <row r="178">
      <c r="A178" t="inlineStr">
        <is>
          <t>862</t>
        </is>
      </c>
      <c r="B178" t="inlineStr">
        <is>
          <t>7595293476</t>
        </is>
      </c>
      <c r="C178" t="inlineStr">
        <is>
          <t>2025-12-18 19:31:32</t>
        </is>
      </c>
      <c r="D178" t="inlineStr">
        <is>
          <t>51</t>
        </is>
      </c>
      <c r="E178" t="inlineStr">
        <is>
          <t>Sha Sha - Shandaar Shawarma</t>
        </is>
      </c>
      <c r="F178" t="inlineStr">
        <is>
          <t>18557902</t>
        </is>
      </c>
      <c r="G178" t="inlineStr">
        <is>
          <t>NA</t>
        </is>
      </c>
      <c r="H178" t="inlineStr">
        <is>
          <t>ONLINE</t>
        </is>
      </c>
      <c r="I178" t="inlineStr">
        <is>
          <t>DELIVERED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O2</t>
        </is>
      </c>
      <c r="N178" t="inlineStr">
        <is>
          <t>36</t>
        </is>
      </c>
      <c r="O178" t="n">
        <v>229</v>
      </c>
      <c r="P178" t="n">
        <v>3.5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11.63</v>
      </c>
      <c r="W178" t="n">
        <v>244.13</v>
      </c>
      <c r="X178" t="n">
        <v>232.5</v>
      </c>
      <c r="Y178" t="n">
        <v>19</v>
      </c>
      <c r="Z178" t="n">
        <v>44.18</v>
      </c>
      <c r="AA178" t="n">
        <v>4.49</v>
      </c>
      <c r="AB178" t="n">
        <v>48.67</v>
      </c>
      <c r="AC178" t="n">
        <v>8.76</v>
      </c>
      <c r="AD178" t="n">
        <v>0</v>
      </c>
      <c r="AE178" t="n">
        <v>232.5</v>
      </c>
      <c r="AF178" t="n">
        <v>0</v>
      </c>
      <c r="AG178" t="n">
        <v>0</v>
      </c>
      <c r="AH178" t="n">
        <v>0.23</v>
      </c>
      <c r="AI178" t="n">
        <v>11.63</v>
      </c>
      <c r="AJ178" t="n">
        <v>0</v>
      </c>
      <c r="AK178" t="n">
        <v>20.62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69.29000000000001</v>
      </c>
      <c r="AV178" t="n">
        <v>0</v>
      </c>
      <c r="AW178" t="n">
        <v>174.84</v>
      </c>
      <c r="AX178" t="inlineStr">
        <is>
          <t>settled</t>
        </is>
      </c>
      <c r="AY178" t="inlineStr">
        <is>
          <t>NA</t>
        </is>
      </c>
      <c r="AZ178" t="inlineStr">
        <is>
          <t>NA</t>
        </is>
      </c>
      <c r="BA178" t="n">
        <v>0</v>
      </c>
      <c r="BB178" t="inlineStr">
        <is>
          <t>905a30b702078af35253115cc97e5f325ceb7b3e43811488654f19fbd7b57954</t>
        </is>
      </c>
    </row>
    <row r="179">
      <c r="A179" t="inlineStr">
        <is>
          <t>863</t>
        </is>
      </c>
      <c r="B179" t="inlineStr">
        <is>
          <t>7596304376</t>
        </is>
      </c>
      <c r="C179" t="inlineStr">
        <is>
          <t>2025-12-18 19:31:37</t>
        </is>
      </c>
      <c r="D179" t="inlineStr">
        <is>
          <t>51</t>
        </is>
      </c>
      <c r="E179" t="inlineStr">
        <is>
          <t>Sha Sha - Shandaar Shawarma</t>
        </is>
      </c>
      <c r="F179" t="inlineStr">
        <is>
          <t>18557902</t>
        </is>
      </c>
      <c r="G179" t="inlineStr">
        <is>
          <t>30% off upto ₹75 (2025-06-25 - 2031-01-01)</t>
        </is>
      </c>
      <c r="H179" t="inlineStr">
        <is>
          <t>ONLINE</t>
        </is>
      </c>
      <c r="I179" t="inlineStr">
        <is>
          <t>DELIVERED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O2</t>
        </is>
      </c>
      <c r="N179" t="inlineStr">
        <is>
          <t>36</t>
        </is>
      </c>
      <c r="O179" t="n">
        <v>229</v>
      </c>
      <c r="P179" t="n">
        <v>3.5</v>
      </c>
      <c r="Q179" t="n">
        <v>0</v>
      </c>
      <c r="R179" t="n">
        <v>68.7</v>
      </c>
      <c r="S179" t="n">
        <v>0</v>
      </c>
      <c r="T179" t="n">
        <v>0</v>
      </c>
      <c r="U179" t="n">
        <v>0</v>
      </c>
      <c r="V179" t="n">
        <v>8.19</v>
      </c>
      <c r="W179" t="n">
        <v>171.99</v>
      </c>
      <c r="X179" t="n">
        <v>163.8</v>
      </c>
      <c r="Y179" t="n">
        <v>19</v>
      </c>
      <c r="Z179" t="n">
        <v>31.12</v>
      </c>
      <c r="AA179" t="n">
        <v>3.16</v>
      </c>
      <c r="AB179" t="n">
        <v>34.28</v>
      </c>
      <c r="AC179" t="n">
        <v>6.17</v>
      </c>
      <c r="AD179" t="n">
        <v>0</v>
      </c>
      <c r="AE179" t="n">
        <v>163.8</v>
      </c>
      <c r="AF179" t="n">
        <v>0</v>
      </c>
      <c r="AG179" t="n">
        <v>0</v>
      </c>
      <c r="AH179" t="n">
        <v>0.16</v>
      </c>
      <c r="AI179" t="n">
        <v>8.199999999999999</v>
      </c>
      <c r="AJ179" t="n">
        <v>-0.01</v>
      </c>
      <c r="AK179" t="n">
        <v>14.53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48.81</v>
      </c>
      <c r="AV179" t="n">
        <v>0</v>
      </c>
      <c r="AW179" t="n">
        <v>123.18</v>
      </c>
      <c r="AX179" t="inlineStr">
        <is>
          <t>settled</t>
        </is>
      </c>
      <c r="AY179" t="inlineStr">
        <is>
          <t>NA</t>
        </is>
      </c>
      <c r="AZ179" t="inlineStr">
        <is>
          <t>NA</t>
        </is>
      </c>
      <c r="BA179" t="n">
        <v>0</v>
      </c>
      <c r="BB179" t="inlineStr">
        <is>
          <t>18bc1f1e563cfcf3375dfef91583e368e7b7f362be7fb6af6e930da87e0bed06</t>
        </is>
      </c>
    </row>
    <row r="180">
      <c r="A180" t="inlineStr">
        <is>
          <t>864</t>
        </is>
      </c>
      <c r="B180" t="inlineStr">
        <is>
          <t>7595044993</t>
        </is>
      </c>
      <c r="C180" t="inlineStr">
        <is>
          <t>2025-12-18 19:46:32</t>
        </is>
      </c>
      <c r="D180" t="inlineStr">
        <is>
          <t>51</t>
        </is>
      </c>
      <c r="E180" t="inlineStr">
        <is>
          <t>Sha Sha - Shandaar Shawarma</t>
        </is>
      </c>
      <c r="F180" t="inlineStr">
        <is>
          <t>18557902</t>
        </is>
      </c>
      <c r="G180" t="inlineStr">
        <is>
          <t>NA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O2</t>
        </is>
      </c>
      <c r="N180" t="inlineStr">
        <is>
          <t>36</t>
        </is>
      </c>
      <c r="O180" t="n">
        <v>219</v>
      </c>
      <c r="P180" t="n">
        <v>3.5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11.13</v>
      </c>
      <c r="W180" t="n">
        <v>233.63</v>
      </c>
      <c r="X180" t="n">
        <v>222.5</v>
      </c>
      <c r="Y180" t="n">
        <v>19</v>
      </c>
      <c r="Z180" t="n">
        <v>42.28</v>
      </c>
      <c r="AA180" t="n">
        <v>4.3</v>
      </c>
      <c r="AB180" t="n">
        <v>46.58</v>
      </c>
      <c r="AC180" t="n">
        <v>8.380000000000001</v>
      </c>
      <c r="AD180" t="n">
        <v>0</v>
      </c>
      <c r="AE180" t="n">
        <v>222.5</v>
      </c>
      <c r="AF180" t="n">
        <v>0</v>
      </c>
      <c r="AG180" t="n">
        <v>0</v>
      </c>
      <c r="AH180" t="n">
        <v>0.22</v>
      </c>
      <c r="AI180" t="n">
        <v>11.13</v>
      </c>
      <c r="AJ180" t="n">
        <v>0</v>
      </c>
      <c r="AK180" t="n">
        <v>19.73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66.31</v>
      </c>
      <c r="AV180" t="n">
        <v>0</v>
      </c>
      <c r="AW180" t="n">
        <v>167.32</v>
      </c>
      <c r="AX180" t="inlineStr">
        <is>
          <t>settled</t>
        </is>
      </c>
      <c r="AY180" t="inlineStr">
        <is>
          <t>NA</t>
        </is>
      </c>
      <c r="AZ180" t="inlineStr">
        <is>
          <t>NA</t>
        </is>
      </c>
      <c r="BA180" t="n">
        <v>0</v>
      </c>
      <c r="BB180" t="inlineStr">
        <is>
          <t>e276f5609d1f9917ecd8b502e35d4208098ebd411eb731b08609d619156fde76</t>
        </is>
      </c>
    </row>
    <row r="181">
      <c r="A181" t="inlineStr">
        <is>
          <t>865</t>
        </is>
      </c>
      <c r="B181" t="inlineStr">
        <is>
          <t>7593838657</t>
        </is>
      </c>
      <c r="C181" t="inlineStr">
        <is>
          <t>2025-12-18 20:09:41</t>
        </is>
      </c>
      <c r="D181" t="inlineStr">
        <is>
          <t>51</t>
        </is>
      </c>
      <c r="E181" t="inlineStr">
        <is>
          <t>Sha Sha - Shandaar Shawarma</t>
        </is>
      </c>
      <c r="F181" t="inlineStr">
        <is>
          <t>18557902</t>
        </is>
      </c>
      <c r="G181" t="inlineStr">
        <is>
          <t>30% off upto ₹75 (2025-06-25 - 2031-01-01)</t>
        </is>
      </c>
      <c r="H181" t="inlineStr">
        <is>
          <t>ONLINE</t>
        </is>
      </c>
      <c r="I181" t="inlineStr">
        <is>
          <t>DELIVERED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O2</t>
        </is>
      </c>
      <c r="N181" t="inlineStr">
        <is>
          <t>36</t>
        </is>
      </c>
      <c r="O181" t="n">
        <v>229</v>
      </c>
      <c r="P181" t="n">
        <v>3.5</v>
      </c>
      <c r="Q181" t="n">
        <v>0</v>
      </c>
      <c r="R181" t="n">
        <v>68.7</v>
      </c>
      <c r="S181" t="n">
        <v>0</v>
      </c>
      <c r="T181" t="n">
        <v>0</v>
      </c>
      <c r="U181" t="n">
        <v>0</v>
      </c>
      <c r="V181" t="n">
        <v>8.19</v>
      </c>
      <c r="W181" t="n">
        <v>171.99</v>
      </c>
      <c r="X181" t="n">
        <v>163.8</v>
      </c>
      <c r="Y181" t="n">
        <v>19</v>
      </c>
      <c r="Z181" t="n">
        <v>31.12</v>
      </c>
      <c r="AA181" t="n">
        <v>3.16</v>
      </c>
      <c r="AB181" t="n">
        <v>34.28</v>
      </c>
      <c r="AC181" t="n">
        <v>6.17</v>
      </c>
      <c r="AD181" t="n">
        <v>0</v>
      </c>
      <c r="AE181" t="n">
        <v>163.8</v>
      </c>
      <c r="AF181" t="n">
        <v>0</v>
      </c>
      <c r="AG181" t="n">
        <v>0</v>
      </c>
      <c r="AH181" t="n">
        <v>0.16</v>
      </c>
      <c r="AI181" t="n">
        <v>8.199999999999999</v>
      </c>
      <c r="AJ181" t="n">
        <v>-0.01</v>
      </c>
      <c r="AK181" t="n">
        <v>14.53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48.81</v>
      </c>
      <c r="AV181" t="n">
        <v>0</v>
      </c>
      <c r="AW181" t="n">
        <v>123.18</v>
      </c>
      <c r="AX181" t="inlineStr">
        <is>
          <t>settled</t>
        </is>
      </c>
      <c r="AY181" t="inlineStr">
        <is>
          <t>NA</t>
        </is>
      </c>
      <c r="AZ181" t="inlineStr">
        <is>
          <t>NA</t>
        </is>
      </c>
      <c r="BA181" t="n">
        <v>0</v>
      </c>
      <c r="BB181" t="inlineStr">
        <is>
          <t>1c6e7a416fb0994ebbda610807024243269f8ed63b4c51f53bf3aff3077624b4</t>
        </is>
      </c>
    </row>
    <row r="182">
      <c r="A182" t="inlineStr">
        <is>
          <t>866</t>
        </is>
      </c>
      <c r="B182" t="inlineStr">
        <is>
          <t>7591174310</t>
        </is>
      </c>
      <c r="C182" t="inlineStr">
        <is>
          <t>2025-12-18 20:14:41</t>
        </is>
      </c>
      <c r="D182" t="inlineStr">
        <is>
          <t>51</t>
        </is>
      </c>
      <c r="E182" t="inlineStr">
        <is>
          <t>Sha Sha - Shandaar Shawarma</t>
        </is>
      </c>
      <c r="F182" t="inlineStr">
        <is>
          <t>18557902</t>
        </is>
      </c>
      <c r="G182" t="inlineStr">
        <is>
          <t>NA</t>
        </is>
      </c>
      <c r="H182" t="inlineStr">
        <is>
          <t>ONLINE</t>
        </is>
      </c>
      <c r="I182" t="inlineStr">
        <is>
          <t>DELIVERED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O2</t>
        </is>
      </c>
      <c r="N182" t="inlineStr">
        <is>
          <t>36</t>
        </is>
      </c>
      <c r="O182" t="n">
        <v>229</v>
      </c>
      <c r="P182" t="n">
        <v>3.5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11.63</v>
      </c>
      <c r="W182" t="n">
        <v>244.13</v>
      </c>
      <c r="X182" t="n">
        <v>232.5</v>
      </c>
      <c r="Y182" t="n">
        <v>19</v>
      </c>
      <c r="Z182" t="n">
        <v>44.18</v>
      </c>
      <c r="AA182" t="n">
        <v>4.49</v>
      </c>
      <c r="AB182" t="n">
        <v>48.67</v>
      </c>
      <c r="AC182" t="n">
        <v>8.76</v>
      </c>
      <c r="AD182" t="n">
        <v>0</v>
      </c>
      <c r="AE182" t="n">
        <v>232.5</v>
      </c>
      <c r="AF182" t="n">
        <v>0</v>
      </c>
      <c r="AG182" t="n">
        <v>0</v>
      </c>
      <c r="AH182" t="n">
        <v>0.23</v>
      </c>
      <c r="AI182" t="n">
        <v>11.63</v>
      </c>
      <c r="AJ182" t="n">
        <v>0</v>
      </c>
      <c r="AK182" t="n">
        <v>20.62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69.29000000000001</v>
      </c>
      <c r="AV182" t="n">
        <v>0</v>
      </c>
      <c r="AW182" t="n">
        <v>174.84</v>
      </c>
      <c r="AX182" t="inlineStr">
        <is>
          <t>settled</t>
        </is>
      </c>
      <c r="AY182" t="inlineStr">
        <is>
          <t>NA</t>
        </is>
      </c>
      <c r="AZ182" t="inlineStr">
        <is>
          <t>NA</t>
        </is>
      </c>
      <c r="BA182" t="n">
        <v>0</v>
      </c>
      <c r="BB182" t="inlineStr">
        <is>
          <t>fda6a9dfab320980bcc583a58e02e7b2f96aa8b059effa4c2ef0dff5415d19e5</t>
        </is>
      </c>
    </row>
    <row r="183">
      <c r="A183" t="inlineStr">
        <is>
          <t>867</t>
        </is>
      </c>
      <c r="B183" t="inlineStr">
        <is>
          <t>7583968054</t>
        </is>
      </c>
      <c r="C183" t="inlineStr">
        <is>
          <t>2025-12-18 20:17:17</t>
        </is>
      </c>
      <c r="D183" t="inlineStr">
        <is>
          <t>51</t>
        </is>
      </c>
      <c r="E183" t="inlineStr">
        <is>
          <t>Sha Sha - Shandaar Shawarma</t>
        </is>
      </c>
      <c r="F183" t="inlineStr">
        <is>
          <t>18557902</t>
        </is>
      </c>
      <c r="G183" t="inlineStr">
        <is>
          <t>NA</t>
        </is>
      </c>
      <c r="H183" t="inlineStr">
        <is>
          <t>ONLINE</t>
        </is>
      </c>
      <c r="I183" t="inlineStr">
        <is>
          <t>DELIVERED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O2</t>
        </is>
      </c>
      <c r="N183" t="inlineStr">
        <is>
          <t>36</t>
        </is>
      </c>
      <c r="O183" t="n">
        <v>219</v>
      </c>
      <c r="P183" t="n">
        <v>3.5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11.13</v>
      </c>
      <c r="W183" t="n">
        <v>233.63</v>
      </c>
      <c r="X183" t="n">
        <v>222.5</v>
      </c>
      <c r="Y183" t="n">
        <v>19</v>
      </c>
      <c r="Z183" t="n">
        <v>42.28</v>
      </c>
      <c r="AA183" t="n">
        <v>4.3</v>
      </c>
      <c r="AB183" t="n">
        <v>46.58</v>
      </c>
      <c r="AC183" t="n">
        <v>8.380000000000001</v>
      </c>
      <c r="AD183" t="n">
        <v>0</v>
      </c>
      <c r="AE183" t="n">
        <v>222.5</v>
      </c>
      <c r="AF183" t="n">
        <v>0</v>
      </c>
      <c r="AG183" t="n">
        <v>0</v>
      </c>
      <c r="AH183" t="n">
        <v>0.22</v>
      </c>
      <c r="AI183" t="n">
        <v>11.13</v>
      </c>
      <c r="AJ183" t="n">
        <v>0</v>
      </c>
      <c r="AK183" t="n">
        <v>19.73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66.31</v>
      </c>
      <c r="AV183" t="n">
        <v>0</v>
      </c>
      <c r="AW183" t="n">
        <v>167.32</v>
      </c>
      <c r="AX183" t="inlineStr">
        <is>
          <t>settled</t>
        </is>
      </c>
      <c r="AY183" t="inlineStr">
        <is>
          <t>NA</t>
        </is>
      </c>
      <c r="AZ183" t="inlineStr">
        <is>
          <t>NA</t>
        </is>
      </c>
      <c r="BA183" t="n">
        <v>0</v>
      </c>
      <c r="BB183" t="inlineStr">
        <is>
          <t>60e827c507c7addb0e8aad6df6db961a5f20a6dc2a46c7c60d039397f071702c</t>
        </is>
      </c>
    </row>
    <row r="184">
      <c r="A184" t="inlineStr">
        <is>
          <t>868</t>
        </is>
      </c>
      <c r="B184" t="inlineStr">
        <is>
          <t>7592951090</t>
        </is>
      </c>
      <c r="C184" t="inlineStr">
        <is>
          <t>2025-12-18 20:33:40</t>
        </is>
      </c>
      <c r="D184" t="inlineStr">
        <is>
          <t>51</t>
        </is>
      </c>
      <c r="E184" t="inlineStr">
        <is>
          <t>Sha Sha - Shandaar Shawarma</t>
        </is>
      </c>
      <c r="F184" t="inlineStr">
        <is>
          <t>18557902</t>
        </is>
      </c>
      <c r="G184" t="inlineStr">
        <is>
          <t>NA</t>
        </is>
      </c>
      <c r="H184" t="inlineStr">
        <is>
          <t>ONLINE</t>
        </is>
      </c>
      <c r="I184" t="inlineStr">
        <is>
          <t>DELIVERED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O2</t>
        </is>
      </c>
      <c r="N184" t="inlineStr">
        <is>
          <t>36</t>
        </is>
      </c>
      <c r="O184" t="n">
        <v>229</v>
      </c>
      <c r="P184" t="n">
        <v>3.5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11.63</v>
      </c>
      <c r="W184" t="n">
        <v>244.13</v>
      </c>
      <c r="X184" t="n">
        <v>232.5</v>
      </c>
      <c r="Y184" t="n">
        <v>19</v>
      </c>
      <c r="Z184" t="n">
        <v>44.18</v>
      </c>
      <c r="AA184" t="n">
        <v>4.49</v>
      </c>
      <c r="AB184" t="n">
        <v>48.67</v>
      </c>
      <c r="AC184" t="n">
        <v>8.76</v>
      </c>
      <c r="AD184" t="n">
        <v>0</v>
      </c>
      <c r="AE184" t="n">
        <v>232.5</v>
      </c>
      <c r="AF184" t="n">
        <v>0</v>
      </c>
      <c r="AG184" t="n">
        <v>0</v>
      </c>
      <c r="AH184" t="n">
        <v>0.23</v>
      </c>
      <c r="AI184" t="n">
        <v>11.63</v>
      </c>
      <c r="AJ184" t="n">
        <v>0</v>
      </c>
      <c r="AK184" t="n">
        <v>20.62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69.29000000000001</v>
      </c>
      <c r="AV184" t="n">
        <v>0</v>
      </c>
      <c r="AW184" t="n">
        <v>174.84</v>
      </c>
      <c r="AX184" t="inlineStr">
        <is>
          <t>settled</t>
        </is>
      </c>
      <c r="AY184" t="inlineStr">
        <is>
          <t>NA</t>
        </is>
      </c>
      <c r="AZ184" t="inlineStr">
        <is>
          <t>NA</t>
        </is>
      </c>
      <c r="BA184" t="n">
        <v>0</v>
      </c>
      <c r="BB184" t="inlineStr">
        <is>
          <t>8b2908e1c75ac19c25c6acff4548e642d35aeb77c07dd8baa24831abeca6f6fb</t>
        </is>
      </c>
    </row>
    <row r="185">
      <c r="A185" t="inlineStr">
        <is>
          <t>869</t>
        </is>
      </c>
      <c r="B185" t="inlineStr">
        <is>
          <t>7581417682</t>
        </is>
      </c>
      <c r="C185" t="inlineStr">
        <is>
          <t>2025-12-18 20:36:46</t>
        </is>
      </c>
      <c r="D185" t="inlineStr">
        <is>
          <t>51</t>
        </is>
      </c>
      <c r="E185" t="inlineStr">
        <is>
          <t>Sha Sha - Shandaar Shawarma</t>
        </is>
      </c>
      <c r="F185" t="inlineStr">
        <is>
          <t>18557902</t>
        </is>
      </c>
      <c r="G185" t="inlineStr">
        <is>
          <t>30% off upto ₹75 (2025-06-25 - 2031-01-01)</t>
        </is>
      </c>
      <c r="H185" t="inlineStr">
        <is>
          <t>ONLINE</t>
        </is>
      </c>
      <c r="I185" t="inlineStr">
        <is>
          <t>DELIVERED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O2</t>
        </is>
      </c>
      <c r="N185" t="inlineStr">
        <is>
          <t>36</t>
        </is>
      </c>
      <c r="O185" t="n">
        <v>229</v>
      </c>
      <c r="P185" t="n">
        <v>3.5</v>
      </c>
      <c r="Q185" t="n">
        <v>0</v>
      </c>
      <c r="R185" t="n">
        <v>68.7</v>
      </c>
      <c r="S185" t="n">
        <v>0</v>
      </c>
      <c r="T185" t="n">
        <v>0</v>
      </c>
      <c r="U185" t="n">
        <v>0</v>
      </c>
      <c r="V185" t="n">
        <v>8.19</v>
      </c>
      <c r="W185" t="n">
        <v>171.99</v>
      </c>
      <c r="X185" t="n">
        <v>163.8</v>
      </c>
      <c r="Y185" t="n">
        <v>19</v>
      </c>
      <c r="Z185" t="n">
        <v>31.12</v>
      </c>
      <c r="AA185" t="n">
        <v>3.16</v>
      </c>
      <c r="AB185" t="n">
        <v>34.28</v>
      </c>
      <c r="AC185" t="n">
        <v>6.17</v>
      </c>
      <c r="AD185" t="n">
        <v>0</v>
      </c>
      <c r="AE185" t="n">
        <v>163.8</v>
      </c>
      <c r="AF185" t="n">
        <v>0</v>
      </c>
      <c r="AG185" t="n">
        <v>0</v>
      </c>
      <c r="AH185" t="n">
        <v>0.16</v>
      </c>
      <c r="AI185" t="n">
        <v>8.199999999999999</v>
      </c>
      <c r="AJ185" t="n">
        <v>-0.01</v>
      </c>
      <c r="AK185" t="n">
        <v>14.53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48.81</v>
      </c>
      <c r="AV185" t="n">
        <v>0</v>
      </c>
      <c r="AW185" t="n">
        <v>123.18</v>
      </c>
      <c r="AX185" t="inlineStr">
        <is>
          <t>settled</t>
        </is>
      </c>
      <c r="AY185" t="inlineStr">
        <is>
          <t>NA</t>
        </is>
      </c>
      <c r="AZ185" t="inlineStr">
        <is>
          <t>NA</t>
        </is>
      </c>
      <c r="BA185" t="n">
        <v>0</v>
      </c>
      <c r="BB185" t="inlineStr">
        <is>
          <t>5bbf14df8938f95d3b7c17a99beb70d7782f65008db9840edde8a35ba5e8e65f</t>
        </is>
      </c>
    </row>
    <row r="186">
      <c r="A186" t="inlineStr">
        <is>
          <t>870</t>
        </is>
      </c>
      <c r="B186" t="inlineStr">
        <is>
          <t>7593332954</t>
        </is>
      </c>
      <c r="C186" t="inlineStr">
        <is>
          <t>2025-12-18 21:43:46</t>
        </is>
      </c>
      <c r="D186" t="inlineStr">
        <is>
          <t>51</t>
        </is>
      </c>
      <c r="E186" t="inlineStr">
        <is>
          <t>Sha Sha - Shandaar Shawarma</t>
        </is>
      </c>
      <c r="F186" t="inlineStr">
        <is>
          <t>18557902</t>
        </is>
      </c>
      <c r="G186" t="inlineStr">
        <is>
          <t>NA</t>
        </is>
      </c>
      <c r="H186" t="inlineStr">
        <is>
          <t>ONLINE</t>
        </is>
      </c>
      <c r="I186" t="inlineStr">
        <is>
          <t>DELIVERED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O2</t>
        </is>
      </c>
      <c r="N186" t="inlineStr">
        <is>
          <t>36</t>
        </is>
      </c>
      <c r="O186" t="n">
        <v>448</v>
      </c>
      <c r="P186" t="n">
        <v>3.5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22.58</v>
      </c>
      <c r="W186" t="n">
        <v>474.08</v>
      </c>
      <c r="X186" t="n">
        <v>451.5</v>
      </c>
      <c r="Y186" t="n">
        <v>19</v>
      </c>
      <c r="Z186" t="n">
        <v>85.78</v>
      </c>
      <c r="AA186" t="n">
        <v>8.720000000000001</v>
      </c>
      <c r="AB186" t="n">
        <v>94.5</v>
      </c>
      <c r="AC186" t="n">
        <v>17.01</v>
      </c>
      <c r="AD186" t="n">
        <v>0</v>
      </c>
      <c r="AE186" t="n">
        <v>451.5</v>
      </c>
      <c r="AF186" t="n">
        <v>0</v>
      </c>
      <c r="AG186" t="n">
        <v>0</v>
      </c>
      <c r="AH186" t="n">
        <v>0.45</v>
      </c>
      <c r="AI186" t="n">
        <v>22.58</v>
      </c>
      <c r="AJ186" t="n">
        <v>0</v>
      </c>
      <c r="AK186" t="n">
        <v>40.04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134.54</v>
      </c>
      <c r="AV186" t="n">
        <v>0</v>
      </c>
      <c r="AW186" t="n">
        <v>339.54</v>
      </c>
      <c r="AX186" t="inlineStr">
        <is>
          <t>settled</t>
        </is>
      </c>
      <c r="AY186" t="inlineStr">
        <is>
          <t>NA</t>
        </is>
      </c>
      <c r="AZ186" t="inlineStr">
        <is>
          <t>NA</t>
        </is>
      </c>
      <c r="BA186" t="n">
        <v>0</v>
      </c>
      <c r="BB186" t="inlineStr">
        <is>
          <t>e6242ade345535b72ce65fbd222d9f229de9cc0c619c25303cfc8e8640206f4c</t>
        </is>
      </c>
    </row>
    <row r="187">
      <c r="A187" t="inlineStr">
        <is>
          <t>871</t>
        </is>
      </c>
      <c r="B187" t="inlineStr">
        <is>
          <t>7587793548</t>
        </is>
      </c>
      <c r="C187" t="inlineStr">
        <is>
          <t>2025-12-18 21:44:57</t>
        </is>
      </c>
      <c r="D187" t="inlineStr">
        <is>
          <t>51</t>
        </is>
      </c>
      <c r="E187" t="inlineStr">
        <is>
          <t>Sha Sha - Shandaar Shawarma</t>
        </is>
      </c>
      <c r="F187" t="inlineStr">
        <is>
          <t>18557902</t>
        </is>
      </c>
      <c r="G187" t="inlineStr">
        <is>
          <t>30% off upto ₹75 (2025-06-25 - 2031-01-01)</t>
        </is>
      </c>
      <c r="H187" t="inlineStr">
        <is>
          <t>ONLINE</t>
        </is>
      </c>
      <c r="I187" t="inlineStr">
        <is>
          <t>DELIVERED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O2</t>
        </is>
      </c>
      <c r="N187" t="inlineStr">
        <is>
          <t>36</t>
        </is>
      </c>
      <c r="O187" t="n">
        <v>229</v>
      </c>
      <c r="P187" t="n">
        <v>3.5</v>
      </c>
      <c r="Q187" t="n">
        <v>0</v>
      </c>
      <c r="R187" t="n">
        <v>68.7</v>
      </c>
      <c r="S187" t="n">
        <v>0</v>
      </c>
      <c r="T187" t="n">
        <v>0</v>
      </c>
      <c r="U187" t="n">
        <v>0</v>
      </c>
      <c r="V187" t="n">
        <v>8.19</v>
      </c>
      <c r="W187" t="n">
        <v>171.99</v>
      </c>
      <c r="X187" t="n">
        <v>163.8</v>
      </c>
      <c r="Y187" t="n">
        <v>19</v>
      </c>
      <c r="Z187" t="n">
        <v>31.12</v>
      </c>
      <c r="AA187" t="n">
        <v>3.16</v>
      </c>
      <c r="AB187" t="n">
        <v>34.28</v>
      </c>
      <c r="AC187" t="n">
        <v>6.17</v>
      </c>
      <c r="AD187" t="n">
        <v>0</v>
      </c>
      <c r="AE187" t="n">
        <v>163.8</v>
      </c>
      <c r="AF187" t="n">
        <v>0</v>
      </c>
      <c r="AG187" t="n">
        <v>0</v>
      </c>
      <c r="AH187" t="n">
        <v>0.16</v>
      </c>
      <c r="AI187" t="n">
        <v>8.199999999999999</v>
      </c>
      <c r="AJ187" t="n">
        <v>-0.01</v>
      </c>
      <c r="AK187" t="n">
        <v>14.53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48.81</v>
      </c>
      <c r="AV187" t="n">
        <v>0</v>
      </c>
      <c r="AW187" t="n">
        <v>123.18</v>
      </c>
      <c r="AX187" t="inlineStr">
        <is>
          <t>settled</t>
        </is>
      </c>
      <c r="AY187" t="inlineStr">
        <is>
          <t>NA</t>
        </is>
      </c>
      <c r="AZ187" t="inlineStr">
        <is>
          <t>NA</t>
        </is>
      </c>
      <c r="BA187" t="n">
        <v>0</v>
      </c>
      <c r="BB187" t="inlineStr">
        <is>
          <t>9f4deb5446874a9a7a65cefc047d595b8ee47d4bb2b796bc9e5ac597f51b608c</t>
        </is>
      </c>
    </row>
    <row r="188">
      <c r="A188" t="inlineStr">
        <is>
          <t>872</t>
        </is>
      </c>
      <c r="B188" t="inlineStr">
        <is>
          <t>7596543237</t>
        </is>
      </c>
      <c r="C188" t="inlineStr">
        <is>
          <t>2025-12-18 21:59:47</t>
        </is>
      </c>
      <c r="D188" t="inlineStr">
        <is>
          <t>51</t>
        </is>
      </c>
      <c r="E188" t="inlineStr">
        <is>
          <t>Sha Sha - Shandaar Shawarma</t>
        </is>
      </c>
      <c r="F188" t="inlineStr">
        <is>
          <t>18557902</t>
        </is>
      </c>
      <c r="G188" t="inlineStr">
        <is>
          <t>NA</t>
        </is>
      </c>
      <c r="H188" t="inlineStr">
        <is>
          <t>ONLINE</t>
        </is>
      </c>
      <c r="I188" t="inlineStr">
        <is>
          <t>DELIVERED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O2</t>
        </is>
      </c>
      <c r="N188" t="inlineStr">
        <is>
          <t>36</t>
        </is>
      </c>
      <c r="O188" t="n">
        <v>229</v>
      </c>
      <c r="P188" t="n">
        <v>3.5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11.63</v>
      </c>
      <c r="W188" t="n">
        <v>244.13</v>
      </c>
      <c r="X188" t="n">
        <v>232.5</v>
      </c>
      <c r="Y188" t="n">
        <v>19</v>
      </c>
      <c r="Z188" t="n">
        <v>44.18</v>
      </c>
      <c r="AA188" t="n">
        <v>4.49</v>
      </c>
      <c r="AB188" t="n">
        <v>48.67</v>
      </c>
      <c r="AC188" t="n">
        <v>8.76</v>
      </c>
      <c r="AD188" t="n">
        <v>0</v>
      </c>
      <c r="AE188" t="n">
        <v>232.5</v>
      </c>
      <c r="AF188" t="n">
        <v>0</v>
      </c>
      <c r="AG188" t="n">
        <v>0</v>
      </c>
      <c r="AH188" t="n">
        <v>0.23</v>
      </c>
      <c r="AI188" t="n">
        <v>11.63</v>
      </c>
      <c r="AJ188" t="n">
        <v>0</v>
      </c>
      <c r="AK188" t="n">
        <v>20.62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69.29000000000001</v>
      </c>
      <c r="AV188" t="n">
        <v>0</v>
      </c>
      <c r="AW188" t="n">
        <v>174.84</v>
      </c>
      <c r="AX188" t="inlineStr">
        <is>
          <t>settled</t>
        </is>
      </c>
      <c r="AY188" t="inlineStr">
        <is>
          <t>NA</t>
        </is>
      </c>
      <c r="AZ188" t="inlineStr">
        <is>
          <t>NA</t>
        </is>
      </c>
      <c r="BA188" t="n">
        <v>0</v>
      </c>
      <c r="BB188" t="inlineStr">
        <is>
          <t>cc2115f57ee2a71a9490d7e061d0700b69a42779ed5bc8ef7076718b595b0cd7</t>
        </is>
      </c>
    </row>
    <row r="189">
      <c r="A189" t="inlineStr">
        <is>
          <t>873</t>
        </is>
      </c>
      <c r="B189" t="inlineStr">
        <is>
          <t>7596654893</t>
        </is>
      </c>
      <c r="C189" t="inlineStr">
        <is>
          <t>2025-12-18 22:02:06</t>
        </is>
      </c>
      <c r="D189" t="inlineStr">
        <is>
          <t>51</t>
        </is>
      </c>
      <c r="E189" t="inlineStr">
        <is>
          <t>Sha Sha - Shandaar Shawarma</t>
        </is>
      </c>
      <c r="F189" t="inlineStr">
        <is>
          <t>18557902</t>
        </is>
      </c>
      <c r="G189" t="inlineStr">
        <is>
          <t>NA</t>
        </is>
      </c>
      <c r="H189" t="inlineStr">
        <is>
          <t>ONLINE</t>
        </is>
      </c>
      <c r="I189" t="inlineStr">
        <is>
          <t>DELIVERED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O2</t>
        </is>
      </c>
      <c r="N189" t="inlineStr">
        <is>
          <t>36</t>
        </is>
      </c>
      <c r="O189" t="n">
        <v>229</v>
      </c>
      <c r="P189" t="n">
        <v>3.5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11.63</v>
      </c>
      <c r="W189" t="n">
        <v>244.13</v>
      </c>
      <c r="X189" t="n">
        <v>232.5</v>
      </c>
      <c r="Y189" t="n">
        <v>19</v>
      </c>
      <c r="Z189" t="n">
        <v>44.18</v>
      </c>
      <c r="AA189" t="n">
        <v>4.49</v>
      </c>
      <c r="AB189" t="n">
        <v>48.67</v>
      </c>
      <c r="AC189" t="n">
        <v>8.76</v>
      </c>
      <c r="AD189" t="n">
        <v>0</v>
      </c>
      <c r="AE189" t="n">
        <v>232.5</v>
      </c>
      <c r="AF189" t="n">
        <v>0</v>
      </c>
      <c r="AG189" t="n">
        <v>0</v>
      </c>
      <c r="AH189" t="n">
        <v>0.23</v>
      </c>
      <c r="AI189" t="n">
        <v>11.63</v>
      </c>
      <c r="AJ189" t="n">
        <v>0</v>
      </c>
      <c r="AK189" t="n">
        <v>20.62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69.29000000000001</v>
      </c>
      <c r="AV189" t="n">
        <v>0</v>
      </c>
      <c r="AW189" t="n">
        <v>174.84</v>
      </c>
      <c r="AX189" t="inlineStr">
        <is>
          <t>settled</t>
        </is>
      </c>
      <c r="AY189" t="inlineStr">
        <is>
          <t>NA</t>
        </is>
      </c>
      <c r="AZ189" t="inlineStr">
        <is>
          <t>NA</t>
        </is>
      </c>
      <c r="BA189" t="n">
        <v>0</v>
      </c>
      <c r="BB189" t="inlineStr">
        <is>
          <t>cc2115f57ee2a71a9490d7e061d0700b69a42779ed5bc8ef7076718b595b0cd7</t>
        </is>
      </c>
    </row>
    <row r="190">
      <c r="A190" t="inlineStr">
        <is>
          <t>874</t>
        </is>
      </c>
      <c r="B190" t="inlineStr">
        <is>
          <t>7585254537</t>
        </is>
      </c>
      <c r="C190" t="inlineStr">
        <is>
          <t>2025-12-18 22:03:37</t>
        </is>
      </c>
      <c r="D190" t="inlineStr">
        <is>
          <t>51</t>
        </is>
      </c>
      <c r="E190" t="inlineStr">
        <is>
          <t>Sha Sha - Shandaar Shawarma</t>
        </is>
      </c>
      <c r="F190" t="inlineStr">
        <is>
          <t>18557902</t>
        </is>
      </c>
      <c r="G190" t="inlineStr">
        <is>
          <t>30% off upto ₹75 (2025-06-25 - 2031-01-01)</t>
        </is>
      </c>
      <c r="H190" t="inlineStr">
        <is>
          <t>ONLINE</t>
        </is>
      </c>
      <c r="I190" t="inlineStr">
        <is>
          <t>DELIVERED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O2</t>
        </is>
      </c>
      <c r="N190" t="inlineStr">
        <is>
          <t>36</t>
        </is>
      </c>
      <c r="O190" t="n">
        <v>855</v>
      </c>
      <c r="P190" t="n">
        <v>3.5</v>
      </c>
      <c r="Q190" t="n">
        <v>0</v>
      </c>
      <c r="R190" t="n">
        <v>75</v>
      </c>
      <c r="S190" t="n">
        <v>0</v>
      </c>
      <c r="T190" t="n">
        <v>0</v>
      </c>
      <c r="U190" t="n">
        <v>0</v>
      </c>
      <c r="V190" t="n">
        <v>39.18</v>
      </c>
      <c r="W190" t="n">
        <v>822.6799999999999</v>
      </c>
      <c r="X190" t="n">
        <v>783.5</v>
      </c>
      <c r="Y190" t="n">
        <v>19</v>
      </c>
      <c r="Z190" t="n">
        <v>148.86</v>
      </c>
      <c r="AA190" t="n">
        <v>15.14</v>
      </c>
      <c r="AB190" t="n">
        <v>164</v>
      </c>
      <c r="AC190" t="n">
        <v>29.52</v>
      </c>
      <c r="AD190" t="n">
        <v>0</v>
      </c>
      <c r="AE190" t="n">
        <v>783.5</v>
      </c>
      <c r="AF190" t="n">
        <v>0</v>
      </c>
      <c r="AG190" t="n">
        <v>0</v>
      </c>
      <c r="AH190" t="n">
        <v>0.78</v>
      </c>
      <c r="AI190" t="n">
        <v>39.18</v>
      </c>
      <c r="AJ190" t="n">
        <v>0</v>
      </c>
      <c r="AK190" t="n">
        <v>69.48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233.48</v>
      </c>
      <c r="AV190" t="n">
        <v>0</v>
      </c>
      <c r="AW190" t="n">
        <v>589.2</v>
      </c>
      <c r="AX190" t="inlineStr">
        <is>
          <t>settled</t>
        </is>
      </c>
      <c r="AY190" t="inlineStr">
        <is>
          <t>NA</t>
        </is>
      </c>
      <c r="AZ190" t="inlineStr">
        <is>
          <t>NA</t>
        </is>
      </c>
      <c r="BA190" t="n">
        <v>0</v>
      </c>
      <c r="BB190" t="inlineStr">
        <is>
          <t>61d119af5f8dbf82d8432042941aef67f0a306e3e686e88c53fc87f32f74cb45</t>
        </is>
      </c>
    </row>
    <row r="191">
      <c r="A191" t="inlineStr">
        <is>
          <t>875</t>
        </is>
      </c>
      <c r="B191" t="inlineStr">
        <is>
          <t>7587529821</t>
        </is>
      </c>
      <c r="C191" t="inlineStr">
        <is>
          <t>2025-12-18 23:06:05</t>
        </is>
      </c>
      <c r="D191" t="inlineStr">
        <is>
          <t>51</t>
        </is>
      </c>
      <c r="E191" t="inlineStr">
        <is>
          <t>Sha Sha - Shandaar Shawarma</t>
        </is>
      </c>
      <c r="F191" t="inlineStr">
        <is>
          <t>18557902</t>
        </is>
      </c>
      <c r="G191" t="inlineStr">
        <is>
          <t>30% off upto ₹75 (2025-06-25 - 2031-01-01)</t>
        </is>
      </c>
      <c r="H191" t="inlineStr">
        <is>
          <t>ONLINE</t>
        </is>
      </c>
      <c r="I191" t="inlineStr">
        <is>
          <t>DELIVERED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O2</t>
        </is>
      </c>
      <c r="N191" t="inlineStr">
        <is>
          <t>36</t>
        </is>
      </c>
      <c r="O191" t="n">
        <v>428</v>
      </c>
      <c r="P191" t="n">
        <v>3.5</v>
      </c>
      <c r="Q191" t="n">
        <v>0</v>
      </c>
      <c r="R191" t="n">
        <v>75</v>
      </c>
      <c r="S191" t="n">
        <v>0</v>
      </c>
      <c r="T191" t="n">
        <v>0</v>
      </c>
      <c r="U191" t="n">
        <v>0</v>
      </c>
      <c r="V191" t="n">
        <v>17.83</v>
      </c>
      <c r="W191" t="n">
        <v>374.33</v>
      </c>
      <c r="X191" t="n">
        <v>356.5</v>
      </c>
      <c r="Y191" t="n">
        <v>19</v>
      </c>
      <c r="Z191" t="n">
        <v>67.73999999999999</v>
      </c>
      <c r="AA191" t="n">
        <v>6.89</v>
      </c>
      <c r="AB191" t="n">
        <v>74.63</v>
      </c>
      <c r="AC191" t="n">
        <v>13.43</v>
      </c>
      <c r="AD191" t="n">
        <v>0</v>
      </c>
      <c r="AE191" t="n">
        <v>356.5</v>
      </c>
      <c r="AF191" t="n">
        <v>0</v>
      </c>
      <c r="AG191" t="n">
        <v>0</v>
      </c>
      <c r="AH191" t="n">
        <v>0.36</v>
      </c>
      <c r="AI191" t="n">
        <v>17.83</v>
      </c>
      <c r="AJ191" t="n">
        <v>0</v>
      </c>
      <c r="AK191" t="n">
        <v>31.62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106.25</v>
      </c>
      <c r="AV191" t="n">
        <v>0</v>
      </c>
      <c r="AW191" t="n">
        <v>268.08</v>
      </c>
      <c r="AX191" t="inlineStr">
        <is>
          <t>settled</t>
        </is>
      </c>
      <c r="AY191" t="inlineStr">
        <is>
          <t>NA</t>
        </is>
      </c>
      <c r="AZ191" t="inlineStr">
        <is>
          <t>NA</t>
        </is>
      </c>
      <c r="BA191" t="n">
        <v>0</v>
      </c>
      <c r="BB191" t="inlineStr">
        <is>
          <t>51ee34f68cf603f1628bd1630e6e9d84c7fe52ad27d1c27932cec9540076c0b9</t>
        </is>
      </c>
    </row>
    <row r="192">
      <c r="A192" t="inlineStr">
        <is>
          <t>876</t>
        </is>
      </c>
      <c r="B192" t="inlineStr">
        <is>
          <t>7596029175</t>
        </is>
      </c>
      <c r="C192" t="inlineStr">
        <is>
          <t>2025-12-18 23:09:02</t>
        </is>
      </c>
      <c r="D192" t="inlineStr">
        <is>
          <t>51</t>
        </is>
      </c>
      <c r="E192" t="inlineStr">
        <is>
          <t>Sha Sha - Shandaar Shawarma</t>
        </is>
      </c>
      <c r="F192" t="inlineStr">
        <is>
          <t>18557902</t>
        </is>
      </c>
      <c r="G192" t="inlineStr">
        <is>
          <t>NA</t>
        </is>
      </c>
      <c r="H192" t="inlineStr">
        <is>
          <t>ONLINE</t>
        </is>
      </c>
      <c r="I192" t="inlineStr">
        <is>
          <t>DELIVERED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O2</t>
        </is>
      </c>
      <c r="N192" t="inlineStr">
        <is>
          <t>36</t>
        </is>
      </c>
      <c r="O192" t="n">
        <v>229</v>
      </c>
      <c r="P192" t="n">
        <v>3.5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11.63</v>
      </c>
      <c r="W192" t="n">
        <v>244.13</v>
      </c>
      <c r="X192" t="n">
        <v>232.5</v>
      </c>
      <c r="Y192" t="n">
        <v>19</v>
      </c>
      <c r="Z192" t="n">
        <v>44.18</v>
      </c>
      <c r="AA192" t="n">
        <v>4.49</v>
      </c>
      <c r="AB192" t="n">
        <v>48.67</v>
      </c>
      <c r="AC192" t="n">
        <v>8.76</v>
      </c>
      <c r="AD192" t="n">
        <v>0</v>
      </c>
      <c r="AE192" t="n">
        <v>232.5</v>
      </c>
      <c r="AF192" t="n">
        <v>0</v>
      </c>
      <c r="AG192" t="n">
        <v>0</v>
      </c>
      <c r="AH192" t="n">
        <v>0.23</v>
      </c>
      <c r="AI192" t="n">
        <v>11.63</v>
      </c>
      <c r="AJ192" t="n">
        <v>0</v>
      </c>
      <c r="AK192" t="n">
        <v>20.62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69.29000000000001</v>
      </c>
      <c r="AV192" t="n">
        <v>0</v>
      </c>
      <c r="AW192" t="n">
        <v>174.84</v>
      </c>
      <c r="AX192" t="inlineStr">
        <is>
          <t>settled</t>
        </is>
      </c>
      <c r="AY192" t="inlineStr">
        <is>
          <t>NA</t>
        </is>
      </c>
      <c r="AZ192" t="inlineStr">
        <is>
          <t>NA</t>
        </is>
      </c>
      <c r="BA192" t="n">
        <v>0</v>
      </c>
      <c r="BB192" t="inlineStr">
        <is>
          <t>64c8a615c8120dcc2605e7607a015b314a7429e29cb1dd2a672f958625dabbc2</t>
        </is>
      </c>
    </row>
    <row r="193">
      <c r="A193" t="inlineStr">
        <is>
          <t>877</t>
        </is>
      </c>
      <c r="B193" t="inlineStr">
        <is>
          <t>7583405216</t>
        </is>
      </c>
      <c r="C193" t="inlineStr">
        <is>
          <t>2025-12-18 23:09:36</t>
        </is>
      </c>
      <c r="D193" t="inlineStr">
        <is>
          <t>51</t>
        </is>
      </c>
      <c r="E193" t="inlineStr">
        <is>
          <t>Sha Sha - Shandaar Shawarma</t>
        </is>
      </c>
      <c r="F193" t="inlineStr">
        <is>
          <t>18557902</t>
        </is>
      </c>
      <c r="G193" t="inlineStr">
        <is>
          <t>NA</t>
        </is>
      </c>
      <c r="H193" t="inlineStr">
        <is>
          <t>ONLINE</t>
        </is>
      </c>
      <c r="I193" t="inlineStr">
        <is>
          <t>DELIVERED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O2</t>
        </is>
      </c>
      <c r="N193" t="inlineStr">
        <is>
          <t>36</t>
        </is>
      </c>
      <c r="O193" t="n">
        <v>229</v>
      </c>
      <c r="P193" t="n">
        <v>3.5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11.63</v>
      </c>
      <c r="W193" t="n">
        <v>244.13</v>
      </c>
      <c r="X193" t="n">
        <v>232.5</v>
      </c>
      <c r="Y193" t="n">
        <v>19</v>
      </c>
      <c r="Z193" t="n">
        <v>44.18</v>
      </c>
      <c r="AA193" t="n">
        <v>4.49</v>
      </c>
      <c r="AB193" t="n">
        <v>48.67</v>
      </c>
      <c r="AC193" t="n">
        <v>8.76</v>
      </c>
      <c r="AD193" t="n">
        <v>0</v>
      </c>
      <c r="AE193" t="n">
        <v>232.5</v>
      </c>
      <c r="AF193" t="n">
        <v>0</v>
      </c>
      <c r="AG193" t="n">
        <v>0</v>
      </c>
      <c r="AH193" t="n">
        <v>0.23</v>
      </c>
      <c r="AI193" t="n">
        <v>11.63</v>
      </c>
      <c r="AJ193" t="n">
        <v>0</v>
      </c>
      <c r="AK193" t="n">
        <v>20.62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69.29000000000001</v>
      </c>
      <c r="AV193" t="n">
        <v>0</v>
      </c>
      <c r="AW193" t="n">
        <v>174.84</v>
      </c>
      <c r="AX193" t="inlineStr">
        <is>
          <t>settled</t>
        </is>
      </c>
      <c r="AY193" t="inlineStr">
        <is>
          <t>NA</t>
        </is>
      </c>
      <c r="AZ193" t="inlineStr">
        <is>
          <t>NA</t>
        </is>
      </c>
      <c r="BA193" t="n">
        <v>0</v>
      </c>
      <c r="BB193" t="inlineStr">
        <is>
          <t>28f96e7002d004e3e98f62d50fc586b96201c953e4fd0723b58d406f4d31980b</t>
        </is>
      </c>
    </row>
    <row r="194">
      <c r="A194" t="inlineStr">
        <is>
          <t>878</t>
        </is>
      </c>
      <c r="B194" t="inlineStr">
        <is>
          <t>7593536857</t>
        </is>
      </c>
      <c r="C194" t="inlineStr">
        <is>
          <t>2025-12-18 23:10:00</t>
        </is>
      </c>
      <c r="D194" t="inlineStr">
        <is>
          <t>51</t>
        </is>
      </c>
      <c r="E194" t="inlineStr">
        <is>
          <t>Sha Sha - Shandaar Shawarma</t>
        </is>
      </c>
      <c r="F194" t="inlineStr">
        <is>
          <t>18557902</t>
        </is>
      </c>
      <c r="G194" t="inlineStr">
        <is>
          <t>NA</t>
        </is>
      </c>
      <c r="H194" t="inlineStr">
        <is>
          <t>ONLINE</t>
        </is>
      </c>
      <c r="I194" t="inlineStr">
        <is>
          <t>DELIVERED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O2</t>
        </is>
      </c>
      <c r="N194" t="inlineStr">
        <is>
          <t>36</t>
        </is>
      </c>
      <c r="O194" t="n">
        <v>229</v>
      </c>
      <c r="P194" t="n">
        <v>3.5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11.63</v>
      </c>
      <c r="W194" t="n">
        <v>244.13</v>
      </c>
      <c r="X194" t="n">
        <v>232.5</v>
      </c>
      <c r="Y194" t="n">
        <v>19</v>
      </c>
      <c r="Z194" t="n">
        <v>44.18</v>
      </c>
      <c r="AA194" t="n">
        <v>4.49</v>
      </c>
      <c r="AB194" t="n">
        <v>48.67</v>
      </c>
      <c r="AC194" t="n">
        <v>8.76</v>
      </c>
      <c r="AD194" t="n">
        <v>0</v>
      </c>
      <c r="AE194" t="n">
        <v>232.5</v>
      </c>
      <c r="AF194" t="n">
        <v>0</v>
      </c>
      <c r="AG194" t="n">
        <v>0</v>
      </c>
      <c r="AH194" t="n">
        <v>0.23</v>
      </c>
      <c r="AI194" t="n">
        <v>11.63</v>
      </c>
      <c r="AJ194" t="n">
        <v>0</v>
      </c>
      <c r="AK194" t="n">
        <v>20.62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69.29000000000001</v>
      </c>
      <c r="AV194" t="n">
        <v>0</v>
      </c>
      <c r="AW194" t="n">
        <v>174.84</v>
      </c>
      <c r="AX194" t="inlineStr">
        <is>
          <t>settled</t>
        </is>
      </c>
      <c r="AY194" t="inlineStr">
        <is>
          <t>NA</t>
        </is>
      </c>
      <c r="AZ194" t="inlineStr">
        <is>
          <t>NA</t>
        </is>
      </c>
      <c r="BA194" t="n">
        <v>0</v>
      </c>
      <c r="BB194" t="inlineStr">
        <is>
          <t>6b9b6fc385e93fde7a5ac2af82dc53b1ca1c4277bac7b22b8b0e8d8398318a85</t>
        </is>
      </c>
    </row>
    <row r="195">
      <c r="A195" t="inlineStr">
        <is>
          <t>879</t>
        </is>
      </c>
      <c r="B195" t="inlineStr">
        <is>
          <t>7594199373</t>
        </is>
      </c>
      <c r="C195" t="inlineStr">
        <is>
          <t>2025-12-18 23:21:18</t>
        </is>
      </c>
      <c r="D195" t="inlineStr">
        <is>
          <t>51</t>
        </is>
      </c>
      <c r="E195" t="inlineStr">
        <is>
          <t>Sha Sha - Shandaar Shawarma</t>
        </is>
      </c>
      <c r="F195" t="inlineStr">
        <is>
          <t>18557902</t>
        </is>
      </c>
      <c r="G195" t="inlineStr">
        <is>
          <t>30% off upto ₹75 (2025-06-25 - 2031-01-01)</t>
        </is>
      </c>
      <c r="H195" t="inlineStr">
        <is>
          <t>ONLINE</t>
        </is>
      </c>
      <c r="I195" t="inlineStr">
        <is>
          <t>DELIVERED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O2</t>
        </is>
      </c>
      <c r="N195" t="inlineStr">
        <is>
          <t>36</t>
        </is>
      </c>
      <c r="O195" t="n">
        <v>229</v>
      </c>
      <c r="P195" t="n">
        <v>3.5</v>
      </c>
      <c r="Q195" t="n">
        <v>0</v>
      </c>
      <c r="R195" t="n">
        <v>68.7</v>
      </c>
      <c r="S195" t="n">
        <v>0</v>
      </c>
      <c r="T195" t="n">
        <v>0</v>
      </c>
      <c r="U195" t="n">
        <v>0</v>
      </c>
      <c r="V195" t="n">
        <v>8.19</v>
      </c>
      <c r="W195" t="n">
        <v>171.99</v>
      </c>
      <c r="X195" t="n">
        <v>163.8</v>
      </c>
      <c r="Y195" t="n">
        <v>19</v>
      </c>
      <c r="Z195" t="n">
        <v>31.12</v>
      </c>
      <c r="AA195" t="n">
        <v>3.16</v>
      </c>
      <c r="AB195" t="n">
        <v>34.28</v>
      </c>
      <c r="AC195" t="n">
        <v>6.17</v>
      </c>
      <c r="AD195" t="n">
        <v>0</v>
      </c>
      <c r="AE195" t="n">
        <v>163.8</v>
      </c>
      <c r="AF195" t="n">
        <v>0</v>
      </c>
      <c r="AG195" t="n">
        <v>0</v>
      </c>
      <c r="AH195" t="n">
        <v>0.16</v>
      </c>
      <c r="AI195" t="n">
        <v>8.199999999999999</v>
      </c>
      <c r="AJ195" t="n">
        <v>-0.01</v>
      </c>
      <c r="AK195" t="n">
        <v>14.53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48.81</v>
      </c>
      <c r="AV195" t="n">
        <v>0</v>
      </c>
      <c r="AW195" t="n">
        <v>123.18</v>
      </c>
      <c r="AX195" t="inlineStr">
        <is>
          <t>settled</t>
        </is>
      </c>
      <c r="AY195" t="inlineStr">
        <is>
          <t>NA</t>
        </is>
      </c>
      <c r="AZ195" t="inlineStr">
        <is>
          <t>NA</t>
        </is>
      </c>
      <c r="BA195" t="n">
        <v>0</v>
      </c>
      <c r="BB195" t="inlineStr">
        <is>
          <t>34c50149eb9268d0acc58e4d264a708905c422d4c42899c51317e1924fbd50db</t>
        </is>
      </c>
    </row>
    <row r="196">
      <c r="A196" t="inlineStr">
        <is>
          <t>880</t>
        </is>
      </c>
      <c r="B196" t="inlineStr">
        <is>
          <t>7595542771</t>
        </is>
      </c>
      <c r="C196" t="inlineStr">
        <is>
          <t>2025-12-18 23:24:53</t>
        </is>
      </c>
      <c r="D196" t="inlineStr">
        <is>
          <t>51</t>
        </is>
      </c>
      <c r="E196" t="inlineStr">
        <is>
          <t>Sha Sha - Shandaar Shawarma</t>
        </is>
      </c>
      <c r="F196" t="inlineStr">
        <is>
          <t>18557902</t>
        </is>
      </c>
      <c r="G196" t="inlineStr">
        <is>
          <t>30% off upto ₹75 (2025-06-25 - 2031-01-01)</t>
        </is>
      </c>
      <c r="H196" t="inlineStr">
        <is>
          <t>ONLINE</t>
        </is>
      </c>
      <c r="I196" t="inlineStr">
        <is>
          <t>DELIVERED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O2</t>
        </is>
      </c>
      <c r="N196" t="inlineStr">
        <is>
          <t>36</t>
        </is>
      </c>
      <c r="O196" t="n">
        <v>407</v>
      </c>
      <c r="P196" t="n">
        <v>3.5</v>
      </c>
      <c r="Q196" t="n">
        <v>0</v>
      </c>
      <c r="R196" t="n">
        <v>75</v>
      </c>
      <c r="S196" t="n">
        <v>0</v>
      </c>
      <c r="T196" t="n">
        <v>0</v>
      </c>
      <c r="U196" t="n">
        <v>0</v>
      </c>
      <c r="V196" t="n">
        <v>16.78</v>
      </c>
      <c r="W196" t="n">
        <v>352.28</v>
      </c>
      <c r="X196" t="n">
        <v>335.5</v>
      </c>
      <c r="Y196" t="n">
        <v>19</v>
      </c>
      <c r="Z196" t="n">
        <v>63.74</v>
      </c>
      <c r="AA196" t="n">
        <v>6.48</v>
      </c>
      <c r="AB196" t="n">
        <v>70.22</v>
      </c>
      <c r="AC196" t="n">
        <v>12.64</v>
      </c>
      <c r="AD196" t="n">
        <v>0</v>
      </c>
      <c r="AE196" t="n">
        <v>335.5</v>
      </c>
      <c r="AF196" t="n">
        <v>0</v>
      </c>
      <c r="AG196" t="n">
        <v>0</v>
      </c>
      <c r="AH196" t="n">
        <v>0.34</v>
      </c>
      <c r="AI196" t="n">
        <v>16.78</v>
      </c>
      <c r="AJ196" t="n">
        <v>0</v>
      </c>
      <c r="AK196" t="n">
        <v>29.76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99.98</v>
      </c>
      <c r="AV196" t="n">
        <v>0</v>
      </c>
      <c r="AW196" t="n">
        <v>252.3</v>
      </c>
      <c r="AX196" t="inlineStr">
        <is>
          <t>settled</t>
        </is>
      </c>
      <c r="AY196" t="inlineStr">
        <is>
          <t>NA</t>
        </is>
      </c>
      <c r="AZ196" t="inlineStr">
        <is>
          <t>NA</t>
        </is>
      </c>
      <c r="BA196" t="n">
        <v>0</v>
      </c>
      <c r="BB196" t="inlineStr">
        <is>
          <t>d7c8b64754fcbc3aa6cf2135d0a23660b9bb85f7200fc0b5161e9796861106a6</t>
        </is>
      </c>
    </row>
    <row r="197">
      <c r="A197" t="inlineStr">
        <is>
          <t>881</t>
        </is>
      </c>
      <c r="B197" t="inlineStr">
        <is>
          <t>7597640797</t>
        </is>
      </c>
      <c r="C197" t="inlineStr">
        <is>
          <t>2025-12-18 23:31:19</t>
        </is>
      </c>
      <c r="D197" t="inlineStr">
        <is>
          <t>51</t>
        </is>
      </c>
      <c r="E197" t="inlineStr">
        <is>
          <t>Sha Sha - Shandaar Shawarma</t>
        </is>
      </c>
      <c r="F197" t="inlineStr">
        <is>
          <t>18557902</t>
        </is>
      </c>
      <c r="G197" t="inlineStr">
        <is>
          <t>NA</t>
        </is>
      </c>
      <c r="H197" t="inlineStr">
        <is>
          <t>ONLINE</t>
        </is>
      </c>
      <c r="I197" t="inlineStr">
        <is>
          <t>DELIVERED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O2</t>
        </is>
      </c>
      <c r="N197" t="inlineStr">
        <is>
          <t>36</t>
        </is>
      </c>
      <c r="O197" t="n">
        <v>229</v>
      </c>
      <c r="P197" t="n">
        <v>3.5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11.63</v>
      </c>
      <c r="W197" t="n">
        <v>244.13</v>
      </c>
      <c r="X197" t="n">
        <v>232.5</v>
      </c>
      <c r="Y197" t="n">
        <v>19</v>
      </c>
      <c r="Z197" t="n">
        <v>44.18</v>
      </c>
      <c r="AA197" t="n">
        <v>4.49</v>
      </c>
      <c r="AB197" t="n">
        <v>48.67</v>
      </c>
      <c r="AC197" t="n">
        <v>8.76</v>
      </c>
      <c r="AD197" t="n">
        <v>0</v>
      </c>
      <c r="AE197" t="n">
        <v>232.5</v>
      </c>
      <c r="AF197" t="n">
        <v>0</v>
      </c>
      <c r="AG197" t="n">
        <v>0</v>
      </c>
      <c r="AH197" t="n">
        <v>0.23</v>
      </c>
      <c r="AI197" t="n">
        <v>11.63</v>
      </c>
      <c r="AJ197" t="n">
        <v>0</v>
      </c>
      <c r="AK197" t="n">
        <v>20.62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69.29000000000001</v>
      </c>
      <c r="AV197" t="n">
        <v>0</v>
      </c>
      <c r="AW197" t="n">
        <v>174.84</v>
      </c>
      <c r="AX197" t="inlineStr">
        <is>
          <t>settled</t>
        </is>
      </c>
      <c r="AY197" t="inlineStr">
        <is>
          <t>NA</t>
        </is>
      </c>
      <c r="AZ197" t="inlineStr">
        <is>
          <t>NA</t>
        </is>
      </c>
      <c r="BA197" t="n">
        <v>0</v>
      </c>
      <c r="BB197" t="inlineStr">
        <is>
          <t>7ef12fbdfc8766f5ec5d31297fa84c072529889f895591b14b3283e40cbc4f0a</t>
        </is>
      </c>
    </row>
    <row r="198">
      <c r="A198" t="inlineStr">
        <is>
          <t>882</t>
        </is>
      </c>
      <c r="B198" t="inlineStr">
        <is>
          <t>7593714318</t>
        </is>
      </c>
      <c r="C198" t="inlineStr">
        <is>
          <t>2025-12-18 23:44:36</t>
        </is>
      </c>
      <c r="D198" t="inlineStr">
        <is>
          <t>51</t>
        </is>
      </c>
      <c r="E198" t="inlineStr">
        <is>
          <t>Sha Sha - Shandaar Shawarma</t>
        </is>
      </c>
      <c r="F198" t="inlineStr">
        <is>
          <t>18557902</t>
        </is>
      </c>
      <c r="G198" t="inlineStr">
        <is>
          <t>30% off upto ₹75 (2025-06-25 - 2031-01-01)</t>
        </is>
      </c>
      <c r="H198" t="inlineStr">
        <is>
          <t>ONLINE</t>
        </is>
      </c>
      <c r="I198" t="inlineStr">
        <is>
          <t>DELIVERED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O2</t>
        </is>
      </c>
      <c r="N198" t="inlineStr">
        <is>
          <t>36</t>
        </is>
      </c>
      <c r="O198" t="n">
        <v>229</v>
      </c>
      <c r="P198" t="n">
        <v>3.5</v>
      </c>
      <c r="Q198" t="n">
        <v>0</v>
      </c>
      <c r="R198" t="n">
        <v>68.7</v>
      </c>
      <c r="S198" t="n">
        <v>0</v>
      </c>
      <c r="T198" t="n">
        <v>0</v>
      </c>
      <c r="U198" t="n">
        <v>0</v>
      </c>
      <c r="V198" t="n">
        <v>8.19</v>
      </c>
      <c r="W198" t="n">
        <v>171.99</v>
      </c>
      <c r="X198" t="n">
        <v>163.8</v>
      </c>
      <c r="Y198" t="n">
        <v>19</v>
      </c>
      <c r="Z198" t="n">
        <v>31.12</v>
      </c>
      <c r="AA198" t="n">
        <v>3.16</v>
      </c>
      <c r="AB198" t="n">
        <v>34.28</v>
      </c>
      <c r="AC198" t="n">
        <v>6.17</v>
      </c>
      <c r="AD198" t="n">
        <v>0</v>
      </c>
      <c r="AE198" t="n">
        <v>163.8</v>
      </c>
      <c r="AF198" t="n">
        <v>0</v>
      </c>
      <c r="AG198" t="n">
        <v>0</v>
      </c>
      <c r="AH198" t="n">
        <v>0.16</v>
      </c>
      <c r="AI198" t="n">
        <v>8.199999999999999</v>
      </c>
      <c r="AJ198" t="n">
        <v>-0.01</v>
      </c>
      <c r="AK198" t="n">
        <v>14.53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48.81</v>
      </c>
      <c r="AV198" t="n">
        <v>0</v>
      </c>
      <c r="AW198" t="n">
        <v>123.18</v>
      </c>
      <c r="AX198" t="inlineStr">
        <is>
          <t>settled</t>
        </is>
      </c>
      <c r="AY198" t="inlineStr">
        <is>
          <t>NA</t>
        </is>
      </c>
      <c r="AZ198" t="inlineStr">
        <is>
          <t>NA</t>
        </is>
      </c>
      <c r="BA198" t="n">
        <v>0</v>
      </c>
      <c r="BB198" t="inlineStr">
        <is>
          <t>72f68faa2968972597743946ed559d1bc87474bb5b1dd88c1fe7589597c2c178</t>
        </is>
      </c>
    </row>
    <row r="199">
      <c r="A199" t="inlineStr">
        <is>
          <t>883</t>
        </is>
      </c>
      <c r="B199" t="inlineStr">
        <is>
          <t>7595497762</t>
        </is>
      </c>
      <c r="C199" t="inlineStr">
        <is>
          <t>2025-12-19 00:01:39</t>
        </is>
      </c>
      <c r="D199" t="inlineStr">
        <is>
          <t>51</t>
        </is>
      </c>
      <c r="E199" t="inlineStr">
        <is>
          <t>Sha Sha - Shandaar Shawarma</t>
        </is>
      </c>
      <c r="F199" t="inlineStr">
        <is>
          <t>18557902</t>
        </is>
      </c>
      <c r="G199" t="inlineStr">
        <is>
          <t>NA</t>
        </is>
      </c>
      <c r="H199" t="inlineStr">
        <is>
          <t>ONLINE</t>
        </is>
      </c>
      <c r="I199" t="inlineStr">
        <is>
          <t>DELIVERED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O2</t>
        </is>
      </c>
      <c r="N199" t="inlineStr">
        <is>
          <t>36</t>
        </is>
      </c>
      <c r="O199" t="n">
        <v>219</v>
      </c>
      <c r="P199" t="n">
        <v>3.5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11.13</v>
      </c>
      <c r="W199" t="n">
        <v>233.63</v>
      </c>
      <c r="X199" t="n">
        <v>222.5</v>
      </c>
      <c r="Y199" t="n">
        <v>19</v>
      </c>
      <c r="Z199" t="n">
        <v>42.28</v>
      </c>
      <c r="AA199" t="n">
        <v>4.3</v>
      </c>
      <c r="AB199" t="n">
        <v>46.58</v>
      </c>
      <c r="AC199" t="n">
        <v>8.380000000000001</v>
      </c>
      <c r="AD199" t="n">
        <v>0</v>
      </c>
      <c r="AE199" t="n">
        <v>222.5</v>
      </c>
      <c r="AF199" t="n">
        <v>0</v>
      </c>
      <c r="AG199" t="n">
        <v>0</v>
      </c>
      <c r="AH199" t="n">
        <v>0.22</v>
      </c>
      <c r="AI199" t="n">
        <v>11.13</v>
      </c>
      <c r="AJ199" t="n">
        <v>0</v>
      </c>
      <c r="AK199" t="n">
        <v>19.73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66.31</v>
      </c>
      <c r="AV199" t="n">
        <v>0</v>
      </c>
      <c r="AW199" t="n">
        <v>167.32</v>
      </c>
      <c r="AX199" t="inlineStr">
        <is>
          <t>settled</t>
        </is>
      </c>
      <c r="AY199" t="inlineStr">
        <is>
          <t>NA</t>
        </is>
      </c>
      <c r="AZ199" t="inlineStr">
        <is>
          <t>NA</t>
        </is>
      </c>
      <c r="BA199" t="n">
        <v>0</v>
      </c>
      <c r="BB199" t="inlineStr">
        <is>
          <t>c45e4c5c5e2787914207b521a1d82d454856a97971454393ee970fc3b024912f</t>
        </is>
      </c>
    </row>
    <row r="200">
      <c r="A200" t="inlineStr">
        <is>
          <t>884</t>
        </is>
      </c>
      <c r="B200" t="inlineStr">
        <is>
          <t>7589319921</t>
        </is>
      </c>
      <c r="C200" t="inlineStr">
        <is>
          <t>2025-12-19 00:13:24</t>
        </is>
      </c>
      <c r="D200" t="inlineStr">
        <is>
          <t>51</t>
        </is>
      </c>
      <c r="E200" t="inlineStr">
        <is>
          <t>Sha Sha - Shandaar Shawarma</t>
        </is>
      </c>
      <c r="F200" t="inlineStr">
        <is>
          <t>18557902</t>
        </is>
      </c>
      <c r="G200" t="inlineStr">
        <is>
          <t>30% off upto ₹75 (2025-06-25 - 2031-01-01)</t>
        </is>
      </c>
      <c r="H200" t="inlineStr">
        <is>
          <t>ONLINE</t>
        </is>
      </c>
      <c r="I200" t="inlineStr">
        <is>
          <t>DELIVERED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O2</t>
        </is>
      </c>
      <c r="N200" t="inlineStr">
        <is>
          <t>36</t>
        </is>
      </c>
      <c r="O200" t="n">
        <v>229</v>
      </c>
      <c r="P200" t="n">
        <v>3.5</v>
      </c>
      <c r="Q200" t="n">
        <v>0</v>
      </c>
      <c r="R200" t="n">
        <v>68.7</v>
      </c>
      <c r="S200" t="n">
        <v>0</v>
      </c>
      <c r="T200" t="n">
        <v>0</v>
      </c>
      <c r="U200" t="n">
        <v>0</v>
      </c>
      <c r="V200" t="n">
        <v>8.19</v>
      </c>
      <c r="W200" t="n">
        <v>171.99</v>
      </c>
      <c r="X200" t="n">
        <v>163.8</v>
      </c>
      <c r="Y200" t="n">
        <v>19</v>
      </c>
      <c r="Z200" t="n">
        <v>31.12</v>
      </c>
      <c r="AA200" t="n">
        <v>3.16</v>
      </c>
      <c r="AB200" t="n">
        <v>34.28</v>
      </c>
      <c r="AC200" t="n">
        <v>6.17</v>
      </c>
      <c r="AD200" t="n">
        <v>0</v>
      </c>
      <c r="AE200" t="n">
        <v>163.8</v>
      </c>
      <c r="AF200" t="n">
        <v>0</v>
      </c>
      <c r="AG200" t="n">
        <v>0</v>
      </c>
      <c r="AH200" t="n">
        <v>0.16</v>
      </c>
      <c r="AI200" t="n">
        <v>8.199999999999999</v>
      </c>
      <c r="AJ200" t="n">
        <v>-0.01</v>
      </c>
      <c r="AK200" t="n">
        <v>14.53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48.81</v>
      </c>
      <c r="AV200" t="n">
        <v>0</v>
      </c>
      <c r="AW200" t="n">
        <v>123.18</v>
      </c>
      <c r="AX200" t="inlineStr">
        <is>
          <t>settled</t>
        </is>
      </c>
      <c r="AY200" t="inlineStr">
        <is>
          <t>NA</t>
        </is>
      </c>
      <c r="AZ200" t="inlineStr">
        <is>
          <t>NA</t>
        </is>
      </c>
      <c r="BA200" t="n">
        <v>0</v>
      </c>
      <c r="BB200" t="inlineStr">
        <is>
          <t>2784652cde958b39ce7252aaa8405feda12f718266eb145194582b5c1f66f79c</t>
        </is>
      </c>
    </row>
    <row r="201">
      <c r="A201" t="inlineStr">
        <is>
          <t>885</t>
        </is>
      </c>
      <c r="B201" t="inlineStr">
        <is>
          <t>7595207983</t>
        </is>
      </c>
      <c r="C201" t="inlineStr">
        <is>
          <t>2025-12-19 00:42:21</t>
        </is>
      </c>
      <c r="D201" t="inlineStr">
        <is>
          <t>51</t>
        </is>
      </c>
      <c r="E201" t="inlineStr">
        <is>
          <t>Sha Sha - Shandaar Shawarma</t>
        </is>
      </c>
      <c r="F201" t="inlineStr">
        <is>
          <t>18557902</t>
        </is>
      </c>
      <c r="G201" t="inlineStr">
        <is>
          <t>30% off upto ₹75 (2025-06-25 - 2031-01-01)</t>
        </is>
      </c>
      <c r="H201" t="inlineStr">
        <is>
          <t>ONLINE</t>
        </is>
      </c>
      <c r="I201" t="inlineStr">
        <is>
          <t>DELIVERED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O2</t>
        </is>
      </c>
      <c r="N201" t="inlineStr">
        <is>
          <t>36</t>
        </is>
      </c>
      <c r="O201" t="n">
        <v>229</v>
      </c>
      <c r="P201" t="n">
        <v>3.5</v>
      </c>
      <c r="Q201" t="n">
        <v>0</v>
      </c>
      <c r="R201" t="n">
        <v>68.7</v>
      </c>
      <c r="S201" t="n">
        <v>0</v>
      </c>
      <c r="T201" t="n">
        <v>0</v>
      </c>
      <c r="U201" t="n">
        <v>0</v>
      </c>
      <c r="V201" t="n">
        <v>8.19</v>
      </c>
      <c r="W201" t="n">
        <v>171.99</v>
      </c>
      <c r="X201" t="n">
        <v>163.8</v>
      </c>
      <c r="Y201" t="n">
        <v>19</v>
      </c>
      <c r="Z201" t="n">
        <v>31.12</v>
      </c>
      <c r="AA201" t="n">
        <v>3.16</v>
      </c>
      <c r="AB201" t="n">
        <v>34.28</v>
      </c>
      <c r="AC201" t="n">
        <v>6.17</v>
      </c>
      <c r="AD201" t="n">
        <v>0</v>
      </c>
      <c r="AE201" t="n">
        <v>163.8</v>
      </c>
      <c r="AF201" t="n">
        <v>0</v>
      </c>
      <c r="AG201" t="n">
        <v>0</v>
      </c>
      <c r="AH201" t="n">
        <v>0.16</v>
      </c>
      <c r="AI201" t="n">
        <v>8.199999999999999</v>
      </c>
      <c r="AJ201" t="n">
        <v>-0.01</v>
      </c>
      <c r="AK201" t="n">
        <v>14.53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48.81</v>
      </c>
      <c r="AV201" t="n">
        <v>0</v>
      </c>
      <c r="AW201" t="n">
        <v>123.18</v>
      </c>
      <c r="AX201" t="inlineStr">
        <is>
          <t>settled</t>
        </is>
      </c>
      <c r="AY201" t="inlineStr">
        <is>
          <t>NA</t>
        </is>
      </c>
      <c r="AZ201" t="inlineStr">
        <is>
          <t>NA</t>
        </is>
      </c>
      <c r="BA201" t="n">
        <v>0</v>
      </c>
      <c r="BB201" t="inlineStr">
        <is>
          <t>5e95728466535b52d6711dde2ac91133285984fa107204eb18a3f8ba97d49ffd</t>
        </is>
      </c>
    </row>
    <row r="202">
      <c r="A202" t="inlineStr">
        <is>
          <t>886</t>
        </is>
      </c>
      <c r="B202" t="inlineStr">
        <is>
          <t>7595906756</t>
        </is>
      </c>
      <c r="C202" t="inlineStr">
        <is>
          <t>2025-12-19 01:17:57</t>
        </is>
      </c>
      <c r="D202" t="inlineStr">
        <is>
          <t>51</t>
        </is>
      </c>
      <c r="E202" t="inlineStr">
        <is>
          <t>Sha Sha - Shandaar Shawarma</t>
        </is>
      </c>
      <c r="F202" t="inlineStr">
        <is>
          <t>18557902</t>
        </is>
      </c>
      <c r="G202" t="inlineStr">
        <is>
          <t>NA</t>
        </is>
      </c>
      <c r="H202" t="inlineStr">
        <is>
          <t>ONLINE</t>
        </is>
      </c>
      <c r="I202" t="inlineStr">
        <is>
          <t>DELIVERED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O2</t>
        </is>
      </c>
      <c r="N202" t="inlineStr">
        <is>
          <t>36</t>
        </is>
      </c>
      <c r="O202" t="n">
        <v>229</v>
      </c>
      <c r="P202" t="n">
        <v>3.5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11.63</v>
      </c>
      <c r="W202" t="n">
        <v>244.13</v>
      </c>
      <c r="X202" t="n">
        <v>232.5</v>
      </c>
      <c r="Y202" t="n">
        <v>19</v>
      </c>
      <c r="Z202" t="n">
        <v>44.18</v>
      </c>
      <c r="AA202" t="n">
        <v>4.49</v>
      </c>
      <c r="AB202" t="n">
        <v>48.67</v>
      </c>
      <c r="AC202" t="n">
        <v>8.76</v>
      </c>
      <c r="AD202" t="n">
        <v>0</v>
      </c>
      <c r="AE202" t="n">
        <v>232.5</v>
      </c>
      <c r="AF202" t="n">
        <v>0</v>
      </c>
      <c r="AG202" t="n">
        <v>0</v>
      </c>
      <c r="AH202" t="n">
        <v>0.23</v>
      </c>
      <c r="AI202" t="n">
        <v>11.63</v>
      </c>
      <c r="AJ202" t="n">
        <v>0</v>
      </c>
      <c r="AK202" t="n">
        <v>20.62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69.29000000000001</v>
      </c>
      <c r="AV202" t="n">
        <v>0</v>
      </c>
      <c r="AW202" t="n">
        <v>174.84</v>
      </c>
      <c r="AX202" t="inlineStr">
        <is>
          <t>settled</t>
        </is>
      </c>
      <c r="AY202" t="inlineStr">
        <is>
          <t>NA</t>
        </is>
      </c>
      <c r="AZ202" t="inlineStr">
        <is>
          <t>NA</t>
        </is>
      </c>
      <c r="BA202" t="n">
        <v>0</v>
      </c>
      <c r="BB202" t="inlineStr">
        <is>
          <t>f36a3f70d84decab48d68c031692d9de0c473e7af8b3e0049d54a0ea753cb4fd</t>
        </is>
      </c>
    </row>
    <row r="203">
      <c r="A203" t="inlineStr">
        <is>
          <t>887</t>
        </is>
      </c>
      <c r="B203" t="inlineStr">
        <is>
          <t>7595652489</t>
        </is>
      </c>
      <c r="C203" t="inlineStr">
        <is>
          <t>2025-12-19 01:37:54</t>
        </is>
      </c>
      <c r="D203" t="inlineStr">
        <is>
          <t>51</t>
        </is>
      </c>
      <c r="E203" t="inlineStr">
        <is>
          <t>Sha Sha - Shandaar Shawarma</t>
        </is>
      </c>
      <c r="F203" t="inlineStr">
        <is>
          <t>18557902</t>
        </is>
      </c>
      <c r="G203" t="inlineStr">
        <is>
          <t>NA</t>
        </is>
      </c>
      <c r="H203" t="inlineStr">
        <is>
          <t>ONLINE</t>
        </is>
      </c>
      <c r="I203" t="inlineStr">
        <is>
          <t>DELIVERED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O2</t>
        </is>
      </c>
      <c r="N203" t="inlineStr">
        <is>
          <t>36</t>
        </is>
      </c>
      <c r="O203" t="n">
        <v>229</v>
      </c>
      <c r="P203" t="n">
        <v>3.5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11.63</v>
      </c>
      <c r="W203" t="n">
        <v>244.13</v>
      </c>
      <c r="X203" t="n">
        <v>232.5</v>
      </c>
      <c r="Y203" t="n">
        <v>19</v>
      </c>
      <c r="Z203" t="n">
        <v>44.18</v>
      </c>
      <c r="AA203" t="n">
        <v>4.49</v>
      </c>
      <c r="AB203" t="n">
        <v>48.67</v>
      </c>
      <c r="AC203" t="n">
        <v>8.76</v>
      </c>
      <c r="AD203" t="n">
        <v>0</v>
      </c>
      <c r="AE203" t="n">
        <v>232.5</v>
      </c>
      <c r="AF203" t="n">
        <v>0</v>
      </c>
      <c r="AG203" t="n">
        <v>0</v>
      </c>
      <c r="AH203" t="n">
        <v>0.23</v>
      </c>
      <c r="AI203" t="n">
        <v>11.63</v>
      </c>
      <c r="AJ203" t="n">
        <v>0</v>
      </c>
      <c r="AK203" t="n">
        <v>20.62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69.29000000000001</v>
      </c>
      <c r="AV203" t="n">
        <v>0</v>
      </c>
      <c r="AW203" t="n">
        <v>174.84</v>
      </c>
      <c r="AX203" t="inlineStr">
        <is>
          <t>settled</t>
        </is>
      </c>
      <c r="AY203" t="inlineStr">
        <is>
          <t>NA</t>
        </is>
      </c>
      <c r="AZ203" t="inlineStr">
        <is>
          <t>NA</t>
        </is>
      </c>
      <c r="BA203" t="n">
        <v>0</v>
      </c>
      <c r="BB203" t="inlineStr">
        <is>
          <t>a913ef4ad40cffc7aaee3ae740b6e4531aedde66106e78f3d966661397705c4f</t>
        </is>
      </c>
    </row>
    <row r="204">
      <c r="A204" t="inlineStr">
        <is>
          <t>888</t>
        </is>
      </c>
      <c r="B204" t="inlineStr">
        <is>
          <t>7597005639</t>
        </is>
      </c>
      <c r="C204" t="inlineStr">
        <is>
          <t>2025-12-19 01:50:00</t>
        </is>
      </c>
      <c r="D204" t="inlineStr">
        <is>
          <t>51</t>
        </is>
      </c>
      <c r="E204" t="inlineStr">
        <is>
          <t>Sha Sha - Shandaar Shawarma</t>
        </is>
      </c>
      <c r="F204" t="inlineStr">
        <is>
          <t>18557902</t>
        </is>
      </c>
      <c r="G204" t="inlineStr">
        <is>
          <t>NA</t>
        </is>
      </c>
      <c r="H204" t="inlineStr">
        <is>
          <t>ONLINE</t>
        </is>
      </c>
      <c r="I204" t="inlineStr">
        <is>
          <t>DELIVERED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O2</t>
        </is>
      </c>
      <c r="N204" t="inlineStr">
        <is>
          <t>36</t>
        </is>
      </c>
      <c r="O204" t="n">
        <v>268</v>
      </c>
      <c r="P204" t="n">
        <v>3.5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13.58</v>
      </c>
      <c r="W204" t="n">
        <v>285.08</v>
      </c>
      <c r="X204" t="n">
        <v>271.5</v>
      </c>
      <c r="Y204" t="n">
        <v>19</v>
      </c>
      <c r="Z204" t="n">
        <v>51.58</v>
      </c>
      <c r="AA204" t="n">
        <v>5.25</v>
      </c>
      <c r="AB204" t="n">
        <v>56.83</v>
      </c>
      <c r="AC204" t="n">
        <v>10.22</v>
      </c>
      <c r="AD204" t="n">
        <v>0</v>
      </c>
      <c r="AE204" t="n">
        <v>271.5</v>
      </c>
      <c r="AF204" t="n">
        <v>0</v>
      </c>
      <c r="AG204" t="n">
        <v>0</v>
      </c>
      <c r="AH204" t="n">
        <v>0.27</v>
      </c>
      <c r="AI204" t="n">
        <v>13.58</v>
      </c>
      <c r="AJ204" t="n">
        <v>0</v>
      </c>
      <c r="AK204" t="n">
        <v>24.07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80.90000000000001</v>
      </c>
      <c r="AV204" t="n">
        <v>0</v>
      </c>
      <c r="AW204" t="n">
        <v>204.18</v>
      </c>
      <c r="AX204" t="inlineStr">
        <is>
          <t>settled</t>
        </is>
      </c>
      <c r="AY204" t="inlineStr">
        <is>
          <t>NA</t>
        </is>
      </c>
      <c r="AZ204" t="inlineStr">
        <is>
          <t>NA</t>
        </is>
      </c>
      <c r="BA204" t="n">
        <v>0</v>
      </c>
      <c r="BB204" t="inlineStr">
        <is>
          <t>f034a71d91d08e3a5850ae81608251034c09ac62a9ffd12d9cb354b64c169586</t>
        </is>
      </c>
    </row>
    <row r="205">
      <c r="A205" t="inlineStr">
        <is>
          <t>889</t>
        </is>
      </c>
      <c r="B205" t="inlineStr">
        <is>
          <t>7596763873</t>
        </is>
      </c>
      <c r="C205" t="inlineStr">
        <is>
          <t>2025-12-19 02:03:49</t>
        </is>
      </c>
      <c r="D205" t="inlineStr">
        <is>
          <t>51</t>
        </is>
      </c>
      <c r="E205" t="inlineStr">
        <is>
          <t>Sha Sha - Shandaar Shawarma</t>
        </is>
      </c>
      <c r="F205" t="inlineStr">
        <is>
          <t>18557902</t>
        </is>
      </c>
      <c r="G205" t="inlineStr">
        <is>
          <t>NA</t>
        </is>
      </c>
      <c r="H205" t="inlineStr">
        <is>
          <t>ONLINE</t>
        </is>
      </c>
      <c r="I205" t="inlineStr">
        <is>
          <t>DELIVERED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O2</t>
        </is>
      </c>
      <c r="N205" t="inlineStr">
        <is>
          <t>36</t>
        </is>
      </c>
      <c r="O205" t="n">
        <v>229</v>
      </c>
      <c r="P205" t="n">
        <v>3.5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11.63</v>
      </c>
      <c r="W205" t="n">
        <v>244.13</v>
      </c>
      <c r="X205" t="n">
        <v>232.5</v>
      </c>
      <c r="Y205" t="n">
        <v>19</v>
      </c>
      <c r="Z205" t="n">
        <v>44.18</v>
      </c>
      <c r="AA205" t="n">
        <v>4.49</v>
      </c>
      <c r="AB205" t="n">
        <v>48.67</v>
      </c>
      <c r="AC205" t="n">
        <v>8.76</v>
      </c>
      <c r="AD205" t="n">
        <v>0</v>
      </c>
      <c r="AE205" t="n">
        <v>232.5</v>
      </c>
      <c r="AF205" t="n">
        <v>0</v>
      </c>
      <c r="AG205" t="n">
        <v>0</v>
      </c>
      <c r="AH205" t="n">
        <v>0.23</v>
      </c>
      <c r="AI205" t="n">
        <v>11.63</v>
      </c>
      <c r="AJ205" t="n">
        <v>0</v>
      </c>
      <c r="AK205" t="n">
        <v>20.62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69.29000000000001</v>
      </c>
      <c r="AV205" t="n">
        <v>0</v>
      </c>
      <c r="AW205" t="n">
        <v>174.84</v>
      </c>
      <c r="AX205" t="inlineStr">
        <is>
          <t>settled</t>
        </is>
      </c>
      <c r="AY205" t="inlineStr">
        <is>
          <t>NA</t>
        </is>
      </c>
      <c r="AZ205" t="inlineStr">
        <is>
          <t>NA</t>
        </is>
      </c>
      <c r="BA205" t="n">
        <v>0</v>
      </c>
      <c r="BB205" t="inlineStr">
        <is>
          <t>6e9494379b1f339a34541bee433e98b3024f17a72266dec2a94b72cefdd59dc5</t>
        </is>
      </c>
    </row>
    <row r="206">
      <c r="A206" t="inlineStr">
        <is>
          <t>890</t>
        </is>
      </c>
      <c r="B206" t="inlineStr">
        <is>
          <t>7593182665</t>
        </is>
      </c>
      <c r="C206" t="inlineStr">
        <is>
          <t>2025-12-19 02:14:52</t>
        </is>
      </c>
      <c r="D206" t="inlineStr">
        <is>
          <t>51</t>
        </is>
      </c>
      <c r="E206" t="inlineStr">
        <is>
          <t>Sha Sha - Shandaar Shawarma</t>
        </is>
      </c>
      <c r="F206" t="inlineStr">
        <is>
          <t>18557902</t>
        </is>
      </c>
      <c r="G206" t="inlineStr">
        <is>
          <t>30% off upto ₹75 (2025-06-25 - 2031-01-01)</t>
        </is>
      </c>
      <c r="H206" t="inlineStr">
        <is>
          <t>ONLINE</t>
        </is>
      </c>
      <c r="I206" t="inlineStr">
        <is>
          <t>DELIVERED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O2</t>
        </is>
      </c>
      <c r="N206" t="inlineStr">
        <is>
          <t>36</t>
        </is>
      </c>
      <c r="O206" t="n">
        <v>219</v>
      </c>
      <c r="P206" t="n">
        <v>3.5</v>
      </c>
      <c r="Q206" t="n">
        <v>0</v>
      </c>
      <c r="R206" t="n">
        <v>65.7</v>
      </c>
      <c r="S206" t="n">
        <v>0</v>
      </c>
      <c r="T206" t="n">
        <v>0</v>
      </c>
      <c r="U206" t="n">
        <v>0</v>
      </c>
      <c r="V206" t="n">
        <v>7.84</v>
      </c>
      <c r="W206" t="n">
        <v>164.64</v>
      </c>
      <c r="X206" t="n">
        <v>156.8</v>
      </c>
      <c r="Y206" t="n">
        <v>19</v>
      </c>
      <c r="Z206" t="n">
        <v>29.79</v>
      </c>
      <c r="AA206" t="n">
        <v>3.03</v>
      </c>
      <c r="AB206" t="n">
        <v>32.82</v>
      </c>
      <c r="AC206" t="n">
        <v>5.91</v>
      </c>
      <c r="AD206" t="n">
        <v>0</v>
      </c>
      <c r="AE206" t="n">
        <v>156.8</v>
      </c>
      <c r="AF206" t="n">
        <v>0</v>
      </c>
      <c r="AG206" t="n">
        <v>0</v>
      </c>
      <c r="AH206" t="n">
        <v>0.16</v>
      </c>
      <c r="AI206" t="n">
        <v>7.85</v>
      </c>
      <c r="AJ206" t="n">
        <v>-0.01</v>
      </c>
      <c r="AK206" t="n">
        <v>13.92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46.74</v>
      </c>
      <c r="AV206" t="n">
        <v>0</v>
      </c>
      <c r="AW206" t="n">
        <v>117.9</v>
      </c>
      <c r="AX206" t="inlineStr">
        <is>
          <t>settled</t>
        </is>
      </c>
      <c r="AY206" t="inlineStr">
        <is>
          <t>NA</t>
        </is>
      </c>
      <c r="AZ206" t="inlineStr">
        <is>
          <t>NA</t>
        </is>
      </c>
      <c r="BA206" t="n">
        <v>0</v>
      </c>
      <c r="BB206" t="inlineStr">
        <is>
          <t>9fc0d2cba7ff60ae512234a41d5e99383a380757678084687089072319607266</t>
        </is>
      </c>
    </row>
    <row r="207">
      <c r="A207" t="inlineStr">
        <is>
          <t>891</t>
        </is>
      </c>
      <c r="B207" t="inlineStr">
        <is>
          <t>7597735277</t>
        </is>
      </c>
      <c r="C207" t="inlineStr">
        <is>
          <t>2025-12-19 02:19:43</t>
        </is>
      </c>
      <c r="D207" t="inlineStr">
        <is>
          <t>51</t>
        </is>
      </c>
      <c r="E207" t="inlineStr">
        <is>
          <t>Sha Sha - Shandaar Shawarma</t>
        </is>
      </c>
      <c r="F207" t="inlineStr">
        <is>
          <t>18557902</t>
        </is>
      </c>
      <c r="G207" t="inlineStr">
        <is>
          <t>30% off upto ₹75 (2025-06-25 - 2031-01-01)</t>
        </is>
      </c>
      <c r="H207" t="inlineStr">
        <is>
          <t>ONLINE</t>
        </is>
      </c>
      <c r="I207" t="inlineStr">
        <is>
          <t>DELIVERED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O2</t>
        </is>
      </c>
      <c r="N207" t="inlineStr">
        <is>
          <t>36</t>
        </is>
      </c>
      <c r="O207" t="n">
        <v>229</v>
      </c>
      <c r="P207" t="n">
        <v>3.5</v>
      </c>
      <c r="Q207" t="n">
        <v>0</v>
      </c>
      <c r="R207" t="n">
        <v>68.7</v>
      </c>
      <c r="S207" t="n">
        <v>0</v>
      </c>
      <c r="T207" t="n">
        <v>0</v>
      </c>
      <c r="U207" t="n">
        <v>0</v>
      </c>
      <c r="V207" t="n">
        <v>8.19</v>
      </c>
      <c r="W207" t="n">
        <v>171.99</v>
      </c>
      <c r="X207" t="n">
        <v>163.8</v>
      </c>
      <c r="Y207" t="n">
        <v>19</v>
      </c>
      <c r="Z207" t="n">
        <v>31.12</v>
      </c>
      <c r="AA207" t="n">
        <v>3.16</v>
      </c>
      <c r="AB207" t="n">
        <v>34.28</v>
      </c>
      <c r="AC207" t="n">
        <v>6.17</v>
      </c>
      <c r="AD207" t="n">
        <v>0</v>
      </c>
      <c r="AE207" t="n">
        <v>163.8</v>
      </c>
      <c r="AF207" t="n">
        <v>0</v>
      </c>
      <c r="AG207" t="n">
        <v>0</v>
      </c>
      <c r="AH207" t="n">
        <v>0.16</v>
      </c>
      <c r="AI207" t="n">
        <v>8.199999999999999</v>
      </c>
      <c r="AJ207" t="n">
        <v>-0.01</v>
      </c>
      <c r="AK207" t="n">
        <v>14.53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48.81</v>
      </c>
      <c r="AV207" t="n">
        <v>0</v>
      </c>
      <c r="AW207" t="n">
        <v>123.18</v>
      </c>
      <c r="AX207" t="inlineStr">
        <is>
          <t>settled</t>
        </is>
      </c>
      <c r="AY207" t="inlineStr">
        <is>
          <t>NA</t>
        </is>
      </c>
      <c r="AZ207" t="inlineStr">
        <is>
          <t>NA</t>
        </is>
      </c>
      <c r="BA207" t="n">
        <v>0</v>
      </c>
      <c r="BB207" t="inlineStr">
        <is>
          <t>eb3d5adebb4151d8281a3c7610dae43705008d336f4234542f76a0a1b03fe0ed</t>
        </is>
      </c>
    </row>
    <row r="208">
      <c r="A208" t="inlineStr">
        <is>
          <t>892</t>
        </is>
      </c>
      <c r="B208" t="inlineStr">
        <is>
          <t>7595681506</t>
        </is>
      </c>
      <c r="C208" t="inlineStr">
        <is>
          <t>2025-12-19 03:57:00</t>
        </is>
      </c>
      <c r="D208" t="inlineStr">
        <is>
          <t>51</t>
        </is>
      </c>
      <c r="E208" t="inlineStr">
        <is>
          <t>Sha Sha - Shandaar Shawarma</t>
        </is>
      </c>
      <c r="F208" t="inlineStr">
        <is>
          <t>18557902</t>
        </is>
      </c>
      <c r="G208" t="inlineStr">
        <is>
          <t>30% off upto ₹75 (2025-06-25 - 2031-01-01)</t>
        </is>
      </c>
      <c r="H208" t="inlineStr">
        <is>
          <t>ONLINE</t>
        </is>
      </c>
      <c r="I208" t="inlineStr">
        <is>
          <t>DELIVERED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O2</t>
        </is>
      </c>
      <c r="N208" t="inlineStr">
        <is>
          <t>36</t>
        </is>
      </c>
      <c r="O208" t="n">
        <v>368</v>
      </c>
      <c r="P208" t="n">
        <v>3.5</v>
      </c>
      <c r="Q208" t="n">
        <v>0</v>
      </c>
      <c r="R208" t="n">
        <v>75</v>
      </c>
      <c r="S208" t="n">
        <v>0</v>
      </c>
      <c r="T208" t="n">
        <v>0</v>
      </c>
      <c r="U208" t="n">
        <v>0</v>
      </c>
      <c r="V208" t="n">
        <v>14.83</v>
      </c>
      <c r="W208" t="n">
        <v>311.33</v>
      </c>
      <c r="X208" t="n">
        <v>296.5</v>
      </c>
      <c r="Y208" t="n">
        <v>19</v>
      </c>
      <c r="Z208" t="n">
        <v>56.34</v>
      </c>
      <c r="AA208" t="n">
        <v>5.73</v>
      </c>
      <c r="AB208" t="n">
        <v>62.07</v>
      </c>
      <c r="AC208" t="n">
        <v>11.17</v>
      </c>
      <c r="AD208" t="n">
        <v>0</v>
      </c>
      <c r="AE208" t="n">
        <v>296.5</v>
      </c>
      <c r="AF208" t="n">
        <v>0</v>
      </c>
      <c r="AG208" t="n">
        <v>0</v>
      </c>
      <c r="AH208" t="n">
        <v>0.3</v>
      </c>
      <c r="AI208" t="n">
        <v>14.83</v>
      </c>
      <c r="AJ208" t="n">
        <v>0</v>
      </c>
      <c r="AK208" t="n">
        <v>26.3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88.37</v>
      </c>
      <c r="AV208" t="n">
        <v>0</v>
      </c>
      <c r="AW208" t="n">
        <v>222.96</v>
      </c>
      <c r="AX208" t="inlineStr">
        <is>
          <t>settled</t>
        </is>
      </c>
      <c r="AY208" t="inlineStr">
        <is>
          <t>NA</t>
        </is>
      </c>
      <c r="AZ208" t="inlineStr">
        <is>
          <t>NA</t>
        </is>
      </c>
      <c r="BA208" t="n">
        <v>0</v>
      </c>
      <c r="BB208" t="inlineStr">
        <is>
          <t>764c6981fd9a069b6aa109f8119a6384551f8e90c84db7ab751b2e472a9d0dfe</t>
        </is>
      </c>
    </row>
    <row r="209">
      <c r="A209" t="inlineStr">
        <is>
          <t>893</t>
        </is>
      </c>
      <c r="B209" t="inlineStr">
        <is>
          <t>7594743783</t>
        </is>
      </c>
      <c r="C209" t="inlineStr">
        <is>
          <t>2025-12-19 10:58:33</t>
        </is>
      </c>
      <c r="D209" t="inlineStr">
        <is>
          <t>51</t>
        </is>
      </c>
      <c r="E209" t="inlineStr">
        <is>
          <t>Sha Sha - Shandaar Shawarma</t>
        </is>
      </c>
      <c r="F209" t="inlineStr">
        <is>
          <t>18557902</t>
        </is>
      </c>
      <c r="G209" t="inlineStr">
        <is>
          <t>30% off upto ₹75 (2025-06-25 - 2031-01-01)</t>
        </is>
      </c>
      <c r="H209" t="inlineStr">
        <is>
          <t>ONLINE</t>
        </is>
      </c>
      <c r="I209" t="inlineStr">
        <is>
          <t>DELIVERED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O2</t>
        </is>
      </c>
      <c r="N209" t="inlineStr">
        <is>
          <t>36</t>
        </is>
      </c>
      <c r="O209" t="n">
        <v>219</v>
      </c>
      <c r="P209" t="n">
        <v>3.5</v>
      </c>
      <c r="Q209" t="n">
        <v>0</v>
      </c>
      <c r="R209" t="n">
        <v>65.7</v>
      </c>
      <c r="S209" t="n">
        <v>0</v>
      </c>
      <c r="T209" t="n">
        <v>0</v>
      </c>
      <c r="U209" t="n">
        <v>0</v>
      </c>
      <c r="V209" t="n">
        <v>7.84</v>
      </c>
      <c r="W209" t="n">
        <v>164.64</v>
      </c>
      <c r="X209" t="n">
        <v>156.8</v>
      </c>
      <c r="Y209" t="n">
        <v>19</v>
      </c>
      <c r="Z209" t="n">
        <v>29.79</v>
      </c>
      <c r="AA209" t="n">
        <v>3.03</v>
      </c>
      <c r="AB209" t="n">
        <v>32.82</v>
      </c>
      <c r="AC209" t="n">
        <v>5.91</v>
      </c>
      <c r="AD209" t="n">
        <v>0</v>
      </c>
      <c r="AE209" t="n">
        <v>156.8</v>
      </c>
      <c r="AF209" t="n">
        <v>0</v>
      </c>
      <c r="AG209" t="n">
        <v>0</v>
      </c>
      <c r="AH209" t="n">
        <v>0.16</v>
      </c>
      <c r="AI209" t="n">
        <v>7.85</v>
      </c>
      <c r="AJ209" t="n">
        <v>-0.01</v>
      </c>
      <c r="AK209" t="n">
        <v>13.92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46.74</v>
      </c>
      <c r="AV209" t="n">
        <v>0</v>
      </c>
      <c r="AW209" t="n">
        <v>117.9</v>
      </c>
      <c r="AX209" t="inlineStr">
        <is>
          <t>settled</t>
        </is>
      </c>
      <c r="AY209" t="inlineStr">
        <is>
          <t>NA</t>
        </is>
      </c>
      <c r="AZ209" t="inlineStr">
        <is>
          <t>NA</t>
        </is>
      </c>
      <c r="BA209" t="n">
        <v>0</v>
      </c>
      <c r="BB209" t="inlineStr">
        <is>
          <t>0f300159f5591e27caa6ef7a9f8acac0c40f182675912806136969e00a0fc185</t>
        </is>
      </c>
    </row>
    <row r="210">
      <c r="A210" t="inlineStr">
        <is>
          <t>894</t>
        </is>
      </c>
      <c r="B210" t="inlineStr">
        <is>
          <t>7593723273</t>
        </is>
      </c>
      <c r="C210" t="inlineStr">
        <is>
          <t>2025-12-19 12:17:23</t>
        </is>
      </c>
      <c r="D210" t="inlineStr">
        <is>
          <t>51</t>
        </is>
      </c>
      <c r="E210" t="inlineStr">
        <is>
          <t>Sha Sha - Shandaar Shawarma</t>
        </is>
      </c>
      <c r="F210" t="inlineStr">
        <is>
          <t>18557902</t>
        </is>
      </c>
      <c r="G210" t="inlineStr">
        <is>
          <t>NA</t>
        </is>
      </c>
      <c r="H210" t="inlineStr">
        <is>
          <t>ONLINE</t>
        </is>
      </c>
      <c r="I210" t="inlineStr">
        <is>
          <t>DELIVERED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O2</t>
        </is>
      </c>
      <c r="N210" t="inlineStr">
        <is>
          <t>36</t>
        </is>
      </c>
      <c r="O210" t="n">
        <v>229</v>
      </c>
      <c r="P210" t="n">
        <v>3.5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11.63</v>
      </c>
      <c r="W210" t="n">
        <v>244.13</v>
      </c>
      <c r="X210" t="n">
        <v>232.5</v>
      </c>
      <c r="Y210" t="n">
        <v>19</v>
      </c>
      <c r="Z210" t="n">
        <v>44.18</v>
      </c>
      <c r="AA210" t="n">
        <v>4.49</v>
      </c>
      <c r="AB210" t="n">
        <v>48.67</v>
      </c>
      <c r="AC210" t="n">
        <v>8.76</v>
      </c>
      <c r="AD210" t="n">
        <v>0</v>
      </c>
      <c r="AE210" t="n">
        <v>232.5</v>
      </c>
      <c r="AF210" t="n">
        <v>0</v>
      </c>
      <c r="AG210" t="n">
        <v>0</v>
      </c>
      <c r="AH210" t="n">
        <v>0.23</v>
      </c>
      <c r="AI210" t="n">
        <v>11.63</v>
      </c>
      <c r="AJ210" t="n">
        <v>0</v>
      </c>
      <c r="AK210" t="n">
        <v>20.62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69.29000000000001</v>
      </c>
      <c r="AV210" t="n">
        <v>0</v>
      </c>
      <c r="AW210" t="n">
        <v>174.84</v>
      </c>
      <c r="AX210" t="inlineStr">
        <is>
          <t>settled</t>
        </is>
      </c>
      <c r="AY210" t="inlineStr">
        <is>
          <t>NA</t>
        </is>
      </c>
      <c r="AZ210" t="inlineStr">
        <is>
          <t>NA</t>
        </is>
      </c>
      <c r="BA210" t="n">
        <v>0</v>
      </c>
      <c r="BB210" t="inlineStr">
        <is>
          <t>df8910f932008620b0dd233acb6744046eadab5c54b6088cede0269ea02c27db</t>
        </is>
      </c>
    </row>
    <row r="211">
      <c r="A211" t="inlineStr">
        <is>
          <t>895</t>
        </is>
      </c>
      <c r="B211" t="inlineStr">
        <is>
          <t>7596148211</t>
        </is>
      </c>
      <c r="C211" t="inlineStr">
        <is>
          <t>2025-12-19 12:29:07</t>
        </is>
      </c>
      <c r="D211" t="inlineStr">
        <is>
          <t>51</t>
        </is>
      </c>
      <c r="E211" t="inlineStr">
        <is>
          <t>Sha Sha - Shandaar Shawarma</t>
        </is>
      </c>
      <c r="F211" t="inlineStr">
        <is>
          <t>18557902</t>
        </is>
      </c>
      <c r="G211" t="inlineStr">
        <is>
          <t>30% off upto ₹75 (2025-06-25 - 2031-01-01)</t>
        </is>
      </c>
      <c r="H211" t="inlineStr">
        <is>
          <t>ONLINE</t>
        </is>
      </c>
      <c r="I211" t="inlineStr">
        <is>
          <t>DELIVERED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O2</t>
        </is>
      </c>
      <c r="N211" t="inlineStr">
        <is>
          <t>36</t>
        </is>
      </c>
      <c r="O211" t="n">
        <v>229</v>
      </c>
      <c r="P211" t="n">
        <v>3.5</v>
      </c>
      <c r="Q211" t="n">
        <v>0</v>
      </c>
      <c r="R211" t="n">
        <v>68.7</v>
      </c>
      <c r="S211" t="n">
        <v>0</v>
      </c>
      <c r="T211" t="n">
        <v>0</v>
      </c>
      <c r="U211" t="n">
        <v>0</v>
      </c>
      <c r="V211" t="n">
        <v>8.19</v>
      </c>
      <c r="W211" t="n">
        <v>171.99</v>
      </c>
      <c r="X211" t="n">
        <v>163.8</v>
      </c>
      <c r="Y211" t="n">
        <v>19</v>
      </c>
      <c r="Z211" t="n">
        <v>31.12</v>
      </c>
      <c r="AA211" t="n">
        <v>3.16</v>
      </c>
      <c r="AB211" t="n">
        <v>34.28</v>
      </c>
      <c r="AC211" t="n">
        <v>6.17</v>
      </c>
      <c r="AD211" t="n">
        <v>0</v>
      </c>
      <c r="AE211" t="n">
        <v>163.8</v>
      </c>
      <c r="AF211" t="n">
        <v>0</v>
      </c>
      <c r="AG211" t="n">
        <v>0</v>
      </c>
      <c r="AH211" t="n">
        <v>0.16</v>
      </c>
      <c r="AI211" t="n">
        <v>8.199999999999999</v>
      </c>
      <c r="AJ211" t="n">
        <v>-0.01</v>
      </c>
      <c r="AK211" t="n">
        <v>14.53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48.81</v>
      </c>
      <c r="AV211" t="n">
        <v>0</v>
      </c>
      <c r="AW211" t="n">
        <v>123.18</v>
      </c>
      <c r="AX211" t="inlineStr">
        <is>
          <t>settled</t>
        </is>
      </c>
      <c r="AY211" t="inlineStr">
        <is>
          <t>NA</t>
        </is>
      </c>
      <c r="AZ211" t="inlineStr">
        <is>
          <t>NA</t>
        </is>
      </c>
      <c r="BA211" t="n">
        <v>0</v>
      </c>
      <c r="BB211" t="inlineStr">
        <is>
          <t>f7a91538b6e160e978697426c05313337932f2407dc5a32123be1330469cbe93</t>
        </is>
      </c>
    </row>
    <row r="212">
      <c r="A212" t="inlineStr">
        <is>
          <t>896</t>
        </is>
      </c>
      <c r="B212" t="inlineStr">
        <is>
          <t>7581270159</t>
        </is>
      </c>
      <c r="C212" t="inlineStr">
        <is>
          <t>2025-12-19 14:30:00</t>
        </is>
      </c>
      <c r="D212" t="inlineStr">
        <is>
          <t>51</t>
        </is>
      </c>
      <c r="E212" t="inlineStr">
        <is>
          <t>Sha Sha - Shandaar Shawarma</t>
        </is>
      </c>
      <c r="F212" t="inlineStr">
        <is>
          <t>18557902</t>
        </is>
      </c>
      <c r="G212" t="inlineStr">
        <is>
          <t>NA</t>
        </is>
      </c>
      <c r="H212" t="inlineStr">
        <is>
          <t>ONLINE</t>
        </is>
      </c>
      <c r="I212" t="inlineStr">
        <is>
          <t>DELIVERED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O2</t>
        </is>
      </c>
      <c r="N212" t="inlineStr">
        <is>
          <t>36</t>
        </is>
      </c>
      <c r="O212" t="n">
        <v>355</v>
      </c>
      <c r="P212" t="n">
        <v>3.5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17.93</v>
      </c>
      <c r="W212" t="n">
        <v>376.43</v>
      </c>
      <c r="X212" t="n">
        <v>358.5</v>
      </c>
      <c r="Y212" t="n">
        <v>19</v>
      </c>
      <c r="Z212" t="n">
        <v>68.12</v>
      </c>
      <c r="AA212" t="n">
        <v>6.93</v>
      </c>
      <c r="AB212" t="n">
        <v>75.05</v>
      </c>
      <c r="AC212" t="n">
        <v>13.51</v>
      </c>
      <c r="AD212" t="n">
        <v>0</v>
      </c>
      <c r="AE212" t="n">
        <v>358.5</v>
      </c>
      <c r="AF212" t="n">
        <v>0</v>
      </c>
      <c r="AG212" t="n">
        <v>0</v>
      </c>
      <c r="AH212" t="n">
        <v>0.36</v>
      </c>
      <c r="AI212" t="n">
        <v>17.93</v>
      </c>
      <c r="AJ212" t="n">
        <v>0</v>
      </c>
      <c r="AK212" t="n">
        <v>31.8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106.85</v>
      </c>
      <c r="AV212" t="n">
        <v>0</v>
      </c>
      <c r="AW212" t="n">
        <v>269.58</v>
      </c>
      <c r="AX212" t="inlineStr">
        <is>
          <t>settled</t>
        </is>
      </c>
      <c r="AY212" t="inlineStr">
        <is>
          <t>NA</t>
        </is>
      </c>
      <c r="AZ212" t="inlineStr">
        <is>
          <t>NA</t>
        </is>
      </c>
      <c r="BA212" t="n">
        <v>0</v>
      </c>
      <c r="BB212" t="inlineStr">
        <is>
          <t>a52638cd5fbdb5c2928042ab79e1558ef52f151e6228a9b3ff520d6b8045c582</t>
        </is>
      </c>
    </row>
    <row r="213">
      <c r="A213" t="inlineStr">
        <is>
          <t>897</t>
        </is>
      </c>
      <c r="B213" t="inlineStr">
        <is>
          <t>7596329640</t>
        </is>
      </c>
      <c r="C213" t="inlineStr">
        <is>
          <t>2025-12-19 15:02:42</t>
        </is>
      </c>
      <c r="D213" t="inlineStr">
        <is>
          <t>51</t>
        </is>
      </c>
      <c r="E213" t="inlineStr">
        <is>
          <t>Sha Sha - Shandaar Shawarma</t>
        </is>
      </c>
      <c r="F213" t="inlineStr">
        <is>
          <t>18557902</t>
        </is>
      </c>
      <c r="G213" t="inlineStr">
        <is>
          <t>30% off upto ₹75 (2025-06-25 - 2031-01-01)</t>
        </is>
      </c>
      <c r="H213" t="inlineStr">
        <is>
          <t>ONLINE</t>
        </is>
      </c>
      <c r="I213" t="inlineStr">
        <is>
          <t>DELIVERED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O2</t>
        </is>
      </c>
      <c r="N213" t="inlineStr">
        <is>
          <t>36</t>
        </is>
      </c>
      <c r="O213" t="n">
        <v>229</v>
      </c>
      <c r="P213" t="n">
        <v>3.5</v>
      </c>
      <c r="Q213" t="n">
        <v>0</v>
      </c>
      <c r="R213" t="n">
        <v>68.7</v>
      </c>
      <c r="S213" t="n">
        <v>0</v>
      </c>
      <c r="T213" t="n">
        <v>0</v>
      </c>
      <c r="U213" t="n">
        <v>0</v>
      </c>
      <c r="V213" t="n">
        <v>8.19</v>
      </c>
      <c r="W213" t="n">
        <v>171.99</v>
      </c>
      <c r="X213" t="n">
        <v>163.8</v>
      </c>
      <c r="Y213" t="n">
        <v>19</v>
      </c>
      <c r="Z213" t="n">
        <v>31.12</v>
      </c>
      <c r="AA213" t="n">
        <v>3.16</v>
      </c>
      <c r="AB213" t="n">
        <v>34.28</v>
      </c>
      <c r="AC213" t="n">
        <v>6.17</v>
      </c>
      <c r="AD213" t="n">
        <v>0</v>
      </c>
      <c r="AE213" t="n">
        <v>163.8</v>
      </c>
      <c r="AF213" t="n">
        <v>0</v>
      </c>
      <c r="AG213" t="n">
        <v>0</v>
      </c>
      <c r="AH213" t="n">
        <v>0.16</v>
      </c>
      <c r="AI213" t="n">
        <v>8.199999999999999</v>
      </c>
      <c r="AJ213" t="n">
        <v>-0.01</v>
      </c>
      <c r="AK213" t="n">
        <v>14.53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48.81</v>
      </c>
      <c r="AV213" t="n">
        <v>0</v>
      </c>
      <c r="AW213" t="n">
        <v>123.18</v>
      </c>
      <c r="AX213" t="inlineStr">
        <is>
          <t>settled</t>
        </is>
      </c>
      <c r="AY213" t="inlineStr">
        <is>
          <t>NA</t>
        </is>
      </c>
      <c r="AZ213" t="inlineStr">
        <is>
          <t>NA</t>
        </is>
      </c>
      <c r="BA213" t="n">
        <v>0</v>
      </c>
      <c r="BB213" t="inlineStr">
        <is>
          <t>7d4fe28af6edf19ddc56b92c9de2880aff920e2383d4a31d1125545438d10947</t>
        </is>
      </c>
    </row>
    <row r="214">
      <c r="A214" t="inlineStr">
        <is>
          <t>898</t>
        </is>
      </c>
      <c r="B214" t="inlineStr">
        <is>
          <t>7594990834</t>
        </is>
      </c>
      <c r="C214" t="inlineStr">
        <is>
          <t>2025-12-19 16:34:30</t>
        </is>
      </c>
      <c r="D214" t="inlineStr">
        <is>
          <t>51</t>
        </is>
      </c>
      <c r="E214" t="inlineStr">
        <is>
          <t>Sha Sha - Shandaar Shawarma</t>
        </is>
      </c>
      <c r="F214" t="inlineStr">
        <is>
          <t>18557902</t>
        </is>
      </c>
      <c r="G214" t="inlineStr">
        <is>
          <t>30% off upto ₹75 (2025-06-25 - 2031-01-01)</t>
        </is>
      </c>
      <c r="H214" t="inlineStr">
        <is>
          <t>ONLINE</t>
        </is>
      </c>
      <c r="I214" t="inlineStr">
        <is>
          <t>DELIVERED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O2</t>
        </is>
      </c>
      <c r="N214" t="inlineStr">
        <is>
          <t>36</t>
        </is>
      </c>
      <c r="O214" t="n">
        <v>229</v>
      </c>
      <c r="P214" t="n">
        <v>3.5</v>
      </c>
      <c r="Q214" t="n">
        <v>0</v>
      </c>
      <c r="R214" t="n">
        <v>68.7</v>
      </c>
      <c r="S214" t="n">
        <v>0</v>
      </c>
      <c r="T214" t="n">
        <v>0</v>
      </c>
      <c r="U214" t="n">
        <v>0</v>
      </c>
      <c r="V214" t="n">
        <v>8.19</v>
      </c>
      <c r="W214" t="n">
        <v>171.99</v>
      </c>
      <c r="X214" t="n">
        <v>163.8</v>
      </c>
      <c r="Y214" t="n">
        <v>19</v>
      </c>
      <c r="Z214" t="n">
        <v>31.12</v>
      </c>
      <c r="AA214" t="n">
        <v>3.16</v>
      </c>
      <c r="AB214" t="n">
        <v>34.28</v>
      </c>
      <c r="AC214" t="n">
        <v>6.17</v>
      </c>
      <c r="AD214" t="n">
        <v>0</v>
      </c>
      <c r="AE214" t="n">
        <v>163.8</v>
      </c>
      <c r="AF214" t="n">
        <v>0</v>
      </c>
      <c r="AG214" t="n">
        <v>0</v>
      </c>
      <c r="AH214" t="n">
        <v>0.16</v>
      </c>
      <c r="AI214" t="n">
        <v>8.199999999999999</v>
      </c>
      <c r="AJ214" t="n">
        <v>-0.01</v>
      </c>
      <c r="AK214" t="n">
        <v>14.53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48.81</v>
      </c>
      <c r="AV214" t="n">
        <v>0</v>
      </c>
      <c r="AW214" t="n">
        <v>123.18</v>
      </c>
      <c r="AX214" t="inlineStr">
        <is>
          <t>settled</t>
        </is>
      </c>
      <c r="AY214" t="inlineStr">
        <is>
          <t>NA</t>
        </is>
      </c>
      <c r="AZ214" t="inlineStr">
        <is>
          <t>NA</t>
        </is>
      </c>
      <c r="BA214" t="n">
        <v>0</v>
      </c>
      <c r="BB214" t="inlineStr">
        <is>
          <t>89124de8a5bf8654d779721c1f4747d66b742c24fb80312fed0e64748abe8ea2</t>
        </is>
      </c>
    </row>
    <row r="215">
      <c r="A215" t="inlineStr">
        <is>
          <t>899</t>
        </is>
      </c>
      <c r="B215" t="inlineStr">
        <is>
          <t>7592139305</t>
        </is>
      </c>
      <c r="C215" t="inlineStr">
        <is>
          <t>2025-12-19 16:35:52</t>
        </is>
      </c>
      <c r="D215" t="inlineStr">
        <is>
          <t>51</t>
        </is>
      </c>
      <c r="E215" t="inlineStr">
        <is>
          <t>Sha Sha - Shandaar Shawarma</t>
        </is>
      </c>
      <c r="F215" t="inlineStr">
        <is>
          <t>18557902</t>
        </is>
      </c>
      <c r="G215" t="inlineStr">
        <is>
          <t>NA</t>
        </is>
      </c>
      <c r="H215" t="inlineStr">
        <is>
          <t>ONLINE</t>
        </is>
      </c>
      <c r="I215" t="inlineStr">
        <is>
          <t>DELIVERED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O2</t>
        </is>
      </c>
      <c r="N215" t="inlineStr">
        <is>
          <t>36</t>
        </is>
      </c>
      <c r="O215" t="n">
        <v>458</v>
      </c>
      <c r="P215" t="n">
        <v>3.5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23.08</v>
      </c>
      <c r="W215" t="n">
        <v>484.58</v>
      </c>
      <c r="X215" t="n">
        <v>461.5</v>
      </c>
      <c r="Y215" t="n">
        <v>19</v>
      </c>
      <c r="Z215" t="n">
        <v>87.68000000000001</v>
      </c>
      <c r="AA215" t="n">
        <v>8.92</v>
      </c>
      <c r="AB215" t="n">
        <v>96.59999999999999</v>
      </c>
      <c r="AC215" t="n">
        <v>17.39</v>
      </c>
      <c r="AD215" t="n">
        <v>0</v>
      </c>
      <c r="AE215" t="n">
        <v>461.5</v>
      </c>
      <c r="AF215" t="n">
        <v>0</v>
      </c>
      <c r="AG215" t="n">
        <v>0</v>
      </c>
      <c r="AH215" t="n">
        <v>0.46</v>
      </c>
      <c r="AI215" t="n">
        <v>23.08</v>
      </c>
      <c r="AJ215" t="n">
        <v>0</v>
      </c>
      <c r="AK215" t="n">
        <v>40.93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137.53</v>
      </c>
      <c r="AV215" t="n">
        <v>0</v>
      </c>
      <c r="AW215" t="n">
        <v>347.05</v>
      </c>
      <c r="AX215" t="inlineStr">
        <is>
          <t>settled</t>
        </is>
      </c>
      <c r="AY215" t="inlineStr">
        <is>
          <t>NA</t>
        </is>
      </c>
      <c r="AZ215" t="inlineStr">
        <is>
          <t>NA</t>
        </is>
      </c>
      <c r="BA215" t="n">
        <v>0</v>
      </c>
      <c r="BB215" t="inlineStr">
        <is>
          <t>93bd1dc3b3f95fb3bbf3c1e999d23d5137ef8c54dcdae2425f443764c21f1038</t>
        </is>
      </c>
    </row>
    <row r="216">
      <c r="A216" t="inlineStr">
        <is>
          <t>900</t>
        </is>
      </c>
      <c r="B216" t="inlineStr">
        <is>
          <t>7598157401</t>
        </is>
      </c>
      <c r="C216" t="inlineStr">
        <is>
          <t>2025-12-19 17:03:57</t>
        </is>
      </c>
      <c r="D216" t="inlineStr">
        <is>
          <t>51</t>
        </is>
      </c>
      <c r="E216" t="inlineStr">
        <is>
          <t>Sha Sha - Shandaar Shawarma</t>
        </is>
      </c>
      <c r="F216" t="inlineStr">
        <is>
          <t>18557902</t>
        </is>
      </c>
      <c r="G216" t="inlineStr">
        <is>
          <t>NA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O2</t>
        </is>
      </c>
      <c r="N216" t="inlineStr">
        <is>
          <t>36</t>
        </is>
      </c>
      <c r="O216" t="n">
        <v>229</v>
      </c>
      <c r="P216" t="n">
        <v>3.5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11.63</v>
      </c>
      <c r="W216" t="n">
        <v>244.13</v>
      </c>
      <c r="X216" t="n">
        <v>232.5</v>
      </c>
      <c r="Y216" t="n">
        <v>19</v>
      </c>
      <c r="Z216" t="n">
        <v>44.18</v>
      </c>
      <c r="AA216" t="n">
        <v>4.49</v>
      </c>
      <c r="AB216" t="n">
        <v>48.67</v>
      </c>
      <c r="AC216" t="n">
        <v>8.76</v>
      </c>
      <c r="AD216" t="n">
        <v>0</v>
      </c>
      <c r="AE216" t="n">
        <v>232.5</v>
      </c>
      <c r="AF216" t="n">
        <v>0</v>
      </c>
      <c r="AG216" t="n">
        <v>0</v>
      </c>
      <c r="AH216" t="n">
        <v>0.23</v>
      </c>
      <c r="AI216" t="n">
        <v>11.63</v>
      </c>
      <c r="AJ216" t="n">
        <v>0</v>
      </c>
      <c r="AK216" t="n">
        <v>20.62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69.29000000000001</v>
      </c>
      <c r="AV216" t="n">
        <v>0</v>
      </c>
      <c r="AW216" t="n">
        <v>174.84</v>
      </c>
      <c r="AX216" t="inlineStr">
        <is>
          <t>settled</t>
        </is>
      </c>
      <c r="AY216" t="inlineStr">
        <is>
          <t>NA</t>
        </is>
      </c>
      <c r="AZ216" t="inlineStr">
        <is>
          <t>NA</t>
        </is>
      </c>
      <c r="BA216" t="n">
        <v>0</v>
      </c>
      <c r="BB216" t="inlineStr">
        <is>
          <t>c906ada66278bb23f35ce4e2fa4cf4cd7f27e543c36cd56a0fe29ddb5baa8b79</t>
        </is>
      </c>
    </row>
    <row r="217">
      <c r="A217" t="inlineStr">
        <is>
          <t>901</t>
        </is>
      </c>
      <c r="B217" t="inlineStr">
        <is>
          <t>7597073424</t>
        </is>
      </c>
      <c r="C217" t="inlineStr">
        <is>
          <t>2025-12-19 18:50:03</t>
        </is>
      </c>
      <c r="D217" t="inlineStr">
        <is>
          <t>51</t>
        </is>
      </c>
      <c r="E217" t="inlineStr">
        <is>
          <t>Sha Sha - Shandaar Shawarma</t>
        </is>
      </c>
      <c r="F217" t="inlineStr">
        <is>
          <t>18557902</t>
        </is>
      </c>
      <c r="G217" t="inlineStr">
        <is>
          <t>30% off upto ₹75 (2025-06-25 - 2031-01-01)</t>
        </is>
      </c>
      <c r="H217" t="inlineStr">
        <is>
          <t>ONLINE</t>
        </is>
      </c>
      <c r="I217" t="inlineStr">
        <is>
          <t>DELIVERED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O2</t>
        </is>
      </c>
      <c r="N217" t="inlineStr">
        <is>
          <t>36</t>
        </is>
      </c>
      <c r="O217" t="n">
        <v>229</v>
      </c>
      <c r="P217" t="n">
        <v>3.5</v>
      </c>
      <c r="Q217" t="n">
        <v>0</v>
      </c>
      <c r="R217" t="n">
        <v>68.7</v>
      </c>
      <c r="S217" t="n">
        <v>0</v>
      </c>
      <c r="T217" t="n">
        <v>0</v>
      </c>
      <c r="U217" t="n">
        <v>0</v>
      </c>
      <c r="V217" t="n">
        <v>8.19</v>
      </c>
      <c r="W217" t="n">
        <v>171.99</v>
      </c>
      <c r="X217" t="n">
        <v>163.8</v>
      </c>
      <c r="Y217" t="n">
        <v>19</v>
      </c>
      <c r="Z217" t="n">
        <v>31.12</v>
      </c>
      <c r="AA217" t="n">
        <v>3.16</v>
      </c>
      <c r="AB217" t="n">
        <v>34.28</v>
      </c>
      <c r="AC217" t="n">
        <v>6.17</v>
      </c>
      <c r="AD217" t="n">
        <v>0</v>
      </c>
      <c r="AE217" t="n">
        <v>163.8</v>
      </c>
      <c r="AF217" t="n">
        <v>0</v>
      </c>
      <c r="AG217" t="n">
        <v>0</v>
      </c>
      <c r="AH217" t="n">
        <v>0.16</v>
      </c>
      <c r="AI217" t="n">
        <v>8.199999999999999</v>
      </c>
      <c r="AJ217" t="n">
        <v>-0.01</v>
      </c>
      <c r="AK217" t="n">
        <v>14.53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48.81</v>
      </c>
      <c r="AV217" t="n">
        <v>0</v>
      </c>
      <c r="AW217" t="n">
        <v>123.18</v>
      </c>
      <c r="AX217" t="inlineStr">
        <is>
          <t>settled</t>
        </is>
      </c>
      <c r="AY217" t="inlineStr">
        <is>
          <t>NA</t>
        </is>
      </c>
      <c r="AZ217" t="inlineStr">
        <is>
          <t>NA</t>
        </is>
      </c>
      <c r="BA217" t="n">
        <v>0</v>
      </c>
      <c r="BB217" t="inlineStr">
        <is>
          <t>59b73fea4d3a106065df8c71b9ff092f55bf6123aa6da0b868573f3fd5c4c24f</t>
        </is>
      </c>
    </row>
    <row r="218">
      <c r="A218" t="inlineStr">
        <is>
          <t>902</t>
        </is>
      </c>
      <c r="B218" t="inlineStr">
        <is>
          <t>7598918951</t>
        </is>
      </c>
      <c r="C218" t="inlineStr">
        <is>
          <t>2025-12-19 19:04:15</t>
        </is>
      </c>
      <c r="D218" t="inlineStr">
        <is>
          <t>51</t>
        </is>
      </c>
      <c r="E218" t="inlineStr">
        <is>
          <t>Sha Sha - Shandaar Shawarma</t>
        </is>
      </c>
      <c r="F218" t="inlineStr">
        <is>
          <t>18557902</t>
        </is>
      </c>
      <c r="G218" t="inlineStr">
        <is>
          <t>NA</t>
        </is>
      </c>
      <c r="H218" t="inlineStr">
        <is>
          <t>ONLINE</t>
        </is>
      </c>
      <c r="I218" t="inlineStr">
        <is>
          <t>DELIVERED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O2</t>
        </is>
      </c>
      <c r="N218" t="inlineStr">
        <is>
          <t>36</t>
        </is>
      </c>
      <c r="O218" t="n">
        <v>229</v>
      </c>
      <c r="P218" t="n">
        <v>3.5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11.63</v>
      </c>
      <c r="W218" t="n">
        <v>244.13</v>
      </c>
      <c r="X218" t="n">
        <v>232.5</v>
      </c>
      <c r="Y218" t="n">
        <v>19</v>
      </c>
      <c r="Z218" t="n">
        <v>44.18</v>
      </c>
      <c r="AA218" t="n">
        <v>4.49</v>
      </c>
      <c r="AB218" t="n">
        <v>48.67</v>
      </c>
      <c r="AC218" t="n">
        <v>8.76</v>
      </c>
      <c r="AD218" t="n">
        <v>0</v>
      </c>
      <c r="AE218" t="n">
        <v>232.5</v>
      </c>
      <c r="AF218" t="n">
        <v>0</v>
      </c>
      <c r="AG218" t="n">
        <v>0</v>
      </c>
      <c r="AH218" t="n">
        <v>0.23</v>
      </c>
      <c r="AI218" t="n">
        <v>11.63</v>
      </c>
      <c r="AJ218" t="n">
        <v>0</v>
      </c>
      <c r="AK218" t="n">
        <v>20.62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69.29000000000001</v>
      </c>
      <c r="AV218" t="n">
        <v>0</v>
      </c>
      <c r="AW218" t="n">
        <v>174.84</v>
      </c>
      <c r="AX218" t="inlineStr">
        <is>
          <t>settled</t>
        </is>
      </c>
      <c r="AY218" t="inlineStr">
        <is>
          <t>NA</t>
        </is>
      </c>
      <c r="AZ218" t="inlineStr">
        <is>
          <t>NA</t>
        </is>
      </c>
      <c r="BA218" t="n">
        <v>0</v>
      </c>
      <c r="BB218" t="inlineStr">
        <is>
          <t>22d18933e4ed80a21d23fea1ba4c3ec7849e3c437545b5232b98a04c0344b999</t>
        </is>
      </c>
    </row>
    <row r="219">
      <c r="A219" t="inlineStr">
        <is>
          <t>903</t>
        </is>
      </c>
      <c r="B219" t="inlineStr">
        <is>
          <t>7585334593</t>
        </is>
      </c>
      <c r="C219" t="inlineStr">
        <is>
          <t>2025-12-19 19:37:52</t>
        </is>
      </c>
      <c r="D219" t="inlineStr">
        <is>
          <t>51</t>
        </is>
      </c>
      <c r="E219" t="inlineStr">
        <is>
          <t>Sha Sha - Shandaar Shawarma</t>
        </is>
      </c>
      <c r="F219" t="inlineStr">
        <is>
          <t>18557902</t>
        </is>
      </c>
      <c r="G219" t="inlineStr">
        <is>
          <t>30% off upto ₹75 (2025-06-25 - 2031-01-01)</t>
        </is>
      </c>
      <c r="H219" t="inlineStr">
        <is>
          <t>ONLINE</t>
        </is>
      </c>
      <c r="I219" t="inlineStr">
        <is>
          <t>DELIVERED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O2</t>
        </is>
      </c>
      <c r="N219" t="inlineStr">
        <is>
          <t>36</t>
        </is>
      </c>
      <c r="O219" t="n">
        <v>458</v>
      </c>
      <c r="P219" t="n">
        <v>3.5</v>
      </c>
      <c r="Q219" t="n">
        <v>0</v>
      </c>
      <c r="R219" t="n">
        <v>75</v>
      </c>
      <c r="S219" t="n">
        <v>0</v>
      </c>
      <c r="T219" t="n">
        <v>0</v>
      </c>
      <c r="U219" t="n">
        <v>0</v>
      </c>
      <c r="V219" t="n">
        <v>19.33</v>
      </c>
      <c r="W219" t="n">
        <v>405.83</v>
      </c>
      <c r="X219" t="n">
        <v>386.5</v>
      </c>
      <c r="Y219" t="n">
        <v>19</v>
      </c>
      <c r="Z219" t="n">
        <v>73.44</v>
      </c>
      <c r="AA219" t="n">
        <v>7.47</v>
      </c>
      <c r="AB219" t="n">
        <v>80.91</v>
      </c>
      <c r="AC219" t="n">
        <v>14.56</v>
      </c>
      <c r="AD219" t="n">
        <v>0</v>
      </c>
      <c r="AE219" t="n">
        <v>386.5</v>
      </c>
      <c r="AF219" t="n">
        <v>0</v>
      </c>
      <c r="AG219" t="n">
        <v>0</v>
      </c>
      <c r="AH219" t="n">
        <v>0.39</v>
      </c>
      <c r="AI219" t="n">
        <v>19.33</v>
      </c>
      <c r="AJ219" t="n">
        <v>0</v>
      </c>
      <c r="AK219" t="n">
        <v>34.28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115.19</v>
      </c>
      <c r="AV219" t="n">
        <v>0</v>
      </c>
      <c r="AW219" t="n">
        <v>290.64</v>
      </c>
      <c r="AX219" t="inlineStr">
        <is>
          <t>settled</t>
        </is>
      </c>
      <c r="AY219" t="inlineStr">
        <is>
          <t>NA</t>
        </is>
      </c>
      <c r="AZ219" t="inlineStr">
        <is>
          <t>NA</t>
        </is>
      </c>
      <c r="BA219" t="n">
        <v>0</v>
      </c>
      <c r="BB219" t="inlineStr">
        <is>
          <t>423958b0ead225b2cf90431398202ad627baeae091037a4df4378dd733a0acb8</t>
        </is>
      </c>
    </row>
    <row r="220">
      <c r="A220" t="inlineStr">
        <is>
          <t>904</t>
        </is>
      </c>
      <c r="B220" t="inlineStr">
        <is>
          <t>7598094526</t>
        </is>
      </c>
      <c r="C220" t="inlineStr">
        <is>
          <t>2025-12-19 19:40:22</t>
        </is>
      </c>
      <c r="D220" t="inlineStr">
        <is>
          <t>51</t>
        </is>
      </c>
      <c r="E220" t="inlineStr">
        <is>
          <t>Sha Sha - Shandaar Shawarma</t>
        </is>
      </c>
      <c r="F220" t="inlineStr">
        <is>
          <t>18557902</t>
        </is>
      </c>
      <c r="G220" t="inlineStr">
        <is>
          <t>30% off upto ₹75 (2025-06-25 - 2031-01-01)</t>
        </is>
      </c>
      <c r="H220" t="inlineStr">
        <is>
          <t>ONLINE</t>
        </is>
      </c>
      <c r="I220" t="inlineStr">
        <is>
          <t>DELIVERED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O2</t>
        </is>
      </c>
      <c r="N220" t="inlineStr">
        <is>
          <t>36</t>
        </is>
      </c>
      <c r="O220" t="n">
        <v>289</v>
      </c>
      <c r="P220" t="n">
        <v>3.5</v>
      </c>
      <c r="Q220" t="n">
        <v>0</v>
      </c>
      <c r="R220" t="n">
        <v>75</v>
      </c>
      <c r="S220" t="n">
        <v>0</v>
      </c>
      <c r="T220" t="n">
        <v>0</v>
      </c>
      <c r="U220" t="n">
        <v>0</v>
      </c>
      <c r="V220" t="n">
        <v>10.88</v>
      </c>
      <c r="W220" t="n">
        <v>228.38</v>
      </c>
      <c r="X220" t="n">
        <v>217.5</v>
      </c>
      <c r="Y220" t="n">
        <v>19</v>
      </c>
      <c r="Z220" t="n">
        <v>41.32</v>
      </c>
      <c r="AA220" t="n">
        <v>4.2</v>
      </c>
      <c r="AB220" t="n">
        <v>45.52</v>
      </c>
      <c r="AC220" t="n">
        <v>8.199999999999999</v>
      </c>
      <c r="AD220" t="n">
        <v>0</v>
      </c>
      <c r="AE220" t="n">
        <v>217.5</v>
      </c>
      <c r="AF220" t="n">
        <v>0</v>
      </c>
      <c r="AG220" t="n">
        <v>0</v>
      </c>
      <c r="AH220" t="n">
        <v>0.22</v>
      </c>
      <c r="AI220" t="n">
        <v>10.88</v>
      </c>
      <c r="AJ220" t="n">
        <v>0</v>
      </c>
      <c r="AK220" t="n">
        <v>19.3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64.81999999999999</v>
      </c>
      <c r="AV220" t="n">
        <v>0</v>
      </c>
      <c r="AW220" t="n">
        <v>163.56</v>
      </c>
      <c r="AX220" t="inlineStr">
        <is>
          <t>settled</t>
        </is>
      </c>
      <c r="AY220" t="inlineStr">
        <is>
          <t>NA</t>
        </is>
      </c>
      <c r="AZ220" t="inlineStr">
        <is>
          <t>NA</t>
        </is>
      </c>
      <c r="BA220" t="n">
        <v>0</v>
      </c>
      <c r="BB220" t="inlineStr">
        <is>
          <t>c78c8f1d92a3b7a497fe7b917aecee6a76e82644a421c6efc62b054656a18bb4</t>
        </is>
      </c>
    </row>
    <row r="221">
      <c r="A221" t="inlineStr">
        <is>
          <t>905</t>
        </is>
      </c>
      <c r="B221" t="inlineStr">
        <is>
          <t>7599747206</t>
        </is>
      </c>
      <c r="C221" t="inlineStr">
        <is>
          <t>2025-12-19 19:43:15</t>
        </is>
      </c>
      <c r="D221" t="inlineStr">
        <is>
          <t>51</t>
        </is>
      </c>
      <c r="E221" t="inlineStr">
        <is>
          <t>Sha Sha - Shandaar Shawarma</t>
        </is>
      </c>
      <c r="F221" t="inlineStr">
        <is>
          <t>18557902</t>
        </is>
      </c>
      <c r="G221" t="inlineStr">
        <is>
          <t>NA</t>
        </is>
      </c>
      <c r="H221" t="inlineStr">
        <is>
          <t>ONLINE</t>
        </is>
      </c>
      <c r="I221" t="inlineStr">
        <is>
          <t>DELIVERED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O2</t>
        </is>
      </c>
      <c r="N221" t="inlineStr">
        <is>
          <t>36</t>
        </is>
      </c>
      <c r="O221" t="n">
        <v>687</v>
      </c>
      <c r="P221" t="n">
        <v>3.5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34.53</v>
      </c>
      <c r="W221" t="n">
        <v>725.03</v>
      </c>
      <c r="X221" t="n">
        <v>690.5</v>
      </c>
      <c r="Y221" t="n">
        <v>19</v>
      </c>
      <c r="Z221" t="n">
        <v>131.2</v>
      </c>
      <c r="AA221" t="n">
        <v>13.34</v>
      </c>
      <c r="AB221" t="n">
        <v>144.54</v>
      </c>
      <c r="AC221" t="n">
        <v>26.02</v>
      </c>
      <c r="AD221" t="n">
        <v>0</v>
      </c>
      <c r="AE221" t="n">
        <v>690.5</v>
      </c>
      <c r="AF221" t="n">
        <v>0</v>
      </c>
      <c r="AG221" t="n">
        <v>0</v>
      </c>
      <c r="AH221" t="n">
        <v>0.6899999999999999</v>
      </c>
      <c r="AI221" t="n">
        <v>34.53</v>
      </c>
      <c r="AJ221" t="n">
        <v>0</v>
      </c>
      <c r="AK221" t="n">
        <v>61.24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205.78</v>
      </c>
      <c r="AV221" t="n">
        <v>0</v>
      </c>
      <c r="AW221" t="n">
        <v>519.25</v>
      </c>
      <c r="AX221" t="inlineStr">
        <is>
          <t>settled</t>
        </is>
      </c>
      <c r="AY221" t="inlineStr">
        <is>
          <t>NA</t>
        </is>
      </c>
      <c r="AZ221" t="inlineStr">
        <is>
          <t>NA</t>
        </is>
      </c>
      <c r="BA221" t="n">
        <v>0</v>
      </c>
      <c r="BB221" t="inlineStr">
        <is>
          <t>b45c2920db44faceed0e9d311cd130978779f692fc4992e54132886a4d165546</t>
        </is>
      </c>
    </row>
    <row r="222">
      <c r="A222" t="inlineStr">
        <is>
          <t>906</t>
        </is>
      </c>
      <c r="B222" t="inlineStr">
        <is>
          <t>7597401186</t>
        </is>
      </c>
      <c r="C222" t="inlineStr">
        <is>
          <t>2025-12-19 19:46:37</t>
        </is>
      </c>
      <c r="D222" t="inlineStr">
        <is>
          <t>51</t>
        </is>
      </c>
      <c r="E222" t="inlineStr">
        <is>
          <t>Sha Sha - Shandaar Shawarma</t>
        </is>
      </c>
      <c r="F222" t="inlineStr">
        <is>
          <t>18557902</t>
        </is>
      </c>
      <c r="G222" t="inlineStr">
        <is>
          <t>30% off upto ₹75 (2025-06-25 - 2031-01-01)</t>
        </is>
      </c>
      <c r="H222" t="inlineStr">
        <is>
          <t>ONLINE</t>
        </is>
      </c>
      <c r="I222" t="inlineStr">
        <is>
          <t>DELIVERED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O2</t>
        </is>
      </c>
      <c r="N222" t="inlineStr">
        <is>
          <t>36</t>
        </is>
      </c>
      <c r="O222" t="n">
        <v>368</v>
      </c>
      <c r="P222" t="n">
        <v>3.5</v>
      </c>
      <c r="Q222" t="n">
        <v>0</v>
      </c>
      <c r="R222" t="n">
        <v>75</v>
      </c>
      <c r="S222" t="n">
        <v>0</v>
      </c>
      <c r="T222" t="n">
        <v>0</v>
      </c>
      <c r="U222" t="n">
        <v>0</v>
      </c>
      <c r="V222" t="n">
        <v>14.83</v>
      </c>
      <c r="W222" t="n">
        <v>311.33</v>
      </c>
      <c r="X222" t="n">
        <v>296.5</v>
      </c>
      <c r="Y222" t="n">
        <v>19</v>
      </c>
      <c r="Z222" t="n">
        <v>56.34</v>
      </c>
      <c r="AA222" t="n">
        <v>5.73</v>
      </c>
      <c r="AB222" t="n">
        <v>62.07</v>
      </c>
      <c r="AC222" t="n">
        <v>11.17</v>
      </c>
      <c r="AD222" t="n">
        <v>0</v>
      </c>
      <c r="AE222" t="n">
        <v>296.5</v>
      </c>
      <c r="AF222" t="n">
        <v>0</v>
      </c>
      <c r="AG222" t="n">
        <v>0</v>
      </c>
      <c r="AH222" t="n">
        <v>0.3</v>
      </c>
      <c r="AI222" t="n">
        <v>14.83</v>
      </c>
      <c r="AJ222" t="n">
        <v>0</v>
      </c>
      <c r="AK222" t="n">
        <v>26.3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88.37</v>
      </c>
      <c r="AV222" t="n">
        <v>0</v>
      </c>
      <c r="AW222" t="n">
        <v>222.96</v>
      </c>
      <c r="AX222" t="inlineStr">
        <is>
          <t>settled</t>
        </is>
      </c>
      <c r="AY222" t="inlineStr">
        <is>
          <t>NA</t>
        </is>
      </c>
      <c r="AZ222" t="inlineStr">
        <is>
          <t>NA</t>
        </is>
      </c>
      <c r="BA222" t="n">
        <v>0</v>
      </c>
      <c r="BB222" t="inlineStr">
        <is>
          <t>0ec97f155f8d62f784267ae4053d9e9b6791d686a8d2c9596e0b70e4cdf5b481</t>
        </is>
      </c>
    </row>
    <row r="223">
      <c r="A223" t="inlineStr">
        <is>
          <t>907</t>
        </is>
      </c>
      <c r="B223" t="inlineStr">
        <is>
          <t>7586194464</t>
        </is>
      </c>
      <c r="C223" t="inlineStr">
        <is>
          <t>2025-12-19 19:55:13</t>
        </is>
      </c>
      <c r="D223" t="inlineStr">
        <is>
          <t>51</t>
        </is>
      </c>
      <c r="E223" t="inlineStr">
        <is>
          <t>Sha Sha - Shandaar Shawarma</t>
        </is>
      </c>
      <c r="F223" t="inlineStr">
        <is>
          <t>18557902</t>
        </is>
      </c>
      <c r="G223" t="inlineStr">
        <is>
          <t>30% off upto ₹75 (2025-06-25 - 2031-01-01)</t>
        </is>
      </c>
      <c r="H223" t="inlineStr">
        <is>
          <t>ONLINE</t>
        </is>
      </c>
      <c r="I223" t="inlineStr">
        <is>
          <t>DELIVERED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O2</t>
        </is>
      </c>
      <c r="N223" t="inlineStr">
        <is>
          <t>36</t>
        </is>
      </c>
      <c r="O223" t="n">
        <v>384</v>
      </c>
      <c r="P223" t="n">
        <v>3.5</v>
      </c>
      <c r="Q223" t="n">
        <v>0</v>
      </c>
      <c r="R223" t="n">
        <v>75</v>
      </c>
      <c r="S223" t="n">
        <v>0</v>
      </c>
      <c r="T223" t="n">
        <v>0</v>
      </c>
      <c r="U223" t="n">
        <v>0</v>
      </c>
      <c r="V223" t="n">
        <v>15.63</v>
      </c>
      <c r="W223" t="n">
        <v>328.13</v>
      </c>
      <c r="X223" t="n">
        <v>312.5</v>
      </c>
      <c r="Y223" t="n">
        <v>19</v>
      </c>
      <c r="Z223" t="n">
        <v>59.38</v>
      </c>
      <c r="AA223" t="n">
        <v>6.04</v>
      </c>
      <c r="AB223" t="n">
        <v>65.42</v>
      </c>
      <c r="AC223" t="n">
        <v>11.78</v>
      </c>
      <c r="AD223" t="n">
        <v>0</v>
      </c>
      <c r="AE223" t="n">
        <v>312.5</v>
      </c>
      <c r="AF223" t="n">
        <v>0</v>
      </c>
      <c r="AG223" t="n">
        <v>0</v>
      </c>
      <c r="AH223" t="n">
        <v>0.31</v>
      </c>
      <c r="AI223" t="n">
        <v>15.63</v>
      </c>
      <c r="AJ223" t="n">
        <v>0</v>
      </c>
      <c r="AK223" t="n">
        <v>27.72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93.14</v>
      </c>
      <c r="AV223" t="n">
        <v>0</v>
      </c>
      <c r="AW223" t="n">
        <v>234.99</v>
      </c>
      <c r="AX223" t="inlineStr">
        <is>
          <t>settled</t>
        </is>
      </c>
      <c r="AY223" t="inlineStr">
        <is>
          <t>NA</t>
        </is>
      </c>
      <c r="AZ223" t="inlineStr">
        <is>
          <t>NA</t>
        </is>
      </c>
      <c r="BA223" t="n">
        <v>0</v>
      </c>
      <c r="BB223" t="inlineStr">
        <is>
          <t>e56e04c4191a23275d9c8cb30b1b9a026c932582c26d5baff202a92eff13b8ec</t>
        </is>
      </c>
    </row>
    <row r="224">
      <c r="A224" t="inlineStr">
        <is>
          <t>908</t>
        </is>
      </c>
      <c r="B224" t="inlineStr">
        <is>
          <t>7575396900</t>
        </is>
      </c>
      <c r="C224" t="inlineStr">
        <is>
          <t>2025-12-19 20:47:02</t>
        </is>
      </c>
      <c r="D224" t="inlineStr">
        <is>
          <t>51</t>
        </is>
      </c>
      <c r="E224" t="inlineStr">
        <is>
          <t>Sha Sha - Shandaar Shawarma</t>
        </is>
      </c>
      <c r="F224" t="inlineStr">
        <is>
          <t>18557902</t>
        </is>
      </c>
      <c r="G224" t="inlineStr">
        <is>
          <t>NA</t>
        </is>
      </c>
      <c r="H224" t="inlineStr">
        <is>
          <t>ONLINE</t>
        </is>
      </c>
      <c r="I224" t="inlineStr">
        <is>
          <t>DELIVERED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O2</t>
        </is>
      </c>
      <c r="N224" t="inlineStr">
        <is>
          <t>36</t>
        </is>
      </c>
      <c r="O224" t="n">
        <v>229</v>
      </c>
      <c r="P224" t="n">
        <v>3.5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11.63</v>
      </c>
      <c r="W224" t="n">
        <v>244.13</v>
      </c>
      <c r="X224" t="n">
        <v>232.5</v>
      </c>
      <c r="Y224" t="n">
        <v>19</v>
      </c>
      <c r="Z224" t="n">
        <v>44.18</v>
      </c>
      <c r="AA224" t="n">
        <v>4.49</v>
      </c>
      <c r="AB224" t="n">
        <v>48.67</v>
      </c>
      <c r="AC224" t="n">
        <v>8.76</v>
      </c>
      <c r="AD224" t="n">
        <v>0</v>
      </c>
      <c r="AE224" t="n">
        <v>232.5</v>
      </c>
      <c r="AF224" t="n">
        <v>0</v>
      </c>
      <c r="AG224" t="n">
        <v>0</v>
      </c>
      <c r="AH224" t="n">
        <v>0.23</v>
      </c>
      <c r="AI224" t="n">
        <v>11.63</v>
      </c>
      <c r="AJ224" t="n">
        <v>0</v>
      </c>
      <c r="AK224" t="n">
        <v>20.62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69.29000000000001</v>
      </c>
      <c r="AV224" t="n">
        <v>0</v>
      </c>
      <c r="AW224" t="n">
        <v>174.84</v>
      </c>
      <c r="AX224" t="inlineStr">
        <is>
          <t>settled</t>
        </is>
      </c>
      <c r="AY224" t="inlineStr">
        <is>
          <t>NA</t>
        </is>
      </c>
      <c r="AZ224" t="inlineStr">
        <is>
          <t>NA</t>
        </is>
      </c>
      <c r="BA224" t="n">
        <v>0</v>
      </c>
      <c r="BB224" t="inlineStr">
        <is>
          <t>e9005efb93f1481565defcca86cb12dc93575ad7c32c11ea4e27cb8591975521</t>
        </is>
      </c>
    </row>
    <row r="225">
      <c r="A225" t="inlineStr">
        <is>
          <t>909</t>
        </is>
      </c>
      <c r="B225" t="inlineStr">
        <is>
          <t>7587748847</t>
        </is>
      </c>
      <c r="C225" t="inlineStr">
        <is>
          <t>2025-12-19 21:02:33</t>
        </is>
      </c>
      <c r="D225" t="inlineStr">
        <is>
          <t>51</t>
        </is>
      </c>
      <c r="E225" t="inlineStr">
        <is>
          <t>Sha Sha - Shandaar Shawarma</t>
        </is>
      </c>
      <c r="F225" t="inlineStr">
        <is>
          <t>18557902</t>
        </is>
      </c>
      <c r="G225" t="inlineStr">
        <is>
          <t>NA</t>
        </is>
      </c>
      <c r="H225" t="inlineStr">
        <is>
          <t>ONLINE</t>
        </is>
      </c>
      <c r="I225" t="inlineStr">
        <is>
          <t>DELIVERED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O2</t>
        </is>
      </c>
      <c r="N225" t="inlineStr">
        <is>
          <t>36</t>
        </is>
      </c>
      <c r="O225" t="n">
        <v>345</v>
      </c>
      <c r="P225" t="n">
        <v>3.5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17.43</v>
      </c>
      <c r="W225" t="n">
        <v>365.93</v>
      </c>
      <c r="X225" t="n">
        <v>348.5</v>
      </c>
      <c r="Y225" t="n">
        <v>19</v>
      </c>
      <c r="Z225" t="n">
        <v>66.22</v>
      </c>
      <c r="AA225" t="n">
        <v>6.73</v>
      </c>
      <c r="AB225" t="n">
        <v>72.95</v>
      </c>
      <c r="AC225" t="n">
        <v>13.13</v>
      </c>
      <c r="AD225" t="n">
        <v>0</v>
      </c>
      <c r="AE225" t="n">
        <v>348.5</v>
      </c>
      <c r="AF225" t="n">
        <v>0</v>
      </c>
      <c r="AG225" t="n">
        <v>0</v>
      </c>
      <c r="AH225" t="n">
        <v>0.35</v>
      </c>
      <c r="AI225" t="n">
        <v>17.43</v>
      </c>
      <c r="AJ225" t="n">
        <v>0</v>
      </c>
      <c r="AK225" t="n">
        <v>30.91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103.86</v>
      </c>
      <c r="AV225" t="n">
        <v>0</v>
      </c>
      <c r="AW225" t="n">
        <v>262.07</v>
      </c>
      <c r="AX225" t="inlineStr">
        <is>
          <t>settled</t>
        </is>
      </c>
      <c r="AY225" t="inlineStr">
        <is>
          <t>NA</t>
        </is>
      </c>
      <c r="AZ225" t="inlineStr">
        <is>
          <t>NA</t>
        </is>
      </c>
      <c r="BA225" t="n">
        <v>0</v>
      </c>
      <c r="BB225" t="inlineStr">
        <is>
          <t>1d3cfe82cce671d87f224a4249e06a94648e2d0c545496937a54a365ecb536a6</t>
        </is>
      </c>
    </row>
    <row r="226">
      <c r="A226" t="inlineStr">
        <is>
          <t>910</t>
        </is>
      </c>
      <c r="B226" t="inlineStr">
        <is>
          <t>7600237974</t>
        </is>
      </c>
      <c r="C226" t="inlineStr">
        <is>
          <t>2025-12-19 21:11:25</t>
        </is>
      </c>
      <c r="D226" t="inlineStr">
        <is>
          <t>51</t>
        </is>
      </c>
      <c r="E226" t="inlineStr">
        <is>
          <t>Sha Sha - Shandaar Shawarma</t>
        </is>
      </c>
      <c r="F226" t="inlineStr">
        <is>
          <t>18557902</t>
        </is>
      </c>
      <c r="G226" t="inlineStr">
        <is>
          <t>30% off upto ₹75 (2025-06-25 - 2031-01-01)</t>
        </is>
      </c>
      <c r="H226" t="inlineStr">
        <is>
          <t>ONLINE</t>
        </is>
      </c>
      <c r="I226" t="inlineStr">
        <is>
          <t>DELIVERED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O2</t>
        </is>
      </c>
      <c r="N226" t="inlineStr">
        <is>
          <t>36</t>
        </is>
      </c>
      <c r="O226" t="n">
        <v>229</v>
      </c>
      <c r="P226" t="n">
        <v>3.5</v>
      </c>
      <c r="Q226" t="n">
        <v>0</v>
      </c>
      <c r="R226" t="n">
        <v>68.7</v>
      </c>
      <c r="S226" t="n">
        <v>0</v>
      </c>
      <c r="T226" t="n">
        <v>0</v>
      </c>
      <c r="U226" t="n">
        <v>0</v>
      </c>
      <c r="V226" t="n">
        <v>8.19</v>
      </c>
      <c r="W226" t="n">
        <v>171.99</v>
      </c>
      <c r="X226" t="n">
        <v>163.8</v>
      </c>
      <c r="Y226" t="n">
        <v>19</v>
      </c>
      <c r="Z226" t="n">
        <v>31.12</v>
      </c>
      <c r="AA226" t="n">
        <v>3.16</v>
      </c>
      <c r="AB226" t="n">
        <v>34.28</v>
      </c>
      <c r="AC226" t="n">
        <v>6.17</v>
      </c>
      <c r="AD226" t="n">
        <v>0</v>
      </c>
      <c r="AE226" t="n">
        <v>163.8</v>
      </c>
      <c r="AF226" t="n">
        <v>0</v>
      </c>
      <c r="AG226" t="n">
        <v>0</v>
      </c>
      <c r="AH226" t="n">
        <v>0.16</v>
      </c>
      <c r="AI226" t="n">
        <v>8.199999999999999</v>
      </c>
      <c r="AJ226" t="n">
        <v>-0.01</v>
      </c>
      <c r="AK226" t="n">
        <v>14.53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48.81</v>
      </c>
      <c r="AV226" t="n">
        <v>0</v>
      </c>
      <c r="AW226" t="n">
        <v>123.18</v>
      </c>
      <c r="AX226" t="inlineStr">
        <is>
          <t>settled</t>
        </is>
      </c>
      <c r="AY226" t="inlineStr">
        <is>
          <t>NA</t>
        </is>
      </c>
      <c r="AZ226" t="inlineStr">
        <is>
          <t>NA</t>
        </is>
      </c>
      <c r="BA226" t="n">
        <v>0</v>
      </c>
      <c r="BB226" t="inlineStr">
        <is>
          <t>21033e2ebedbe304dd2dde434593c8ff738d1318a8968d07635ae94e4c558b76</t>
        </is>
      </c>
    </row>
    <row r="227">
      <c r="A227" t="inlineStr">
        <is>
          <t>911</t>
        </is>
      </c>
      <c r="B227" t="inlineStr">
        <is>
          <t>7579323032</t>
        </is>
      </c>
      <c r="C227" t="inlineStr">
        <is>
          <t>2025-12-19 21:22:32</t>
        </is>
      </c>
      <c r="D227" t="inlineStr">
        <is>
          <t>51</t>
        </is>
      </c>
      <c r="E227" t="inlineStr">
        <is>
          <t>Sha Sha - Shandaar Shawarma</t>
        </is>
      </c>
      <c r="F227" t="inlineStr">
        <is>
          <t>18557902</t>
        </is>
      </c>
      <c r="G227" t="inlineStr">
        <is>
          <t>30% off upto ₹75 (2025-06-25 - 2031-01-01)</t>
        </is>
      </c>
      <c r="H227" t="inlineStr">
        <is>
          <t>ONLINE</t>
        </is>
      </c>
      <c r="I227" t="inlineStr">
        <is>
          <t>DELIVERED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O2</t>
        </is>
      </c>
      <c r="N227" t="inlineStr">
        <is>
          <t>36</t>
        </is>
      </c>
      <c r="O227" t="n">
        <v>976</v>
      </c>
      <c r="P227" t="n">
        <v>3.5</v>
      </c>
      <c r="Q227" t="n">
        <v>0</v>
      </c>
      <c r="R227" t="n">
        <v>75</v>
      </c>
      <c r="S227" t="n">
        <v>0</v>
      </c>
      <c r="T227" t="n">
        <v>0</v>
      </c>
      <c r="U227" t="n">
        <v>0</v>
      </c>
      <c r="V227" t="n">
        <v>45.23</v>
      </c>
      <c r="W227" t="n">
        <v>949.73</v>
      </c>
      <c r="X227" t="n">
        <v>904.5</v>
      </c>
      <c r="Y227" t="n">
        <v>19</v>
      </c>
      <c r="Z227" t="n">
        <v>171.86</v>
      </c>
      <c r="AA227" t="n">
        <v>17.48</v>
      </c>
      <c r="AB227" t="n">
        <v>189.34</v>
      </c>
      <c r="AC227" t="n">
        <v>34.08</v>
      </c>
      <c r="AD227" t="n">
        <v>0</v>
      </c>
      <c r="AE227" t="n">
        <v>904.5</v>
      </c>
      <c r="AF227" t="n">
        <v>0</v>
      </c>
      <c r="AG227" t="n">
        <v>0</v>
      </c>
      <c r="AH227" t="n">
        <v>0.9</v>
      </c>
      <c r="AI227" t="n">
        <v>45.23</v>
      </c>
      <c r="AJ227" t="n">
        <v>0</v>
      </c>
      <c r="AK227" t="n">
        <v>80.20999999999999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269.55</v>
      </c>
      <c r="AV227" t="n">
        <v>0</v>
      </c>
      <c r="AW227" t="n">
        <v>680.1799999999999</v>
      </c>
      <c r="AX227" t="inlineStr">
        <is>
          <t>settled</t>
        </is>
      </c>
      <c r="AY227" t="inlineStr">
        <is>
          <t>NA</t>
        </is>
      </c>
      <c r="AZ227" t="inlineStr">
        <is>
          <t>NA</t>
        </is>
      </c>
      <c r="BA227" t="n">
        <v>0</v>
      </c>
      <c r="BB227" t="inlineStr">
        <is>
          <t>2a86afebca4dde8e678736bb45d2eedb0f64a40642b0c79288a8fce39a76ff9d</t>
        </is>
      </c>
    </row>
    <row r="228">
      <c r="A228" t="inlineStr">
        <is>
          <t>912</t>
        </is>
      </c>
      <c r="B228" t="inlineStr">
        <is>
          <t>7585346433</t>
        </is>
      </c>
      <c r="C228" t="inlineStr">
        <is>
          <t>2025-12-19 21:35:26</t>
        </is>
      </c>
      <c r="D228" t="inlineStr">
        <is>
          <t>51</t>
        </is>
      </c>
      <c r="E228" t="inlineStr">
        <is>
          <t>Sha Sha - Shandaar Shawarma</t>
        </is>
      </c>
      <c r="F228" t="inlineStr">
        <is>
          <t>18557902</t>
        </is>
      </c>
      <c r="G228" t="inlineStr">
        <is>
          <t>NA</t>
        </is>
      </c>
      <c r="H228" t="inlineStr">
        <is>
          <t>ONLINE</t>
        </is>
      </c>
      <c r="I228" t="inlineStr">
        <is>
          <t>DELIVERED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O2</t>
        </is>
      </c>
      <c r="N228" t="inlineStr">
        <is>
          <t>36</t>
        </is>
      </c>
      <c r="O228" t="n">
        <v>229</v>
      </c>
      <c r="P228" t="n">
        <v>3.5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11.63</v>
      </c>
      <c r="W228" t="n">
        <v>244.13</v>
      </c>
      <c r="X228" t="n">
        <v>232.5</v>
      </c>
      <c r="Y228" t="n">
        <v>19</v>
      </c>
      <c r="Z228" t="n">
        <v>44.18</v>
      </c>
      <c r="AA228" t="n">
        <v>4.49</v>
      </c>
      <c r="AB228" t="n">
        <v>48.67</v>
      </c>
      <c r="AC228" t="n">
        <v>8.76</v>
      </c>
      <c r="AD228" t="n">
        <v>0</v>
      </c>
      <c r="AE228" t="n">
        <v>232.5</v>
      </c>
      <c r="AF228" t="n">
        <v>0</v>
      </c>
      <c r="AG228" t="n">
        <v>0</v>
      </c>
      <c r="AH228" t="n">
        <v>0.23</v>
      </c>
      <c r="AI228" t="n">
        <v>11.63</v>
      </c>
      <c r="AJ228" t="n">
        <v>0</v>
      </c>
      <c r="AK228" t="n">
        <v>20.62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69.29000000000001</v>
      </c>
      <c r="AV228" t="n">
        <v>0</v>
      </c>
      <c r="AW228" t="n">
        <v>174.84</v>
      </c>
      <c r="AX228" t="inlineStr">
        <is>
          <t>settled</t>
        </is>
      </c>
      <c r="AY228" t="inlineStr">
        <is>
          <t>NA</t>
        </is>
      </c>
      <c r="AZ228" t="inlineStr">
        <is>
          <t>NA</t>
        </is>
      </c>
      <c r="BA228" t="n">
        <v>0</v>
      </c>
      <c r="BB228" t="inlineStr">
        <is>
          <t>5498a579f789ebdba044a2025c2b1bb373aa372d9f1f932891d5a05f99cadf47</t>
        </is>
      </c>
    </row>
    <row r="229">
      <c r="A229" t="inlineStr">
        <is>
          <t>913</t>
        </is>
      </c>
      <c r="B229" t="inlineStr">
        <is>
          <t>7594021260</t>
        </is>
      </c>
      <c r="C229" t="inlineStr">
        <is>
          <t>2025-12-19 21:44:00</t>
        </is>
      </c>
      <c r="D229" t="inlineStr">
        <is>
          <t>51</t>
        </is>
      </c>
      <c r="E229" t="inlineStr">
        <is>
          <t>Sha Sha - Shandaar Shawarma</t>
        </is>
      </c>
      <c r="F229" t="inlineStr">
        <is>
          <t>18557902</t>
        </is>
      </c>
      <c r="G229" t="inlineStr">
        <is>
          <t>30% off upto ₹75 (2025-06-25 - 2031-01-01)</t>
        </is>
      </c>
      <c r="H229" t="inlineStr">
        <is>
          <t>ONLINE</t>
        </is>
      </c>
      <c r="I229" t="inlineStr">
        <is>
          <t>DELIVERED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O2</t>
        </is>
      </c>
      <c r="N229" t="inlineStr">
        <is>
          <t>36</t>
        </is>
      </c>
      <c r="O229" t="n">
        <v>219</v>
      </c>
      <c r="P229" t="n">
        <v>3.5</v>
      </c>
      <c r="Q229" t="n">
        <v>0</v>
      </c>
      <c r="R229" t="n">
        <v>65.7</v>
      </c>
      <c r="S229" t="n">
        <v>0</v>
      </c>
      <c r="T229" t="n">
        <v>0</v>
      </c>
      <c r="U229" t="n">
        <v>0</v>
      </c>
      <c r="V229" t="n">
        <v>7.84</v>
      </c>
      <c r="W229" t="n">
        <v>164.64</v>
      </c>
      <c r="X229" t="n">
        <v>156.8</v>
      </c>
      <c r="Y229" t="n">
        <v>19</v>
      </c>
      <c r="Z229" t="n">
        <v>29.79</v>
      </c>
      <c r="AA229" t="n">
        <v>3.03</v>
      </c>
      <c r="AB229" t="n">
        <v>32.82</v>
      </c>
      <c r="AC229" t="n">
        <v>5.91</v>
      </c>
      <c r="AD229" t="n">
        <v>0</v>
      </c>
      <c r="AE229" t="n">
        <v>156.8</v>
      </c>
      <c r="AF229" t="n">
        <v>0</v>
      </c>
      <c r="AG229" t="n">
        <v>0</v>
      </c>
      <c r="AH229" t="n">
        <v>0.16</v>
      </c>
      <c r="AI229" t="n">
        <v>7.85</v>
      </c>
      <c r="AJ229" t="n">
        <v>-0.01</v>
      </c>
      <c r="AK229" t="n">
        <v>13.92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46.74</v>
      </c>
      <c r="AV229" t="n">
        <v>0</v>
      </c>
      <c r="AW229" t="n">
        <v>117.9</v>
      </c>
      <c r="AX229" t="inlineStr">
        <is>
          <t>settled</t>
        </is>
      </c>
      <c r="AY229" t="inlineStr">
        <is>
          <t>NA</t>
        </is>
      </c>
      <c r="AZ229" t="inlineStr">
        <is>
          <t>NA</t>
        </is>
      </c>
      <c r="BA229" t="n">
        <v>0</v>
      </c>
      <c r="BB229" t="inlineStr">
        <is>
          <t>9bc887efec1fb784b74bf33c748e64a145a5bd01f1e685c74697bc7d24620c27</t>
        </is>
      </c>
    </row>
    <row r="230">
      <c r="A230" t="inlineStr">
        <is>
          <t>914</t>
        </is>
      </c>
      <c r="B230" t="inlineStr">
        <is>
          <t>7595961232</t>
        </is>
      </c>
      <c r="C230" t="inlineStr">
        <is>
          <t>2025-12-19 22:01:46</t>
        </is>
      </c>
      <c r="D230" t="inlineStr">
        <is>
          <t>51</t>
        </is>
      </c>
      <c r="E230" t="inlineStr">
        <is>
          <t>Sha Sha - Shandaar Shawarma</t>
        </is>
      </c>
      <c r="F230" t="inlineStr">
        <is>
          <t>18557902</t>
        </is>
      </c>
      <c r="G230" t="inlineStr">
        <is>
          <t>30% off upto ₹75 (2025-06-25 - 2031-01-01)</t>
        </is>
      </c>
      <c r="H230" t="inlineStr">
        <is>
          <t>ONLINE</t>
        </is>
      </c>
      <c r="I230" t="inlineStr">
        <is>
          <t>DELIVERED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O2</t>
        </is>
      </c>
      <c r="N230" t="inlineStr">
        <is>
          <t>36</t>
        </is>
      </c>
      <c r="O230" t="n">
        <v>355</v>
      </c>
      <c r="P230" t="n">
        <v>3.5</v>
      </c>
      <c r="Q230" t="n">
        <v>0</v>
      </c>
      <c r="R230" t="n">
        <v>75</v>
      </c>
      <c r="S230" t="n">
        <v>0</v>
      </c>
      <c r="T230" t="n">
        <v>0</v>
      </c>
      <c r="U230" t="n">
        <v>0</v>
      </c>
      <c r="V230" t="n">
        <v>14.18</v>
      </c>
      <c r="W230" t="n">
        <v>297.68</v>
      </c>
      <c r="X230" t="n">
        <v>283.5</v>
      </c>
      <c r="Y230" t="n">
        <v>19</v>
      </c>
      <c r="Z230" t="n">
        <v>53.86</v>
      </c>
      <c r="AA230" t="n">
        <v>5.48</v>
      </c>
      <c r="AB230" t="n">
        <v>59.34</v>
      </c>
      <c r="AC230" t="n">
        <v>10.68</v>
      </c>
      <c r="AD230" t="n">
        <v>0</v>
      </c>
      <c r="AE230" t="n">
        <v>283.5</v>
      </c>
      <c r="AF230" t="n">
        <v>0</v>
      </c>
      <c r="AG230" t="n">
        <v>0</v>
      </c>
      <c r="AH230" t="n">
        <v>0.28</v>
      </c>
      <c r="AI230" t="n">
        <v>14.18</v>
      </c>
      <c r="AJ230" t="n">
        <v>0</v>
      </c>
      <c r="AK230" t="n">
        <v>25.14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84.48</v>
      </c>
      <c r="AV230" t="n">
        <v>0</v>
      </c>
      <c r="AW230" t="n">
        <v>213.2</v>
      </c>
      <c r="AX230" t="inlineStr">
        <is>
          <t>settled</t>
        </is>
      </c>
      <c r="AY230" t="inlineStr">
        <is>
          <t>NA</t>
        </is>
      </c>
      <c r="AZ230" t="inlineStr">
        <is>
          <t>NA</t>
        </is>
      </c>
      <c r="BA230" t="n">
        <v>0</v>
      </c>
      <c r="BB230" t="inlineStr">
        <is>
          <t>95f19b09d3392be66e781bb44c224b3daad6214889267ce1c9c4e88d7de59868</t>
        </is>
      </c>
    </row>
    <row r="231">
      <c r="A231" t="inlineStr">
        <is>
          <t>915</t>
        </is>
      </c>
      <c r="B231" t="inlineStr">
        <is>
          <t>7599427310</t>
        </is>
      </c>
      <c r="C231" t="inlineStr">
        <is>
          <t>2025-12-19 22:04:15</t>
        </is>
      </c>
      <c r="D231" t="inlineStr">
        <is>
          <t>51</t>
        </is>
      </c>
      <c r="E231" t="inlineStr">
        <is>
          <t>Sha Sha - Shandaar Shawarma</t>
        </is>
      </c>
      <c r="F231" t="inlineStr">
        <is>
          <t>18557902</t>
        </is>
      </c>
      <c r="G231" t="inlineStr">
        <is>
          <t>30% off upto ₹75 (2025-06-25 - 2031-01-01)</t>
        </is>
      </c>
      <c r="H231" t="inlineStr">
        <is>
          <t>ONLINE</t>
        </is>
      </c>
      <c r="I231" t="inlineStr">
        <is>
          <t>DELIVERED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O2</t>
        </is>
      </c>
      <c r="N231" t="inlineStr">
        <is>
          <t>36</t>
        </is>
      </c>
      <c r="O231" t="n">
        <v>229</v>
      </c>
      <c r="P231" t="n">
        <v>3.5</v>
      </c>
      <c r="Q231" t="n">
        <v>0</v>
      </c>
      <c r="R231" t="n">
        <v>68.7</v>
      </c>
      <c r="S231" t="n">
        <v>0</v>
      </c>
      <c r="T231" t="n">
        <v>0</v>
      </c>
      <c r="U231" t="n">
        <v>0</v>
      </c>
      <c r="V231" t="n">
        <v>8.19</v>
      </c>
      <c r="W231" t="n">
        <v>171.99</v>
      </c>
      <c r="X231" t="n">
        <v>163.8</v>
      </c>
      <c r="Y231" t="n">
        <v>19</v>
      </c>
      <c r="Z231" t="n">
        <v>31.12</v>
      </c>
      <c r="AA231" t="n">
        <v>3.16</v>
      </c>
      <c r="AB231" t="n">
        <v>34.28</v>
      </c>
      <c r="AC231" t="n">
        <v>6.17</v>
      </c>
      <c r="AD231" t="n">
        <v>0</v>
      </c>
      <c r="AE231" t="n">
        <v>163.8</v>
      </c>
      <c r="AF231" t="n">
        <v>0</v>
      </c>
      <c r="AG231" t="n">
        <v>0</v>
      </c>
      <c r="AH231" t="n">
        <v>0.16</v>
      </c>
      <c r="AI231" t="n">
        <v>8.199999999999999</v>
      </c>
      <c r="AJ231" t="n">
        <v>-0.01</v>
      </c>
      <c r="AK231" t="n">
        <v>14.53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48.81</v>
      </c>
      <c r="AV231" t="n">
        <v>0</v>
      </c>
      <c r="AW231" t="n">
        <v>123.18</v>
      </c>
      <c r="AX231" t="inlineStr">
        <is>
          <t>settled</t>
        </is>
      </c>
      <c r="AY231" t="inlineStr">
        <is>
          <t>NA</t>
        </is>
      </c>
      <c r="AZ231" t="inlineStr">
        <is>
          <t>NA</t>
        </is>
      </c>
      <c r="BA231" t="n">
        <v>0</v>
      </c>
      <c r="BB231" t="inlineStr">
        <is>
          <t>323a0d48c598842e261805eca1b11778ad251b62cc6bc0948eee21598962e351</t>
        </is>
      </c>
    </row>
    <row r="232">
      <c r="A232" t="inlineStr">
        <is>
          <t>916</t>
        </is>
      </c>
      <c r="B232" t="inlineStr">
        <is>
          <t>7588417550</t>
        </is>
      </c>
      <c r="C232" t="inlineStr">
        <is>
          <t>2025-12-19 22:04:25</t>
        </is>
      </c>
      <c r="D232" t="inlineStr">
        <is>
          <t>51</t>
        </is>
      </c>
      <c r="E232" t="inlineStr">
        <is>
          <t>Sha Sha - Shandaar Shawarma</t>
        </is>
      </c>
      <c r="F232" t="inlineStr">
        <is>
          <t>18557902</t>
        </is>
      </c>
      <c r="G232" t="inlineStr">
        <is>
          <t>30% off upto ₹75 (2025-06-25 - 2031-01-01)</t>
        </is>
      </c>
      <c r="H232" t="inlineStr">
        <is>
          <t>ONLINE</t>
        </is>
      </c>
      <c r="I232" t="inlineStr">
        <is>
          <t>DELIVERED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O2</t>
        </is>
      </c>
      <c r="N232" t="inlineStr">
        <is>
          <t>36</t>
        </is>
      </c>
      <c r="O232" t="n">
        <v>229</v>
      </c>
      <c r="P232" t="n">
        <v>3.5</v>
      </c>
      <c r="Q232" t="n">
        <v>0</v>
      </c>
      <c r="R232" t="n">
        <v>68.7</v>
      </c>
      <c r="S232" t="n">
        <v>0</v>
      </c>
      <c r="T232" t="n">
        <v>0</v>
      </c>
      <c r="U232" t="n">
        <v>0</v>
      </c>
      <c r="V232" t="n">
        <v>8.19</v>
      </c>
      <c r="W232" t="n">
        <v>171.99</v>
      </c>
      <c r="X232" t="n">
        <v>163.8</v>
      </c>
      <c r="Y232" t="n">
        <v>19</v>
      </c>
      <c r="Z232" t="n">
        <v>31.12</v>
      </c>
      <c r="AA232" t="n">
        <v>3.16</v>
      </c>
      <c r="AB232" t="n">
        <v>34.28</v>
      </c>
      <c r="AC232" t="n">
        <v>6.17</v>
      </c>
      <c r="AD232" t="n">
        <v>0</v>
      </c>
      <c r="AE232" t="n">
        <v>163.8</v>
      </c>
      <c r="AF232" t="n">
        <v>0</v>
      </c>
      <c r="AG232" t="n">
        <v>0</v>
      </c>
      <c r="AH232" t="n">
        <v>0.16</v>
      </c>
      <c r="AI232" t="n">
        <v>8.199999999999999</v>
      </c>
      <c r="AJ232" t="n">
        <v>-0.01</v>
      </c>
      <c r="AK232" t="n">
        <v>14.53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48.81</v>
      </c>
      <c r="AV232" t="n">
        <v>0</v>
      </c>
      <c r="AW232" t="n">
        <v>123.18</v>
      </c>
      <c r="AX232" t="inlineStr">
        <is>
          <t>settled</t>
        </is>
      </c>
      <c r="AY232" t="inlineStr">
        <is>
          <t>NA</t>
        </is>
      </c>
      <c r="AZ232" t="inlineStr">
        <is>
          <t>NA</t>
        </is>
      </c>
      <c r="BA232" t="n">
        <v>0</v>
      </c>
      <c r="BB232" t="inlineStr">
        <is>
          <t>5dc22ad59323026a06ce124e00e0d720f2404d2315f8654a6ce17bc7f9c34ac8</t>
        </is>
      </c>
    </row>
    <row r="233">
      <c r="A233" t="inlineStr">
        <is>
          <t>917</t>
        </is>
      </c>
      <c r="B233" t="inlineStr">
        <is>
          <t>7597946734</t>
        </is>
      </c>
      <c r="C233" t="inlineStr">
        <is>
          <t>2025-12-19 22:09:57</t>
        </is>
      </c>
      <c r="D233" t="inlineStr">
        <is>
          <t>51</t>
        </is>
      </c>
      <c r="E233" t="inlineStr">
        <is>
          <t>Sha Sha - Shandaar Shawarma</t>
        </is>
      </c>
      <c r="F233" t="inlineStr">
        <is>
          <t>18557902</t>
        </is>
      </c>
      <c r="G233" t="inlineStr">
        <is>
          <t>30% off upto ₹75 (2025-06-25 - 2031-01-01)</t>
        </is>
      </c>
      <c r="H233" t="inlineStr">
        <is>
          <t>ONLINE</t>
        </is>
      </c>
      <c r="I233" t="inlineStr">
        <is>
          <t>DELIVERED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O2</t>
        </is>
      </c>
      <c r="N233" t="inlineStr">
        <is>
          <t>36</t>
        </is>
      </c>
      <c r="O233" t="n">
        <v>219</v>
      </c>
      <c r="P233" t="n">
        <v>3.5</v>
      </c>
      <c r="Q233" t="n">
        <v>0</v>
      </c>
      <c r="R233" t="n">
        <v>65.7</v>
      </c>
      <c r="S233" t="n">
        <v>0</v>
      </c>
      <c r="T233" t="n">
        <v>0</v>
      </c>
      <c r="U233" t="n">
        <v>0</v>
      </c>
      <c r="V233" t="n">
        <v>7.84</v>
      </c>
      <c r="W233" t="n">
        <v>164.64</v>
      </c>
      <c r="X233" t="n">
        <v>156.8</v>
      </c>
      <c r="Y233" t="n">
        <v>19</v>
      </c>
      <c r="Z233" t="n">
        <v>29.79</v>
      </c>
      <c r="AA233" t="n">
        <v>3.03</v>
      </c>
      <c r="AB233" t="n">
        <v>32.82</v>
      </c>
      <c r="AC233" t="n">
        <v>5.91</v>
      </c>
      <c r="AD233" t="n">
        <v>0</v>
      </c>
      <c r="AE233" t="n">
        <v>156.8</v>
      </c>
      <c r="AF233" t="n">
        <v>0</v>
      </c>
      <c r="AG233" t="n">
        <v>0</v>
      </c>
      <c r="AH233" t="n">
        <v>0.16</v>
      </c>
      <c r="AI233" t="n">
        <v>7.85</v>
      </c>
      <c r="AJ233" t="n">
        <v>-0.01</v>
      </c>
      <c r="AK233" t="n">
        <v>13.92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46.74</v>
      </c>
      <c r="AV233" t="n">
        <v>0</v>
      </c>
      <c r="AW233" t="n">
        <v>117.9</v>
      </c>
      <c r="AX233" t="inlineStr">
        <is>
          <t>settled</t>
        </is>
      </c>
      <c r="AY233" t="inlineStr">
        <is>
          <t>NA</t>
        </is>
      </c>
      <c r="AZ233" t="inlineStr">
        <is>
          <t>NA</t>
        </is>
      </c>
      <c r="BA233" t="n">
        <v>0</v>
      </c>
      <c r="BB233" t="inlineStr">
        <is>
          <t>768375edb996c145e65c609ecfa676a68346d4f6047d29a4a42feecf0c643409</t>
        </is>
      </c>
    </row>
    <row r="234">
      <c r="A234" t="inlineStr">
        <is>
          <t>918</t>
        </is>
      </c>
      <c r="B234" t="inlineStr">
        <is>
          <t>7600654875</t>
        </is>
      </c>
      <c r="C234" t="inlineStr">
        <is>
          <t>2025-12-19 22:20:24</t>
        </is>
      </c>
      <c r="D234" t="inlineStr">
        <is>
          <t>51</t>
        </is>
      </c>
      <c r="E234" t="inlineStr">
        <is>
          <t>Sha Sha - Shandaar Shawarma</t>
        </is>
      </c>
      <c r="F234" t="inlineStr">
        <is>
          <t>18557902</t>
        </is>
      </c>
      <c r="G234" t="inlineStr">
        <is>
          <t>NA</t>
        </is>
      </c>
      <c r="H234" t="inlineStr">
        <is>
          <t>ONLINE</t>
        </is>
      </c>
      <c r="I234" t="inlineStr">
        <is>
          <t>DELIVERED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O2</t>
        </is>
      </c>
      <c r="N234" t="inlineStr">
        <is>
          <t>36</t>
        </is>
      </c>
      <c r="O234" t="n">
        <v>219</v>
      </c>
      <c r="P234" t="n">
        <v>3.5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11.13</v>
      </c>
      <c r="W234" t="n">
        <v>233.63</v>
      </c>
      <c r="X234" t="n">
        <v>222.5</v>
      </c>
      <c r="Y234" t="n">
        <v>19</v>
      </c>
      <c r="Z234" t="n">
        <v>42.28</v>
      </c>
      <c r="AA234" t="n">
        <v>4.3</v>
      </c>
      <c r="AB234" t="n">
        <v>46.58</v>
      </c>
      <c r="AC234" t="n">
        <v>8.380000000000001</v>
      </c>
      <c r="AD234" t="n">
        <v>0</v>
      </c>
      <c r="AE234" t="n">
        <v>222.5</v>
      </c>
      <c r="AF234" t="n">
        <v>0</v>
      </c>
      <c r="AG234" t="n">
        <v>0</v>
      </c>
      <c r="AH234" t="n">
        <v>0.22</v>
      </c>
      <c r="AI234" t="n">
        <v>11.13</v>
      </c>
      <c r="AJ234" t="n">
        <v>0</v>
      </c>
      <c r="AK234" t="n">
        <v>19.73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66.31</v>
      </c>
      <c r="AV234" t="n">
        <v>0</v>
      </c>
      <c r="AW234" t="n">
        <v>167.32</v>
      </c>
      <c r="AX234" t="inlineStr">
        <is>
          <t>settled</t>
        </is>
      </c>
      <c r="AY234" t="inlineStr">
        <is>
          <t>NA</t>
        </is>
      </c>
      <c r="AZ234" t="inlineStr">
        <is>
          <t>NA</t>
        </is>
      </c>
      <c r="BA234" t="n">
        <v>0</v>
      </c>
      <c r="BB234" t="inlineStr">
        <is>
          <t>7cac64679dc940db72216f80fbf6ac72a7988100d5ad6e2b57297fab5ac2b522</t>
        </is>
      </c>
    </row>
    <row r="235">
      <c r="A235" t="inlineStr">
        <is>
          <t>919</t>
        </is>
      </c>
      <c r="B235" t="inlineStr">
        <is>
          <t>7599581362</t>
        </is>
      </c>
      <c r="C235" t="inlineStr">
        <is>
          <t>2025-12-19 22:21:11</t>
        </is>
      </c>
      <c r="D235" t="inlineStr">
        <is>
          <t>51</t>
        </is>
      </c>
      <c r="E235" t="inlineStr">
        <is>
          <t>Sha Sha - Shandaar Shawarma</t>
        </is>
      </c>
      <c r="F235" t="inlineStr">
        <is>
          <t>18557902</t>
        </is>
      </c>
      <c r="G235" t="inlineStr">
        <is>
          <t>30% off upto ₹75 (2025-06-25 - 2031-01-01)</t>
        </is>
      </c>
      <c r="H235" t="inlineStr">
        <is>
          <t>ONLINE</t>
        </is>
      </c>
      <c r="I235" t="inlineStr">
        <is>
          <t>DELIVERED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O2</t>
        </is>
      </c>
      <c r="N235" t="inlineStr">
        <is>
          <t>36</t>
        </is>
      </c>
      <c r="O235" t="n">
        <v>229</v>
      </c>
      <c r="P235" t="n">
        <v>3.5</v>
      </c>
      <c r="Q235" t="n">
        <v>0</v>
      </c>
      <c r="R235" t="n">
        <v>68.7</v>
      </c>
      <c r="S235" t="n">
        <v>0</v>
      </c>
      <c r="T235" t="n">
        <v>0</v>
      </c>
      <c r="U235" t="n">
        <v>0</v>
      </c>
      <c r="V235" t="n">
        <v>8.19</v>
      </c>
      <c r="W235" t="n">
        <v>171.99</v>
      </c>
      <c r="X235" t="n">
        <v>163.8</v>
      </c>
      <c r="Y235" t="n">
        <v>19</v>
      </c>
      <c r="Z235" t="n">
        <v>31.12</v>
      </c>
      <c r="AA235" t="n">
        <v>3.16</v>
      </c>
      <c r="AB235" t="n">
        <v>34.28</v>
      </c>
      <c r="AC235" t="n">
        <v>6.17</v>
      </c>
      <c r="AD235" t="n">
        <v>0</v>
      </c>
      <c r="AE235" t="n">
        <v>163.8</v>
      </c>
      <c r="AF235" t="n">
        <v>0</v>
      </c>
      <c r="AG235" t="n">
        <v>0</v>
      </c>
      <c r="AH235" t="n">
        <v>0.16</v>
      </c>
      <c r="AI235" t="n">
        <v>8.199999999999999</v>
      </c>
      <c r="AJ235" t="n">
        <v>-0.01</v>
      </c>
      <c r="AK235" t="n">
        <v>14.53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48.81</v>
      </c>
      <c r="AV235" t="n">
        <v>0</v>
      </c>
      <c r="AW235" t="n">
        <v>123.18</v>
      </c>
      <c r="AX235" t="inlineStr">
        <is>
          <t>settled</t>
        </is>
      </c>
      <c r="AY235" t="inlineStr">
        <is>
          <t>NA</t>
        </is>
      </c>
      <c r="AZ235" t="inlineStr">
        <is>
          <t>NA</t>
        </is>
      </c>
      <c r="BA235" t="n">
        <v>0</v>
      </c>
      <c r="BB235" t="inlineStr">
        <is>
          <t>fe8d3f91e8daeea172b1b64411a6eee2e45a748f67a0f17820e05681d373c607</t>
        </is>
      </c>
    </row>
    <row r="236">
      <c r="A236" t="inlineStr">
        <is>
          <t>920</t>
        </is>
      </c>
      <c r="B236" t="inlineStr">
        <is>
          <t>7589156965</t>
        </is>
      </c>
      <c r="C236" t="inlineStr">
        <is>
          <t>2025-12-19 22:43:08</t>
        </is>
      </c>
      <c r="D236" t="inlineStr">
        <is>
          <t>51</t>
        </is>
      </c>
      <c r="E236" t="inlineStr">
        <is>
          <t>Sha Sha - Shandaar Shawarma</t>
        </is>
      </c>
      <c r="F236" t="inlineStr">
        <is>
          <t>18557902</t>
        </is>
      </c>
      <c r="G236" t="inlineStr">
        <is>
          <t>30% off upto ₹75 (2025-06-25 - 2031-01-01)</t>
        </is>
      </c>
      <c r="H236" t="inlineStr">
        <is>
          <t>ONLINE</t>
        </is>
      </c>
      <c r="I236" t="inlineStr">
        <is>
          <t>DELIVERED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O2</t>
        </is>
      </c>
      <c r="N236" t="inlineStr">
        <is>
          <t>36</t>
        </is>
      </c>
      <c r="O236" t="n">
        <v>229</v>
      </c>
      <c r="P236" t="n">
        <v>3.5</v>
      </c>
      <c r="Q236" t="n">
        <v>0</v>
      </c>
      <c r="R236" t="n">
        <v>68.7</v>
      </c>
      <c r="S236" t="n">
        <v>0</v>
      </c>
      <c r="T236" t="n">
        <v>0</v>
      </c>
      <c r="U236" t="n">
        <v>0</v>
      </c>
      <c r="V236" t="n">
        <v>8.19</v>
      </c>
      <c r="W236" t="n">
        <v>171.99</v>
      </c>
      <c r="X236" t="n">
        <v>163.8</v>
      </c>
      <c r="Y236" t="n">
        <v>19</v>
      </c>
      <c r="Z236" t="n">
        <v>31.12</v>
      </c>
      <c r="AA236" t="n">
        <v>3.16</v>
      </c>
      <c r="AB236" t="n">
        <v>34.28</v>
      </c>
      <c r="AC236" t="n">
        <v>6.17</v>
      </c>
      <c r="AD236" t="n">
        <v>0</v>
      </c>
      <c r="AE236" t="n">
        <v>163.8</v>
      </c>
      <c r="AF236" t="n">
        <v>0</v>
      </c>
      <c r="AG236" t="n">
        <v>0</v>
      </c>
      <c r="AH236" t="n">
        <v>0.16</v>
      </c>
      <c r="AI236" t="n">
        <v>8.199999999999999</v>
      </c>
      <c r="AJ236" t="n">
        <v>-0.01</v>
      </c>
      <c r="AK236" t="n">
        <v>14.53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48.81</v>
      </c>
      <c r="AV236" t="n">
        <v>0</v>
      </c>
      <c r="AW236" t="n">
        <v>123.18</v>
      </c>
      <c r="AX236" t="inlineStr">
        <is>
          <t>settled</t>
        </is>
      </c>
      <c r="AY236" t="inlineStr">
        <is>
          <t>NA</t>
        </is>
      </c>
      <c r="AZ236" t="inlineStr">
        <is>
          <t>NA</t>
        </is>
      </c>
      <c r="BA236" t="n">
        <v>0</v>
      </c>
      <c r="BB236" t="inlineStr">
        <is>
          <t>39b9a606109606826c9fccd2b92e8ca982c85f1c7eb57a9e5d8331ebfc700f4c</t>
        </is>
      </c>
    </row>
    <row r="237">
      <c r="A237" t="inlineStr">
        <is>
          <t>921</t>
        </is>
      </c>
      <c r="B237" t="inlineStr">
        <is>
          <t>7600299113</t>
        </is>
      </c>
      <c r="C237" t="inlineStr">
        <is>
          <t>2025-12-19 22:44:21</t>
        </is>
      </c>
      <c r="D237" t="inlineStr">
        <is>
          <t>51</t>
        </is>
      </c>
      <c r="E237" t="inlineStr">
        <is>
          <t>Sha Sha - Shandaar Shawarma</t>
        </is>
      </c>
      <c r="F237" t="inlineStr">
        <is>
          <t>18557902</t>
        </is>
      </c>
      <c r="G237" t="inlineStr">
        <is>
          <t>30% off upto ₹75 (2025-06-25 - 2031-01-01)</t>
        </is>
      </c>
      <c r="H237" t="inlineStr">
        <is>
          <t>ONLINE</t>
        </is>
      </c>
      <c r="I237" t="inlineStr">
        <is>
          <t>DELIVERED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O2</t>
        </is>
      </c>
      <c r="N237" t="inlineStr">
        <is>
          <t>36</t>
        </is>
      </c>
      <c r="O237" t="n">
        <v>229</v>
      </c>
      <c r="P237" t="n">
        <v>3.5</v>
      </c>
      <c r="Q237" t="n">
        <v>0</v>
      </c>
      <c r="R237" t="n">
        <v>68.7</v>
      </c>
      <c r="S237" t="n">
        <v>0</v>
      </c>
      <c r="T237" t="n">
        <v>0</v>
      </c>
      <c r="U237" t="n">
        <v>0</v>
      </c>
      <c r="V237" t="n">
        <v>8.19</v>
      </c>
      <c r="W237" t="n">
        <v>171.99</v>
      </c>
      <c r="X237" t="n">
        <v>163.8</v>
      </c>
      <c r="Y237" t="n">
        <v>19</v>
      </c>
      <c r="Z237" t="n">
        <v>31.12</v>
      </c>
      <c r="AA237" t="n">
        <v>3.16</v>
      </c>
      <c r="AB237" t="n">
        <v>34.28</v>
      </c>
      <c r="AC237" t="n">
        <v>6.17</v>
      </c>
      <c r="AD237" t="n">
        <v>0</v>
      </c>
      <c r="AE237" t="n">
        <v>163.8</v>
      </c>
      <c r="AF237" t="n">
        <v>0</v>
      </c>
      <c r="AG237" t="n">
        <v>0</v>
      </c>
      <c r="AH237" t="n">
        <v>0.16</v>
      </c>
      <c r="AI237" t="n">
        <v>8.199999999999999</v>
      </c>
      <c r="AJ237" t="n">
        <v>-0.01</v>
      </c>
      <c r="AK237" t="n">
        <v>14.53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48.81</v>
      </c>
      <c r="AV237" t="n">
        <v>0</v>
      </c>
      <c r="AW237" t="n">
        <v>123.18</v>
      </c>
      <c r="AX237" t="inlineStr">
        <is>
          <t>settled</t>
        </is>
      </c>
      <c r="AY237" t="inlineStr">
        <is>
          <t>NA</t>
        </is>
      </c>
      <c r="AZ237" t="inlineStr">
        <is>
          <t>NA</t>
        </is>
      </c>
      <c r="BA237" t="n">
        <v>0</v>
      </c>
      <c r="BB237" t="inlineStr">
        <is>
          <t>1f7851a4315ac5c0aafd1866e40379128e2deab1177413fe2366cef93917dc62</t>
        </is>
      </c>
    </row>
    <row r="238">
      <c r="A238" t="inlineStr">
        <is>
          <t>922</t>
        </is>
      </c>
      <c r="B238" t="inlineStr">
        <is>
          <t>7594608255</t>
        </is>
      </c>
      <c r="C238" t="inlineStr">
        <is>
          <t>2025-12-19 22:51:17</t>
        </is>
      </c>
      <c r="D238" t="inlineStr">
        <is>
          <t>51</t>
        </is>
      </c>
      <c r="E238" t="inlineStr">
        <is>
          <t>Sha Sha - Shandaar Shawarma</t>
        </is>
      </c>
      <c r="F238" t="inlineStr">
        <is>
          <t>18557902</t>
        </is>
      </c>
      <c r="G238" t="inlineStr">
        <is>
          <t>30% off upto ₹75 (2025-06-25 - 2031-01-01)</t>
        </is>
      </c>
      <c r="H238" t="inlineStr">
        <is>
          <t>ONLINE</t>
        </is>
      </c>
      <c r="I238" t="inlineStr">
        <is>
          <t>DELIVERED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O2</t>
        </is>
      </c>
      <c r="N238" t="inlineStr">
        <is>
          <t>36</t>
        </is>
      </c>
      <c r="O238" t="n">
        <v>219</v>
      </c>
      <c r="P238" t="n">
        <v>3.5</v>
      </c>
      <c r="Q238" t="n">
        <v>0</v>
      </c>
      <c r="R238" t="n">
        <v>65.7</v>
      </c>
      <c r="S238" t="n">
        <v>0</v>
      </c>
      <c r="T238" t="n">
        <v>0</v>
      </c>
      <c r="U238" t="n">
        <v>0</v>
      </c>
      <c r="V238" t="n">
        <v>7.84</v>
      </c>
      <c r="W238" t="n">
        <v>164.64</v>
      </c>
      <c r="X238" t="n">
        <v>156.8</v>
      </c>
      <c r="Y238" t="n">
        <v>19</v>
      </c>
      <c r="Z238" t="n">
        <v>29.79</v>
      </c>
      <c r="AA238" t="n">
        <v>3.03</v>
      </c>
      <c r="AB238" t="n">
        <v>32.82</v>
      </c>
      <c r="AC238" t="n">
        <v>5.91</v>
      </c>
      <c r="AD238" t="n">
        <v>0</v>
      </c>
      <c r="AE238" t="n">
        <v>156.8</v>
      </c>
      <c r="AF238" t="n">
        <v>0</v>
      </c>
      <c r="AG238" t="n">
        <v>0</v>
      </c>
      <c r="AH238" t="n">
        <v>0.16</v>
      </c>
      <c r="AI238" t="n">
        <v>7.85</v>
      </c>
      <c r="AJ238" t="n">
        <v>-0.01</v>
      </c>
      <c r="AK238" t="n">
        <v>13.92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46.74</v>
      </c>
      <c r="AV238" t="n">
        <v>0</v>
      </c>
      <c r="AW238" t="n">
        <v>117.9</v>
      </c>
      <c r="AX238" t="inlineStr">
        <is>
          <t>settled</t>
        </is>
      </c>
      <c r="AY238" t="inlineStr">
        <is>
          <t>NA</t>
        </is>
      </c>
      <c r="AZ238" t="inlineStr">
        <is>
          <t>NA</t>
        </is>
      </c>
      <c r="BA238" t="n">
        <v>0</v>
      </c>
      <c r="BB238" t="inlineStr">
        <is>
          <t>3615bbab2ece159dec95f89aab443c45ec95dbd6cfa4d96f9cce32e8a91ecb4c</t>
        </is>
      </c>
    </row>
    <row r="239">
      <c r="A239" t="inlineStr">
        <is>
          <t>923</t>
        </is>
      </c>
      <c r="B239" t="inlineStr">
        <is>
          <t>7592279342</t>
        </is>
      </c>
      <c r="C239" t="inlineStr">
        <is>
          <t>2025-12-19 23:20:34</t>
        </is>
      </c>
      <c r="D239" t="inlineStr">
        <is>
          <t>51</t>
        </is>
      </c>
      <c r="E239" t="inlineStr">
        <is>
          <t>Sha Sha - Shandaar Shawarma</t>
        </is>
      </c>
      <c r="F239" t="inlineStr">
        <is>
          <t>18557902</t>
        </is>
      </c>
      <c r="G239" t="inlineStr">
        <is>
          <t>30% off upto ₹75 (2025-06-25 - 2031-01-01)</t>
        </is>
      </c>
      <c r="H239" t="inlineStr">
        <is>
          <t>ONLINE</t>
        </is>
      </c>
      <c r="I239" t="inlineStr">
        <is>
          <t>DELIVERED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O2</t>
        </is>
      </c>
      <c r="N239" t="inlineStr">
        <is>
          <t>36</t>
        </is>
      </c>
      <c r="O239" t="n">
        <v>219</v>
      </c>
      <c r="P239" t="n">
        <v>3.5</v>
      </c>
      <c r="Q239" t="n">
        <v>0</v>
      </c>
      <c r="R239" t="n">
        <v>65.7</v>
      </c>
      <c r="S239" t="n">
        <v>0</v>
      </c>
      <c r="T239" t="n">
        <v>0</v>
      </c>
      <c r="U239" t="n">
        <v>0</v>
      </c>
      <c r="V239" t="n">
        <v>7.84</v>
      </c>
      <c r="W239" t="n">
        <v>164.64</v>
      </c>
      <c r="X239" t="n">
        <v>156.8</v>
      </c>
      <c r="Y239" t="n">
        <v>19</v>
      </c>
      <c r="Z239" t="n">
        <v>29.79</v>
      </c>
      <c r="AA239" t="n">
        <v>3.03</v>
      </c>
      <c r="AB239" t="n">
        <v>32.82</v>
      </c>
      <c r="AC239" t="n">
        <v>5.91</v>
      </c>
      <c r="AD239" t="n">
        <v>0</v>
      </c>
      <c r="AE239" t="n">
        <v>156.8</v>
      </c>
      <c r="AF239" t="n">
        <v>0</v>
      </c>
      <c r="AG239" t="n">
        <v>0</v>
      </c>
      <c r="AH239" t="n">
        <v>0.16</v>
      </c>
      <c r="AI239" t="n">
        <v>7.85</v>
      </c>
      <c r="AJ239" t="n">
        <v>-0.01</v>
      </c>
      <c r="AK239" t="n">
        <v>13.92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46.74</v>
      </c>
      <c r="AV239" t="n">
        <v>0</v>
      </c>
      <c r="AW239" t="n">
        <v>117.9</v>
      </c>
      <c r="AX239" t="inlineStr">
        <is>
          <t>settled</t>
        </is>
      </c>
      <c r="AY239" t="inlineStr">
        <is>
          <t>NA</t>
        </is>
      </c>
      <c r="AZ239" t="inlineStr">
        <is>
          <t>NA</t>
        </is>
      </c>
      <c r="BA239" t="n">
        <v>0</v>
      </c>
      <c r="BB239" t="inlineStr">
        <is>
          <t>a65c3413ca25650d365f5437f341182661320a3075f485eefeb136fc9c17d79a</t>
        </is>
      </c>
    </row>
    <row r="240">
      <c r="A240" t="inlineStr">
        <is>
          <t>924</t>
        </is>
      </c>
      <c r="B240" t="inlineStr">
        <is>
          <t>7589192323</t>
        </is>
      </c>
      <c r="C240" t="inlineStr">
        <is>
          <t>2025-12-19 23:33:28</t>
        </is>
      </c>
      <c r="D240" t="inlineStr">
        <is>
          <t>51</t>
        </is>
      </c>
      <c r="E240" t="inlineStr">
        <is>
          <t>Sha Sha - Shandaar Shawarma</t>
        </is>
      </c>
      <c r="F240" t="inlineStr">
        <is>
          <t>18557902</t>
        </is>
      </c>
      <c r="G240" t="inlineStr">
        <is>
          <t>NA</t>
        </is>
      </c>
      <c r="H240" t="inlineStr">
        <is>
          <t>ONLINE</t>
        </is>
      </c>
      <c r="I240" t="inlineStr">
        <is>
          <t>DELIVERED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O2</t>
        </is>
      </c>
      <c r="N240" t="inlineStr">
        <is>
          <t>36</t>
        </is>
      </c>
      <c r="O240" t="n">
        <v>219</v>
      </c>
      <c r="P240" t="n">
        <v>3.5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11.13</v>
      </c>
      <c r="W240" t="n">
        <v>233.63</v>
      </c>
      <c r="X240" t="n">
        <v>222.5</v>
      </c>
      <c r="Y240" t="n">
        <v>19</v>
      </c>
      <c r="Z240" t="n">
        <v>42.28</v>
      </c>
      <c r="AA240" t="n">
        <v>4.3</v>
      </c>
      <c r="AB240" t="n">
        <v>46.58</v>
      </c>
      <c r="AC240" t="n">
        <v>8.380000000000001</v>
      </c>
      <c r="AD240" t="n">
        <v>0</v>
      </c>
      <c r="AE240" t="n">
        <v>222.5</v>
      </c>
      <c r="AF240" t="n">
        <v>0</v>
      </c>
      <c r="AG240" t="n">
        <v>0</v>
      </c>
      <c r="AH240" t="n">
        <v>0.22</v>
      </c>
      <c r="AI240" t="n">
        <v>11.13</v>
      </c>
      <c r="AJ240" t="n">
        <v>0</v>
      </c>
      <c r="AK240" t="n">
        <v>19.73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66.31</v>
      </c>
      <c r="AV240" t="n">
        <v>0</v>
      </c>
      <c r="AW240" t="n">
        <v>167.32</v>
      </c>
      <c r="AX240" t="inlineStr">
        <is>
          <t>settled</t>
        </is>
      </c>
      <c r="AY240" t="inlineStr">
        <is>
          <t>NA</t>
        </is>
      </c>
      <c r="AZ240" t="inlineStr">
        <is>
          <t>NA</t>
        </is>
      </c>
      <c r="BA240" t="n">
        <v>0</v>
      </c>
      <c r="BB240" t="inlineStr">
        <is>
          <t>a4b597ee8467ce75514c1847850a6929d89b5020a91b8e1755a86c09c853fc4a</t>
        </is>
      </c>
    </row>
    <row r="241">
      <c r="A241" t="inlineStr">
        <is>
          <t>925</t>
        </is>
      </c>
      <c r="B241" t="inlineStr">
        <is>
          <t>7598470610</t>
        </is>
      </c>
      <c r="C241" t="inlineStr">
        <is>
          <t>2025-12-19 23:52:50</t>
        </is>
      </c>
      <c r="D241" t="inlineStr">
        <is>
          <t>51</t>
        </is>
      </c>
      <c r="E241" t="inlineStr">
        <is>
          <t>Sha Sha - Shandaar Shawarma</t>
        </is>
      </c>
      <c r="F241" t="inlineStr">
        <is>
          <t>18557902</t>
        </is>
      </c>
      <c r="G241" t="inlineStr">
        <is>
          <t>30% off upto ₹75 (2025-06-25 - 2031-01-01)</t>
        </is>
      </c>
      <c r="H241" t="inlineStr">
        <is>
          <t>ONLINE</t>
        </is>
      </c>
      <c r="I241" t="inlineStr">
        <is>
          <t>DELIVERED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O2</t>
        </is>
      </c>
      <c r="N241" t="inlineStr">
        <is>
          <t>36</t>
        </is>
      </c>
      <c r="O241" t="n">
        <v>378</v>
      </c>
      <c r="P241" t="n">
        <v>3.5</v>
      </c>
      <c r="Q241" t="n">
        <v>0</v>
      </c>
      <c r="R241" t="n">
        <v>75</v>
      </c>
      <c r="S241" t="n">
        <v>0</v>
      </c>
      <c r="T241" t="n">
        <v>0</v>
      </c>
      <c r="U241" t="n">
        <v>0</v>
      </c>
      <c r="V241" t="n">
        <v>15.33</v>
      </c>
      <c r="W241" t="n">
        <v>321.83</v>
      </c>
      <c r="X241" t="n">
        <v>306.5</v>
      </c>
      <c r="Y241" t="n">
        <v>19</v>
      </c>
      <c r="Z241" t="n">
        <v>58.24</v>
      </c>
      <c r="AA241" t="n">
        <v>5.92</v>
      </c>
      <c r="AB241" t="n">
        <v>64.16</v>
      </c>
      <c r="AC241" t="n">
        <v>11.55</v>
      </c>
      <c r="AD241" t="n">
        <v>0</v>
      </c>
      <c r="AE241" t="n">
        <v>306.5</v>
      </c>
      <c r="AF241" t="n">
        <v>0</v>
      </c>
      <c r="AG241" t="n">
        <v>0</v>
      </c>
      <c r="AH241" t="n">
        <v>0.31</v>
      </c>
      <c r="AI241" t="n">
        <v>15.33</v>
      </c>
      <c r="AJ241" t="n">
        <v>0</v>
      </c>
      <c r="AK241" t="n">
        <v>27.19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91.34999999999999</v>
      </c>
      <c r="AV241" t="n">
        <v>0</v>
      </c>
      <c r="AW241" t="n">
        <v>230.48</v>
      </c>
      <c r="AX241" t="inlineStr">
        <is>
          <t>settled</t>
        </is>
      </c>
      <c r="AY241" t="inlineStr">
        <is>
          <t>NA</t>
        </is>
      </c>
      <c r="AZ241" t="inlineStr">
        <is>
          <t>NA</t>
        </is>
      </c>
      <c r="BA241" t="n">
        <v>0</v>
      </c>
      <c r="BB241" t="inlineStr">
        <is>
          <t>ce0a08da5109ee06f23ef4f30e475bde6114fffd450ee5d4a93ce2b70cade293</t>
        </is>
      </c>
    </row>
    <row r="242">
      <c r="A242" t="inlineStr">
        <is>
          <t>926</t>
        </is>
      </c>
      <c r="B242" t="inlineStr">
        <is>
          <t>7587959252</t>
        </is>
      </c>
      <c r="C242" t="inlineStr">
        <is>
          <t>2025-12-20 00:19:54</t>
        </is>
      </c>
      <c r="D242" t="inlineStr">
        <is>
          <t>51</t>
        </is>
      </c>
      <c r="E242" t="inlineStr">
        <is>
          <t>Sha Sha - Shandaar Shawarma</t>
        </is>
      </c>
      <c r="F242" t="inlineStr">
        <is>
          <t>18557902</t>
        </is>
      </c>
      <c r="G242" t="inlineStr">
        <is>
          <t>NA</t>
        </is>
      </c>
      <c r="H242" t="inlineStr">
        <is>
          <t>ONLINE</t>
        </is>
      </c>
      <c r="I242" t="inlineStr">
        <is>
          <t>DELIVERED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O2</t>
        </is>
      </c>
      <c r="N242" t="inlineStr">
        <is>
          <t>36</t>
        </is>
      </c>
      <c r="O242" t="n">
        <v>219</v>
      </c>
      <c r="P242" t="n">
        <v>3.5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11.13</v>
      </c>
      <c r="W242" t="n">
        <v>233.63</v>
      </c>
      <c r="X242" t="n">
        <v>222.5</v>
      </c>
      <c r="Y242" t="n">
        <v>19</v>
      </c>
      <c r="Z242" t="n">
        <v>42.28</v>
      </c>
      <c r="AA242" t="n">
        <v>4.3</v>
      </c>
      <c r="AB242" t="n">
        <v>46.58</v>
      </c>
      <c r="AC242" t="n">
        <v>8.380000000000001</v>
      </c>
      <c r="AD242" t="n">
        <v>0</v>
      </c>
      <c r="AE242" t="n">
        <v>222.5</v>
      </c>
      <c r="AF242" t="n">
        <v>0</v>
      </c>
      <c r="AG242" t="n">
        <v>0</v>
      </c>
      <c r="AH242" t="n">
        <v>0.22</v>
      </c>
      <c r="AI242" t="n">
        <v>11.13</v>
      </c>
      <c r="AJ242" t="n">
        <v>0</v>
      </c>
      <c r="AK242" t="n">
        <v>19.73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66.31</v>
      </c>
      <c r="AV242" t="n">
        <v>0</v>
      </c>
      <c r="AW242" t="n">
        <v>167.32</v>
      </c>
      <c r="AX242" t="inlineStr">
        <is>
          <t>settled</t>
        </is>
      </c>
      <c r="AY242" t="inlineStr">
        <is>
          <t>NA</t>
        </is>
      </c>
      <c r="AZ242" t="inlineStr">
        <is>
          <t>NA</t>
        </is>
      </c>
      <c r="BA242" t="n">
        <v>0</v>
      </c>
      <c r="BB242" t="inlineStr">
        <is>
          <t>ccb11a9f054793f3f7ab600099c77b3b7673882279f7c10595b1606d65e2a9d8</t>
        </is>
      </c>
    </row>
    <row r="243">
      <c r="A243" t="inlineStr">
        <is>
          <t>927</t>
        </is>
      </c>
      <c r="B243" t="inlineStr">
        <is>
          <t>7585736034</t>
        </is>
      </c>
      <c r="C243" t="inlineStr">
        <is>
          <t>2025-12-20 00:37:19</t>
        </is>
      </c>
      <c r="D243" t="inlineStr">
        <is>
          <t>51</t>
        </is>
      </c>
      <c r="E243" t="inlineStr">
        <is>
          <t>Sha Sha - Shandaar Shawarma</t>
        </is>
      </c>
      <c r="F243" t="inlineStr">
        <is>
          <t>18557902</t>
        </is>
      </c>
      <c r="G243" t="inlineStr">
        <is>
          <t>NA</t>
        </is>
      </c>
      <c r="H243" t="inlineStr">
        <is>
          <t>ONLINE</t>
        </is>
      </c>
      <c r="I243" t="inlineStr">
        <is>
          <t>DELIVERED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O2</t>
        </is>
      </c>
      <c r="N243" t="inlineStr">
        <is>
          <t>36</t>
        </is>
      </c>
      <c r="O243" t="n">
        <v>229</v>
      </c>
      <c r="P243" t="n">
        <v>3.5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11.63</v>
      </c>
      <c r="W243" t="n">
        <v>244.13</v>
      </c>
      <c r="X243" t="n">
        <v>232.5</v>
      </c>
      <c r="Y243" t="n">
        <v>19</v>
      </c>
      <c r="Z243" t="n">
        <v>44.18</v>
      </c>
      <c r="AA243" t="n">
        <v>4.49</v>
      </c>
      <c r="AB243" t="n">
        <v>48.67</v>
      </c>
      <c r="AC243" t="n">
        <v>8.76</v>
      </c>
      <c r="AD243" t="n">
        <v>0</v>
      </c>
      <c r="AE243" t="n">
        <v>232.5</v>
      </c>
      <c r="AF243" t="n">
        <v>0</v>
      </c>
      <c r="AG243" t="n">
        <v>0</v>
      </c>
      <c r="AH243" t="n">
        <v>0.23</v>
      </c>
      <c r="AI243" t="n">
        <v>11.63</v>
      </c>
      <c r="AJ243" t="n">
        <v>0</v>
      </c>
      <c r="AK243" t="n">
        <v>20.62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69.29000000000001</v>
      </c>
      <c r="AV243" t="n">
        <v>0</v>
      </c>
      <c r="AW243" t="n">
        <v>174.84</v>
      </c>
      <c r="AX243" t="inlineStr">
        <is>
          <t>settled</t>
        </is>
      </c>
      <c r="AY243" t="inlineStr">
        <is>
          <t>NA</t>
        </is>
      </c>
      <c r="AZ243" t="inlineStr">
        <is>
          <t>NA</t>
        </is>
      </c>
      <c r="BA243" t="n">
        <v>0</v>
      </c>
      <c r="BB243" t="inlineStr">
        <is>
          <t>4bc0513a51d78cdc1404acdce19d7ccbae5c5c6c805f1e5b3c445e5929fb03b3</t>
        </is>
      </c>
    </row>
    <row r="244">
      <c r="A244" t="inlineStr">
        <is>
          <t>928</t>
        </is>
      </c>
      <c r="B244" t="inlineStr">
        <is>
          <t>7598429850</t>
        </is>
      </c>
      <c r="C244" t="inlineStr">
        <is>
          <t>2025-12-20 00:49:29</t>
        </is>
      </c>
      <c r="D244" t="inlineStr">
        <is>
          <t>51</t>
        </is>
      </c>
      <c r="E244" t="inlineStr">
        <is>
          <t>Sha Sha - Shandaar Shawarma</t>
        </is>
      </c>
      <c r="F244" t="inlineStr">
        <is>
          <t>18557902</t>
        </is>
      </c>
      <c r="G244" t="inlineStr">
        <is>
          <t>30% off upto ₹75 (2025-06-25 - 2031-01-01)</t>
        </is>
      </c>
      <c r="H244" t="inlineStr">
        <is>
          <t>ONLINE</t>
        </is>
      </c>
      <c r="I244" t="inlineStr">
        <is>
          <t>DELIVERED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O2</t>
        </is>
      </c>
      <c r="N244" t="inlineStr">
        <is>
          <t>36</t>
        </is>
      </c>
      <c r="O244" t="n">
        <v>229</v>
      </c>
      <c r="P244" t="n">
        <v>3.5</v>
      </c>
      <c r="Q244" t="n">
        <v>0</v>
      </c>
      <c r="R244" t="n">
        <v>68.7</v>
      </c>
      <c r="S244" t="n">
        <v>0</v>
      </c>
      <c r="T244" t="n">
        <v>0</v>
      </c>
      <c r="U244" t="n">
        <v>0</v>
      </c>
      <c r="V244" t="n">
        <v>8.19</v>
      </c>
      <c r="W244" t="n">
        <v>171.99</v>
      </c>
      <c r="X244" t="n">
        <v>163.8</v>
      </c>
      <c r="Y244" t="n">
        <v>19</v>
      </c>
      <c r="Z244" t="n">
        <v>31.12</v>
      </c>
      <c r="AA244" t="n">
        <v>3.16</v>
      </c>
      <c r="AB244" t="n">
        <v>34.28</v>
      </c>
      <c r="AC244" t="n">
        <v>6.17</v>
      </c>
      <c r="AD244" t="n">
        <v>0</v>
      </c>
      <c r="AE244" t="n">
        <v>163.8</v>
      </c>
      <c r="AF244" t="n">
        <v>0</v>
      </c>
      <c r="AG244" t="n">
        <v>0</v>
      </c>
      <c r="AH244" t="n">
        <v>0.16</v>
      </c>
      <c r="AI244" t="n">
        <v>8.199999999999999</v>
      </c>
      <c r="AJ244" t="n">
        <v>-0.01</v>
      </c>
      <c r="AK244" t="n">
        <v>14.53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48.81</v>
      </c>
      <c r="AV244" t="n">
        <v>0</v>
      </c>
      <c r="AW244" t="n">
        <v>123.18</v>
      </c>
      <c r="AX244" t="inlineStr">
        <is>
          <t>settled</t>
        </is>
      </c>
      <c r="AY244" t="inlineStr">
        <is>
          <t>NA</t>
        </is>
      </c>
      <c r="AZ244" t="inlineStr">
        <is>
          <t>NA</t>
        </is>
      </c>
      <c r="BA244" t="n">
        <v>0</v>
      </c>
      <c r="BB244" t="inlineStr">
        <is>
          <t>cced21294a761e8e520d3f723af908adf3bedcfdce1f6051f03037bf5aa364a8</t>
        </is>
      </c>
    </row>
    <row r="245">
      <c r="A245" t="inlineStr">
        <is>
          <t>929</t>
        </is>
      </c>
      <c r="B245" t="inlineStr">
        <is>
          <t>7600646967</t>
        </is>
      </c>
      <c r="C245" t="inlineStr">
        <is>
          <t>2025-12-20 01:11:48</t>
        </is>
      </c>
      <c r="D245" t="inlineStr">
        <is>
          <t>51</t>
        </is>
      </c>
      <c r="E245" t="inlineStr">
        <is>
          <t>Sha Sha - Shandaar Shawarma</t>
        </is>
      </c>
      <c r="F245" t="inlineStr">
        <is>
          <t>18557902</t>
        </is>
      </c>
      <c r="G245" t="inlineStr">
        <is>
          <t>30% off upto ₹75 (2025-06-25 - 2031-01-01)</t>
        </is>
      </c>
      <c r="H245" t="inlineStr">
        <is>
          <t>ONLINE</t>
        </is>
      </c>
      <c r="I245" t="inlineStr">
        <is>
          <t>DELIVERED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O2</t>
        </is>
      </c>
      <c r="N245" t="inlineStr">
        <is>
          <t>36</t>
        </is>
      </c>
      <c r="O245" t="n">
        <v>478</v>
      </c>
      <c r="P245" t="n">
        <v>3.5</v>
      </c>
      <c r="Q245" t="n">
        <v>0</v>
      </c>
      <c r="R245" t="n">
        <v>75</v>
      </c>
      <c r="S245" t="n">
        <v>0</v>
      </c>
      <c r="T245" t="n">
        <v>0</v>
      </c>
      <c r="U245" t="n">
        <v>0</v>
      </c>
      <c r="V245" t="n">
        <v>20.33</v>
      </c>
      <c r="W245" t="n">
        <v>426.83</v>
      </c>
      <c r="X245" t="n">
        <v>406.5</v>
      </c>
      <c r="Y245" t="n">
        <v>19</v>
      </c>
      <c r="Z245" t="n">
        <v>77.23999999999999</v>
      </c>
      <c r="AA245" t="n">
        <v>7.85</v>
      </c>
      <c r="AB245" t="n">
        <v>85.09</v>
      </c>
      <c r="AC245" t="n">
        <v>15.31</v>
      </c>
      <c r="AD245" t="n">
        <v>0</v>
      </c>
      <c r="AE245" t="n">
        <v>406.5</v>
      </c>
      <c r="AF245" t="n">
        <v>0</v>
      </c>
      <c r="AG245" t="n">
        <v>0</v>
      </c>
      <c r="AH245" t="n">
        <v>0.41</v>
      </c>
      <c r="AI245" t="n">
        <v>20.33</v>
      </c>
      <c r="AJ245" t="n">
        <v>0</v>
      </c>
      <c r="AK245" t="n">
        <v>36.05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121.14</v>
      </c>
      <c r="AV245" t="n">
        <v>0</v>
      </c>
      <c r="AW245" t="n">
        <v>305.69</v>
      </c>
      <c r="AX245" t="inlineStr">
        <is>
          <t>settled</t>
        </is>
      </c>
      <c r="AY245" t="inlineStr">
        <is>
          <t>NA</t>
        </is>
      </c>
      <c r="AZ245" t="inlineStr">
        <is>
          <t>NA</t>
        </is>
      </c>
      <c r="BA245" t="n">
        <v>0</v>
      </c>
      <c r="BB245" t="inlineStr">
        <is>
          <t>e27c60f123d963ea8fac6646841c068151f41e0eb97e276ad8f96c971658eb04</t>
        </is>
      </c>
    </row>
    <row r="246">
      <c r="A246" t="inlineStr">
        <is>
          <t>930</t>
        </is>
      </c>
      <c r="B246" t="inlineStr">
        <is>
          <t>7599606711</t>
        </is>
      </c>
      <c r="C246" t="inlineStr">
        <is>
          <t>2025-12-20 01:11:54</t>
        </is>
      </c>
      <c r="D246" t="inlineStr">
        <is>
          <t>51</t>
        </is>
      </c>
      <c r="E246" t="inlineStr">
        <is>
          <t>Sha Sha - Shandaar Shawarma</t>
        </is>
      </c>
      <c r="F246" t="inlineStr">
        <is>
          <t>18557902</t>
        </is>
      </c>
      <c r="G246" t="inlineStr">
        <is>
          <t>30% off upto ₹75 (2025-06-25 - 2031-01-01)</t>
        </is>
      </c>
      <c r="H246" t="inlineStr">
        <is>
          <t>ONLINE</t>
        </is>
      </c>
      <c r="I246" t="inlineStr">
        <is>
          <t>DELIVERED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O2</t>
        </is>
      </c>
      <c r="N246" t="inlineStr">
        <is>
          <t>36</t>
        </is>
      </c>
      <c r="O246" t="n">
        <v>229</v>
      </c>
      <c r="P246" t="n">
        <v>3.5</v>
      </c>
      <c r="Q246" t="n">
        <v>0</v>
      </c>
      <c r="R246" t="n">
        <v>68.7</v>
      </c>
      <c r="S246" t="n">
        <v>0</v>
      </c>
      <c r="T246" t="n">
        <v>0</v>
      </c>
      <c r="U246" t="n">
        <v>0</v>
      </c>
      <c r="V246" t="n">
        <v>8.19</v>
      </c>
      <c r="W246" t="n">
        <v>171.99</v>
      </c>
      <c r="X246" t="n">
        <v>163.8</v>
      </c>
      <c r="Y246" t="n">
        <v>19</v>
      </c>
      <c r="Z246" t="n">
        <v>31.12</v>
      </c>
      <c r="AA246" t="n">
        <v>3.16</v>
      </c>
      <c r="AB246" t="n">
        <v>34.28</v>
      </c>
      <c r="AC246" t="n">
        <v>6.17</v>
      </c>
      <c r="AD246" t="n">
        <v>0</v>
      </c>
      <c r="AE246" t="n">
        <v>163.8</v>
      </c>
      <c r="AF246" t="n">
        <v>0</v>
      </c>
      <c r="AG246" t="n">
        <v>0</v>
      </c>
      <c r="AH246" t="n">
        <v>0.16</v>
      </c>
      <c r="AI246" t="n">
        <v>8.199999999999999</v>
      </c>
      <c r="AJ246" t="n">
        <v>-0.01</v>
      </c>
      <c r="AK246" t="n">
        <v>14.53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48.81</v>
      </c>
      <c r="AV246" t="n">
        <v>0</v>
      </c>
      <c r="AW246" t="n">
        <v>123.18</v>
      </c>
      <c r="AX246" t="inlineStr">
        <is>
          <t>settled</t>
        </is>
      </c>
      <c r="AY246" t="inlineStr">
        <is>
          <t>NA</t>
        </is>
      </c>
      <c r="AZ246" t="inlineStr">
        <is>
          <t>NA</t>
        </is>
      </c>
      <c r="BA246" t="n">
        <v>0</v>
      </c>
      <c r="BB246" t="inlineStr">
        <is>
          <t>c8fb340b2cea31438c7a930f36c3c34b8081ac0bc31795e58e5e1c94ddbf7002</t>
        </is>
      </c>
    </row>
    <row r="247">
      <c r="A247" t="inlineStr">
        <is>
          <t>931</t>
        </is>
      </c>
      <c r="B247" t="inlineStr">
        <is>
          <t>7591944428</t>
        </is>
      </c>
      <c r="C247" t="inlineStr">
        <is>
          <t>2025-12-20 01:22:16</t>
        </is>
      </c>
      <c r="D247" t="inlineStr">
        <is>
          <t>51</t>
        </is>
      </c>
      <c r="E247" t="inlineStr">
        <is>
          <t>Sha Sha - Shandaar Shawarma</t>
        </is>
      </c>
      <c r="F247" t="inlineStr">
        <is>
          <t>18557902</t>
        </is>
      </c>
      <c r="G247" t="inlineStr">
        <is>
          <t>NA</t>
        </is>
      </c>
      <c r="H247" t="inlineStr">
        <is>
          <t>ONLINE</t>
        </is>
      </c>
      <c r="I247" t="inlineStr">
        <is>
          <t>DELIVERED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O2</t>
        </is>
      </c>
      <c r="N247" t="inlineStr">
        <is>
          <t>36</t>
        </is>
      </c>
      <c r="O247" t="n">
        <v>229</v>
      </c>
      <c r="P247" t="n">
        <v>3.5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11.63</v>
      </c>
      <c r="W247" t="n">
        <v>244.13</v>
      </c>
      <c r="X247" t="n">
        <v>232.5</v>
      </c>
      <c r="Y247" t="n">
        <v>19</v>
      </c>
      <c r="Z247" t="n">
        <v>44.18</v>
      </c>
      <c r="AA247" t="n">
        <v>4.49</v>
      </c>
      <c r="AB247" t="n">
        <v>48.67</v>
      </c>
      <c r="AC247" t="n">
        <v>8.76</v>
      </c>
      <c r="AD247" t="n">
        <v>0</v>
      </c>
      <c r="AE247" t="n">
        <v>232.5</v>
      </c>
      <c r="AF247" t="n">
        <v>0</v>
      </c>
      <c r="AG247" t="n">
        <v>0</v>
      </c>
      <c r="AH247" t="n">
        <v>0.23</v>
      </c>
      <c r="AI247" t="n">
        <v>11.63</v>
      </c>
      <c r="AJ247" t="n">
        <v>0</v>
      </c>
      <c r="AK247" t="n">
        <v>20.62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69.29000000000001</v>
      </c>
      <c r="AV247" t="n">
        <v>0</v>
      </c>
      <c r="AW247" t="n">
        <v>174.84</v>
      </c>
      <c r="AX247" t="inlineStr">
        <is>
          <t>settled</t>
        </is>
      </c>
      <c r="AY247" t="inlineStr">
        <is>
          <t>NA</t>
        </is>
      </c>
      <c r="AZ247" t="inlineStr">
        <is>
          <t>NA</t>
        </is>
      </c>
      <c r="BA247" t="n">
        <v>0</v>
      </c>
      <c r="BB247" t="inlineStr">
        <is>
          <t>76bb045e785781805dca5e3b9f3dc9ea70fcec46395d95a272d4c932072433ff</t>
        </is>
      </c>
    </row>
    <row r="248">
      <c r="A248" t="inlineStr">
        <is>
          <t>932</t>
        </is>
      </c>
      <c r="B248" t="inlineStr">
        <is>
          <t>7599243650</t>
        </is>
      </c>
      <c r="C248" t="inlineStr">
        <is>
          <t>2025-12-20 01:27:02</t>
        </is>
      </c>
      <c r="D248" t="inlineStr">
        <is>
          <t>51</t>
        </is>
      </c>
      <c r="E248" t="inlineStr">
        <is>
          <t>Sha Sha - Shandaar Shawarma</t>
        </is>
      </c>
      <c r="F248" t="inlineStr">
        <is>
          <t>18557902</t>
        </is>
      </c>
      <c r="G248" t="inlineStr">
        <is>
          <t>30% off upto ₹75 (2025-06-25 - 2031-01-01)</t>
        </is>
      </c>
      <c r="H248" t="inlineStr">
        <is>
          <t>ONLINE</t>
        </is>
      </c>
      <c r="I248" t="inlineStr">
        <is>
          <t>DELIVERED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O2</t>
        </is>
      </c>
      <c r="N248" t="inlineStr">
        <is>
          <t>36</t>
        </is>
      </c>
      <c r="O248" t="n">
        <v>438</v>
      </c>
      <c r="P248" t="n">
        <v>3.5</v>
      </c>
      <c r="Q248" t="n">
        <v>0</v>
      </c>
      <c r="R248" t="n">
        <v>75</v>
      </c>
      <c r="S248" t="n">
        <v>0</v>
      </c>
      <c r="T248" t="n">
        <v>0</v>
      </c>
      <c r="U248" t="n">
        <v>0</v>
      </c>
      <c r="V248" t="n">
        <v>18.33</v>
      </c>
      <c r="W248" t="n">
        <v>384.83</v>
      </c>
      <c r="X248" t="n">
        <v>366.5</v>
      </c>
      <c r="Y248" t="n">
        <v>19</v>
      </c>
      <c r="Z248" t="n">
        <v>69.64</v>
      </c>
      <c r="AA248" t="n">
        <v>7.08</v>
      </c>
      <c r="AB248" t="n">
        <v>76.72</v>
      </c>
      <c r="AC248" t="n">
        <v>13.81</v>
      </c>
      <c r="AD248" t="n">
        <v>0</v>
      </c>
      <c r="AE248" t="n">
        <v>366.5</v>
      </c>
      <c r="AF248" t="n">
        <v>0</v>
      </c>
      <c r="AG248" t="n">
        <v>0</v>
      </c>
      <c r="AH248" t="n">
        <v>0.37</v>
      </c>
      <c r="AI248" t="n">
        <v>18.33</v>
      </c>
      <c r="AJ248" t="n">
        <v>0</v>
      </c>
      <c r="AK248" t="n">
        <v>32.51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109.23</v>
      </c>
      <c r="AV248" t="n">
        <v>0</v>
      </c>
      <c r="AW248" t="n">
        <v>275.6</v>
      </c>
      <c r="AX248" t="inlineStr">
        <is>
          <t>settled</t>
        </is>
      </c>
      <c r="AY248" t="inlineStr">
        <is>
          <t>NA</t>
        </is>
      </c>
      <c r="AZ248" t="inlineStr">
        <is>
          <t>NA</t>
        </is>
      </c>
      <c r="BA248" t="n">
        <v>0</v>
      </c>
      <c r="BB248" t="inlineStr">
        <is>
          <t>46d7458e0c74c9164e0c4d5fec11235cc61cc42595a55cb82260210a97e0a372</t>
        </is>
      </c>
    </row>
    <row r="249">
      <c r="A249" t="inlineStr">
        <is>
          <t>933</t>
        </is>
      </c>
      <c r="B249" t="inlineStr">
        <is>
          <t>7600640419</t>
        </is>
      </c>
      <c r="C249" t="inlineStr">
        <is>
          <t>2025-12-20 01:28:17</t>
        </is>
      </c>
      <c r="D249" t="inlineStr">
        <is>
          <t>51</t>
        </is>
      </c>
      <c r="E249" t="inlineStr">
        <is>
          <t>Sha Sha - Shandaar Shawarma</t>
        </is>
      </c>
      <c r="F249" t="inlineStr">
        <is>
          <t>18557902</t>
        </is>
      </c>
      <c r="G249" t="inlineStr">
        <is>
          <t>30% off upto ₹75 (2025-06-25 - 2031-01-01)</t>
        </is>
      </c>
      <c r="H249" t="inlineStr">
        <is>
          <t>ONLINE</t>
        </is>
      </c>
      <c r="I249" t="inlineStr">
        <is>
          <t>DELIVERED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O2</t>
        </is>
      </c>
      <c r="N249" t="inlineStr">
        <is>
          <t>36</t>
        </is>
      </c>
      <c r="O249" t="n">
        <v>229</v>
      </c>
      <c r="P249" t="n">
        <v>3.5</v>
      </c>
      <c r="Q249" t="n">
        <v>0</v>
      </c>
      <c r="R249" t="n">
        <v>68.7</v>
      </c>
      <c r="S249" t="n">
        <v>0</v>
      </c>
      <c r="T249" t="n">
        <v>0</v>
      </c>
      <c r="U249" t="n">
        <v>0</v>
      </c>
      <c r="V249" t="n">
        <v>8.19</v>
      </c>
      <c r="W249" t="n">
        <v>171.99</v>
      </c>
      <c r="X249" t="n">
        <v>163.8</v>
      </c>
      <c r="Y249" t="n">
        <v>19</v>
      </c>
      <c r="Z249" t="n">
        <v>31.12</v>
      </c>
      <c r="AA249" t="n">
        <v>3.16</v>
      </c>
      <c r="AB249" t="n">
        <v>34.28</v>
      </c>
      <c r="AC249" t="n">
        <v>6.17</v>
      </c>
      <c r="AD249" t="n">
        <v>0</v>
      </c>
      <c r="AE249" t="n">
        <v>163.8</v>
      </c>
      <c r="AF249" t="n">
        <v>0</v>
      </c>
      <c r="AG249" t="n">
        <v>0</v>
      </c>
      <c r="AH249" t="n">
        <v>0.16</v>
      </c>
      <c r="AI249" t="n">
        <v>8.199999999999999</v>
      </c>
      <c r="AJ249" t="n">
        <v>-0.01</v>
      </c>
      <c r="AK249" t="n">
        <v>14.53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48.81</v>
      </c>
      <c r="AV249" t="n">
        <v>0</v>
      </c>
      <c r="AW249" t="n">
        <v>123.18</v>
      </c>
      <c r="AX249" t="inlineStr">
        <is>
          <t>settled</t>
        </is>
      </c>
      <c r="AY249" t="inlineStr">
        <is>
          <t>NA</t>
        </is>
      </c>
      <c r="AZ249" t="inlineStr">
        <is>
          <t>NA</t>
        </is>
      </c>
      <c r="BA249" t="n">
        <v>0</v>
      </c>
      <c r="BB249" t="inlineStr">
        <is>
          <t>35758e6b9a7b7bd455d409fbb049bfc7c7b97578358f4caedd72330bedad463e</t>
        </is>
      </c>
    </row>
    <row r="250">
      <c r="A250" t="inlineStr">
        <is>
          <t>934</t>
        </is>
      </c>
      <c r="B250" t="inlineStr">
        <is>
          <t>7576877658</t>
        </is>
      </c>
      <c r="C250" t="inlineStr">
        <is>
          <t>2025-12-20 01:31:54</t>
        </is>
      </c>
      <c r="D250" t="inlineStr">
        <is>
          <t>51</t>
        </is>
      </c>
      <c r="E250" t="inlineStr">
        <is>
          <t>Sha Sha - Shandaar Shawarma</t>
        </is>
      </c>
      <c r="F250" t="inlineStr">
        <is>
          <t>18557902</t>
        </is>
      </c>
      <c r="G250" t="inlineStr">
        <is>
          <t>30% off upto ₹75 (2025-06-25 - 2031-01-01)</t>
        </is>
      </c>
      <c r="H250" t="inlineStr">
        <is>
          <t>ONLINE</t>
        </is>
      </c>
      <c r="I250" t="inlineStr">
        <is>
          <t>DELIVERED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O2</t>
        </is>
      </c>
      <c r="N250" t="inlineStr">
        <is>
          <t>36</t>
        </is>
      </c>
      <c r="O250" t="n">
        <v>345</v>
      </c>
      <c r="P250" t="n">
        <v>3.5</v>
      </c>
      <c r="Q250" t="n">
        <v>0</v>
      </c>
      <c r="R250" t="n">
        <v>75</v>
      </c>
      <c r="S250" t="n">
        <v>0</v>
      </c>
      <c r="T250" t="n">
        <v>0</v>
      </c>
      <c r="U250" t="n">
        <v>0</v>
      </c>
      <c r="V250" t="n">
        <v>13.68</v>
      </c>
      <c r="W250" t="n">
        <v>287.18</v>
      </c>
      <c r="X250" t="n">
        <v>273.5</v>
      </c>
      <c r="Y250" t="n">
        <v>19</v>
      </c>
      <c r="Z250" t="n">
        <v>51.96</v>
      </c>
      <c r="AA250" t="n">
        <v>5.28</v>
      </c>
      <c r="AB250" t="n">
        <v>57.24</v>
      </c>
      <c r="AC250" t="n">
        <v>10.3</v>
      </c>
      <c r="AD250" t="n">
        <v>0</v>
      </c>
      <c r="AE250" t="n">
        <v>273.5</v>
      </c>
      <c r="AF250" t="n">
        <v>0</v>
      </c>
      <c r="AG250" t="n">
        <v>0</v>
      </c>
      <c r="AH250" t="n">
        <v>0.27</v>
      </c>
      <c r="AI250" t="n">
        <v>13.68</v>
      </c>
      <c r="AJ250" t="n">
        <v>0</v>
      </c>
      <c r="AK250" t="n">
        <v>24.25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81.48999999999999</v>
      </c>
      <c r="AV250" t="n">
        <v>0</v>
      </c>
      <c r="AW250" t="n">
        <v>205.69</v>
      </c>
      <c r="AX250" t="inlineStr">
        <is>
          <t>settled</t>
        </is>
      </c>
      <c r="AY250" t="inlineStr">
        <is>
          <t>NA</t>
        </is>
      </c>
      <c r="AZ250" t="inlineStr">
        <is>
          <t>NA</t>
        </is>
      </c>
      <c r="BA250" t="n">
        <v>0</v>
      </c>
      <c r="BB250" t="inlineStr">
        <is>
          <t>873005440f391d3e04ca750cc964f252b9f62c38998789fe21107ffde88c4de4</t>
        </is>
      </c>
    </row>
    <row r="251">
      <c r="A251" t="inlineStr">
        <is>
          <t>935</t>
        </is>
      </c>
      <c r="B251" t="inlineStr">
        <is>
          <t>7599252760</t>
        </is>
      </c>
      <c r="C251" t="inlineStr">
        <is>
          <t>2025-12-20 01:54:46</t>
        </is>
      </c>
      <c r="D251" t="inlineStr">
        <is>
          <t>51</t>
        </is>
      </c>
      <c r="E251" t="inlineStr">
        <is>
          <t>Sha Sha - Shandaar Shawarma</t>
        </is>
      </c>
      <c r="F251" t="inlineStr">
        <is>
          <t>18557902</t>
        </is>
      </c>
      <c r="G251" t="inlineStr">
        <is>
          <t>30% off upto ₹75 (2025-06-25 - 2031-01-01)</t>
        </is>
      </c>
      <c r="H251" t="inlineStr">
        <is>
          <t>ONLINE</t>
        </is>
      </c>
      <c r="I251" t="inlineStr">
        <is>
          <t>DELIVERED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O2</t>
        </is>
      </c>
      <c r="N251" t="inlineStr">
        <is>
          <t>36</t>
        </is>
      </c>
      <c r="O251" t="n">
        <v>407</v>
      </c>
      <c r="P251" t="n">
        <v>3.5</v>
      </c>
      <c r="Q251" t="n">
        <v>0</v>
      </c>
      <c r="R251" t="n">
        <v>75</v>
      </c>
      <c r="S251" t="n">
        <v>0</v>
      </c>
      <c r="T251" t="n">
        <v>0</v>
      </c>
      <c r="U251" t="n">
        <v>0</v>
      </c>
      <c r="V251" t="n">
        <v>16.78</v>
      </c>
      <c r="W251" t="n">
        <v>352.28</v>
      </c>
      <c r="X251" t="n">
        <v>335.5</v>
      </c>
      <c r="Y251" t="n">
        <v>19</v>
      </c>
      <c r="Z251" t="n">
        <v>63.74</v>
      </c>
      <c r="AA251" t="n">
        <v>6.48</v>
      </c>
      <c r="AB251" t="n">
        <v>70.22</v>
      </c>
      <c r="AC251" t="n">
        <v>12.64</v>
      </c>
      <c r="AD251" t="n">
        <v>0</v>
      </c>
      <c r="AE251" t="n">
        <v>335.5</v>
      </c>
      <c r="AF251" t="n">
        <v>0</v>
      </c>
      <c r="AG251" t="n">
        <v>0</v>
      </c>
      <c r="AH251" t="n">
        <v>0.34</v>
      </c>
      <c r="AI251" t="n">
        <v>16.78</v>
      </c>
      <c r="AJ251" t="n">
        <v>0</v>
      </c>
      <c r="AK251" t="n">
        <v>29.76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99.98</v>
      </c>
      <c r="AV251" t="n">
        <v>0</v>
      </c>
      <c r="AW251" t="n">
        <v>252.3</v>
      </c>
      <c r="AX251" t="inlineStr">
        <is>
          <t>settled</t>
        </is>
      </c>
      <c r="AY251" t="inlineStr">
        <is>
          <t>NA</t>
        </is>
      </c>
      <c r="AZ251" t="inlineStr">
        <is>
          <t>NA</t>
        </is>
      </c>
      <c r="BA251" t="n">
        <v>0</v>
      </c>
      <c r="BB251" t="inlineStr">
        <is>
          <t>af926d39eb29f3a0fdbb75b1cd158f1a5950ac7b45e6b9ee46ffeacbf9f5f472</t>
        </is>
      </c>
    </row>
    <row r="252">
      <c r="A252" t="inlineStr">
        <is>
          <t>936</t>
        </is>
      </c>
      <c r="B252" t="inlineStr">
        <is>
          <t>7600180909</t>
        </is>
      </c>
      <c r="C252" t="inlineStr">
        <is>
          <t>2025-12-20 02:02:39</t>
        </is>
      </c>
      <c r="D252" t="inlineStr">
        <is>
          <t>51</t>
        </is>
      </c>
      <c r="E252" t="inlineStr">
        <is>
          <t>Sha Sha - Shandaar Shawarma</t>
        </is>
      </c>
      <c r="F252" t="inlineStr">
        <is>
          <t>18557902</t>
        </is>
      </c>
      <c r="G252" t="inlineStr">
        <is>
          <t>30% off upto ₹75 (2025-06-25 - 2031-01-01)</t>
        </is>
      </c>
      <c r="H252" t="inlineStr">
        <is>
          <t>ONLINE</t>
        </is>
      </c>
      <c r="I252" t="inlineStr">
        <is>
          <t>DELIVERED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O2</t>
        </is>
      </c>
      <c r="N252" t="inlineStr">
        <is>
          <t>36</t>
        </is>
      </c>
      <c r="O252" t="n">
        <v>417</v>
      </c>
      <c r="P252" t="n">
        <v>3.5</v>
      </c>
      <c r="Q252" t="n">
        <v>0</v>
      </c>
      <c r="R252" t="n">
        <v>75</v>
      </c>
      <c r="S252" t="n">
        <v>0</v>
      </c>
      <c r="T252" t="n">
        <v>0</v>
      </c>
      <c r="U252" t="n">
        <v>0</v>
      </c>
      <c r="V252" t="n">
        <v>17.28</v>
      </c>
      <c r="W252" t="n">
        <v>362.78</v>
      </c>
      <c r="X252" t="n">
        <v>345.5</v>
      </c>
      <c r="Y252" t="n">
        <v>19</v>
      </c>
      <c r="Z252" t="n">
        <v>65.64</v>
      </c>
      <c r="AA252" t="n">
        <v>6.68</v>
      </c>
      <c r="AB252" t="n">
        <v>72.31999999999999</v>
      </c>
      <c r="AC252" t="n">
        <v>13.02</v>
      </c>
      <c r="AD252" t="n">
        <v>0</v>
      </c>
      <c r="AE252" t="n">
        <v>345.5</v>
      </c>
      <c r="AF252" t="n">
        <v>0</v>
      </c>
      <c r="AG252" t="n">
        <v>0</v>
      </c>
      <c r="AH252" t="n">
        <v>0.35</v>
      </c>
      <c r="AI252" t="n">
        <v>17.28</v>
      </c>
      <c r="AJ252" t="n">
        <v>0</v>
      </c>
      <c r="AK252" t="n">
        <v>30.65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102.97</v>
      </c>
      <c r="AV252" t="n">
        <v>0</v>
      </c>
      <c r="AW252" t="n">
        <v>259.81</v>
      </c>
      <c r="AX252" t="inlineStr">
        <is>
          <t>settled</t>
        </is>
      </c>
      <c r="AY252" t="inlineStr">
        <is>
          <t>NA</t>
        </is>
      </c>
      <c r="AZ252" t="inlineStr">
        <is>
          <t>NA</t>
        </is>
      </c>
      <c r="BA252" t="n">
        <v>0</v>
      </c>
      <c r="BB252" t="inlineStr">
        <is>
          <t>80af17eedc5721dc36dda13160c95325ad01c4e286986af068d1ba771893c782</t>
        </is>
      </c>
    </row>
    <row r="253">
      <c r="A253" t="inlineStr">
        <is>
          <t>937</t>
        </is>
      </c>
      <c r="B253" t="inlineStr">
        <is>
          <t>7594175460</t>
        </is>
      </c>
      <c r="C253" t="inlineStr">
        <is>
          <t>2025-12-20 02:05:48</t>
        </is>
      </c>
      <c r="D253" t="inlineStr">
        <is>
          <t>51</t>
        </is>
      </c>
      <c r="E253" t="inlineStr">
        <is>
          <t>Sha Sha - Shandaar Shawarma</t>
        </is>
      </c>
      <c r="F253" t="inlineStr">
        <is>
          <t>18557902</t>
        </is>
      </c>
      <c r="G253" t="inlineStr">
        <is>
          <t>30% off upto ₹75 (2025-06-25 - 2031-01-01)</t>
        </is>
      </c>
      <c r="H253" t="inlineStr">
        <is>
          <t>ONLINE</t>
        </is>
      </c>
      <c r="I253" t="inlineStr">
        <is>
          <t>DELIVERED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O2</t>
        </is>
      </c>
      <c r="N253" t="inlineStr">
        <is>
          <t>36</t>
        </is>
      </c>
      <c r="O253" t="n">
        <v>229</v>
      </c>
      <c r="P253" t="n">
        <v>3.5</v>
      </c>
      <c r="Q253" t="n">
        <v>0</v>
      </c>
      <c r="R253" t="n">
        <v>68.7</v>
      </c>
      <c r="S253" t="n">
        <v>0</v>
      </c>
      <c r="T253" t="n">
        <v>0</v>
      </c>
      <c r="U253" t="n">
        <v>0</v>
      </c>
      <c r="V253" t="n">
        <v>8.19</v>
      </c>
      <c r="W253" t="n">
        <v>171.99</v>
      </c>
      <c r="X253" t="n">
        <v>163.8</v>
      </c>
      <c r="Y253" t="n">
        <v>19</v>
      </c>
      <c r="Z253" t="n">
        <v>31.12</v>
      </c>
      <c r="AA253" t="n">
        <v>3.16</v>
      </c>
      <c r="AB253" t="n">
        <v>34.28</v>
      </c>
      <c r="AC253" t="n">
        <v>6.17</v>
      </c>
      <c r="AD253" t="n">
        <v>0</v>
      </c>
      <c r="AE253" t="n">
        <v>163.8</v>
      </c>
      <c r="AF253" t="n">
        <v>0</v>
      </c>
      <c r="AG253" t="n">
        <v>0</v>
      </c>
      <c r="AH253" t="n">
        <v>0.16</v>
      </c>
      <c r="AI253" t="n">
        <v>8.199999999999999</v>
      </c>
      <c r="AJ253" t="n">
        <v>-0.01</v>
      </c>
      <c r="AK253" t="n">
        <v>14.53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48.81</v>
      </c>
      <c r="AV253" t="n">
        <v>0</v>
      </c>
      <c r="AW253" t="n">
        <v>123.18</v>
      </c>
      <c r="AX253" t="inlineStr">
        <is>
          <t>settled</t>
        </is>
      </c>
      <c r="AY253" t="inlineStr">
        <is>
          <t>NA</t>
        </is>
      </c>
      <c r="AZ253" t="inlineStr">
        <is>
          <t>NA</t>
        </is>
      </c>
      <c r="BA253" t="n">
        <v>0</v>
      </c>
      <c r="BB253" t="inlineStr">
        <is>
          <t>d4163c78a184a238123a0b5926894cf3c6b567ec869731de4f1717d5fa771972</t>
        </is>
      </c>
    </row>
    <row r="254">
      <c r="A254" t="inlineStr">
        <is>
          <t>938</t>
        </is>
      </c>
      <c r="B254" t="inlineStr">
        <is>
          <t>7593743277</t>
        </is>
      </c>
      <c r="C254" t="inlineStr">
        <is>
          <t>2025-12-20 02:36:40</t>
        </is>
      </c>
      <c r="D254" t="inlineStr">
        <is>
          <t>51</t>
        </is>
      </c>
      <c r="E254" t="inlineStr">
        <is>
          <t>Sha Sha - Shandaar Shawarma</t>
        </is>
      </c>
      <c r="F254" t="inlineStr">
        <is>
          <t>18557902</t>
        </is>
      </c>
      <c r="G254" t="inlineStr">
        <is>
          <t>30% off upto ₹75 (2025-06-25 - 2031-01-01)</t>
        </is>
      </c>
      <c r="H254" t="inlineStr">
        <is>
          <t>ONLINE</t>
        </is>
      </c>
      <c r="I254" t="inlineStr">
        <is>
          <t>DELIVERED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O2</t>
        </is>
      </c>
      <c r="N254" t="inlineStr">
        <is>
          <t>36</t>
        </is>
      </c>
      <c r="O254" t="n">
        <v>229</v>
      </c>
      <c r="P254" t="n">
        <v>3.5</v>
      </c>
      <c r="Q254" t="n">
        <v>0</v>
      </c>
      <c r="R254" t="n">
        <v>68.7</v>
      </c>
      <c r="S254" t="n">
        <v>0</v>
      </c>
      <c r="T254" t="n">
        <v>0</v>
      </c>
      <c r="U254" t="n">
        <v>0</v>
      </c>
      <c r="V254" t="n">
        <v>8.19</v>
      </c>
      <c r="W254" t="n">
        <v>171.99</v>
      </c>
      <c r="X254" t="n">
        <v>163.8</v>
      </c>
      <c r="Y254" t="n">
        <v>19</v>
      </c>
      <c r="Z254" t="n">
        <v>31.12</v>
      </c>
      <c r="AA254" t="n">
        <v>3.16</v>
      </c>
      <c r="AB254" t="n">
        <v>34.28</v>
      </c>
      <c r="AC254" t="n">
        <v>6.17</v>
      </c>
      <c r="AD254" t="n">
        <v>0</v>
      </c>
      <c r="AE254" t="n">
        <v>163.8</v>
      </c>
      <c r="AF254" t="n">
        <v>0</v>
      </c>
      <c r="AG254" t="n">
        <v>0</v>
      </c>
      <c r="AH254" t="n">
        <v>0.16</v>
      </c>
      <c r="AI254" t="n">
        <v>8.199999999999999</v>
      </c>
      <c r="AJ254" t="n">
        <v>-0.01</v>
      </c>
      <c r="AK254" t="n">
        <v>14.53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48.81</v>
      </c>
      <c r="AV254" t="n">
        <v>0</v>
      </c>
      <c r="AW254" t="n">
        <v>123.18</v>
      </c>
      <c r="AX254" t="inlineStr">
        <is>
          <t>settled</t>
        </is>
      </c>
      <c r="AY254" t="inlineStr">
        <is>
          <t>NA</t>
        </is>
      </c>
      <c r="AZ254" t="inlineStr">
        <is>
          <t>NA</t>
        </is>
      </c>
      <c r="BA254" t="n">
        <v>0</v>
      </c>
      <c r="BB254" t="inlineStr">
        <is>
          <t>cf150b3ca4f9e3d8b4fbf167f9eadc1295ec8d7154d480a2fa459c68a137a057</t>
        </is>
      </c>
    </row>
    <row r="255">
      <c r="A255" t="inlineStr">
        <is>
          <t>939</t>
        </is>
      </c>
      <c r="B255" t="inlineStr">
        <is>
          <t>7600289239</t>
        </is>
      </c>
      <c r="C255" t="inlineStr">
        <is>
          <t>2025-12-20 02:53:13</t>
        </is>
      </c>
      <c r="D255" t="inlineStr">
        <is>
          <t>51</t>
        </is>
      </c>
      <c r="E255" t="inlineStr">
        <is>
          <t>Sha Sha - Shandaar Shawarma</t>
        </is>
      </c>
      <c r="F255" t="inlineStr">
        <is>
          <t>18557902</t>
        </is>
      </c>
      <c r="G255" t="inlineStr">
        <is>
          <t>NA</t>
        </is>
      </c>
      <c r="H255" t="inlineStr">
        <is>
          <t>ONLINE</t>
        </is>
      </c>
      <c r="I255" t="inlineStr">
        <is>
          <t>DELIVERED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O2</t>
        </is>
      </c>
      <c r="N255" t="inlineStr">
        <is>
          <t>36</t>
        </is>
      </c>
      <c r="O255" t="n">
        <v>229</v>
      </c>
      <c r="P255" t="n">
        <v>3.5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11.63</v>
      </c>
      <c r="W255" t="n">
        <v>244.13</v>
      </c>
      <c r="X255" t="n">
        <v>232.5</v>
      </c>
      <c r="Y255" t="n">
        <v>19</v>
      </c>
      <c r="Z255" t="n">
        <v>44.18</v>
      </c>
      <c r="AA255" t="n">
        <v>4.49</v>
      </c>
      <c r="AB255" t="n">
        <v>48.67</v>
      </c>
      <c r="AC255" t="n">
        <v>8.76</v>
      </c>
      <c r="AD255" t="n">
        <v>0</v>
      </c>
      <c r="AE255" t="n">
        <v>232.5</v>
      </c>
      <c r="AF255" t="n">
        <v>0</v>
      </c>
      <c r="AG255" t="n">
        <v>0</v>
      </c>
      <c r="AH255" t="n">
        <v>0.23</v>
      </c>
      <c r="AI255" t="n">
        <v>11.63</v>
      </c>
      <c r="AJ255" t="n">
        <v>0</v>
      </c>
      <c r="AK255" t="n">
        <v>20.62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69.29000000000001</v>
      </c>
      <c r="AV255" t="n">
        <v>0</v>
      </c>
      <c r="AW255" t="n">
        <v>174.84</v>
      </c>
      <c r="AX255" t="inlineStr">
        <is>
          <t>settled</t>
        </is>
      </c>
      <c r="AY255" t="inlineStr">
        <is>
          <t>NA</t>
        </is>
      </c>
      <c r="AZ255" t="inlineStr">
        <is>
          <t>NA</t>
        </is>
      </c>
      <c r="BA255" t="n">
        <v>0</v>
      </c>
      <c r="BB255" t="inlineStr">
        <is>
          <t>400564116d59bfd93eb8f979412bf20f3da00162bd2d2d8aacc5a23928bfcbc1</t>
        </is>
      </c>
    </row>
    <row r="256">
      <c r="A256" t="inlineStr">
        <is>
          <t>940</t>
        </is>
      </c>
      <c r="B256" t="inlineStr">
        <is>
          <t>7600806175</t>
        </is>
      </c>
      <c r="C256" t="inlineStr">
        <is>
          <t>2025-12-20 02:56:32</t>
        </is>
      </c>
      <c r="D256" t="inlineStr">
        <is>
          <t>51</t>
        </is>
      </c>
      <c r="E256" t="inlineStr">
        <is>
          <t>Sha Sha - Shandaar Shawarma</t>
        </is>
      </c>
      <c r="F256" t="inlineStr">
        <is>
          <t>18557902</t>
        </is>
      </c>
      <c r="G256" t="inlineStr">
        <is>
          <t>30% off upto ₹75 (2025-06-25 - 2031-01-01)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O2</t>
        </is>
      </c>
      <c r="N256" t="inlineStr">
        <is>
          <t>36</t>
        </is>
      </c>
      <c r="O256" t="n">
        <v>219</v>
      </c>
      <c r="P256" t="n">
        <v>3.5</v>
      </c>
      <c r="Q256" t="n">
        <v>0</v>
      </c>
      <c r="R256" t="n">
        <v>65.7</v>
      </c>
      <c r="S256" t="n">
        <v>0</v>
      </c>
      <c r="T256" t="n">
        <v>0</v>
      </c>
      <c r="U256" t="n">
        <v>0</v>
      </c>
      <c r="V256" t="n">
        <v>7.84</v>
      </c>
      <c r="W256" t="n">
        <v>164.64</v>
      </c>
      <c r="X256" t="n">
        <v>156.8</v>
      </c>
      <c r="Y256" t="n">
        <v>19</v>
      </c>
      <c r="Z256" t="n">
        <v>29.79</v>
      </c>
      <c r="AA256" t="n">
        <v>3.03</v>
      </c>
      <c r="AB256" t="n">
        <v>32.82</v>
      </c>
      <c r="AC256" t="n">
        <v>5.91</v>
      </c>
      <c r="AD256" t="n">
        <v>0</v>
      </c>
      <c r="AE256" t="n">
        <v>156.8</v>
      </c>
      <c r="AF256" t="n">
        <v>0</v>
      </c>
      <c r="AG256" t="n">
        <v>0</v>
      </c>
      <c r="AH256" t="n">
        <v>0.16</v>
      </c>
      <c r="AI256" t="n">
        <v>7.85</v>
      </c>
      <c r="AJ256" t="n">
        <v>-0.01</v>
      </c>
      <c r="AK256" t="n">
        <v>13.92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46.74</v>
      </c>
      <c r="AV256" t="n">
        <v>0</v>
      </c>
      <c r="AW256" t="n">
        <v>117.9</v>
      </c>
      <c r="AX256" t="inlineStr">
        <is>
          <t>settled</t>
        </is>
      </c>
      <c r="AY256" t="inlineStr">
        <is>
          <t>NA</t>
        </is>
      </c>
      <c r="AZ256" t="inlineStr">
        <is>
          <t>NA</t>
        </is>
      </c>
      <c r="BA256" t="n">
        <v>0</v>
      </c>
      <c r="BB256" t="inlineStr">
        <is>
          <t>e04003e63083623cb351ed2b689413cef1c7258699a8a61f909385a3aa1b035b</t>
        </is>
      </c>
    </row>
    <row r="257">
      <c r="A257" t="inlineStr">
        <is>
          <t>941</t>
        </is>
      </c>
      <c r="B257" t="inlineStr">
        <is>
          <t>7598702791</t>
        </is>
      </c>
      <c r="C257" t="inlineStr">
        <is>
          <t>2025-12-20 03:10:53</t>
        </is>
      </c>
      <c r="D257" t="inlineStr">
        <is>
          <t>51</t>
        </is>
      </c>
      <c r="E257" t="inlineStr">
        <is>
          <t>Sha Sha - Shandaar Shawarma</t>
        </is>
      </c>
      <c r="F257" t="inlineStr">
        <is>
          <t>18557902</t>
        </is>
      </c>
      <c r="G257" t="inlineStr">
        <is>
          <t>30% off upto ₹75 (2025-06-25 - 2031-01-01)</t>
        </is>
      </c>
      <c r="H257" t="inlineStr">
        <is>
          <t>ONLINE</t>
        </is>
      </c>
      <c r="I257" t="inlineStr">
        <is>
          <t>DELIVERED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O2</t>
        </is>
      </c>
      <c r="N257" t="inlineStr">
        <is>
          <t>36</t>
        </is>
      </c>
      <c r="O257" t="n">
        <v>518</v>
      </c>
      <c r="P257" t="n">
        <v>3.5</v>
      </c>
      <c r="Q257" t="n">
        <v>0</v>
      </c>
      <c r="R257" t="n">
        <v>75</v>
      </c>
      <c r="S257" t="n">
        <v>0</v>
      </c>
      <c r="T257" t="n">
        <v>0</v>
      </c>
      <c r="U257" t="n">
        <v>0</v>
      </c>
      <c r="V257" t="n">
        <v>22.33</v>
      </c>
      <c r="W257" t="n">
        <v>468.83</v>
      </c>
      <c r="X257" t="n">
        <v>446.5</v>
      </c>
      <c r="Y257" t="n">
        <v>19</v>
      </c>
      <c r="Z257" t="n">
        <v>84.84</v>
      </c>
      <c r="AA257" t="n">
        <v>8.630000000000001</v>
      </c>
      <c r="AB257" t="n">
        <v>93.47</v>
      </c>
      <c r="AC257" t="n">
        <v>16.82</v>
      </c>
      <c r="AD257" t="n">
        <v>0</v>
      </c>
      <c r="AE257" t="n">
        <v>446.5</v>
      </c>
      <c r="AF257" t="n">
        <v>0</v>
      </c>
      <c r="AG257" t="n">
        <v>0</v>
      </c>
      <c r="AH257" t="n">
        <v>0.45</v>
      </c>
      <c r="AI257" t="n">
        <v>22.33</v>
      </c>
      <c r="AJ257" t="n">
        <v>0</v>
      </c>
      <c r="AK257" t="n">
        <v>39.6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133.07</v>
      </c>
      <c r="AV257" t="n">
        <v>0</v>
      </c>
      <c r="AW257" t="n">
        <v>335.76</v>
      </c>
      <c r="AX257" t="inlineStr">
        <is>
          <t>settled</t>
        </is>
      </c>
      <c r="AY257" t="inlineStr">
        <is>
          <t>NA</t>
        </is>
      </c>
      <c r="AZ257" t="inlineStr">
        <is>
          <t>NA</t>
        </is>
      </c>
      <c r="BA257" t="n">
        <v>0</v>
      </c>
      <c r="BB257" t="inlineStr">
        <is>
          <t>ce8e7528f58c02a36a1650508edda841e94d2a560477142046f21f38901fcfcb</t>
        </is>
      </c>
    </row>
    <row r="258">
      <c r="A258" t="inlineStr">
        <is>
          <t>942</t>
        </is>
      </c>
      <c r="B258" t="inlineStr">
        <is>
          <t>7599273027</t>
        </is>
      </c>
      <c r="C258" t="inlineStr">
        <is>
          <t>2025-12-20 04:01:16</t>
        </is>
      </c>
      <c r="D258" t="inlineStr">
        <is>
          <t>51</t>
        </is>
      </c>
      <c r="E258" t="inlineStr">
        <is>
          <t>Sha Sha - Shandaar Shawarma</t>
        </is>
      </c>
      <c r="F258" t="inlineStr">
        <is>
          <t>18557902</t>
        </is>
      </c>
      <c r="G258" t="inlineStr">
        <is>
          <t>30% off upto ₹75 (2025-06-25 - 2031-01-01)</t>
        </is>
      </c>
      <c r="H258" t="inlineStr">
        <is>
          <t>ONLINE</t>
        </is>
      </c>
      <c r="I258" t="inlineStr">
        <is>
          <t>DELIVERED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O2</t>
        </is>
      </c>
      <c r="N258" t="inlineStr">
        <is>
          <t>36</t>
        </is>
      </c>
      <c r="O258" t="n">
        <v>438</v>
      </c>
      <c r="P258" t="n">
        <v>3.5</v>
      </c>
      <c r="Q258" t="n">
        <v>0</v>
      </c>
      <c r="R258" t="n">
        <v>75</v>
      </c>
      <c r="S258" t="n">
        <v>0</v>
      </c>
      <c r="T258" t="n">
        <v>0</v>
      </c>
      <c r="U258" t="n">
        <v>0</v>
      </c>
      <c r="V258" t="n">
        <v>18.33</v>
      </c>
      <c r="W258" t="n">
        <v>384.83</v>
      </c>
      <c r="X258" t="n">
        <v>366.5</v>
      </c>
      <c r="Y258" t="n">
        <v>19</v>
      </c>
      <c r="Z258" t="n">
        <v>69.64</v>
      </c>
      <c r="AA258" t="n">
        <v>7.08</v>
      </c>
      <c r="AB258" t="n">
        <v>76.72</v>
      </c>
      <c r="AC258" t="n">
        <v>13.81</v>
      </c>
      <c r="AD258" t="n">
        <v>0</v>
      </c>
      <c r="AE258" t="n">
        <v>366.5</v>
      </c>
      <c r="AF258" t="n">
        <v>0</v>
      </c>
      <c r="AG258" t="n">
        <v>0</v>
      </c>
      <c r="AH258" t="n">
        <v>0.37</v>
      </c>
      <c r="AI258" t="n">
        <v>18.33</v>
      </c>
      <c r="AJ258" t="n">
        <v>0</v>
      </c>
      <c r="AK258" t="n">
        <v>32.51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109.23</v>
      </c>
      <c r="AV258" t="n">
        <v>0</v>
      </c>
      <c r="AW258" t="n">
        <v>275.6</v>
      </c>
      <c r="AX258" t="inlineStr">
        <is>
          <t>settled</t>
        </is>
      </c>
      <c r="AY258" t="inlineStr">
        <is>
          <t>NA</t>
        </is>
      </c>
      <c r="AZ258" t="inlineStr">
        <is>
          <t>NA</t>
        </is>
      </c>
      <c r="BA258" t="n">
        <v>0</v>
      </c>
      <c r="BB258" t="inlineStr">
        <is>
          <t>cb08f549ed13b2091a67a597e8e8f167a5f92309ac8a8c826ff9d1c40c4f3dcc</t>
        </is>
      </c>
    </row>
    <row r="259">
      <c r="A259" t="inlineStr">
        <is>
          <t>943</t>
        </is>
      </c>
      <c r="B259" t="inlineStr">
        <is>
          <t>7599609996</t>
        </is>
      </c>
      <c r="C259" t="inlineStr">
        <is>
          <t>2025-12-20 04:37:38</t>
        </is>
      </c>
      <c r="D259" t="inlineStr">
        <is>
          <t>51</t>
        </is>
      </c>
      <c r="E259" t="inlineStr">
        <is>
          <t>Sha Sha - Shandaar Shawarma</t>
        </is>
      </c>
      <c r="F259" t="inlineStr">
        <is>
          <t>18557902</t>
        </is>
      </c>
      <c r="G259" t="inlineStr">
        <is>
          <t>30% off upto ₹75 (2025-06-25 - 2031-01-01)</t>
        </is>
      </c>
      <c r="H259" t="inlineStr">
        <is>
          <t>ONLINE</t>
        </is>
      </c>
      <c r="I259" t="inlineStr">
        <is>
          <t>DELIVERED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O2</t>
        </is>
      </c>
      <c r="N259" t="inlineStr">
        <is>
          <t>36</t>
        </is>
      </c>
      <c r="O259" t="n">
        <v>229</v>
      </c>
      <c r="P259" t="n">
        <v>3.5</v>
      </c>
      <c r="Q259" t="n">
        <v>0</v>
      </c>
      <c r="R259" t="n">
        <v>68.7</v>
      </c>
      <c r="S259" t="n">
        <v>0</v>
      </c>
      <c r="T259" t="n">
        <v>0</v>
      </c>
      <c r="U259" t="n">
        <v>0</v>
      </c>
      <c r="V259" t="n">
        <v>8.19</v>
      </c>
      <c r="W259" t="n">
        <v>171.99</v>
      </c>
      <c r="X259" t="n">
        <v>163.8</v>
      </c>
      <c r="Y259" t="n">
        <v>19</v>
      </c>
      <c r="Z259" t="n">
        <v>31.12</v>
      </c>
      <c r="AA259" t="n">
        <v>3.16</v>
      </c>
      <c r="AB259" t="n">
        <v>34.28</v>
      </c>
      <c r="AC259" t="n">
        <v>6.17</v>
      </c>
      <c r="AD259" t="n">
        <v>0</v>
      </c>
      <c r="AE259" t="n">
        <v>163.8</v>
      </c>
      <c r="AF259" t="n">
        <v>0</v>
      </c>
      <c r="AG259" t="n">
        <v>0</v>
      </c>
      <c r="AH259" t="n">
        <v>0.16</v>
      </c>
      <c r="AI259" t="n">
        <v>8.199999999999999</v>
      </c>
      <c r="AJ259" t="n">
        <v>-0.01</v>
      </c>
      <c r="AK259" t="n">
        <v>14.53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48.81</v>
      </c>
      <c r="AV259" t="n">
        <v>0</v>
      </c>
      <c r="AW259" t="n">
        <v>123.18</v>
      </c>
      <c r="AX259" t="inlineStr">
        <is>
          <t>settled</t>
        </is>
      </c>
      <c r="AY259" t="inlineStr">
        <is>
          <t>NA</t>
        </is>
      </c>
      <c r="AZ259" t="inlineStr">
        <is>
          <t>NA</t>
        </is>
      </c>
      <c r="BA259" t="n">
        <v>0</v>
      </c>
      <c r="BB259" t="inlineStr">
        <is>
          <t>0ec203e2f5e36616f6124141afd7f4804a0b520a048b5d458807ae3ced75ba71</t>
        </is>
      </c>
    </row>
    <row r="260">
      <c r="A260" t="inlineStr">
        <is>
          <t>944</t>
        </is>
      </c>
      <c r="B260" t="inlineStr">
        <is>
          <t>7597698521</t>
        </is>
      </c>
      <c r="C260" t="inlineStr">
        <is>
          <t>2025-12-20 04:57:46</t>
        </is>
      </c>
      <c r="D260" t="inlineStr">
        <is>
          <t>51</t>
        </is>
      </c>
      <c r="E260" t="inlineStr">
        <is>
          <t>Sha Sha - Shandaar Shawarma</t>
        </is>
      </c>
      <c r="F260" t="inlineStr">
        <is>
          <t>18557902</t>
        </is>
      </c>
      <c r="G260" t="inlineStr">
        <is>
          <t>30% off upto ₹75 (2025-06-25 - 2031-01-01)</t>
        </is>
      </c>
      <c r="H260" t="inlineStr">
        <is>
          <t>ONLINE</t>
        </is>
      </c>
      <c r="I260" t="inlineStr">
        <is>
          <t>DELIVERED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O2</t>
        </is>
      </c>
      <c r="N260" t="inlineStr">
        <is>
          <t>36</t>
        </is>
      </c>
      <c r="O260" t="n">
        <v>229</v>
      </c>
      <c r="P260" t="n">
        <v>3.5</v>
      </c>
      <c r="Q260" t="n">
        <v>0</v>
      </c>
      <c r="R260" t="n">
        <v>68.7</v>
      </c>
      <c r="S260" t="n">
        <v>0</v>
      </c>
      <c r="T260" t="n">
        <v>0</v>
      </c>
      <c r="U260" t="n">
        <v>0</v>
      </c>
      <c r="V260" t="n">
        <v>8.19</v>
      </c>
      <c r="W260" t="n">
        <v>171.99</v>
      </c>
      <c r="X260" t="n">
        <v>163.8</v>
      </c>
      <c r="Y260" t="n">
        <v>19</v>
      </c>
      <c r="Z260" t="n">
        <v>31.12</v>
      </c>
      <c r="AA260" t="n">
        <v>3.16</v>
      </c>
      <c r="AB260" t="n">
        <v>34.28</v>
      </c>
      <c r="AC260" t="n">
        <v>6.17</v>
      </c>
      <c r="AD260" t="n">
        <v>0</v>
      </c>
      <c r="AE260" t="n">
        <v>163.8</v>
      </c>
      <c r="AF260" t="n">
        <v>0</v>
      </c>
      <c r="AG260" t="n">
        <v>0</v>
      </c>
      <c r="AH260" t="n">
        <v>0.16</v>
      </c>
      <c r="AI260" t="n">
        <v>8.199999999999999</v>
      </c>
      <c r="AJ260" t="n">
        <v>-0.01</v>
      </c>
      <c r="AK260" t="n">
        <v>14.53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48.81</v>
      </c>
      <c r="AV260" t="n">
        <v>0</v>
      </c>
      <c r="AW260" t="n">
        <v>123.18</v>
      </c>
      <c r="AX260" t="inlineStr">
        <is>
          <t>settled</t>
        </is>
      </c>
      <c r="AY260" t="inlineStr">
        <is>
          <t>NA</t>
        </is>
      </c>
      <c r="AZ260" t="inlineStr">
        <is>
          <t>NA</t>
        </is>
      </c>
      <c r="BA260" t="n">
        <v>0</v>
      </c>
      <c r="BB260" t="inlineStr">
        <is>
          <t>7e20eb553e5ac4d40bbea25ff1a6381ba7b31a717e246df3e9ba04c7d5d85695</t>
        </is>
      </c>
    </row>
    <row r="261">
      <c r="A261" t="inlineStr">
        <is>
          <t>945</t>
        </is>
      </c>
      <c r="B261" t="inlineStr">
        <is>
          <t>7588716835</t>
        </is>
      </c>
      <c r="C261" t="inlineStr">
        <is>
          <t>2025-12-20 09:17:57</t>
        </is>
      </c>
      <c r="D261" t="inlineStr">
        <is>
          <t>51</t>
        </is>
      </c>
      <c r="E261" t="inlineStr">
        <is>
          <t>Sha Sha - Shandaar Shawarma</t>
        </is>
      </c>
      <c r="F261" t="inlineStr">
        <is>
          <t>18557902</t>
        </is>
      </c>
      <c r="G261" t="inlineStr">
        <is>
          <t>30% off upto ₹75 (2025-06-25 - 2031-01-01)</t>
        </is>
      </c>
      <c r="H261" t="inlineStr">
        <is>
          <t>ONLINE</t>
        </is>
      </c>
      <c r="I261" t="inlineStr">
        <is>
          <t>DELIVERED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O2</t>
        </is>
      </c>
      <c r="N261" t="inlineStr">
        <is>
          <t>36</t>
        </is>
      </c>
      <c r="O261" t="n">
        <v>229</v>
      </c>
      <c r="P261" t="n">
        <v>3.5</v>
      </c>
      <c r="Q261" t="n">
        <v>0</v>
      </c>
      <c r="R261" t="n">
        <v>68.7</v>
      </c>
      <c r="S261" t="n">
        <v>0</v>
      </c>
      <c r="T261" t="n">
        <v>0</v>
      </c>
      <c r="U261" t="n">
        <v>0</v>
      </c>
      <c r="V261" t="n">
        <v>8.19</v>
      </c>
      <c r="W261" t="n">
        <v>171.99</v>
      </c>
      <c r="X261" t="n">
        <v>163.8</v>
      </c>
      <c r="Y261" t="n">
        <v>19</v>
      </c>
      <c r="Z261" t="n">
        <v>31.12</v>
      </c>
      <c r="AA261" t="n">
        <v>3.16</v>
      </c>
      <c r="AB261" t="n">
        <v>34.28</v>
      </c>
      <c r="AC261" t="n">
        <v>6.17</v>
      </c>
      <c r="AD261" t="n">
        <v>0</v>
      </c>
      <c r="AE261" t="n">
        <v>163.8</v>
      </c>
      <c r="AF261" t="n">
        <v>0</v>
      </c>
      <c r="AG261" t="n">
        <v>0</v>
      </c>
      <c r="AH261" t="n">
        <v>0.16</v>
      </c>
      <c r="AI261" t="n">
        <v>8.199999999999999</v>
      </c>
      <c r="AJ261" t="n">
        <v>-0.01</v>
      </c>
      <c r="AK261" t="n">
        <v>14.53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48.81</v>
      </c>
      <c r="AV261" t="n">
        <v>0</v>
      </c>
      <c r="AW261" t="n">
        <v>123.18</v>
      </c>
      <c r="AX261" t="inlineStr">
        <is>
          <t>settled</t>
        </is>
      </c>
      <c r="AY261" t="inlineStr">
        <is>
          <t>NA</t>
        </is>
      </c>
      <c r="AZ261" t="inlineStr">
        <is>
          <t>NA</t>
        </is>
      </c>
      <c r="BA261" t="n">
        <v>0</v>
      </c>
      <c r="BB261" t="inlineStr">
        <is>
          <t>5c9a917ceee87e24908faac922b817beae5fcef9b862879e65925656c1ab7125</t>
        </is>
      </c>
    </row>
    <row r="262">
      <c r="A262" t="inlineStr">
        <is>
          <t>946</t>
        </is>
      </c>
      <c r="B262" t="inlineStr">
        <is>
          <t>7599597727</t>
        </is>
      </c>
      <c r="C262" t="inlineStr">
        <is>
          <t>2025-12-20 11:29:18</t>
        </is>
      </c>
      <c r="D262" t="inlineStr">
        <is>
          <t>51</t>
        </is>
      </c>
      <c r="E262" t="inlineStr">
        <is>
          <t>Sha Sha - Shandaar Shawarma</t>
        </is>
      </c>
      <c r="F262" t="inlineStr">
        <is>
          <t>18557902</t>
        </is>
      </c>
      <c r="G262" t="inlineStr">
        <is>
          <t>30% off upto ₹75 (2025-06-25 - 2031-01-01)</t>
        </is>
      </c>
      <c r="H262" t="inlineStr">
        <is>
          <t>ONLINE</t>
        </is>
      </c>
      <c r="I262" t="inlineStr">
        <is>
          <t>DELIVERED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O2</t>
        </is>
      </c>
      <c r="N262" t="inlineStr">
        <is>
          <t>36</t>
        </is>
      </c>
      <c r="O262" t="n">
        <v>407</v>
      </c>
      <c r="P262" t="n">
        <v>3.5</v>
      </c>
      <c r="Q262" t="n">
        <v>0</v>
      </c>
      <c r="R262" t="n">
        <v>75</v>
      </c>
      <c r="S262" t="n">
        <v>0</v>
      </c>
      <c r="T262" t="n">
        <v>0</v>
      </c>
      <c r="U262" t="n">
        <v>0</v>
      </c>
      <c r="V262" t="n">
        <v>16.78</v>
      </c>
      <c r="W262" t="n">
        <v>352.28</v>
      </c>
      <c r="X262" t="n">
        <v>335.5</v>
      </c>
      <c r="Y262" t="n">
        <v>19</v>
      </c>
      <c r="Z262" t="n">
        <v>63.74</v>
      </c>
      <c r="AA262" t="n">
        <v>6.48</v>
      </c>
      <c r="AB262" t="n">
        <v>70.22</v>
      </c>
      <c r="AC262" t="n">
        <v>12.64</v>
      </c>
      <c r="AD262" t="n">
        <v>0</v>
      </c>
      <c r="AE262" t="n">
        <v>335.5</v>
      </c>
      <c r="AF262" t="n">
        <v>0</v>
      </c>
      <c r="AG262" t="n">
        <v>0</v>
      </c>
      <c r="AH262" t="n">
        <v>0.34</v>
      </c>
      <c r="AI262" t="n">
        <v>16.78</v>
      </c>
      <c r="AJ262" t="n">
        <v>0</v>
      </c>
      <c r="AK262" t="n">
        <v>29.76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99.98</v>
      </c>
      <c r="AV262" t="n">
        <v>0</v>
      </c>
      <c r="AW262" t="n">
        <v>252.3</v>
      </c>
      <c r="AX262" t="inlineStr">
        <is>
          <t>settled</t>
        </is>
      </c>
      <c r="AY262" t="inlineStr">
        <is>
          <t>NA</t>
        </is>
      </c>
      <c r="AZ262" t="inlineStr">
        <is>
          <t>NA</t>
        </is>
      </c>
      <c r="BA262" t="n">
        <v>0</v>
      </c>
      <c r="BB262" t="inlineStr">
        <is>
          <t>d7c8b64754fcbc3aa6cf2135d0a23660b9bb85f7200fc0b5161e9796861106a6</t>
        </is>
      </c>
    </row>
    <row r="263">
      <c r="A263" t="inlineStr">
        <is>
          <t>947</t>
        </is>
      </c>
      <c r="B263" t="inlineStr">
        <is>
          <t>7601187933</t>
        </is>
      </c>
      <c r="C263" t="inlineStr">
        <is>
          <t>2025-12-20 12:52:20</t>
        </is>
      </c>
      <c r="D263" t="inlineStr">
        <is>
          <t>51</t>
        </is>
      </c>
      <c r="E263" t="inlineStr">
        <is>
          <t>Sha Sha - Shandaar Shawarma</t>
        </is>
      </c>
      <c r="F263" t="inlineStr">
        <is>
          <t>18557902</t>
        </is>
      </c>
      <c r="G263" t="inlineStr">
        <is>
          <t>30% off upto ₹75 (2025-06-25 - 2031-01-01)</t>
        </is>
      </c>
      <c r="H263" t="inlineStr">
        <is>
          <t>ONLINE</t>
        </is>
      </c>
      <c r="I263" t="inlineStr">
        <is>
          <t>DELIVERED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O2</t>
        </is>
      </c>
      <c r="N263" t="inlineStr">
        <is>
          <t>36</t>
        </is>
      </c>
      <c r="O263" t="n">
        <v>219</v>
      </c>
      <c r="P263" t="n">
        <v>3.5</v>
      </c>
      <c r="Q263" t="n">
        <v>0</v>
      </c>
      <c r="R263" t="n">
        <v>65.7</v>
      </c>
      <c r="S263" t="n">
        <v>0</v>
      </c>
      <c r="T263" t="n">
        <v>0</v>
      </c>
      <c r="U263" t="n">
        <v>0</v>
      </c>
      <c r="V263" t="n">
        <v>7.84</v>
      </c>
      <c r="W263" t="n">
        <v>164.64</v>
      </c>
      <c r="X263" t="n">
        <v>156.8</v>
      </c>
      <c r="Y263" t="n">
        <v>19</v>
      </c>
      <c r="Z263" t="n">
        <v>29.79</v>
      </c>
      <c r="AA263" t="n">
        <v>3.03</v>
      </c>
      <c r="AB263" t="n">
        <v>32.82</v>
      </c>
      <c r="AC263" t="n">
        <v>5.91</v>
      </c>
      <c r="AD263" t="n">
        <v>0</v>
      </c>
      <c r="AE263" t="n">
        <v>156.8</v>
      </c>
      <c r="AF263" t="n">
        <v>0</v>
      </c>
      <c r="AG263" t="n">
        <v>0</v>
      </c>
      <c r="AH263" t="n">
        <v>0.16</v>
      </c>
      <c r="AI263" t="n">
        <v>7.85</v>
      </c>
      <c r="AJ263" t="n">
        <v>-0.01</v>
      </c>
      <c r="AK263" t="n">
        <v>13.92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46.74</v>
      </c>
      <c r="AV263" t="n">
        <v>0</v>
      </c>
      <c r="AW263" t="n">
        <v>117.9</v>
      </c>
      <c r="AX263" t="inlineStr">
        <is>
          <t>settled</t>
        </is>
      </c>
      <c r="AY263" t="inlineStr">
        <is>
          <t>NA</t>
        </is>
      </c>
      <c r="AZ263" t="inlineStr">
        <is>
          <t>NA</t>
        </is>
      </c>
      <c r="BA263" t="n">
        <v>0</v>
      </c>
      <c r="BB263" t="inlineStr">
        <is>
          <t>bf352b272b05b97463afd823a7ce80adae48be1b15adf2b1aa4fc745aa5123f1</t>
        </is>
      </c>
    </row>
    <row r="264">
      <c r="A264" t="inlineStr">
        <is>
          <t>948</t>
        </is>
      </c>
      <c r="B264" t="inlineStr">
        <is>
          <t>7597517060</t>
        </is>
      </c>
      <c r="C264" t="inlineStr">
        <is>
          <t>2025-12-20 12:58:18</t>
        </is>
      </c>
      <c r="D264" t="inlineStr">
        <is>
          <t>51</t>
        </is>
      </c>
      <c r="E264" t="inlineStr">
        <is>
          <t>Sha Sha - Shandaar Shawarma</t>
        </is>
      </c>
      <c r="F264" t="inlineStr">
        <is>
          <t>18557902</t>
        </is>
      </c>
      <c r="G264" t="inlineStr">
        <is>
          <t>30% off upto ₹75 (2025-06-25 - 2031-01-01)</t>
        </is>
      </c>
      <c r="H264" t="inlineStr">
        <is>
          <t>ONLINE</t>
        </is>
      </c>
      <c r="I264" t="inlineStr">
        <is>
          <t>DELIVERED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O2</t>
        </is>
      </c>
      <c r="N264" t="inlineStr">
        <is>
          <t>36</t>
        </is>
      </c>
      <c r="O264" t="n">
        <v>219</v>
      </c>
      <c r="P264" t="n">
        <v>3.5</v>
      </c>
      <c r="Q264" t="n">
        <v>0</v>
      </c>
      <c r="R264" t="n">
        <v>65.7</v>
      </c>
      <c r="S264" t="n">
        <v>0</v>
      </c>
      <c r="T264" t="n">
        <v>0</v>
      </c>
      <c r="U264" t="n">
        <v>0</v>
      </c>
      <c r="V264" t="n">
        <v>7.84</v>
      </c>
      <c r="W264" t="n">
        <v>164.64</v>
      </c>
      <c r="X264" t="n">
        <v>156.8</v>
      </c>
      <c r="Y264" t="n">
        <v>19</v>
      </c>
      <c r="Z264" t="n">
        <v>29.79</v>
      </c>
      <c r="AA264" t="n">
        <v>3.03</v>
      </c>
      <c r="AB264" t="n">
        <v>32.82</v>
      </c>
      <c r="AC264" t="n">
        <v>5.91</v>
      </c>
      <c r="AD264" t="n">
        <v>0</v>
      </c>
      <c r="AE264" t="n">
        <v>156.8</v>
      </c>
      <c r="AF264" t="n">
        <v>0</v>
      </c>
      <c r="AG264" t="n">
        <v>0</v>
      </c>
      <c r="AH264" t="n">
        <v>0.16</v>
      </c>
      <c r="AI264" t="n">
        <v>7.85</v>
      </c>
      <c r="AJ264" t="n">
        <v>-0.01</v>
      </c>
      <c r="AK264" t="n">
        <v>13.92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46.74</v>
      </c>
      <c r="AV264" t="n">
        <v>0</v>
      </c>
      <c r="AW264" t="n">
        <v>117.9</v>
      </c>
      <c r="AX264" t="inlineStr">
        <is>
          <t>settled</t>
        </is>
      </c>
      <c r="AY264" t="inlineStr">
        <is>
          <t>NA</t>
        </is>
      </c>
      <c r="AZ264" t="inlineStr">
        <is>
          <t>NA</t>
        </is>
      </c>
      <c r="BA264" t="n">
        <v>0</v>
      </c>
      <c r="BB264" t="inlineStr">
        <is>
          <t>20e25253fe66dd830c1c58bfb169ccea17c6173297ba78f4ce00be31558b32b7</t>
        </is>
      </c>
    </row>
    <row r="265">
      <c r="A265" t="inlineStr">
        <is>
          <t>949</t>
        </is>
      </c>
      <c r="B265" t="inlineStr">
        <is>
          <t>7593801086</t>
        </is>
      </c>
      <c r="C265" t="inlineStr">
        <is>
          <t>2025-12-20 14:17:02</t>
        </is>
      </c>
      <c r="D265" t="inlineStr">
        <is>
          <t>51</t>
        </is>
      </c>
      <c r="E265" t="inlineStr">
        <is>
          <t>Sha Sha - Shandaar Shawarma</t>
        </is>
      </c>
      <c r="F265" t="inlineStr">
        <is>
          <t>18557902</t>
        </is>
      </c>
      <c r="G265" t="inlineStr">
        <is>
          <t>NA</t>
        </is>
      </c>
      <c r="H265" t="inlineStr">
        <is>
          <t>ONLINE</t>
        </is>
      </c>
      <c r="I265" t="inlineStr">
        <is>
          <t>DELIVERED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O2</t>
        </is>
      </c>
      <c r="N265" t="inlineStr">
        <is>
          <t>36</t>
        </is>
      </c>
      <c r="O265" t="n">
        <v>458</v>
      </c>
      <c r="P265" t="n">
        <v>3.5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23.08</v>
      </c>
      <c r="W265" t="n">
        <v>484.58</v>
      </c>
      <c r="X265" t="n">
        <v>461.5</v>
      </c>
      <c r="Y265" t="n">
        <v>19</v>
      </c>
      <c r="Z265" t="n">
        <v>87.68000000000001</v>
      </c>
      <c r="AA265" t="n">
        <v>8.92</v>
      </c>
      <c r="AB265" t="n">
        <v>96.59999999999999</v>
      </c>
      <c r="AC265" t="n">
        <v>17.39</v>
      </c>
      <c r="AD265" t="n">
        <v>0</v>
      </c>
      <c r="AE265" t="n">
        <v>461.5</v>
      </c>
      <c r="AF265" t="n">
        <v>0</v>
      </c>
      <c r="AG265" t="n">
        <v>0</v>
      </c>
      <c r="AH265" t="n">
        <v>0.46</v>
      </c>
      <c r="AI265" t="n">
        <v>23.08</v>
      </c>
      <c r="AJ265" t="n">
        <v>0</v>
      </c>
      <c r="AK265" t="n">
        <v>40.93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137.53</v>
      </c>
      <c r="AV265" t="n">
        <v>0</v>
      </c>
      <c r="AW265" t="n">
        <v>347.05</v>
      </c>
      <c r="AX265" t="inlineStr">
        <is>
          <t>settled</t>
        </is>
      </c>
      <c r="AY265" t="inlineStr">
        <is>
          <t>NA</t>
        </is>
      </c>
      <c r="AZ265" t="inlineStr">
        <is>
          <t>NA</t>
        </is>
      </c>
      <c r="BA265" t="n">
        <v>0</v>
      </c>
      <c r="BB265" t="inlineStr">
        <is>
          <t>36edc78a34b5452ee40af04f800c8e64a7e889676771f468557e32bf43b4bc88</t>
        </is>
      </c>
    </row>
    <row r="266">
      <c r="A266" t="inlineStr">
        <is>
          <t>950</t>
        </is>
      </c>
      <c r="B266" t="inlineStr">
        <is>
          <t>7602030869</t>
        </is>
      </c>
      <c r="C266" t="inlineStr">
        <is>
          <t>2025-12-20 14:44:29</t>
        </is>
      </c>
      <c r="D266" t="inlineStr">
        <is>
          <t>51</t>
        </is>
      </c>
      <c r="E266" t="inlineStr">
        <is>
          <t>Sha Sha - Shandaar Shawarma</t>
        </is>
      </c>
      <c r="F266" t="inlineStr">
        <is>
          <t>18557902</t>
        </is>
      </c>
      <c r="G266" t="inlineStr">
        <is>
          <t>30% off upto ₹75 (2025-06-25 - 2031-01-01)</t>
        </is>
      </c>
      <c r="H266" t="inlineStr">
        <is>
          <t>ONLINE</t>
        </is>
      </c>
      <c r="I266" t="inlineStr">
        <is>
          <t>DELIVERED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O2</t>
        </is>
      </c>
      <c r="N266" t="inlineStr">
        <is>
          <t>36</t>
        </is>
      </c>
      <c r="O266" t="n">
        <v>436</v>
      </c>
      <c r="P266" t="n">
        <v>3.5</v>
      </c>
      <c r="Q266" t="n">
        <v>0</v>
      </c>
      <c r="R266" t="n">
        <v>75</v>
      </c>
      <c r="S266" t="n">
        <v>0</v>
      </c>
      <c r="T266" t="n">
        <v>0</v>
      </c>
      <c r="U266" t="n">
        <v>0</v>
      </c>
      <c r="V266" t="n">
        <v>18.23</v>
      </c>
      <c r="W266" t="n">
        <v>382.73</v>
      </c>
      <c r="X266" t="n">
        <v>364.5</v>
      </c>
      <c r="Y266" t="n">
        <v>19</v>
      </c>
      <c r="Z266" t="n">
        <v>69.26000000000001</v>
      </c>
      <c r="AA266" t="n">
        <v>7.04</v>
      </c>
      <c r="AB266" t="n">
        <v>76.3</v>
      </c>
      <c r="AC266" t="n">
        <v>13.74</v>
      </c>
      <c r="AD266" t="n">
        <v>0</v>
      </c>
      <c r="AE266" t="n">
        <v>364.5</v>
      </c>
      <c r="AF266" t="n">
        <v>0</v>
      </c>
      <c r="AG266" t="n">
        <v>0</v>
      </c>
      <c r="AH266" t="n">
        <v>0.36</v>
      </c>
      <c r="AI266" t="n">
        <v>18.23</v>
      </c>
      <c r="AJ266" t="n">
        <v>0</v>
      </c>
      <c r="AK266" t="n">
        <v>32.33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108.63</v>
      </c>
      <c r="AV266" t="n">
        <v>0</v>
      </c>
      <c r="AW266" t="n">
        <v>274.1</v>
      </c>
      <c r="AX266" t="inlineStr">
        <is>
          <t>settled</t>
        </is>
      </c>
      <c r="AY266" t="inlineStr">
        <is>
          <t>NA</t>
        </is>
      </c>
      <c r="AZ266" t="inlineStr">
        <is>
          <t>NA</t>
        </is>
      </c>
      <c r="BA266" t="n">
        <v>0</v>
      </c>
      <c r="BB266" t="inlineStr">
        <is>
          <t>dd0595b92e7bb1d400ce70a4e4f0f7dab485afd208f64731215de46679f46bff</t>
        </is>
      </c>
    </row>
    <row r="267">
      <c r="A267" t="inlineStr">
        <is>
          <t>951</t>
        </is>
      </c>
      <c r="B267" t="inlineStr">
        <is>
          <t>7599701216</t>
        </is>
      </c>
      <c r="C267" t="inlineStr">
        <is>
          <t>2025-12-20 14:50:22</t>
        </is>
      </c>
      <c r="D267" t="inlineStr">
        <is>
          <t>51</t>
        </is>
      </c>
      <c r="E267" t="inlineStr">
        <is>
          <t>Sha Sha - Shandaar Shawarma</t>
        </is>
      </c>
      <c r="F267" t="inlineStr">
        <is>
          <t>18557902</t>
        </is>
      </c>
      <c r="G267" t="inlineStr">
        <is>
          <t>30% off upto ₹75 (2025-06-25 - 2031-01-01)</t>
        </is>
      </c>
      <c r="H267" t="inlineStr">
        <is>
          <t>ONLINE</t>
        </is>
      </c>
      <c r="I267" t="inlineStr">
        <is>
          <t>DELIVERED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O2</t>
        </is>
      </c>
      <c r="N267" t="inlineStr">
        <is>
          <t>36</t>
        </is>
      </c>
      <c r="O267" t="n">
        <v>229</v>
      </c>
      <c r="P267" t="n">
        <v>3.5</v>
      </c>
      <c r="Q267" t="n">
        <v>0</v>
      </c>
      <c r="R267" t="n">
        <v>68.7</v>
      </c>
      <c r="S267" t="n">
        <v>0</v>
      </c>
      <c r="T267" t="n">
        <v>0</v>
      </c>
      <c r="U267" t="n">
        <v>0</v>
      </c>
      <c r="V267" t="n">
        <v>8.19</v>
      </c>
      <c r="W267" t="n">
        <v>171.99</v>
      </c>
      <c r="X267" t="n">
        <v>163.8</v>
      </c>
      <c r="Y267" t="n">
        <v>19</v>
      </c>
      <c r="Z267" t="n">
        <v>31.12</v>
      </c>
      <c r="AA267" t="n">
        <v>3.16</v>
      </c>
      <c r="AB267" t="n">
        <v>34.28</v>
      </c>
      <c r="AC267" t="n">
        <v>6.17</v>
      </c>
      <c r="AD267" t="n">
        <v>0</v>
      </c>
      <c r="AE267" t="n">
        <v>163.8</v>
      </c>
      <c r="AF267" t="n">
        <v>0</v>
      </c>
      <c r="AG267" t="n">
        <v>0</v>
      </c>
      <c r="AH267" t="n">
        <v>0.16</v>
      </c>
      <c r="AI267" t="n">
        <v>8.199999999999999</v>
      </c>
      <c r="AJ267" t="n">
        <v>-0.01</v>
      </c>
      <c r="AK267" t="n">
        <v>14.53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48.81</v>
      </c>
      <c r="AV267" t="n">
        <v>0</v>
      </c>
      <c r="AW267" t="n">
        <v>123.18</v>
      </c>
      <c r="AX267" t="inlineStr">
        <is>
          <t>settled</t>
        </is>
      </c>
      <c r="AY267" t="inlineStr">
        <is>
          <t>NA</t>
        </is>
      </c>
      <c r="AZ267" t="inlineStr">
        <is>
          <t>NA</t>
        </is>
      </c>
      <c r="BA267" t="n">
        <v>0</v>
      </c>
      <c r="BB267" t="inlineStr">
        <is>
          <t>83e46add402504404b04c002e30401b109f5d45fec613eddd2836ed0911bcdb9</t>
        </is>
      </c>
    </row>
    <row r="268">
      <c r="A268" t="inlineStr">
        <is>
          <t>952</t>
        </is>
      </c>
      <c r="B268" t="inlineStr">
        <is>
          <t>7599557356</t>
        </is>
      </c>
      <c r="C268" t="inlineStr">
        <is>
          <t>2025-12-20 15:02:12</t>
        </is>
      </c>
      <c r="D268" t="inlineStr">
        <is>
          <t>51</t>
        </is>
      </c>
      <c r="E268" t="inlineStr">
        <is>
          <t>Sha Sha - Shandaar Shawarma</t>
        </is>
      </c>
      <c r="F268" t="inlineStr">
        <is>
          <t>18557902</t>
        </is>
      </c>
      <c r="G268" t="inlineStr">
        <is>
          <t>NA</t>
        </is>
      </c>
      <c r="H268" t="inlineStr">
        <is>
          <t>ONLINE</t>
        </is>
      </c>
      <c r="I268" t="inlineStr">
        <is>
          <t>DELIVERED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O2</t>
        </is>
      </c>
      <c r="N268" t="inlineStr">
        <is>
          <t>36</t>
        </is>
      </c>
      <c r="O268" t="n">
        <v>289</v>
      </c>
      <c r="P268" t="n">
        <v>3.5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14.63</v>
      </c>
      <c r="W268" t="n">
        <v>307.13</v>
      </c>
      <c r="X268" t="n">
        <v>292.5</v>
      </c>
      <c r="Y268" t="n">
        <v>19</v>
      </c>
      <c r="Z268" t="n">
        <v>55.58</v>
      </c>
      <c r="AA268" t="n">
        <v>5.65</v>
      </c>
      <c r="AB268" t="n">
        <v>61.23</v>
      </c>
      <c r="AC268" t="n">
        <v>11.02</v>
      </c>
      <c r="AD268" t="n">
        <v>0</v>
      </c>
      <c r="AE268" t="n">
        <v>292.5</v>
      </c>
      <c r="AF268" t="n">
        <v>0</v>
      </c>
      <c r="AG268" t="n">
        <v>0</v>
      </c>
      <c r="AH268" t="n">
        <v>0.29</v>
      </c>
      <c r="AI268" t="n">
        <v>14.63</v>
      </c>
      <c r="AJ268" t="n">
        <v>0</v>
      </c>
      <c r="AK268" t="n">
        <v>25.94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87.17</v>
      </c>
      <c r="AV268" t="n">
        <v>0</v>
      </c>
      <c r="AW268" t="n">
        <v>219.96</v>
      </c>
      <c r="AX268" t="inlineStr">
        <is>
          <t>settled</t>
        </is>
      </c>
      <c r="AY268" t="inlineStr">
        <is>
          <t>NA</t>
        </is>
      </c>
      <c r="AZ268" t="inlineStr">
        <is>
          <t>NA</t>
        </is>
      </c>
      <c r="BA268" t="n">
        <v>0</v>
      </c>
      <c r="BB268" t="inlineStr">
        <is>
          <t>30376594deb4fe746c86b033f2f3f752382e0849ee9ac9238bf1b15f33bbccb3</t>
        </is>
      </c>
    </row>
    <row r="269">
      <c r="A269" t="inlineStr">
        <is>
          <t>953</t>
        </is>
      </c>
      <c r="B269" t="inlineStr">
        <is>
          <t>7586270653</t>
        </is>
      </c>
      <c r="C269" t="inlineStr">
        <is>
          <t>2025-12-20 15:07:45</t>
        </is>
      </c>
      <c r="D269" t="inlineStr">
        <is>
          <t>51</t>
        </is>
      </c>
      <c r="E269" t="inlineStr">
        <is>
          <t>Sha Sha - Shandaar Shawarma</t>
        </is>
      </c>
      <c r="F269" t="inlineStr">
        <is>
          <t>18557902</t>
        </is>
      </c>
      <c r="G269" t="inlineStr">
        <is>
          <t>NA</t>
        </is>
      </c>
      <c r="H269" t="inlineStr">
        <is>
          <t>ONLINE</t>
        </is>
      </c>
      <c r="I269" t="inlineStr">
        <is>
          <t>DELIVERED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O2</t>
        </is>
      </c>
      <c r="N269" t="inlineStr">
        <is>
          <t>36</t>
        </is>
      </c>
      <c r="O269" t="n">
        <v>229</v>
      </c>
      <c r="P269" t="n">
        <v>3.5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11.63</v>
      </c>
      <c r="W269" t="n">
        <v>244.13</v>
      </c>
      <c r="X269" t="n">
        <v>232.5</v>
      </c>
      <c r="Y269" t="n">
        <v>19</v>
      </c>
      <c r="Z269" t="n">
        <v>44.18</v>
      </c>
      <c r="AA269" t="n">
        <v>4.49</v>
      </c>
      <c r="AB269" t="n">
        <v>48.67</v>
      </c>
      <c r="AC269" t="n">
        <v>8.76</v>
      </c>
      <c r="AD269" t="n">
        <v>0</v>
      </c>
      <c r="AE269" t="n">
        <v>232.5</v>
      </c>
      <c r="AF269" t="n">
        <v>0</v>
      </c>
      <c r="AG269" t="n">
        <v>0</v>
      </c>
      <c r="AH269" t="n">
        <v>0.23</v>
      </c>
      <c r="AI269" t="n">
        <v>11.63</v>
      </c>
      <c r="AJ269" t="n">
        <v>0</v>
      </c>
      <c r="AK269" t="n">
        <v>20.62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69.29000000000001</v>
      </c>
      <c r="AV269" t="n">
        <v>0</v>
      </c>
      <c r="AW269" t="n">
        <v>174.84</v>
      </c>
      <c r="AX269" t="inlineStr">
        <is>
          <t>settled</t>
        </is>
      </c>
      <c r="AY269" t="inlineStr">
        <is>
          <t>NA</t>
        </is>
      </c>
      <c r="AZ269" t="inlineStr">
        <is>
          <t>NA</t>
        </is>
      </c>
      <c r="BA269" t="n">
        <v>0</v>
      </c>
      <c r="BB269" t="inlineStr">
        <is>
          <t>fb7198dddc371545ec36432b9c20ca7838b6c7e34238cbd873adcc2f78359803</t>
        </is>
      </c>
    </row>
    <row r="270">
      <c r="A270" t="inlineStr">
        <is>
          <t>954</t>
        </is>
      </c>
      <c r="B270" t="inlineStr">
        <is>
          <t>7599569759</t>
        </is>
      </c>
      <c r="C270" t="inlineStr">
        <is>
          <t>2025-12-20 15:20:02</t>
        </is>
      </c>
      <c r="D270" t="inlineStr">
        <is>
          <t>51</t>
        </is>
      </c>
      <c r="E270" t="inlineStr">
        <is>
          <t>Sha Sha - Shandaar Shawarma</t>
        </is>
      </c>
      <c r="F270" t="inlineStr">
        <is>
          <t>18557902</t>
        </is>
      </c>
      <c r="G270" t="inlineStr">
        <is>
          <t>30% off upto ₹75 (2025-06-25 - 2031-01-01)</t>
        </is>
      </c>
      <c r="H270" t="inlineStr">
        <is>
          <t>ONLINE</t>
        </is>
      </c>
      <c r="I270" t="inlineStr">
        <is>
          <t>DELIVERED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O2</t>
        </is>
      </c>
      <c r="N270" t="inlineStr">
        <is>
          <t>36</t>
        </is>
      </c>
      <c r="O270" t="n">
        <v>219</v>
      </c>
      <c r="P270" t="n">
        <v>3.5</v>
      </c>
      <c r="Q270" t="n">
        <v>0</v>
      </c>
      <c r="R270" t="n">
        <v>65.7</v>
      </c>
      <c r="S270" t="n">
        <v>0</v>
      </c>
      <c r="T270" t="n">
        <v>0</v>
      </c>
      <c r="U270" t="n">
        <v>0</v>
      </c>
      <c r="V270" t="n">
        <v>7.84</v>
      </c>
      <c r="W270" t="n">
        <v>164.64</v>
      </c>
      <c r="X270" t="n">
        <v>156.8</v>
      </c>
      <c r="Y270" t="n">
        <v>19</v>
      </c>
      <c r="Z270" t="n">
        <v>29.79</v>
      </c>
      <c r="AA270" t="n">
        <v>3.03</v>
      </c>
      <c r="AB270" t="n">
        <v>32.82</v>
      </c>
      <c r="AC270" t="n">
        <v>5.91</v>
      </c>
      <c r="AD270" t="n">
        <v>0</v>
      </c>
      <c r="AE270" t="n">
        <v>156.8</v>
      </c>
      <c r="AF270" t="n">
        <v>0</v>
      </c>
      <c r="AG270" t="n">
        <v>0</v>
      </c>
      <c r="AH270" t="n">
        <v>0.16</v>
      </c>
      <c r="AI270" t="n">
        <v>7.85</v>
      </c>
      <c r="AJ270" t="n">
        <v>-0.01</v>
      </c>
      <c r="AK270" t="n">
        <v>13.92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46.74</v>
      </c>
      <c r="AV270" t="n">
        <v>0</v>
      </c>
      <c r="AW270" t="n">
        <v>117.9</v>
      </c>
      <c r="AX270" t="inlineStr">
        <is>
          <t>settled</t>
        </is>
      </c>
      <c r="AY270" t="inlineStr">
        <is>
          <t>NA</t>
        </is>
      </c>
      <c r="AZ270" t="inlineStr">
        <is>
          <t>NA</t>
        </is>
      </c>
      <c r="BA270" t="n">
        <v>0</v>
      </c>
      <c r="BB270" t="inlineStr">
        <is>
          <t>36edc78a34b5452ee40af04f800c8e64a7e889676771f468557e32bf43b4bc88</t>
        </is>
      </c>
    </row>
    <row r="271">
      <c r="A271" t="inlineStr">
        <is>
          <t>955</t>
        </is>
      </c>
      <c r="B271" t="inlineStr">
        <is>
          <t>7600791768</t>
        </is>
      </c>
      <c r="C271" t="inlineStr">
        <is>
          <t>2025-12-20 15:40:49</t>
        </is>
      </c>
      <c r="D271" t="inlineStr">
        <is>
          <t>51</t>
        </is>
      </c>
      <c r="E271" t="inlineStr">
        <is>
          <t>Sha Sha - Shandaar Shawarma</t>
        </is>
      </c>
      <c r="F271" t="inlineStr">
        <is>
          <t>18557902</t>
        </is>
      </c>
      <c r="G271" t="inlineStr">
        <is>
          <t>NA</t>
        </is>
      </c>
      <c r="H271" t="inlineStr">
        <is>
          <t>ONLINE</t>
        </is>
      </c>
      <c r="I271" t="inlineStr">
        <is>
          <t>DELIVERED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O2</t>
        </is>
      </c>
      <c r="N271" t="inlineStr">
        <is>
          <t>36</t>
        </is>
      </c>
      <c r="O271" t="n">
        <v>654</v>
      </c>
      <c r="P271" t="n">
        <v>3.5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32.88</v>
      </c>
      <c r="W271" t="n">
        <v>690.38</v>
      </c>
      <c r="X271" t="n">
        <v>657.5</v>
      </c>
      <c r="Y271" t="n">
        <v>19</v>
      </c>
      <c r="Z271" t="n">
        <v>124.92</v>
      </c>
      <c r="AA271" t="n">
        <v>12.7</v>
      </c>
      <c r="AB271" t="n">
        <v>137.62</v>
      </c>
      <c r="AC271" t="n">
        <v>24.78</v>
      </c>
      <c r="AD271" t="n">
        <v>0</v>
      </c>
      <c r="AE271" t="n">
        <v>657.5</v>
      </c>
      <c r="AF271" t="n">
        <v>0</v>
      </c>
      <c r="AG271" t="n">
        <v>0</v>
      </c>
      <c r="AH271" t="n">
        <v>0.66</v>
      </c>
      <c r="AI271" t="n">
        <v>32.88</v>
      </c>
      <c r="AJ271" t="n">
        <v>0</v>
      </c>
      <c r="AK271" t="n">
        <v>58.32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195.94</v>
      </c>
      <c r="AV271" t="n">
        <v>0</v>
      </c>
      <c r="AW271" t="n">
        <v>494.44</v>
      </c>
      <c r="AX271" t="inlineStr">
        <is>
          <t>settled</t>
        </is>
      </c>
      <c r="AY271" t="inlineStr">
        <is>
          <t>NA</t>
        </is>
      </c>
      <c r="AZ271" t="inlineStr">
        <is>
          <t>NA</t>
        </is>
      </c>
      <c r="BA271" t="n">
        <v>0</v>
      </c>
      <c r="BB271" t="inlineStr">
        <is>
          <t>3222805f802ccd9e64d0f9ab8ae966a1467b8f3947c966e13188d0d3fc343f24</t>
        </is>
      </c>
    </row>
    <row r="272">
      <c r="A272" t="inlineStr">
        <is>
          <t>956</t>
        </is>
      </c>
      <c r="B272" t="inlineStr">
        <is>
          <t>7594697685</t>
        </is>
      </c>
      <c r="C272" t="inlineStr">
        <is>
          <t>2025-12-20 16:17:41</t>
        </is>
      </c>
      <c r="D272" t="inlineStr">
        <is>
          <t>51</t>
        </is>
      </c>
      <c r="E272" t="inlineStr">
        <is>
          <t>Sha Sha - Shandaar Shawarma</t>
        </is>
      </c>
      <c r="F272" t="inlineStr">
        <is>
          <t>18557902</t>
        </is>
      </c>
      <c r="G272" t="inlineStr">
        <is>
          <t>30% off upto ₹75 (2025-06-25 - 2031-01-01)</t>
        </is>
      </c>
      <c r="H272" t="inlineStr">
        <is>
          <t>ONLINE</t>
        </is>
      </c>
      <c r="I272" t="inlineStr">
        <is>
          <t>DELIVERED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O2</t>
        </is>
      </c>
      <c r="N272" t="inlineStr">
        <is>
          <t>36</t>
        </is>
      </c>
      <c r="O272" t="n">
        <v>219</v>
      </c>
      <c r="P272" t="n">
        <v>3.5</v>
      </c>
      <c r="Q272" t="n">
        <v>0</v>
      </c>
      <c r="R272" t="n">
        <v>65.7</v>
      </c>
      <c r="S272" t="n">
        <v>0</v>
      </c>
      <c r="T272" t="n">
        <v>0</v>
      </c>
      <c r="U272" t="n">
        <v>0</v>
      </c>
      <c r="V272" t="n">
        <v>7.84</v>
      </c>
      <c r="W272" t="n">
        <v>164.64</v>
      </c>
      <c r="X272" t="n">
        <v>156.8</v>
      </c>
      <c r="Y272" t="n">
        <v>19</v>
      </c>
      <c r="Z272" t="n">
        <v>29.79</v>
      </c>
      <c r="AA272" t="n">
        <v>3.03</v>
      </c>
      <c r="AB272" t="n">
        <v>32.82</v>
      </c>
      <c r="AC272" t="n">
        <v>5.91</v>
      </c>
      <c r="AD272" t="n">
        <v>0</v>
      </c>
      <c r="AE272" t="n">
        <v>156.8</v>
      </c>
      <c r="AF272" t="n">
        <v>0</v>
      </c>
      <c r="AG272" t="n">
        <v>0</v>
      </c>
      <c r="AH272" t="n">
        <v>0.16</v>
      </c>
      <c r="AI272" t="n">
        <v>7.85</v>
      </c>
      <c r="AJ272" t="n">
        <v>-0.01</v>
      </c>
      <c r="AK272" t="n">
        <v>13.92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46.74</v>
      </c>
      <c r="AV272" t="n">
        <v>0</v>
      </c>
      <c r="AW272" t="n">
        <v>117.9</v>
      </c>
      <c r="AX272" t="inlineStr">
        <is>
          <t>settled</t>
        </is>
      </c>
      <c r="AY272" t="inlineStr">
        <is>
          <t>NA</t>
        </is>
      </c>
      <c r="AZ272" t="inlineStr">
        <is>
          <t>NA</t>
        </is>
      </c>
      <c r="BA272" t="n">
        <v>0</v>
      </c>
      <c r="BB272" t="inlineStr">
        <is>
          <t>92f5dd814a60900311a6feec344c0ade0950f28779943f72a6cf6160d1da32f9</t>
        </is>
      </c>
    </row>
    <row r="273">
      <c r="A273" t="inlineStr">
        <is>
          <t>957</t>
        </is>
      </c>
      <c r="B273" t="inlineStr">
        <is>
          <t>7600098023</t>
        </is>
      </c>
      <c r="C273" t="inlineStr">
        <is>
          <t>2025-12-20 17:08:18</t>
        </is>
      </c>
      <c r="D273" t="inlineStr">
        <is>
          <t>51</t>
        </is>
      </c>
      <c r="E273" t="inlineStr">
        <is>
          <t>Sha Sha - Shandaar Shawarma</t>
        </is>
      </c>
      <c r="F273" t="inlineStr">
        <is>
          <t>18557902</t>
        </is>
      </c>
      <c r="G273" t="inlineStr">
        <is>
          <t>30% off upto ₹75 (2025-06-25 - 2031-01-01)</t>
        </is>
      </c>
      <c r="H273" t="inlineStr">
        <is>
          <t>ONLINE</t>
        </is>
      </c>
      <c r="I273" t="inlineStr">
        <is>
          <t>DELIVERED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O2</t>
        </is>
      </c>
      <c r="N273" t="inlineStr">
        <is>
          <t>36</t>
        </is>
      </c>
      <c r="O273" t="n">
        <v>355</v>
      </c>
      <c r="P273" t="n">
        <v>3.5</v>
      </c>
      <c r="Q273" t="n">
        <v>0</v>
      </c>
      <c r="R273" t="n">
        <v>75</v>
      </c>
      <c r="S273" t="n">
        <v>0</v>
      </c>
      <c r="T273" t="n">
        <v>0</v>
      </c>
      <c r="U273" t="n">
        <v>0</v>
      </c>
      <c r="V273" t="n">
        <v>14.18</v>
      </c>
      <c r="W273" t="n">
        <v>297.68</v>
      </c>
      <c r="X273" t="n">
        <v>283.5</v>
      </c>
      <c r="Y273" t="n">
        <v>19</v>
      </c>
      <c r="Z273" t="n">
        <v>53.86</v>
      </c>
      <c r="AA273" t="n">
        <v>5.48</v>
      </c>
      <c r="AB273" t="n">
        <v>59.34</v>
      </c>
      <c r="AC273" t="n">
        <v>10.68</v>
      </c>
      <c r="AD273" t="n">
        <v>0</v>
      </c>
      <c r="AE273" t="n">
        <v>283.5</v>
      </c>
      <c r="AF273" t="n">
        <v>0</v>
      </c>
      <c r="AG273" t="n">
        <v>0</v>
      </c>
      <c r="AH273" t="n">
        <v>0.28</v>
      </c>
      <c r="AI273" t="n">
        <v>14.18</v>
      </c>
      <c r="AJ273" t="n">
        <v>0</v>
      </c>
      <c r="AK273" t="n">
        <v>25.14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84.48</v>
      </c>
      <c r="AV273" t="n">
        <v>0</v>
      </c>
      <c r="AW273" t="n">
        <v>213.2</v>
      </c>
      <c r="AX273" t="inlineStr">
        <is>
          <t>settled</t>
        </is>
      </c>
      <c r="AY273" t="inlineStr">
        <is>
          <t>NA</t>
        </is>
      </c>
      <c r="AZ273" t="inlineStr">
        <is>
          <t>NA</t>
        </is>
      </c>
      <c r="BA273" t="n">
        <v>0</v>
      </c>
      <c r="BB273" t="inlineStr">
        <is>
          <t>dda03764afa89db325b07187fa0f74b750252106a13d484145b4ad2ac820ca5f</t>
        </is>
      </c>
    </row>
    <row r="274">
      <c r="A274" t="inlineStr">
        <is>
          <t>958</t>
        </is>
      </c>
      <c r="B274" t="inlineStr">
        <is>
          <t>7600552700</t>
        </is>
      </c>
      <c r="C274" t="inlineStr">
        <is>
          <t>2025-12-20 17:10:24</t>
        </is>
      </c>
      <c r="D274" t="inlineStr">
        <is>
          <t>51</t>
        </is>
      </c>
      <c r="E274" t="inlineStr">
        <is>
          <t>Sha Sha - Shandaar Shawarma</t>
        </is>
      </c>
      <c r="F274" t="inlineStr">
        <is>
          <t>18557902</t>
        </is>
      </c>
      <c r="G274" t="inlineStr">
        <is>
          <t>30% off upto ₹75 (2025-06-25 - 2031-01-01)</t>
        </is>
      </c>
      <c r="H274" t="inlineStr">
        <is>
          <t>ONLINE</t>
        </is>
      </c>
      <c r="I274" t="inlineStr">
        <is>
          <t>DELIVERED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O2</t>
        </is>
      </c>
      <c r="N274" t="inlineStr">
        <is>
          <t>36</t>
        </is>
      </c>
      <c r="O274" t="n">
        <v>716</v>
      </c>
      <c r="P274" t="n">
        <v>3.5</v>
      </c>
      <c r="Q274" t="n">
        <v>0</v>
      </c>
      <c r="R274" t="n">
        <v>75</v>
      </c>
      <c r="S274" t="n">
        <v>0</v>
      </c>
      <c r="T274" t="n">
        <v>0</v>
      </c>
      <c r="U274" t="n">
        <v>0</v>
      </c>
      <c r="V274" t="n">
        <v>32.23</v>
      </c>
      <c r="W274" t="n">
        <v>676.73</v>
      </c>
      <c r="X274" t="n">
        <v>644.5</v>
      </c>
      <c r="Y274" t="n">
        <v>19</v>
      </c>
      <c r="Z274" t="n">
        <v>122.46</v>
      </c>
      <c r="AA274" t="n">
        <v>12.45</v>
      </c>
      <c r="AB274" t="n">
        <v>134.91</v>
      </c>
      <c r="AC274" t="n">
        <v>24.28</v>
      </c>
      <c r="AD274" t="n">
        <v>0</v>
      </c>
      <c r="AE274" t="n">
        <v>644.5</v>
      </c>
      <c r="AF274" t="n">
        <v>0</v>
      </c>
      <c r="AG274" t="n">
        <v>0</v>
      </c>
      <c r="AH274" t="n">
        <v>0.64</v>
      </c>
      <c r="AI274" t="n">
        <v>32.23</v>
      </c>
      <c r="AJ274" t="n">
        <v>0</v>
      </c>
      <c r="AK274" t="n">
        <v>57.15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192.06</v>
      </c>
      <c r="AV274" t="n">
        <v>0</v>
      </c>
      <c r="AW274" t="n">
        <v>484.67</v>
      </c>
      <c r="AX274" t="inlineStr">
        <is>
          <t>settled</t>
        </is>
      </c>
      <c r="AY274" t="inlineStr">
        <is>
          <t>NA</t>
        </is>
      </c>
      <c r="AZ274" t="inlineStr">
        <is>
          <t>NA</t>
        </is>
      </c>
      <c r="BA274" t="n">
        <v>0</v>
      </c>
      <c r="BB274" t="inlineStr">
        <is>
          <t>5c43f71c0d13d63ba27b829211a8ca2e4a40aab867b13a3cc7809bbac7480aa9</t>
        </is>
      </c>
    </row>
    <row r="275">
      <c r="A275" t="inlineStr">
        <is>
          <t>959</t>
        </is>
      </c>
      <c r="B275" t="inlineStr">
        <is>
          <t>7602276433</t>
        </is>
      </c>
      <c r="C275" t="inlineStr">
        <is>
          <t>2025-12-20 17:28:23</t>
        </is>
      </c>
      <c r="D275" t="inlineStr">
        <is>
          <t>51</t>
        </is>
      </c>
      <c r="E275" t="inlineStr">
        <is>
          <t>Sha Sha - Shandaar Shawarma</t>
        </is>
      </c>
      <c r="F275" t="inlineStr">
        <is>
          <t>18557902</t>
        </is>
      </c>
      <c r="G275" t="inlineStr">
        <is>
          <t>30% off upto ₹75 (2025-06-25 - 2031-01-01)</t>
        </is>
      </c>
      <c r="H275" t="inlineStr">
        <is>
          <t>ONLINE</t>
        </is>
      </c>
      <c r="I275" t="inlineStr">
        <is>
          <t>DELIVERED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O2</t>
        </is>
      </c>
      <c r="N275" t="inlineStr">
        <is>
          <t>36</t>
        </is>
      </c>
      <c r="O275" t="n">
        <v>219</v>
      </c>
      <c r="P275" t="n">
        <v>3.5</v>
      </c>
      <c r="Q275" t="n">
        <v>0</v>
      </c>
      <c r="R275" t="n">
        <v>65.7</v>
      </c>
      <c r="S275" t="n">
        <v>0</v>
      </c>
      <c r="T275" t="n">
        <v>0</v>
      </c>
      <c r="U275" t="n">
        <v>0</v>
      </c>
      <c r="V275" t="n">
        <v>7.84</v>
      </c>
      <c r="W275" t="n">
        <v>164.64</v>
      </c>
      <c r="X275" t="n">
        <v>156.8</v>
      </c>
      <c r="Y275" t="n">
        <v>19</v>
      </c>
      <c r="Z275" t="n">
        <v>29.79</v>
      </c>
      <c r="AA275" t="n">
        <v>3.03</v>
      </c>
      <c r="AB275" t="n">
        <v>32.82</v>
      </c>
      <c r="AC275" t="n">
        <v>5.91</v>
      </c>
      <c r="AD275" t="n">
        <v>0</v>
      </c>
      <c r="AE275" t="n">
        <v>156.8</v>
      </c>
      <c r="AF275" t="n">
        <v>0</v>
      </c>
      <c r="AG275" t="n">
        <v>0</v>
      </c>
      <c r="AH275" t="n">
        <v>0.16</v>
      </c>
      <c r="AI275" t="n">
        <v>7.85</v>
      </c>
      <c r="AJ275" t="n">
        <v>-0.01</v>
      </c>
      <c r="AK275" t="n">
        <v>13.92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46.74</v>
      </c>
      <c r="AV275" t="n">
        <v>0</v>
      </c>
      <c r="AW275" t="n">
        <v>117.9</v>
      </c>
      <c r="AX275" t="inlineStr">
        <is>
          <t>settled</t>
        </is>
      </c>
      <c r="AY275" t="inlineStr">
        <is>
          <t>NA</t>
        </is>
      </c>
      <c r="AZ275" t="inlineStr">
        <is>
          <t>NA</t>
        </is>
      </c>
      <c r="BA275" t="n">
        <v>0</v>
      </c>
      <c r="BB275" t="inlineStr">
        <is>
          <t>8a08d07c3c07227d351ba9766af040ff16b2ca0ba3c2aa5b1c633551ef256c7f</t>
        </is>
      </c>
    </row>
    <row r="276">
      <c r="A276" t="inlineStr">
        <is>
          <t>960</t>
        </is>
      </c>
      <c r="B276" t="inlineStr">
        <is>
          <t>7602974156</t>
        </is>
      </c>
      <c r="C276" t="inlineStr">
        <is>
          <t>2025-12-20 17:52:20</t>
        </is>
      </c>
      <c r="D276" t="inlineStr">
        <is>
          <t>51</t>
        </is>
      </c>
      <c r="E276" t="inlineStr">
        <is>
          <t>Sha Sha - Shandaar Shawarma</t>
        </is>
      </c>
      <c r="F276" t="inlineStr">
        <is>
          <t>18557902</t>
        </is>
      </c>
      <c r="G276" t="inlineStr">
        <is>
          <t>NA</t>
        </is>
      </c>
      <c r="H276" t="inlineStr">
        <is>
          <t>ONLINE</t>
        </is>
      </c>
      <c r="I276" t="inlineStr">
        <is>
          <t>DELIVERED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O2</t>
        </is>
      </c>
      <c r="N276" t="inlineStr">
        <is>
          <t>36</t>
        </is>
      </c>
      <c r="O276" t="n">
        <v>438</v>
      </c>
      <c r="P276" t="n">
        <v>3.5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22.08</v>
      </c>
      <c r="W276" t="n">
        <v>463.58</v>
      </c>
      <c r="X276" t="n">
        <v>441.5</v>
      </c>
      <c r="Y276" t="n">
        <v>19</v>
      </c>
      <c r="Z276" t="n">
        <v>83.88</v>
      </c>
      <c r="AA276" t="n">
        <v>8.529999999999999</v>
      </c>
      <c r="AB276" t="n">
        <v>92.41</v>
      </c>
      <c r="AC276" t="n">
        <v>16.64</v>
      </c>
      <c r="AD276" t="n">
        <v>0</v>
      </c>
      <c r="AE276" t="n">
        <v>441.5</v>
      </c>
      <c r="AF276" t="n">
        <v>0</v>
      </c>
      <c r="AG276" t="n">
        <v>0</v>
      </c>
      <c r="AH276" t="n">
        <v>0.44</v>
      </c>
      <c r="AI276" t="n">
        <v>22.08</v>
      </c>
      <c r="AJ276" t="n">
        <v>0</v>
      </c>
      <c r="AK276" t="n">
        <v>39.16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131.57</v>
      </c>
      <c r="AV276" t="n">
        <v>0</v>
      </c>
      <c r="AW276" t="n">
        <v>332.01</v>
      </c>
      <c r="AX276" t="inlineStr">
        <is>
          <t>settled</t>
        </is>
      </c>
      <c r="AY276" t="inlineStr">
        <is>
          <t>NA</t>
        </is>
      </c>
      <c r="AZ276" t="inlineStr">
        <is>
          <t>NA</t>
        </is>
      </c>
      <c r="BA276" t="n">
        <v>0</v>
      </c>
      <c r="BB276" t="inlineStr">
        <is>
          <t>2248907ad0d9853b67cb54969215841b5fe7d4c960eba452c0d9b21d603a2e19</t>
        </is>
      </c>
    </row>
    <row r="277">
      <c r="A277" t="inlineStr">
        <is>
          <t>961</t>
        </is>
      </c>
      <c r="B277" t="inlineStr">
        <is>
          <t>7602097371</t>
        </is>
      </c>
      <c r="C277" t="inlineStr">
        <is>
          <t>2025-12-20 19:01:28</t>
        </is>
      </c>
      <c r="D277" t="inlineStr">
        <is>
          <t>51</t>
        </is>
      </c>
      <c r="E277" t="inlineStr">
        <is>
          <t>Sha Sha - Shandaar Shawarma</t>
        </is>
      </c>
      <c r="F277" t="inlineStr">
        <is>
          <t>18557902</t>
        </is>
      </c>
      <c r="G277" t="inlineStr">
        <is>
          <t>NA</t>
        </is>
      </c>
      <c r="H277" t="inlineStr">
        <is>
          <t>ONLINE</t>
        </is>
      </c>
      <c r="I277" t="inlineStr">
        <is>
          <t>DELIVERED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O2</t>
        </is>
      </c>
      <c r="N277" t="inlineStr">
        <is>
          <t>36</t>
        </is>
      </c>
      <c r="O277" t="n">
        <v>229</v>
      </c>
      <c r="P277" t="n">
        <v>3.5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11.63</v>
      </c>
      <c r="W277" t="n">
        <v>244.13</v>
      </c>
      <c r="X277" t="n">
        <v>232.5</v>
      </c>
      <c r="Y277" t="n">
        <v>19</v>
      </c>
      <c r="Z277" t="n">
        <v>44.18</v>
      </c>
      <c r="AA277" t="n">
        <v>4.49</v>
      </c>
      <c r="AB277" t="n">
        <v>48.67</v>
      </c>
      <c r="AC277" t="n">
        <v>8.76</v>
      </c>
      <c r="AD277" t="n">
        <v>0</v>
      </c>
      <c r="AE277" t="n">
        <v>232.5</v>
      </c>
      <c r="AF277" t="n">
        <v>0</v>
      </c>
      <c r="AG277" t="n">
        <v>0</v>
      </c>
      <c r="AH277" t="n">
        <v>0.23</v>
      </c>
      <c r="AI277" t="n">
        <v>11.63</v>
      </c>
      <c r="AJ277" t="n">
        <v>0</v>
      </c>
      <c r="AK277" t="n">
        <v>20.62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69.29000000000001</v>
      </c>
      <c r="AV277" t="n">
        <v>0</v>
      </c>
      <c r="AW277" t="n">
        <v>174.84</v>
      </c>
      <c r="AX277" t="inlineStr">
        <is>
          <t>settled</t>
        </is>
      </c>
      <c r="AY277" t="inlineStr">
        <is>
          <t>NA</t>
        </is>
      </c>
      <c r="AZ277" t="inlineStr">
        <is>
          <t>NA</t>
        </is>
      </c>
      <c r="BA277" t="n">
        <v>0</v>
      </c>
      <c r="BB277" t="inlineStr">
        <is>
          <t>0f77c13065d662759bb7418cac1aec124bf208c49d838224da7735ecbc6eccc6</t>
        </is>
      </c>
    </row>
    <row r="278">
      <c r="A278" t="inlineStr">
        <is>
          <t>962</t>
        </is>
      </c>
      <c r="B278" t="inlineStr">
        <is>
          <t>7601217025</t>
        </is>
      </c>
      <c r="C278" t="inlineStr">
        <is>
          <t>2025-12-20 19:17:24</t>
        </is>
      </c>
      <c r="D278" t="inlineStr">
        <is>
          <t>51</t>
        </is>
      </c>
      <c r="E278" t="inlineStr">
        <is>
          <t>Sha Sha - Shandaar Shawarma</t>
        </is>
      </c>
      <c r="F278" t="inlineStr">
        <is>
          <t>18557902</t>
        </is>
      </c>
      <c r="G278" t="inlineStr">
        <is>
          <t>30% off upto ₹75 (2025-06-25 - 2031-01-01)</t>
        </is>
      </c>
      <c r="H278" t="inlineStr">
        <is>
          <t>ONLINE</t>
        </is>
      </c>
      <c r="I278" t="inlineStr">
        <is>
          <t>DELIVERED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O2</t>
        </is>
      </c>
      <c r="N278" t="inlineStr">
        <is>
          <t>36</t>
        </is>
      </c>
      <c r="O278" t="n">
        <v>219</v>
      </c>
      <c r="P278" t="n">
        <v>3.5</v>
      </c>
      <c r="Q278" t="n">
        <v>0</v>
      </c>
      <c r="R278" t="n">
        <v>65.7</v>
      </c>
      <c r="S278" t="n">
        <v>0</v>
      </c>
      <c r="T278" t="n">
        <v>0</v>
      </c>
      <c r="U278" t="n">
        <v>0</v>
      </c>
      <c r="V278" t="n">
        <v>7.84</v>
      </c>
      <c r="W278" t="n">
        <v>164.64</v>
      </c>
      <c r="X278" t="n">
        <v>156.8</v>
      </c>
      <c r="Y278" t="n">
        <v>19</v>
      </c>
      <c r="Z278" t="n">
        <v>29.79</v>
      </c>
      <c r="AA278" t="n">
        <v>3.03</v>
      </c>
      <c r="AB278" t="n">
        <v>32.82</v>
      </c>
      <c r="AC278" t="n">
        <v>5.91</v>
      </c>
      <c r="AD278" t="n">
        <v>0</v>
      </c>
      <c r="AE278" t="n">
        <v>156.8</v>
      </c>
      <c r="AF278" t="n">
        <v>0</v>
      </c>
      <c r="AG278" t="n">
        <v>0</v>
      </c>
      <c r="AH278" t="n">
        <v>0.16</v>
      </c>
      <c r="AI278" t="n">
        <v>7.85</v>
      </c>
      <c r="AJ278" t="n">
        <v>-0.01</v>
      </c>
      <c r="AK278" t="n">
        <v>13.92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46.74</v>
      </c>
      <c r="AV278" t="n">
        <v>0</v>
      </c>
      <c r="AW278" t="n">
        <v>117.9</v>
      </c>
      <c r="AX278" t="inlineStr">
        <is>
          <t>settled</t>
        </is>
      </c>
      <c r="AY278" t="inlineStr">
        <is>
          <t>NA</t>
        </is>
      </c>
      <c r="AZ278" t="inlineStr">
        <is>
          <t>NA</t>
        </is>
      </c>
      <c r="BA278" t="n">
        <v>0</v>
      </c>
      <c r="BB278" t="inlineStr">
        <is>
          <t>1446d672b93a1e65264835aeaaedd731f1766754aa3d38b968c1d1d78b54753e</t>
        </is>
      </c>
    </row>
    <row r="279">
      <c r="A279" t="inlineStr">
        <is>
          <t>963</t>
        </is>
      </c>
      <c r="B279" t="inlineStr">
        <is>
          <t>7601269018</t>
        </is>
      </c>
      <c r="C279" t="inlineStr">
        <is>
          <t>2025-12-20 19:38:45</t>
        </is>
      </c>
      <c r="D279" t="inlineStr">
        <is>
          <t>51</t>
        </is>
      </c>
      <c r="E279" t="inlineStr">
        <is>
          <t>Sha Sha - Shandaar Shawarma</t>
        </is>
      </c>
      <c r="F279" t="inlineStr">
        <is>
          <t>18557902</t>
        </is>
      </c>
      <c r="G279" t="inlineStr">
        <is>
          <t>30% off upto ₹75 (2025-06-25 - 2031-01-01)</t>
        </is>
      </c>
      <c r="H279" t="inlineStr">
        <is>
          <t>ONLINE</t>
        </is>
      </c>
      <c r="I279" t="inlineStr">
        <is>
          <t>DELIVERED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O2</t>
        </is>
      </c>
      <c r="N279" t="inlineStr">
        <is>
          <t>36</t>
        </is>
      </c>
      <c r="O279" t="n">
        <v>690</v>
      </c>
      <c r="P279" t="n">
        <v>3.5</v>
      </c>
      <c r="Q279" t="n">
        <v>0</v>
      </c>
      <c r="R279" t="n">
        <v>75</v>
      </c>
      <c r="S279" t="n">
        <v>0</v>
      </c>
      <c r="T279" t="n">
        <v>0</v>
      </c>
      <c r="U279" t="n">
        <v>0</v>
      </c>
      <c r="V279" t="n">
        <v>30.93</v>
      </c>
      <c r="W279" t="n">
        <v>649.4299999999999</v>
      </c>
      <c r="X279" t="n">
        <v>618.5</v>
      </c>
      <c r="Y279" t="n">
        <v>19</v>
      </c>
      <c r="Z279" t="n">
        <v>117.52</v>
      </c>
      <c r="AA279" t="n">
        <v>11.95</v>
      </c>
      <c r="AB279" t="n">
        <v>129.47</v>
      </c>
      <c r="AC279" t="n">
        <v>23.3</v>
      </c>
      <c r="AD279" t="n">
        <v>0</v>
      </c>
      <c r="AE279" t="n">
        <v>618.5</v>
      </c>
      <c r="AF279" t="n">
        <v>0</v>
      </c>
      <c r="AG279" t="n">
        <v>0</v>
      </c>
      <c r="AH279" t="n">
        <v>0.62</v>
      </c>
      <c r="AI279" t="n">
        <v>30.93</v>
      </c>
      <c r="AJ279" t="n">
        <v>0</v>
      </c>
      <c r="AK279" t="n">
        <v>54.85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184.32</v>
      </c>
      <c r="AV279" t="n">
        <v>0</v>
      </c>
      <c r="AW279" t="n">
        <v>465.11</v>
      </c>
      <c r="AX279" t="inlineStr">
        <is>
          <t>settled</t>
        </is>
      </c>
      <c r="AY279" t="inlineStr">
        <is>
          <t>NA</t>
        </is>
      </c>
      <c r="AZ279" t="inlineStr">
        <is>
          <t>NA</t>
        </is>
      </c>
      <c r="BA279" t="n">
        <v>0</v>
      </c>
      <c r="BB279" t="inlineStr">
        <is>
          <t>cefdc75f912ed379a9965e32c7ff8c97b68e7e8c2b156d63e824b51f16da5004</t>
        </is>
      </c>
    </row>
    <row r="280">
      <c r="A280" t="inlineStr">
        <is>
          <t>964</t>
        </is>
      </c>
      <c r="B280" t="inlineStr">
        <is>
          <t>7600746244</t>
        </is>
      </c>
      <c r="C280" t="inlineStr">
        <is>
          <t>2025-12-20 19:40:37</t>
        </is>
      </c>
      <c r="D280" t="inlineStr">
        <is>
          <t>51</t>
        </is>
      </c>
      <c r="E280" t="inlineStr">
        <is>
          <t>Sha Sha - Shandaar Shawarma</t>
        </is>
      </c>
      <c r="F280" t="inlineStr">
        <is>
          <t>18557902</t>
        </is>
      </c>
      <c r="G280" t="inlineStr">
        <is>
          <t>NA</t>
        </is>
      </c>
      <c r="H280" t="inlineStr">
        <is>
          <t>ONLINE</t>
        </is>
      </c>
      <c r="I280" t="inlineStr">
        <is>
          <t>DELIVERED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O2</t>
        </is>
      </c>
      <c r="N280" t="inlineStr">
        <is>
          <t>36</t>
        </is>
      </c>
      <c r="O280" t="n">
        <v>229</v>
      </c>
      <c r="P280" t="n">
        <v>3.5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11.63</v>
      </c>
      <c r="W280" t="n">
        <v>244.13</v>
      </c>
      <c r="X280" t="n">
        <v>232.5</v>
      </c>
      <c r="Y280" t="n">
        <v>19</v>
      </c>
      <c r="Z280" t="n">
        <v>44.18</v>
      </c>
      <c r="AA280" t="n">
        <v>4.49</v>
      </c>
      <c r="AB280" t="n">
        <v>48.67</v>
      </c>
      <c r="AC280" t="n">
        <v>8.76</v>
      </c>
      <c r="AD280" t="n">
        <v>0</v>
      </c>
      <c r="AE280" t="n">
        <v>232.5</v>
      </c>
      <c r="AF280" t="n">
        <v>0</v>
      </c>
      <c r="AG280" t="n">
        <v>0</v>
      </c>
      <c r="AH280" t="n">
        <v>0.23</v>
      </c>
      <c r="AI280" t="n">
        <v>11.63</v>
      </c>
      <c r="AJ280" t="n">
        <v>0</v>
      </c>
      <c r="AK280" t="n">
        <v>20.62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69.29000000000001</v>
      </c>
      <c r="AV280" t="n">
        <v>0</v>
      </c>
      <c r="AW280" t="n">
        <v>174.84</v>
      </c>
      <c r="AX280" t="inlineStr">
        <is>
          <t>settled</t>
        </is>
      </c>
      <c r="AY280" t="inlineStr">
        <is>
          <t>NA</t>
        </is>
      </c>
      <c r="AZ280" t="inlineStr">
        <is>
          <t>NA</t>
        </is>
      </c>
      <c r="BA280" t="n">
        <v>0</v>
      </c>
      <c r="BB280" t="inlineStr">
        <is>
          <t>2fb3e76fd6c7fd8a17cbbbfb616e1ca253df4003423fe6d1a4af55363ce219a3</t>
        </is>
      </c>
    </row>
    <row r="281">
      <c r="A281" t="inlineStr">
        <is>
          <t>965</t>
        </is>
      </c>
      <c r="B281" t="inlineStr">
        <is>
          <t>7593902680</t>
        </is>
      </c>
      <c r="C281" t="inlineStr">
        <is>
          <t>2025-12-20 19:51:00</t>
        </is>
      </c>
      <c r="D281" t="inlineStr">
        <is>
          <t>51</t>
        </is>
      </c>
      <c r="E281" t="inlineStr">
        <is>
          <t>Sha Sha - Shandaar Shawarma</t>
        </is>
      </c>
      <c r="F281" t="inlineStr">
        <is>
          <t>18557902</t>
        </is>
      </c>
      <c r="G281" t="inlineStr">
        <is>
          <t>30% off upto ₹75 (2025-06-25 - 2031-01-01)</t>
        </is>
      </c>
      <c r="H281" t="inlineStr">
        <is>
          <t>ONLINE</t>
        </is>
      </c>
      <c r="I281" t="inlineStr">
        <is>
          <t>DELIVERED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O2</t>
        </is>
      </c>
      <c r="N281" t="inlineStr">
        <is>
          <t>36</t>
        </is>
      </c>
      <c r="O281" t="n">
        <v>1002</v>
      </c>
      <c r="P281" t="n">
        <v>3.5</v>
      </c>
      <c r="Q281" t="n">
        <v>0</v>
      </c>
      <c r="R281" t="n">
        <v>75</v>
      </c>
      <c r="S281" t="n">
        <v>0</v>
      </c>
      <c r="T281" t="n">
        <v>0</v>
      </c>
      <c r="U281" t="n">
        <v>0</v>
      </c>
      <c r="V281" t="n">
        <v>46.53</v>
      </c>
      <c r="W281" t="n">
        <v>977.03</v>
      </c>
      <c r="X281" t="n">
        <v>930.5</v>
      </c>
      <c r="Y281" t="n">
        <v>19</v>
      </c>
      <c r="Z281" t="n">
        <v>176.8</v>
      </c>
      <c r="AA281" t="n">
        <v>17.98</v>
      </c>
      <c r="AB281" t="n">
        <v>194.78</v>
      </c>
      <c r="AC281" t="n">
        <v>35.06</v>
      </c>
      <c r="AD281" t="n">
        <v>0</v>
      </c>
      <c r="AE281" t="n">
        <v>930.5</v>
      </c>
      <c r="AF281" t="n">
        <v>0</v>
      </c>
      <c r="AG281" t="n">
        <v>0</v>
      </c>
      <c r="AH281" t="n">
        <v>0.93</v>
      </c>
      <c r="AI281" t="n">
        <v>46.53</v>
      </c>
      <c r="AJ281" t="n">
        <v>0</v>
      </c>
      <c r="AK281" t="n">
        <v>82.52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277.3</v>
      </c>
      <c r="AV281" t="n">
        <v>0</v>
      </c>
      <c r="AW281" t="n">
        <v>699.73</v>
      </c>
      <c r="AX281" t="inlineStr">
        <is>
          <t>settled</t>
        </is>
      </c>
      <c r="AY281" t="inlineStr">
        <is>
          <t>NA</t>
        </is>
      </c>
      <c r="AZ281" t="inlineStr">
        <is>
          <t>NA</t>
        </is>
      </c>
      <c r="BA281" t="n">
        <v>0</v>
      </c>
      <c r="BB281" t="inlineStr">
        <is>
          <t>602fa2924cb83ec8af966277d3635fe95bc01812fa76e4af321c3dc8cf45956c</t>
        </is>
      </c>
    </row>
    <row r="282">
      <c r="A282" t="inlineStr">
        <is>
          <t>966</t>
        </is>
      </c>
      <c r="B282" t="inlineStr">
        <is>
          <t>7596220267</t>
        </is>
      </c>
      <c r="C282" t="inlineStr">
        <is>
          <t>2025-12-20 19:51:43</t>
        </is>
      </c>
      <c r="D282" t="inlineStr">
        <is>
          <t>51</t>
        </is>
      </c>
      <c r="E282" t="inlineStr">
        <is>
          <t>Sha Sha - Shandaar Shawarma</t>
        </is>
      </c>
      <c r="F282" t="inlineStr">
        <is>
          <t>18557902</t>
        </is>
      </c>
      <c r="G282" t="inlineStr">
        <is>
          <t>30% off upto ₹75 (2025-06-25 - 2031-01-01)</t>
        </is>
      </c>
      <c r="H282" t="inlineStr">
        <is>
          <t>ONLINE</t>
        </is>
      </c>
      <c r="I282" t="inlineStr">
        <is>
          <t>DELIVERED</t>
        </is>
      </c>
      <c r="J282" t="inlineStr">
        <is>
          <t>NA</t>
        </is>
      </c>
      <c r="K282" t="inlineStr">
        <is>
          <t>NA</t>
        </is>
      </c>
      <c r="L282" t="inlineStr">
        <is>
          <t>NA</t>
        </is>
      </c>
      <c r="M282" t="inlineStr">
        <is>
          <t>O2</t>
        </is>
      </c>
      <c r="N282" t="inlineStr">
        <is>
          <t>36</t>
        </is>
      </c>
      <c r="O282" t="n">
        <v>219</v>
      </c>
      <c r="P282" t="n">
        <v>3.5</v>
      </c>
      <c r="Q282" t="n">
        <v>0</v>
      </c>
      <c r="R282" t="n">
        <v>65.7</v>
      </c>
      <c r="S282" t="n">
        <v>0</v>
      </c>
      <c r="T282" t="n">
        <v>0</v>
      </c>
      <c r="U282" t="n">
        <v>0</v>
      </c>
      <c r="V282" t="n">
        <v>7.84</v>
      </c>
      <c r="W282" t="n">
        <v>164.64</v>
      </c>
      <c r="X282" t="n">
        <v>156.8</v>
      </c>
      <c r="Y282" t="n">
        <v>19</v>
      </c>
      <c r="Z282" t="n">
        <v>29.79</v>
      </c>
      <c r="AA282" t="n">
        <v>3.03</v>
      </c>
      <c r="AB282" t="n">
        <v>32.82</v>
      </c>
      <c r="AC282" t="n">
        <v>5.91</v>
      </c>
      <c r="AD282" t="n">
        <v>0</v>
      </c>
      <c r="AE282" t="n">
        <v>156.8</v>
      </c>
      <c r="AF282" t="n">
        <v>0</v>
      </c>
      <c r="AG282" t="n">
        <v>0</v>
      </c>
      <c r="AH282" t="n">
        <v>0.16</v>
      </c>
      <c r="AI282" t="n">
        <v>7.85</v>
      </c>
      <c r="AJ282" t="n">
        <v>-0.01</v>
      </c>
      <c r="AK282" t="n">
        <v>13.92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46.74</v>
      </c>
      <c r="AV282" t="n">
        <v>0</v>
      </c>
      <c r="AW282" t="n">
        <v>117.9</v>
      </c>
      <c r="AX282" t="inlineStr">
        <is>
          <t>settled</t>
        </is>
      </c>
      <c r="AY282" t="inlineStr">
        <is>
          <t>NA</t>
        </is>
      </c>
      <c r="AZ282" t="inlineStr">
        <is>
          <t>NA</t>
        </is>
      </c>
      <c r="BA282" t="n">
        <v>0</v>
      </c>
      <c r="BB282" t="inlineStr">
        <is>
          <t>cf294d5fb16a3cea17560b255bc5bc450f6d43ee207fe0ff66c90893c0d8de87</t>
        </is>
      </c>
    </row>
    <row r="283">
      <c r="A283" t="inlineStr">
        <is>
          <t>967</t>
        </is>
      </c>
      <c r="B283" t="inlineStr">
        <is>
          <t>7603439470</t>
        </is>
      </c>
      <c r="C283" t="inlineStr">
        <is>
          <t>2025-12-20 20:21:58</t>
        </is>
      </c>
      <c r="D283" t="inlineStr">
        <is>
          <t>51</t>
        </is>
      </c>
      <c r="E283" t="inlineStr">
        <is>
          <t>Sha Sha - Shandaar Shawarma</t>
        </is>
      </c>
      <c r="F283" t="inlineStr">
        <is>
          <t>18557902</t>
        </is>
      </c>
      <c r="G283" t="inlineStr">
        <is>
          <t>30% off upto ₹75 (2025-06-25 - 2031-01-01)</t>
        </is>
      </c>
      <c r="H283" t="inlineStr">
        <is>
          <t>ONLINE</t>
        </is>
      </c>
      <c r="I283" t="inlineStr">
        <is>
          <t>DELIVERED</t>
        </is>
      </c>
      <c r="J283" t="inlineStr">
        <is>
          <t>NA</t>
        </is>
      </c>
      <c r="K283" t="inlineStr">
        <is>
          <t>NA</t>
        </is>
      </c>
      <c r="L283" t="inlineStr">
        <is>
          <t>NA</t>
        </is>
      </c>
      <c r="M283" t="inlineStr">
        <is>
          <t>O2</t>
        </is>
      </c>
      <c r="N283" t="inlineStr">
        <is>
          <t>36</t>
        </is>
      </c>
      <c r="O283" t="n">
        <v>508</v>
      </c>
      <c r="P283" t="n">
        <v>3.5</v>
      </c>
      <c r="Q283" t="n">
        <v>0</v>
      </c>
      <c r="R283" t="n">
        <v>75</v>
      </c>
      <c r="S283" t="n">
        <v>0</v>
      </c>
      <c r="T283" t="n">
        <v>0</v>
      </c>
      <c r="U283" t="n">
        <v>0</v>
      </c>
      <c r="V283" t="n">
        <v>21.83</v>
      </c>
      <c r="W283" t="n">
        <v>458.33</v>
      </c>
      <c r="X283" t="n">
        <v>436.5</v>
      </c>
      <c r="Y283" t="n">
        <v>19</v>
      </c>
      <c r="Z283" t="n">
        <v>82.94</v>
      </c>
      <c r="AA283" t="n">
        <v>8.43</v>
      </c>
      <c r="AB283" t="n">
        <v>91.37</v>
      </c>
      <c r="AC283" t="n">
        <v>16.45</v>
      </c>
      <c r="AD283" t="n">
        <v>0</v>
      </c>
      <c r="AE283" t="n">
        <v>436.5</v>
      </c>
      <c r="AF283" t="n">
        <v>0</v>
      </c>
      <c r="AG283" t="n">
        <v>0</v>
      </c>
      <c r="AH283" t="n">
        <v>0.44</v>
      </c>
      <c r="AI283" t="n">
        <v>21.83</v>
      </c>
      <c r="AJ283" t="n">
        <v>0</v>
      </c>
      <c r="AK283" t="n">
        <v>38.72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130.09</v>
      </c>
      <c r="AV283" t="n">
        <v>0</v>
      </c>
      <c r="AW283" t="n">
        <v>328.24</v>
      </c>
      <c r="AX283" t="inlineStr">
        <is>
          <t>settled</t>
        </is>
      </c>
      <c r="AY283" t="inlineStr">
        <is>
          <t>NA</t>
        </is>
      </c>
      <c r="AZ283" t="inlineStr">
        <is>
          <t>NA</t>
        </is>
      </c>
      <c r="BA283" t="n">
        <v>0</v>
      </c>
      <c r="BB283" t="inlineStr">
        <is>
          <t>db5420d0322779f871ee544c396ac9b90d111ceb566c5cc176d7d6c9cdabe54e</t>
        </is>
      </c>
    </row>
    <row r="284">
      <c r="A284" t="inlineStr">
        <is>
          <t>968</t>
        </is>
      </c>
      <c r="B284" t="inlineStr">
        <is>
          <t>7595946220</t>
        </is>
      </c>
      <c r="C284" t="inlineStr">
        <is>
          <t>2025-12-20 20:59:11</t>
        </is>
      </c>
      <c r="D284" t="inlineStr">
        <is>
          <t>51</t>
        </is>
      </c>
      <c r="E284" t="inlineStr">
        <is>
          <t>Sha Sha - Shandaar Shawarma</t>
        </is>
      </c>
      <c r="F284" t="inlineStr">
        <is>
          <t>18557902</t>
        </is>
      </c>
      <c r="G284" t="inlineStr">
        <is>
          <t>30% off upto ₹75 (2025-06-25 - 2031-01-01)</t>
        </is>
      </c>
      <c r="H284" t="inlineStr">
        <is>
          <t>ONLINE</t>
        </is>
      </c>
      <c r="I284" t="inlineStr">
        <is>
          <t>DELIVERED</t>
        </is>
      </c>
      <c r="J284" t="inlineStr">
        <is>
          <t>NA</t>
        </is>
      </c>
      <c r="K284" t="inlineStr">
        <is>
          <t>NA</t>
        </is>
      </c>
      <c r="L284" t="inlineStr">
        <is>
          <t>NA</t>
        </is>
      </c>
      <c r="M284" t="inlineStr">
        <is>
          <t>O2</t>
        </is>
      </c>
      <c r="N284" t="inlineStr">
        <is>
          <t>36</t>
        </is>
      </c>
      <c r="O284" t="n">
        <v>229</v>
      </c>
      <c r="P284" t="n">
        <v>3.5</v>
      </c>
      <c r="Q284" t="n">
        <v>0</v>
      </c>
      <c r="R284" t="n">
        <v>68.7</v>
      </c>
      <c r="S284" t="n">
        <v>0</v>
      </c>
      <c r="T284" t="n">
        <v>0</v>
      </c>
      <c r="U284" t="n">
        <v>0</v>
      </c>
      <c r="V284" t="n">
        <v>8.19</v>
      </c>
      <c r="W284" t="n">
        <v>171.99</v>
      </c>
      <c r="X284" t="n">
        <v>163.8</v>
      </c>
      <c r="Y284" t="n">
        <v>19</v>
      </c>
      <c r="Z284" t="n">
        <v>31.12</v>
      </c>
      <c r="AA284" t="n">
        <v>3.16</v>
      </c>
      <c r="AB284" t="n">
        <v>34.28</v>
      </c>
      <c r="AC284" t="n">
        <v>6.17</v>
      </c>
      <c r="AD284" t="n">
        <v>0</v>
      </c>
      <c r="AE284" t="n">
        <v>163.8</v>
      </c>
      <c r="AF284" t="n">
        <v>0</v>
      </c>
      <c r="AG284" t="n">
        <v>0</v>
      </c>
      <c r="AH284" t="n">
        <v>0.16</v>
      </c>
      <c r="AI284" t="n">
        <v>8.199999999999999</v>
      </c>
      <c r="AJ284" t="n">
        <v>-0.01</v>
      </c>
      <c r="AK284" t="n">
        <v>14.53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48.81</v>
      </c>
      <c r="AV284" t="n">
        <v>0</v>
      </c>
      <c r="AW284" t="n">
        <v>123.18</v>
      </c>
      <c r="AX284" t="inlineStr">
        <is>
          <t>settled</t>
        </is>
      </c>
      <c r="AY284" t="inlineStr">
        <is>
          <t>NA</t>
        </is>
      </c>
      <c r="AZ284" t="inlineStr">
        <is>
          <t>NA</t>
        </is>
      </c>
      <c r="BA284" t="n">
        <v>0</v>
      </c>
      <c r="BB284" t="inlineStr">
        <is>
          <t>5bbf14df8938f95d3b7c17a99beb70d7782f65008db9840edde8a35ba5e8e65f</t>
        </is>
      </c>
    </row>
    <row r="285">
      <c r="A285" t="inlineStr">
        <is>
          <t>969</t>
        </is>
      </c>
      <c r="B285" t="inlineStr">
        <is>
          <t>7588074454</t>
        </is>
      </c>
      <c r="C285" t="inlineStr">
        <is>
          <t>2025-12-20 21:02:13</t>
        </is>
      </c>
      <c r="D285" t="inlineStr">
        <is>
          <t>51</t>
        </is>
      </c>
      <c r="E285" t="inlineStr">
        <is>
          <t>Sha Sha - Shandaar Shawarma</t>
        </is>
      </c>
      <c r="F285" t="inlineStr">
        <is>
          <t>18557902</t>
        </is>
      </c>
      <c r="G285" t="inlineStr">
        <is>
          <t>30% off upto ₹75 (2025-06-25 - 2031-01-01)</t>
        </is>
      </c>
      <c r="H285" t="inlineStr">
        <is>
          <t>ONLINE</t>
        </is>
      </c>
      <c r="I285" t="inlineStr">
        <is>
          <t>DELIVERED</t>
        </is>
      </c>
      <c r="J285" t="inlineStr">
        <is>
          <t>NA</t>
        </is>
      </c>
      <c r="K285" t="inlineStr">
        <is>
          <t>NA</t>
        </is>
      </c>
      <c r="L285" t="inlineStr">
        <is>
          <t>NA</t>
        </is>
      </c>
      <c r="M285" t="inlineStr">
        <is>
          <t>O2</t>
        </is>
      </c>
      <c r="N285" t="inlineStr">
        <is>
          <t>36</t>
        </is>
      </c>
      <c r="O285" t="n">
        <v>229</v>
      </c>
      <c r="P285" t="n">
        <v>3.5</v>
      </c>
      <c r="Q285" t="n">
        <v>0</v>
      </c>
      <c r="R285" t="n">
        <v>68.7</v>
      </c>
      <c r="S285" t="n">
        <v>0</v>
      </c>
      <c r="T285" t="n">
        <v>0</v>
      </c>
      <c r="U285" t="n">
        <v>0</v>
      </c>
      <c r="V285" t="n">
        <v>8.19</v>
      </c>
      <c r="W285" t="n">
        <v>171.99</v>
      </c>
      <c r="X285" t="n">
        <v>163.8</v>
      </c>
      <c r="Y285" t="n">
        <v>19</v>
      </c>
      <c r="Z285" t="n">
        <v>31.12</v>
      </c>
      <c r="AA285" t="n">
        <v>3.16</v>
      </c>
      <c r="AB285" t="n">
        <v>34.28</v>
      </c>
      <c r="AC285" t="n">
        <v>6.17</v>
      </c>
      <c r="AD285" t="n">
        <v>0</v>
      </c>
      <c r="AE285" t="n">
        <v>163.8</v>
      </c>
      <c r="AF285" t="n">
        <v>0</v>
      </c>
      <c r="AG285" t="n">
        <v>0</v>
      </c>
      <c r="AH285" t="n">
        <v>0.16</v>
      </c>
      <c r="AI285" t="n">
        <v>8.199999999999999</v>
      </c>
      <c r="AJ285" t="n">
        <v>-0.01</v>
      </c>
      <c r="AK285" t="n">
        <v>14.53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48.81</v>
      </c>
      <c r="AV285" t="n">
        <v>0</v>
      </c>
      <c r="AW285" t="n">
        <v>123.18</v>
      </c>
      <c r="AX285" t="inlineStr">
        <is>
          <t>settled</t>
        </is>
      </c>
      <c r="AY285" t="inlineStr">
        <is>
          <t>NA</t>
        </is>
      </c>
      <c r="AZ285" t="inlineStr">
        <is>
          <t>NA</t>
        </is>
      </c>
      <c r="BA285" t="n">
        <v>0</v>
      </c>
      <c r="BB285" t="inlineStr">
        <is>
          <t>8dd53b6e5890ef0d794fc8db4911c37fcaacae9fd76da16262a8a78e2dae3da4</t>
        </is>
      </c>
    </row>
    <row r="286">
      <c r="A286" t="inlineStr">
        <is>
          <t>970</t>
        </is>
      </c>
      <c r="B286" t="inlineStr">
        <is>
          <t>7602461362</t>
        </is>
      </c>
      <c r="C286" t="inlineStr">
        <is>
          <t>2025-12-20 21:24:05</t>
        </is>
      </c>
      <c r="D286" t="inlineStr">
        <is>
          <t>51</t>
        </is>
      </c>
      <c r="E286" t="inlineStr">
        <is>
          <t>Sha Sha - Shandaar Shawarma</t>
        </is>
      </c>
      <c r="F286" t="inlineStr">
        <is>
          <t>18557902</t>
        </is>
      </c>
      <c r="G286" t="inlineStr">
        <is>
          <t>30% off upto ₹75 (2025-06-25 - 2031-01-01)</t>
        </is>
      </c>
      <c r="H286" t="inlineStr">
        <is>
          <t>ONLINE</t>
        </is>
      </c>
      <c r="I286" t="inlineStr">
        <is>
          <t>DELIVERED</t>
        </is>
      </c>
      <c r="J286" t="inlineStr">
        <is>
          <t>NA</t>
        </is>
      </c>
      <c r="K286" t="inlineStr">
        <is>
          <t>NA</t>
        </is>
      </c>
      <c r="L286" t="inlineStr">
        <is>
          <t>NA</t>
        </is>
      </c>
      <c r="M286" t="inlineStr">
        <is>
          <t>O2</t>
        </is>
      </c>
      <c r="N286" t="inlineStr">
        <is>
          <t>36</t>
        </is>
      </c>
      <c r="O286" t="n">
        <v>219</v>
      </c>
      <c r="P286" t="n">
        <v>3.5</v>
      </c>
      <c r="Q286" t="n">
        <v>0</v>
      </c>
      <c r="R286" t="n">
        <v>65.7</v>
      </c>
      <c r="S286" t="n">
        <v>0</v>
      </c>
      <c r="T286" t="n">
        <v>0</v>
      </c>
      <c r="U286" t="n">
        <v>0</v>
      </c>
      <c r="V286" t="n">
        <v>7.84</v>
      </c>
      <c r="W286" t="n">
        <v>164.64</v>
      </c>
      <c r="X286" t="n">
        <v>156.8</v>
      </c>
      <c r="Y286" t="n">
        <v>19</v>
      </c>
      <c r="Z286" t="n">
        <v>29.79</v>
      </c>
      <c r="AA286" t="n">
        <v>3.03</v>
      </c>
      <c r="AB286" t="n">
        <v>32.82</v>
      </c>
      <c r="AC286" t="n">
        <v>5.91</v>
      </c>
      <c r="AD286" t="n">
        <v>0</v>
      </c>
      <c r="AE286" t="n">
        <v>156.8</v>
      </c>
      <c r="AF286" t="n">
        <v>0</v>
      </c>
      <c r="AG286" t="n">
        <v>0</v>
      </c>
      <c r="AH286" t="n">
        <v>0.16</v>
      </c>
      <c r="AI286" t="n">
        <v>7.85</v>
      </c>
      <c r="AJ286" t="n">
        <v>-0.01</v>
      </c>
      <c r="AK286" t="n">
        <v>13.92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46.74</v>
      </c>
      <c r="AV286" t="n">
        <v>0</v>
      </c>
      <c r="AW286" t="n">
        <v>117.9</v>
      </c>
      <c r="AX286" t="inlineStr">
        <is>
          <t>settled</t>
        </is>
      </c>
      <c r="AY286" t="inlineStr">
        <is>
          <t>NA</t>
        </is>
      </c>
      <c r="AZ286" t="inlineStr">
        <is>
          <t>NA</t>
        </is>
      </c>
      <c r="BA286" t="n">
        <v>0</v>
      </c>
      <c r="BB286" t="inlineStr">
        <is>
          <t>63103c2a0f0b757ac56223a157f3dfa2b344ae24eb603d78b0b3d0accdd99761</t>
        </is>
      </c>
    </row>
    <row r="287">
      <c r="A287" t="inlineStr">
        <is>
          <t>971</t>
        </is>
      </c>
      <c r="B287" t="inlineStr">
        <is>
          <t>7603011562</t>
        </is>
      </c>
      <c r="C287" t="inlineStr">
        <is>
          <t>2025-12-20 22:03:37</t>
        </is>
      </c>
      <c r="D287" t="inlineStr">
        <is>
          <t>51</t>
        </is>
      </c>
      <c r="E287" t="inlineStr">
        <is>
          <t>Sha Sha - Shandaar Shawarma</t>
        </is>
      </c>
      <c r="F287" t="inlineStr">
        <is>
          <t>18557902</t>
        </is>
      </c>
      <c r="G287" t="inlineStr">
        <is>
          <t>30% off upto ₹75 (2025-06-25 - 2031-01-01)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NA</t>
        </is>
      </c>
      <c r="K287" t="inlineStr">
        <is>
          <t>NA</t>
        </is>
      </c>
      <c r="L287" t="inlineStr">
        <is>
          <t>NA</t>
        </is>
      </c>
      <c r="M287" t="inlineStr">
        <is>
          <t>O2</t>
        </is>
      </c>
      <c r="N287" t="inlineStr">
        <is>
          <t>36</t>
        </is>
      </c>
      <c r="O287" t="n">
        <v>229</v>
      </c>
      <c r="P287" t="n">
        <v>3.5</v>
      </c>
      <c r="Q287" t="n">
        <v>0</v>
      </c>
      <c r="R287" t="n">
        <v>68.7</v>
      </c>
      <c r="S287" t="n">
        <v>0</v>
      </c>
      <c r="T287" t="n">
        <v>0</v>
      </c>
      <c r="U287" t="n">
        <v>0</v>
      </c>
      <c r="V287" t="n">
        <v>8.19</v>
      </c>
      <c r="W287" t="n">
        <v>171.99</v>
      </c>
      <c r="X287" t="n">
        <v>163.8</v>
      </c>
      <c r="Y287" t="n">
        <v>19</v>
      </c>
      <c r="Z287" t="n">
        <v>31.12</v>
      </c>
      <c r="AA287" t="n">
        <v>3.16</v>
      </c>
      <c r="AB287" t="n">
        <v>34.28</v>
      </c>
      <c r="AC287" t="n">
        <v>6.17</v>
      </c>
      <c r="AD287" t="n">
        <v>0</v>
      </c>
      <c r="AE287" t="n">
        <v>163.8</v>
      </c>
      <c r="AF287" t="n">
        <v>0</v>
      </c>
      <c r="AG287" t="n">
        <v>0</v>
      </c>
      <c r="AH287" t="n">
        <v>0.16</v>
      </c>
      <c r="AI287" t="n">
        <v>8.199999999999999</v>
      </c>
      <c r="AJ287" t="n">
        <v>-0.01</v>
      </c>
      <c r="AK287" t="n">
        <v>14.53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48.81</v>
      </c>
      <c r="AV287" t="n">
        <v>0</v>
      </c>
      <c r="AW287" t="n">
        <v>123.18</v>
      </c>
      <c r="AX287" t="inlineStr">
        <is>
          <t>settled</t>
        </is>
      </c>
      <c r="AY287" t="inlineStr">
        <is>
          <t>NA</t>
        </is>
      </c>
      <c r="AZ287" t="inlineStr">
        <is>
          <t>NA</t>
        </is>
      </c>
      <c r="BA287" t="n">
        <v>0</v>
      </c>
      <c r="BB287" t="inlineStr">
        <is>
          <t>8a08d07c3c07227d351ba9766af040ff16b2ca0ba3c2aa5b1c633551ef256c7f</t>
        </is>
      </c>
    </row>
    <row r="288">
      <c r="A288" t="inlineStr">
        <is>
          <t>972</t>
        </is>
      </c>
      <c r="B288" t="inlineStr">
        <is>
          <t>7602839362</t>
        </is>
      </c>
      <c r="C288" t="inlineStr">
        <is>
          <t>2025-12-20 22:06:25</t>
        </is>
      </c>
      <c r="D288" t="inlineStr">
        <is>
          <t>51</t>
        </is>
      </c>
      <c r="E288" t="inlineStr">
        <is>
          <t>Sha Sha - Shandaar Shawarma</t>
        </is>
      </c>
      <c r="F288" t="inlineStr">
        <is>
          <t>18557902</t>
        </is>
      </c>
      <c r="G288" t="inlineStr">
        <is>
          <t>30% off upto ₹75 (2025-06-25 - 2031-01-01)</t>
        </is>
      </c>
      <c r="H288" t="inlineStr">
        <is>
          <t>ONLINE</t>
        </is>
      </c>
      <c r="I288" t="inlineStr">
        <is>
          <t>DELIVERED</t>
        </is>
      </c>
      <c r="J288" t="inlineStr">
        <is>
          <t>NA</t>
        </is>
      </c>
      <c r="K288" t="inlineStr">
        <is>
          <t>NA</t>
        </is>
      </c>
      <c r="L288" t="inlineStr">
        <is>
          <t>NA</t>
        </is>
      </c>
      <c r="M288" t="inlineStr">
        <is>
          <t>O2</t>
        </is>
      </c>
      <c r="N288" t="inlineStr">
        <is>
          <t>36</t>
        </is>
      </c>
      <c r="O288" t="n">
        <v>229</v>
      </c>
      <c r="P288" t="n">
        <v>3.5</v>
      </c>
      <c r="Q288" t="n">
        <v>0</v>
      </c>
      <c r="R288" t="n">
        <v>68.7</v>
      </c>
      <c r="S288" t="n">
        <v>0</v>
      </c>
      <c r="T288" t="n">
        <v>0</v>
      </c>
      <c r="U288" t="n">
        <v>0</v>
      </c>
      <c r="V288" t="n">
        <v>8.19</v>
      </c>
      <c r="W288" t="n">
        <v>171.99</v>
      </c>
      <c r="X288" t="n">
        <v>163.8</v>
      </c>
      <c r="Y288" t="n">
        <v>19</v>
      </c>
      <c r="Z288" t="n">
        <v>31.12</v>
      </c>
      <c r="AA288" t="n">
        <v>3.16</v>
      </c>
      <c r="AB288" t="n">
        <v>34.28</v>
      </c>
      <c r="AC288" t="n">
        <v>6.17</v>
      </c>
      <c r="AD288" t="n">
        <v>0</v>
      </c>
      <c r="AE288" t="n">
        <v>163.8</v>
      </c>
      <c r="AF288" t="n">
        <v>0</v>
      </c>
      <c r="AG288" t="n">
        <v>0</v>
      </c>
      <c r="AH288" t="n">
        <v>0.16</v>
      </c>
      <c r="AI288" t="n">
        <v>8.199999999999999</v>
      </c>
      <c r="AJ288" t="n">
        <v>-0.01</v>
      </c>
      <c r="AK288" t="n">
        <v>14.53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48.81</v>
      </c>
      <c r="AV288" t="n">
        <v>0</v>
      </c>
      <c r="AW288" t="n">
        <v>123.18</v>
      </c>
      <c r="AX288" t="inlineStr">
        <is>
          <t>settled</t>
        </is>
      </c>
      <c r="AY288" t="inlineStr">
        <is>
          <t>NA</t>
        </is>
      </c>
      <c r="AZ288" t="inlineStr">
        <is>
          <t>NA</t>
        </is>
      </c>
      <c r="BA288" t="n">
        <v>0</v>
      </c>
      <c r="BB288" t="inlineStr">
        <is>
          <t>db8cc3d58cc23f5e9e88ae7c8040f0ad24d725714a290a17d6822bd2564c992a</t>
        </is>
      </c>
    </row>
    <row r="289">
      <c r="A289" t="inlineStr">
        <is>
          <t>973</t>
        </is>
      </c>
      <c r="B289" t="inlineStr">
        <is>
          <t>7603422493</t>
        </is>
      </c>
      <c r="C289" t="inlineStr">
        <is>
          <t>2025-12-20 22:45:24</t>
        </is>
      </c>
      <c r="D289" t="inlineStr">
        <is>
          <t>51</t>
        </is>
      </c>
      <c r="E289" t="inlineStr">
        <is>
          <t>Sha Sha - Shandaar Shawarma</t>
        </is>
      </c>
      <c r="F289" t="inlineStr">
        <is>
          <t>18557902</t>
        </is>
      </c>
      <c r="G289" t="inlineStr">
        <is>
          <t>30% off upto ₹75 (2025-06-25 - 2031-01-01)</t>
        </is>
      </c>
      <c r="H289" t="inlineStr">
        <is>
          <t>ONLINE</t>
        </is>
      </c>
      <c r="I289" t="inlineStr">
        <is>
          <t>DELIVERED</t>
        </is>
      </c>
      <c r="J289" t="inlineStr">
        <is>
          <t>NA</t>
        </is>
      </c>
      <c r="K289" t="inlineStr">
        <is>
          <t>NA</t>
        </is>
      </c>
      <c r="L289" t="inlineStr">
        <is>
          <t>NA</t>
        </is>
      </c>
      <c r="M289" t="inlineStr">
        <is>
          <t>O2</t>
        </is>
      </c>
      <c r="N289" t="inlineStr">
        <is>
          <t>36</t>
        </is>
      </c>
      <c r="O289" t="n">
        <v>268</v>
      </c>
      <c r="P289" t="n">
        <v>3.5</v>
      </c>
      <c r="Q289" t="n">
        <v>0</v>
      </c>
      <c r="R289" t="n">
        <v>75</v>
      </c>
      <c r="S289" t="n">
        <v>0</v>
      </c>
      <c r="T289" t="n">
        <v>0</v>
      </c>
      <c r="U289" t="n">
        <v>0</v>
      </c>
      <c r="V289" t="n">
        <v>9.83</v>
      </c>
      <c r="W289" t="n">
        <v>206.33</v>
      </c>
      <c r="X289" t="n">
        <v>196.5</v>
      </c>
      <c r="Y289" t="n">
        <v>19</v>
      </c>
      <c r="Z289" t="n">
        <v>37.34</v>
      </c>
      <c r="AA289" t="n">
        <v>3.8</v>
      </c>
      <c r="AB289" t="n">
        <v>41.14</v>
      </c>
      <c r="AC289" t="n">
        <v>7.4</v>
      </c>
      <c r="AD289" t="n">
        <v>0</v>
      </c>
      <c r="AE289" t="n">
        <v>196.5</v>
      </c>
      <c r="AF289" t="n">
        <v>0</v>
      </c>
      <c r="AG289" t="n">
        <v>0</v>
      </c>
      <c r="AH289" t="n">
        <v>0.2</v>
      </c>
      <c r="AI289" t="n">
        <v>9.83</v>
      </c>
      <c r="AJ289" t="n">
        <v>0</v>
      </c>
      <c r="AK289" t="n">
        <v>17.43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58.57</v>
      </c>
      <c r="AV289" t="n">
        <v>0</v>
      </c>
      <c r="AW289" t="n">
        <v>147.76</v>
      </c>
      <c r="AX289" t="inlineStr">
        <is>
          <t>settled</t>
        </is>
      </c>
      <c r="AY289" t="inlineStr">
        <is>
          <t>NA</t>
        </is>
      </c>
      <c r="AZ289" t="inlineStr">
        <is>
          <t>NA</t>
        </is>
      </c>
      <c r="BA289" t="n">
        <v>0</v>
      </c>
      <c r="BB289" t="inlineStr">
        <is>
          <t>13c4e3dbee2373b9614e41fd0c670f869e8ae9a001a1cb58e9cc5f0fd9d759de</t>
        </is>
      </c>
    </row>
    <row r="290">
      <c r="A290" t="inlineStr">
        <is>
          <t>974</t>
        </is>
      </c>
      <c r="B290" t="inlineStr">
        <is>
          <t>7597932066</t>
        </is>
      </c>
      <c r="C290" t="inlineStr">
        <is>
          <t>2025-12-20 22:49:17</t>
        </is>
      </c>
      <c r="D290" t="inlineStr">
        <is>
          <t>51</t>
        </is>
      </c>
      <c r="E290" t="inlineStr">
        <is>
          <t>Sha Sha - Shandaar Shawarma</t>
        </is>
      </c>
      <c r="F290" t="inlineStr">
        <is>
          <t>18557902</t>
        </is>
      </c>
      <c r="G290" t="inlineStr">
        <is>
          <t>NA</t>
        </is>
      </c>
      <c r="H290" t="inlineStr">
        <is>
          <t>ONLINE</t>
        </is>
      </c>
      <c r="I290" t="inlineStr">
        <is>
          <t>DELIVERED</t>
        </is>
      </c>
      <c r="J290" t="inlineStr">
        <is>
          <t>NA</t>
        </is>
      </c>
      <c r="K290" t="inlineStr">
        <is>
          <t>NA</t>
        </is>
      </c>
      <c r="L290" t="inlineStr">
        <is>
          <t>NA</t>
        </is>
      </c>
      <c r="M290" t="inlineStr">
        <is>
          <t>O2</t>
        </is>
      </c>
      <c r="N290" t="inlineStr">
        <is>
          <t>36</t>
        </is>
      </c>
      <c r="O290" t="n">
        <v>229</v>
      </c>
      <c r="P290" t="n">
        <v>3.5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11.63</v>
      </c>
      <c r="W290" t="n">
        <v>244.13</v>
      </c>
      <c r="X290" t="n">
        <v>232.5</v>
      </c>
      <c r="Y290" t="n">
        <v>19</v>
      </c>
      <c r="Z290" t="n">
        <v>44.18</v>
      </c>
      <c r="AA290" t="n">
        <v>4.49</v>
      </c>
      <c r="AB290" t="n">
        <v>48.67</v>
      </c>
      <c r="AC290" t="n">
        <v>8.76</v>
      </c>
      <c r="AD290" t="n">
        <v>0</v>
      </c>
      <c r="AE290" t="n">
        <v>232.5</v>
      </c>
      <c r="AF290" t="n">
        <v>0</v>
      </c>
      <c r="AG290" t="n">
        <v>0</v>
      </c>
      <c r="AH290" t="n">
        <v>0.23</v>
      </c>
      <c r="AI290" t="n">
        <v>11.63</v>
      </c>
      <c r="AJ290" t="n">
        <v>0</v>
      </c>
      <c r="AK290" t="n">
        <v>20.62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69.29000000000001</v>
      </c>
      <c r="AV290" t="n">
        <v>0</v>
      </c>
      <c r="AW290" t="n">
        <v>174.84</v>
      </c>
      <c r="AX290" t="inlineStr">
        <is>
          <t>settled</t>
        </is>
      </c>
      <c r="AY290" t="inlineStr">
        <is>
          <t>NA</t>
        </is>
      </c>
      <c r="AZ290" t="inlineStr">
        <is>
          <t>NA</t>
        </is>
      </c>
      <c r="BA290" t="n">
        <v>0</v>
      </c>
      <c r="BB290" t="inlineStr">
        <is>
          <t>8e48e1080a0a48249f1b01193b75bb0a38fafa092609bd465d2289f0ad953714</t>
        </is>
      </c>
    </row>
    <row r="291">
      <c r="A291" t="inlineStr">
        <is>
          <t>975</t>
        </is>
      </c>
      <c r="B291" t="inlineStr">
        <is>
          <t>7603073768</t>
        </is>
      </c>
      <c r="C291" t="inlineStr">
        <is>
          <t>2025-12-20 22:51:04</t>
        </is>
      </c>
      <c r="D291" t="inlineStr">
        <is>
          <t>51</t>
        </is>
      </c>
      <c r="E291" t="inlineStr">
        <is>
          <t>Sha Sha - Shandaar Shawarma</t>
        </is>
      </c>
      <c r="F291" t="inlineStr">
        <is>
          <t>18557902</t>
        </is>
      </c>
      <c r="G291" t="inlineStr">
        <is>
          <t>30% off upto ₹75 (2025-06-25 - 2031-01-01)</t>
        </is>
      </c>
      <c r="H291" t="inlineStr">
        <is>
          <t>ONLINE</t>
        </is>
      </c>
      <c r="I291" t="inlineStr">
        <is>
          <t>DELIVERED</t>
        </is>
      </c>
      <c r="J291" t="inlineStr">
        <is>
          <t>NA</t>
        </is>
      </c>
      <c r="K291" t="inlineStr">
        <is>
          <t>NA</t>
        </is>
      </c>
      <c r="L291" t="inlineStr">
        <is>
          <t>NA</t>
        </is>
      </c>
      <c r="M291" t="inlineStr">
        <is>
          <t>O2</t>
        </is>
      </c>
      <c r="N291" t="inlineStr">
        <is>
          <t>36</t>
        </is>
      </c>
      <c r="O291" t="n">
        <v>219</v>
      </c>
      <c r="P291" t="n">
        <v>3.5</v>
      </c>
      <c r="Q291" t="n">
        <v>0</v>
      </c>
      <c r="R291" t="n">
        <v>65.7</v>
      </c>
      <c r="S291" t="n">
        <v>0</v>
      </c>
      <c r="T291" t="n">
        <v>0</v>
      </c>
      <c r="U291" t="n">
        <v>0</v>
      </c>
      <c r="V291" t="n">
        <v>7.84</v>
      </c>
      <c r="W291" t="n">
        <v>164.64</v>
      </c>
      <c r="X291" t="n">
        <v>156.8</v>
      </c>
      <c r="Y291" t="n">
        <v>19</v>
      </c>
      <c r="Z291" t="n">
        <v>29.79</v>
      </c>
      <c r="AA291" t="n">
        <v>3.03</v>
      </c>
      <c r="AB291" t="n">
        <v>32.82</v>
      </c>
      <c r="AC291" t="n">
        <v>5.91</v>
      </c>
      <c r="AD291" t="n">
        <v>0</v>
      </c>
      <c r="AE291" t="n">
        <v>156.8</v>
      </c>
      <c r="AF291" t="n">
        <v>0</v>
      </c>
      <c r="AG291" t="n">
        <v>0</v>
      </c>
      <c r="AH291" t="n">
        <v>0.16</v>
      </c>
      <c r="AI291" t="n">
        <v>7.85</v>
      </c>
      <c r="AJ291" t="n">
        <v>-0.01</v>
      </c>
      <c r="AK291" t="n">
        <v>13.92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46.74</v>
      </c>
      <c r="AV291" t="n">
        <v>0</v>
      </c>
      <c r="AW291" t="n">
        <v>117.9</v>
      </c>
      <c r="AX291" t="inlineStr">
        <is>
          <t>settled</t>
        </is>
      </c>
      <c r="AY291" t="inlineStr">
        <is>
          <t>NA</t>
        </is>
      </c>
      <c r="AZ291" t="inlineStr">
        <is>
          <t>NA</t>
        </is>
      </c>
      <c r="BA291" t="n">
        <v>0</v>
      </c>
      <c r="BB291" t="inlineStr">
        <is>
          <t>1ff390185c05bb1051fa01ebcab3f9432489e882588524f96c959d303e58f9ad</t>
        </is>
      </c>
    </row>
    <row r="292">
      <c r="A292" t="inlineStr">
        <is>
          <t>976</t>
        </is>
      </c>
      <c r="B292" t="inlineStr">
        <is>
          <t>7602677639</t>
        </is>
      </c>
      <c r="C292" t="inlineStr">
        <is>
          <t>2025-12-20 23:32:28</t>
        </is>
      </c>
      <c r="D292" t="inlineStr">
        <is>
          <t>51</t>
        </is>
      </c>
      <c r="E292" t="inlineStr">
        <is>
          <t>Sha Sha - Shandaar Shawarma</t>
        </is>
      </c>
      <c r="F292" t="inlineStr">
        <is>
          <t>18557902</t>
        </is>
      </c>
      <c r="G292" t="inlineStr">
        <is>
          <t>NA</t>
        </is>
      </c>
      <c r="H292" t="inlineStr">
        <is>
          <t>ONLINE</t>
        </is>
      </c>
      <c r="I292" t="inlineStr">
        <is>
          <t>DELIVERED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O2</t>
        </is>
      </c>
      <c r="N292" t="inlineStr">
        <is>
          <t>36</t>
        </is>
      </c>
      <c r="O292" t="n">
        <v>229</v>
      </c>
      <c r="P292" t="n">
        <v>3.5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11.63</v>
      </c>
      <c r="W292" t="n">
        <v>244.13</v>
      </c>
      <c r="X292" t="n">
        <v>232.5</v>
      </c>
      <c r="Y292" t="n">
        <v>19</v>
      </c>
      <c r="Z292" t="n">
        <v>44.18</v>
      </c>
      <c r="AA292" t="n">
        <v>4.49</v>
      </c>
      <c r="AB292" t="n">
        <v>48.67</v>
      </c>
      <c r="AC292" t="n">
        <v>8.76</v>
      </c>
      <c r="AD292" t="n">
        <v>0</v>
      </c>
      <c r="AE292" t="n">
        <v>232.5</v>
      </c>
      <c r="AF292" t="n">
        <v>0</v>
      </c>
      <c r="AG292" t="n">
        <v>0</v>
      </c>
      <c r="AH292" t="n">
        <v>0.23</v>
      </c>
      <c r="AI292" t="n">
        <v>11.63</v>
      </c>
      <c r="AJ292" t="n">
        <v>0</v>
      </c>
      <c r="AK292" t="n">
        <v>20.62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69.29000000000001</v>
      </c>
      <c r="AV292" t="n">
        <v>0</v>
      </c>
      <c r="AW292" t="n">
        <v>174.84</v>
      </c>
      <c r="AX292" t="inlineStr">
        <is>
          <t>settled</t>
        </is>
      </c>
      <c r="AY292" t="inlineStr">
        <is>
          <t>NA</t>
        </is>
      </c>
      <c r="AZ292" t="inlineStr">
        <is>
          <t>NA</t>
        </is>
      </c>
      <c r="BA292" t="n">
        <v>0</v>
      </c>
      <c r="BB292" t="inlineStr">
        <is>
          <t>c9c5ca191fa0d0d1769c0885dccac3f21ec824bd6521c1991d4e8d294bac6254</t>
        </is>
      </c>
    </row>
    <row r="293">
      <c r="A293" t="inlineStr">
        <is>
          <t>977</t>
        </is>
      </c>
      <c r="B293" t="inlineStr">
        <is>
          <t>7600347994</t>
        </is>
      </c>
      <c r="C293" t="inlineStr">
        <is>
          <t>2025-12-20 23:44:41</t>
        </is>
      </c>
      <c r="D293" t="inlineStr">
        <is>
          <t>51</t>
        </is>
      </c>
      <c r="E293" t="inlineStr">
        <is>
          <t>Sha Sha - Shandaar Shawarma</t>
        </is>
      </c>
      <c r="F293" t="inlineStr">
        <is>
          <t>18557902</t>
        </is>
      </c>
      <c r="G293" t="inlineStr">
        <is>
          <t>NA</t>
        </is>
      </c>
      <c r="H293" t="inlineStr">
        <is>
          <t>ONLINE</t>
        </is>
      </c>
      <c r="I293" t="inlineStr">
        <is>
          <t>DELIVERED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O2</t>
        </is>
      </c>
      <c r="N293" t="inlineStr">
        <is>
          <t>36</t>
        </is>
      </c>
      <c r="O293" t="n">
        <v>358</v>
      </c>
      <c r="P293" t="n">
        <v>3.5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18.08</v>
      </c>
      <c r="W293" t="n">
        <v>379.58</v>
      </c>
      <c r="X293" t="n">
        <v>361.5</v>
      </c>
      <c r="Y293" t="n">
        <v>19</v>
      </c>
      <c r="Z293" t="n">
        <v>68.68000000000001</v>
      </c>
      <c r="AA293" t="n">
        <v>6.98</v>
      </c>
      <c r="AB293" t="n">
        <v>75.66</v>
      </c>
      <c r="AC293" t="n">
        <v>13.62</v>
      </c>
      <c r="AD293" t="n">
        <v>0</v>
      </c>
      <c r="AE293" t="n">
        <v>361.5</v>
      </c>
      <c r="AF293" t="n">
        <v>0</v>
      </c>
      <c r="AG293" t="n">
        <v>0</v>
      </c>
      <c r="AH293" t="n">
        <v>0.36</v>
      </c>
      <c r="AI293" t="n">
        <v>18.08</v>
      </c>
      <c r="AJ293" t="n">
        <v>0</v>
      </c>
      <c r="AK293" t="n">
        <v>32.06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107.72</v>
      </c>
      <c r="AV293" t="n">
        <v>0</v>
      </c>
      <c r="AW293" t="n">
        <v>271.86</v>
      </c>
      <c r="AX293" t="inlineStr">
        <is>
          <t>settled</t>
        </is>
      </c>
      <c r="AY293" t="inlineStr">
        <is>
          <t>NA</t>
        </is>
      </c>
      <c r="AZ293" t="inlineStr">
        <is>
          <t>NA</t>
        </is>
      </c>
      <c r="BA293" t="n">
        <v>0</v>
      </c>
      <c r="BB293" t="inlineStr">
        <is>
          <t>ba04c23ce12053f249a8e31fde4ad82ec68bd390d83166f938de56b42ae774ac</t>
        </is>
      </c>
    </row>
    <row r="294">
      <c r="A294" t="inlineStr">
        <is>
          <t>978</t>
        </is>
      </c>
      <c r="B294" t="inlineStr">
        <is>
          <t>7592382835</t>
        </is>
      </c>
      <c r="C294" t="inlineStr">
        <is>
          <t>2025-12-21 00:13:38</t>
        </is>
      </c>
      <c r="D294" t="inlineStr">
        <is>
          <t>51</t>
        </is>
      </c>
      <c r="E294" t="inlineStr">
        <is>
          <t>Sha Sha - Shandaar Shawarma</t>
        </is>
      </c>
      <c r="F294" t="inlineStr">
        <is>
          <t>18557902</t>
        </is>
      </c>
      <c r="G294" t="inlineStr">
        <is>
          <t>30% off upto ₹75 (2025-06-25 - 2031-01-01)</t>
        </is>
      </c>
      <c r="H294" t="inlineStr">
        <is>
          <t>ONLINE</t>
        </is>
      </c>
      <c r="I294" t="inlineStr">
        <is>
          <t>DELIVERED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O2</t>
        </is>
      </c>
      <c r="N294" t="inlineStr">
        <is>
          <t>36</t>
        </is>
      </c>
      <c r="O294" t="n">
        <v>229</v>
      </c>
      <c r="P294" t="n">
        <v>3.5</v>
      </c>
      <c r="Q294" t="n">
        <v>0</v>
      </c>
      <c r="R294" t="n">
        <v>68.7</v>
      </c>
      <c r="S294" t="n">
        <v>0</v>
      </c>
      <c r="T294" t="n">
        <v>0</v>
      </c>
      <c r="U294" t="n">
        <v>0</v>
      </c>
      <c r="V294" t="n">
        <v>8.19</v>
      </c>
      <c r="W294" t="n">
        <v>171.99</v>
      </c>
      <c r="X294" t="n">
        <v>163.8</v>
      </c>
      <c r="Y294" t="n">
        <v>19</v>
      </c>
      <c r="Z294" t="n">
        <v>31.12</v>
      </c>
      <c r="AA294" t="n">
        <v>3.16</v>
      </c>
      <c r="AB294" t="n">
        <v>34.28</v>
      </c>
      <c r="AC294" t="n">
        <v>6.17</v>
      </c>
      <c r="AD294" t="n">
        <v>0</v>
      </c>
      <c r="AE294" t="n">
        <v>163.8</v>
      </c>
      <c r="AF294" t="n">
        <v>0</v>
      </c>
      <c r="AG294" t="n">
        <v>0</v>
      </c>
      <c r="AH294" t="n">
        <v>0.16</v>
      </c>
      <c r="AI294" t="n">
        <v>8.199999999999999</v>
      </c>
      <c r="AJ294" t="n">
        <v>-0.01</v>
      </c>
      <c r="AK294" t="n">
        <v>14.53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48.81</v>
      </c>
      <c r="AV294" t="n">
        <v>0</v>
      </c>
      <c r="AW294" t="n">
        <v>123.18</v>
      </c>
      <c r="AX294" t="inlineStr">
        <is>
          <t>settled</t>
        </is>
      </c>
      <c r="AY294" t="inlineStr">
        <is>
          <t>NA</t>
        </is>
      </c>
      <c r="AZ294" t="inlineStr">
        <is>
          <t>NA</t>
        </is>
      </c>
      <c r="BA294" t="n">
        <v>0</v>
      </c>
      <c r="BB294" t="inlineStr">
        <is>
          <t>6e3986b5fdd698279940db7a74f1fd03a77ca362da5f8fc7737bb34ef57f0883</t>
        </is>
      </c>
    </row>
    <row r="295">
      <c r="A295" t="inlineStr">
        <is>
          <t>979</t>
        </is>
      </c>
      <c r="B295" t="inlineStr">
        <is>
          <t>7603725859</t>
        </is>
      </c>
      <c r="C295" t="inlineStr">
        <is>
          <t>2025-12-21 00:15:30</t>
        </is>
      </c>
      <c r="D295" t="inlineStr">
        <is>
          <t>51</t>
        </is>
      </c>
      <c r="E295" t="inlineStr">
        <is>
          <t>Sha Sha - Shandaar Shawarma</t>
        </is>
      </c>
      <c r="F295" t="inlineStr">
        <is>
          <t>18557902</t>
        </is>
      </c>
      <c r="G295" t="inlineStr">
        <is>
          <t>NA</t>
        </is>
      </c>
      <c r="H295" t="inlineStr">
        <is>
          <t>ONLINE</t>
        </is>
      </c>
      <c r="I295" t="inlineStr">
        <is>
          <t>DELIVERED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O2</t>
        </is>
      </c>
      <c r="N295" t="inlineStr">
        <is>
          <t>36</t>
        </is>
      </c>
      <c r="O295" t="n">
        <v>219</v>
      </c>
      <c r="P295" t="n">
        <v>3.5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11.13</v>
      </c>
      <c r="W295" t="n">
        <v>233.63</v>
      </c>
      <c r="X295" t="n">
        <v>222.5</v>
      </c>
      <c r="Y295" t="n">
        <v>19</v>
      </c>
      <c r="Z295" t="n">
        <v>42.28</v>
      </c>
      <c r="AA295" t="n">
        <v>4.3</v>
      </c>
      <c r="AB295" t="n">
        <v>46.58</v>
      </c>
      <c r="AC295" t="n">
        <v>8.380000000000001</v>
      </c>
      <c r="AD295" t="n">
        <v>0</v>
      </c>
      <c r="AE295" t="n">
        <v>222.5</v>
      </c>
      <c r="AF295" t="n">
        <v>0</v>
      </c>
      <c r="AG295" t="n">
        <v>0</v>
      </c>
      <c r="AH295" t="n">
        <v>0.22</v>
      </c>
      <c r="AI295" t="n">
        <v>11.13</v>
      </c>
      <c r="AJ295" t="n">
        <v>0</v>
      </c>
      <c r="AK295" t="n">
        <v>19.73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66.31</v>
      </c>
      <c r="AV295" t="n">
        <v>0</v>
      </c>
      <c r="AW295" t="n">
        <v>167.32</v>
      </c>
      <c r="AX295" t="inlineStr">
        <is>
          <t>settled</t>
        </is>
      </c>
      <c r="AY295" t="inlineStr">
        <is>
          <t>NA</t>
        </is>
      </c>
      <c r="AZ295" t="inlineStr">
        <is>
          <t>NA</t>
        </is>
      </c>
      <c r="BA295" t="n">
        <v>0</v>
      </c>
      <c r="BB295" t="inlineStr">
        <is>
          <t>55338262ea2663c25e6e03c88c24714641c78fc9b1612c913c8de52964b50274</t>
        </is>
      </c>
    </row>
    <row r="296">
      <c r="A296" t="inlineStr">
        <is>
          <t>980</t>
        </is>
      </c>
      <c r="B296" t="inlineStr">
        <is>
          <t>7600921222</t>
        </is>
      </c>
      <c r="C296" t="inlineStr">
        <is>
          <t>2025-12-21 00:17:13</t>
        </is>
      </c>
      <c r="D296" t="inlineStr">
        <is>
          <t>51</t>
        </is>
      </c>
      <c r="E296" t="inlineStr">
        <is>
          <t>Sha Sha - Shandaar Shawarma</t>
        </is>
      </c>
      <c r="F296" t="inlineStr">
        <is>
          <t>18557902</t>
        </is>
      </c>
      <c r="G296" t="inlineStr">
        <is>
          <t>30% off upto ₹75 (2025-06-25 - 2031-01-01)</t>
        </is>
      </c>
      <c r="H296" t="inlineStr">
        <is>
          <t>ONLINE</t>
        </is>
      </c>
      <c r="I296" t="inlineStr">
        <is>
          <t>DELIVERED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O2</t>
        </is>
      </c>
      <c r="N296" t="inlineStr">
        <is>
          <t>36</t>
        </is>
      </c>
      <c r="O296" t="n">
        <v>229</v>
      </c>
      <c r="P296" t="n">
        <v>3.5</v>
      </c>
      <c r="Q296" t="n">
        <v>0</v>
      </c>
      <c r="R296" t="n">
        <v>68.7</v>
      </c>
      <c r="S296" t="n">
        <v>0</v>
      </c>
      <c r="T296" t="n">
        <v>0</v>
      </c>
      <c r="U296" t="n">
        <v>0</v>
      </c>
      <c r="V296" t="n">
        <v>8.19</v>
      </c>
      <c r="W296" t="n">
        <v>171.99</v>
      </c>
      <c r="X296" t="n">
        <v>163.8</v>
      </c>
      <c r="Y296" t="n">
        <v>19</v>
      </c>
      <c r="Z296" t="n">
        <v>31.12</v>
      </c>
      <c r="AA296" t="n">
        <v>3.16</v>
      </c>
      <c r="AB296" t="n">
        <v>34.28</v>
      </c>
      <c r="AC296" t="n">
        <v>6.17</v>
      </c>
      <c r="AD296" t="n">
        <v>0</v>
      </c>
      <c r="AE296" t="n">
        <v>163.8</v>
      </c>
      <c r="AF296" t="n">
        <v>0</v>
      </c>
      <c r="AG296" t="n">
        <v>0</v>
      </c>
      <c r="AH296" t="n">
        <v>0.16</v>
      </c>
      <c r="AI296" t="n">
        <v>8.199999999999999</v>
      </c>
      <c r="AJ296" t="n">
        <v>-0.01</v>
      </c>
      <c r="AK296" t="n">
        <v>14.53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48.81</v>
      </c>
      <c r="AV296" t="n">
        <v>0</v>
      </c>
      <c r="AW296" t="n">
        <v>123.18</v>
      </c>
      <c r="AX296" t="inlineStr">
        <is>
          <t>settled</t>
        </is>
      </c>
      <c r="AY296" t="inlineStr">
        <is>
          <t>NA</t>
        </is>
      </c>
      <c r="AZ296" t="inlineStr">
        <is>
          <t>NA</t>
        </is>
      </c>
      <c r="BA296" t="n">
        <v>0</v>
      </c>
      <c r="BB296" t="inlineStr">
        <is>
          <t>b8791011737d01e1d1018c892d18df06462ac6741be2c670861417b598936101</t>
        </is>
      </c>
    </row>
    <row r="297">
      <c r="A297" t="inlineStr">
        <is>
          <t>981</t>
        </is>
      </c>
      <c r="B297" t="inlineStr">
        <is>
          <t>7602758661</t>
        </is>
      </c>
      <c r="C297" t="inlineStr">
        <is>
          <t>2025-12-21 00:20:13</t>
        </is>
      </c>
      <c r="D297" t="inlineStr">
        <is>
          <t>51</t>
        </is>
      </c>
      <c r="E297" t="inlineStr">
        <is>
          <t>Sha Sha - Shandaar Shawarma</t>
        </is>
      </c>
      <c r="F297" t="inlineStr">
        <is>
          <t>18557902</t>
        </is>
      </c>
      <c r="G297" t="inlineStr">
        <is>
          <t>30% off upto ₹75 (2025-06-25 - 2031-01-01)</t>
        </is>
      </c>
      <c r="H297" t="inlineStr">
        <is>
          <t>ONLINE</t>
        </is>
      </c>
      <c r="I297" t="inlineStr">
        <is>
          <t>DELIVERED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O2</t>
        </is>
      </c>
      <c r="N297" t="inlineStr">
        <is>
          <t>36</t>
        </is>
      </c>
      <c r="O297" t="n">
        <v>229</v>
      </c>
      <c r="P297" t="n">
        <v>3.5</v>
      </c>
      <c r="Q297" t="n">
        <v>0</v>
      </c>
      <c r="R297" t="n">
        <v>68.7</v>
      </c>
      <c r="S297" t="n">
        <v>0</v>
      </c>
      <c r="T297" t="n">
        <v>0</v>
      </c>
      <c r="U297" t="n">
        <v>0</v>
      </c>
      <c r="V297" t="n">
        <v>8.19</v>
      </c>
      <c r="W297" t="n">
        <v>171.99</v>
      </c>
      <c r="X297" t="n">
        <v>163.8</v>
      </c>
      <c r="Y297" t="n">
        <v>19</v>
      </c>
      <c r="Z297" t="n">
        <v>31.12</v>
      </c>
      <c r="AA297" t="n">
        <v>3.16</v>
      </c>
      <c r="AB297" t="n">
        <v>34.28</v>
      </c>
      <c r="AC297" t="n">
        <v>6.17</v>
      </c>
      <c r="AD297" t="n">
        <v>0</v>
      </c>
      <c r="AE297" t="n">
        <v>163.8</v>
      </c>
      <c r="AF297" t="n">
        <v>0</v>
      </c>
      <c r="AG297" t="n">
        <v>0</v>
      </c>
      <c r="AH297" t="n">
        <v>0.16</v>
      </c>
      <c r="AI297" t="n">
        <v>8.199999999999999</v>
      </c>
      <c r="AJ297" t="n">
        <v>-0.01</v>
      </c>
      <c r="AK297" t="n">
        <v>14.53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48.81</v>
      </c>
      <c r="AV297" t="n">
        <v>0</v>
      </c>
      <c r="AW297" t="n">
        <v>123.18</v>
      </c>
      <c r="AX297" t="inlineStr">
        <is>
          <t>settled</t>
        </is>
      </c>
      <c r="AY297" t="inlineStr">
        <is>
          <t>NA</t>
        </is>
      </c>
      <c r="AZ297" t="inlineStr">
        <is>
          <t>NA</t>
        </is>
      </c>
      <c r="BA297" t="n">
        <v>0</v>
      </c>
      <c r="BB297" t="inlineStr">
        <is>
          <t>d807dca17fe38e6083a9e7b44613c5317aa6092dbc156cbcc10ee45870949d69</t>
        </is>
      </c>
    </row>
    <row r="298">
      <c r="A298" t="inlineStr">
        <is>
          <t>982</t>
        </is>
      </c>
      <c r="B298" t="inlineStr">
        <is>
          <t>7603840647</t>
        </is>
      </c>
      <c r="C298" t="inlineStr">
        <is>
          <t>2025-12-21 00:32:53</t>
        </is>
      </c>
      <c r="D298" t="inlineStr">
        <is>
          <t>51</t>
        </is>
      </c>
      <c r="E298" t="inlineStr">
        <is>
          <t>Sha Sha - Shandaar Shawarma</t>
        </is>
      </c>
      <c r="F298" t="inlineStr">
        <is>
          <t>18557902</t>
        </is>
      </c>
      <c r="G298" t="inlineStr">
        <is>
          <t>30% off upto ₹75 (2025-06-25 - 2031-01-01)</t>
        </is>
      </c>
      <c r="H298" t="inlineStr">
        <is>
          <t>ONLINE</t>
        </is>
      </c>
      <c r="I298" t="inlineStr">
        <is>
          <t>DELIVERED</t>
        </is>
      </c>
      <c r="J298" t="inlineStr">
        <is>
          <t>NA</t>
        </is>
      </c>
      <c r="K298" t="inlineStr">
        <is>
          <t>NA</t>
        </is>
      </c>
      <c r="L298" t="inlineStr">
        <is>
          <t>NA</t>
        </is>
      </c>
      <c r="M298" t="inlineStr">
        <is>
          <t>O2</t>
        </is>
      </c>
      <c r="N298" t="inlineStr">
        <is>
          <t>36</t>
        </is>
      </c>
      <c r="O298" t="n">
        <v>355</v>
      </c>
      <c r="P298" t="n">
        <v>3.5</v>
      </c>
      <c r="Q298" t="n">
        <v>0</v>
      </c>
      <c r="R298" t="n">
        <v>75</v>
      </c>
      <c r="S298" t="n">
        <v>0</v>
      </c>
      <c r="T298" t="n">
        <v>0</v>
      </c>
      <c r="U298" t="n">
        <v>0</v>
      </c>
      <c r="V298" t="n">
        <v>14.18</v>
      </c>
      <c r="W298" t="n">
        <v>297.68</v>
      </c>
      <c r="X298" t="n">
        <v>283.5</v>
      </c>
      <c r="Y298" t="n">
        <v>19</v>
      </c>
      <c r="Z298" t="n">
        <v>53.86</v>
      </c>
      <c r="AA298" t="n">
        <v>5.48</v>
      </c>
      <c r="AB298" t="n">
        <v>59.34</v>
      </c>
      <c r="AC298" t="n">
        <v>10.68</v>
      </c>
      <c r="AD298" t="n">
        <v>0</v>
      </c>
      <c r="AE298" t="n">
        <v>283.5</v>
      </c>
      <c r="AF298" t="n">
        <v>0</v>
      </c>
      <c r="AG298" t="n">
        <v>0</v>
      </c>
      <c r="AH298" t="n">
        <v>0.28</v>
      </c>
      <c r="AI298" t="n">
        <v>14.18</v>
      </c>
      <c r="AJ298" t="n">
        <v>0</v>
      </c>
      <c r="AK298" t="n">
        <v>25.14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84.48</v>
      </c>
      <c r="AV298" t="n">
        <v>0</v>
      </c>
      <c r="AW298" t="n">
        <v>213.2</v>
      </c>
      <c r="AX298" t="inlineStr">
        <is>
          <t>settled</t>
        </is>
      </c>
      <c r="AY298" t="inlineStr">
        <is>
          <t>NA</t>
        </is>
      </c>
      <c r="AZ298" t="inlineStr">
        <is>
          <t>NA</t>
        </is>
      </c>
      <c r="BA298" t="n">
        <v>0</v>
      </c>
      <c r="BB298" t="inlineStr">
        <is>
          <t>22f090a96d8ae115ad168e47e05f3cb0355ed634a9490575ff1f75aa97e4055f</t>
        </is>
      </c>
    </row>
    <row r="299">
      <c r="A299" t="inlineStr">
        <is>
          <t>983</t>
        </is>
      </c>
      <c r="B299" t="inlineStr">
        <is>
          <t>7603975013</t>
        </is>
      </c>
      <c r="C299" t="inlineStr">
        <is>
          <t>2025-12-21 00:39:52</t>
        </is>
      </c>
      <c r="D299" t="inlineStr">
        <is>
          <t>51</t>
        </is>
      </c>
      <c r="E299" t="inlineStr">
        <is>
          <t>Sha Sha - Shandaar Shawarma</t>
        </is>
      </c>
      <c r="F299" t="inlineStr">
        <is>
          <t>18557902</t>
        </is>
      </c>
      <c r="G299" t="inlineStr">
        <is>
          <t>NA</t>
        </is>
      </c>
      <c r="H299" t="inlineStr">
        <is>
          <t>ONLINE</t>
        </is>
      </c>
      <c r="I299" t="inlineStr">
        <is>
          <t>DELIVERED</t>
        </is>
      </c>
      <c r="J299" t="inlineStr">
        <is>
          <t>NA</t>
        </is>
      </c>
      <c r="K299" t="inlineStr">
        <is>
          <t>NA</t>
        </is>
      </c>
      <c r="L299" t="inlineStr">
        <is>
          <t>NA</t>
        </is>
      </c>
      <c r="M299" t="inlineStr">
        <is>
          <t>O2</t>
        </is>
      </c>
      <c r="N299" t="inlineStr">
        <is>
          <t>36</t>
        </is>
      </c>
      <c r="O299" t="n">
        <v>229</v>
      </c>
      <c r="P299" t="n">
        <v>3.5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11.63</v>
      </c>
      <c r="W299" t="n">
        <v>244.13</v>
      </c>
      <c r="X299" t="n">
        <v>232.5</v>
      </c>
      <c r="Y299" t="n">
        <v>19</v>
      </c>
      <c r="Z299" t="n">
        <v>44.18</v>
      </c>
      <c r="AA299" t="n">
        <v>4.49</v>
      </c>
      <c r="AB299" t="n">
        <v>48.67</v>
      </c>
      <c r="AC299" t="n">
        <v>8.76</v>
      </c>
      <c r="AD299" t="n">
        <v>0</v>
      </c>
      <c r="AE299" t="n">
        <v>232.5</v>
      </c>
      <c r="AF299" t="n">
        <v>0</v>
      </c>
      <c r="AG299" t="n">
        <v>0</v>
      </c>
      <c r="AH299" t="n">
        <v>0.23</v>
      </c>
      <c r="AI299" t="n">
        <v>11.63</v>
      </c>
      <c r="AJ299" t="n">
        <v>0</v>
      </c>
      <c r="AK299" t="n">
        <v>20.62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69.29000000000001</v>
      </c>
      <c r="AV299" t="n">
        <v>0</v>
      </c>
      <c r="AW299" t="n">
        <v>174.84</v>
      </c>
      <c r="AX299" t="inlineStr">
        <is>
          <t>settled</t>
        </is>
      </c>
      <c r="AY299" t="inlineStr">
        <is>
          <t>NA</t>
        </is>
      </c>
      <c r="AZ299" t="inlineStr">
        <is>
          <t>NA</t>
        </is>
      </c>
      <c r="BA299" t="n">
        <v>0</v>
      </c>
      <c r="BB299" t="inlineStr">
        <is>
          <t>513d36524433f28528b22d632f5f4c4d26b851fd2c759322b548c8064c128de7</t>
        </is>
      </c>
    </row>
    <row r="300">
      <c r="A300" t="inlineStr">
        <is>
          <t>984</t>
        </is>
      </c>
      <c r="B300" t="inlineStr">
        <is>
          <t>7603940622</t>
        </is>
      </c>
      <c r="C300" t="inlineStr">
        <is>
          <t>2025-12-21 00:47:46</t>
        </is>
      </c>
      <c r="D300" t="inlineStr">
        <is>
          <t>51</t>
        </is>
      </c>
      <c r="E300" t="inlineStr">
        <is>
          <t>Sha Sha - Shandaar Shawarma</t>
        </is>
      </c>
      <c r="F300" t="inlineStr">
        <is>
          <t>18557902</t>
        </is>
      </c>
      <c r="G300" t="inlineStr">
        <is>
          <t>30% off upto ₹75 (2025-06-25 - 2031-01-01)</t>
        </is>
      </c>
      <c r="H300" t="inlineStr">
        <is>
          <t>ONLINE</t>
        </is>
      </c>
      <c r="I300" t="inlineStr">
        <is>
          <t>DELIVERED</t>
        </is>
      </c>
      <c r="J300" t="inlineStr">
        <is>
          <t>NA</t>
        </is>
      </c>
      <c r="K300" t="inlineStr">
        <is>
          <t>NA</t>
        </is>
      </c>
      <c r="L300" t="inlineStr">
        <is>
          <t>NA</t>
        </is>
      </c>
      <c r="M300" t="inlineStr">
        <is>
          <t>O2</t>
        </is>
      </c>
      <c r="N300" t="inlineStr">
        <is>
          <t>36</t>
        </is>
      </c>
      <c r="O300" t="n">
        <v>458</v>
      </c>
      <c r="P300" t="n">
        <v>3.5</v>
      </c>
      <c r="Q300" t="n">
        <v>0</v>
      </c>
      <c r="R300" t="n">
        <v>75</v>
      </c>
      <c r="S300" t="n">
        <v>0</v>
      </c>
      <c r="T300" t="n">
        <v>0</v>
      </c>
      <c r="U300" t="n">
        <v>0</v>
      </c>
      <c r="V300" t="n">
        <v>19.33</v>
      </c>
      <c r="W300" t="n">
        <v>405.83</v>
      </c>
      <c r="X300" t="n">
        <v>386.5</v>
      </c>
      <c r="Y300" t="n">
        <v>19</v>
      </c>
      <c r="Z300" t="n">
        <v>73.44</v>
      </c>
      <c r="AA300" t="n">
        <v>7.47</v>
      </c>
      <c r="AB300" t="n">
        <v>80.91</v>
      </c>
      <c r="AC300" t="n">
        <v>14.56</v>
      </c>
      <c r="AD300" t="n">
        <v>0</v>
      </c>
      <c r="AE300" t="n">
        <v>386.5</v>
      </c>
      <c r="AF300" t="n">
        <v>0</v>
      </c>
      <c r="AG300" t="n">
        <v>0</v>
      </c>
      <c r="AH300" t="n">
        <v>0.39</v>
      </c>
      <c r="AI300" t="n">
        <v>19.33</v>
      </c>
      <c r="AJ300" t="n">
        <v>0</v>
      </c>
      <c r="AK300" t="n">
        <v>34.28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115.19</v>
      </c>
      <c r="AV300" t="n">
        <v>0</v>
      </c>
      <c r="AW300" t="n">
        <v>290.64</v>
      </c>
      <c r="AX300" t="inlineStr">
        <is>
          <t>settled</t>
        </is>
      </c>
      <c r="AY300" t="inlineStr">
        <is>
          <t>NA</t>
        </is>
      </c>
      <c r="AZ300" t="inlineStr">
        <is>
          <t>NA</t>
        </is>
      </c>
      <c r="BA300" t="n">
        <v>0</v>
      </c>
      <c r="BB300" t="inlineStr">
        <is>
          <t>0bda503afa00a75e2d3ab13f48efbd762d31e5638eaef9dea4197fb80082d5f9</t>
        </is>
      </c>
    </row>
    <row r="301">
      <c r="A301" t="inlineStr">
        <is>
          <t>985</t>
        </is>
      </c>
      <c r="B301" t="inlineStr">
        <is>
          <t>7603158540</t>
        </is>
      </c>
      <c r="C301" t="inlineStr">
        <is>
          <t>2025-12-21 00:53:33</t>
        </is>
      </c>
      <c r="D301" t="inlineStr">
        <is>
          <t>51</t>
        </is>
      </c>
      <c r="E301" t="inlineStr">
        <is>
          <t>Sha Sha - Shandaar Shawarma</t>
        </is>
      </c>
      <c r="F301" t="inlineStr">
        <is>
          <t>18557902</t>
        </is>
      </c>
      <c r="G301" t="inlineStr">
        <is>
          <t>30% off upto ₹75 (2025-06-25 - 2031-01-01)</t>
        </is>
      </c>
      <c r="H301" t="inlineStr">
        <is>
          <t>ONLINE</t>
        </is>
      </c>
      <c r="I301" t="inlineStr">
        <is>
          <t>DELIVERED</t>
        </is>
      </c>
      <c r="J301" t="inlineStr">
        <is>
          <t>NA</t>
        </is>
      </c>
      <c r="K301" t="inlineStr">
        <is>
          <t>NA</t>
        </is>
      </c>
      <c r="L301" t="inlineStr">
        <is>
          <t>NA</t>
        </is>
      </c>
      <c r="M301" t="inlineStr">
        <is>
          <t>O2</t>
        </is>
      </c>
      <c r="N301" t="inlineStr">
        <is>
          <t>36</t>
        </is>
      </c>
      <c r="O301" t="n">
        <v>229</v>
      </c>
      <c r="P301" t="n">
        <v>3.5</v>
      </c>
      <c r="Q301" t="n">
        <v>0</v>
      </c>
      <c r="R301" t="n">
        <v>68.7</v>
      </c>
      <c r="S301" t="n">
        <v>0</v>
      </c>
      <c r="T301" t="n">
        <v>0</v>
      </c>
      <c r="U301" t="n">
        <v>0</v>
      </c>
      <c r="V301" t="n">
        <v>8.19</v>
      </c>
      <c r="W301" t="n">
        <v>171.99</v>
      </c>
      <c r="X301" t="n">
        <v>163.8</v>
      </c>
      <c r="Y301" t="n">
        <v>19</v>
      </c>
      <c r="Z301" t="n">
        <v>31.12</v>
      </c>
      <c r="AA301" t="n">
        <v>3.16</v>
      </c>
      <c r="AB301" t="n">
        <v>34.28</v>
      </c>
      <c r="AC301" t="n">
        <v>6.17</v>
      </c>
      <c r="AD301" t="n">
        <v>0</v>
      </c>
      <c r="AE301" t="n">
        <v>163.8</v>
      </c>
      <c r="AF301" t="n">
        <v>0</v>
      </c>
      <c r="AG301" t="n">
        <v>0</v>
      </c>
      <c r="AH301" t="n">
        <v>0.16</v>
      </c>
      <c r="AI301" t="n">
        <v>8.199999999999999</v>
      </c>
      <c r="AJ301" t="n">
        <v>-0.01</v>
      </c>
      <c r="AK301" t="n">
        <v>14.53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48.81</v>
      </c>
      <c r="AV301" t="n">
        <v>0</v>
      </c>
      <c r="AW301" t="n">
        <v>123.18</v>
      </c>
      <c r="AX301" t="inlineStr">
        <is>
          <t>settled</t>
        </is>
      </c>
      <c r="AY301" t="inlineStr">
        <is>
          <t>NA</t>
        </is>
      </c>
      <c r="AZ301" t="inlineStr">
        <is>
          <t>NA</t>
        </is>
      </c>
      <c r="BA301" t="n">
        <v>0</v>
      </c>
      <c r="BB301" t="inlineStr">
        <is>
          <t>732c743ac2b0d7ef8e8e10f40b985f06bddd62974b555198ae47d9d2a4932d5e</t>
        </is>
      </c>
    </row>
    <row r="302">
      <c r="A302" t="inlineStr">
        <is>
          <t>986</t>
        </is>
      </c>
      <c r="B302" t="inlineStr">
        <is>
          <t>7600169042</t>
        </is>
      </c>
      <c r="C302" t="inlineStr">
        <is>
          <t>2025-12-21 01:28:14</t>
        </is>
      </c>
      <c r="D302" t="inlineStr">
        <is>
          <t>51</t>
        </is>
      </c>
      <c r="E302" t="inlineStr">
        <is>
          <t>Sha Sha - Shandaar Shawarma</t>
        </is>
      </c>
      <c r="F302" t="inlineStr">
        <is>
          <t>18557902</t>
        </is>
      </c>
      <c r="G302" t="inlineStr">
        <is>
          <t>30% off upto ₹75 (2025-06-25 - 2031-01-01)</t>
        </is>
      </c>
      <c r="H302" t="inlineStr">
        <is>
          <t>ONLINE</t>
        </is>
      </c>
      <c r="I302" t="inlineStr">
        <is>
          <t>DELIVERED</t>
        </is>
      </c>
      <c r="J302" t="inlineStr">
        <is>
          <t>NA</t>
        </is>
      </c>
      <c r="K302" t="inlineStr">
        <is>
          <t>NA</t>
        </is>
      </c>
      <c r="L302" t="inlineStr">
        <is>
          <t>NA</t>
        </is>
      </c>
      <c r="M302" t="inlineStr">
        <is>
          <t>O2</t>
        </is>
      </c>
      <c r="N302" t="inlineStr">
        <is>
          <t>36</t>
        </is>
      </c>
      <c r="O302" t="n">
        <v>229</v>
      </c>
      <c r="P302" t="n">
        <v>3.5</v>
      </c>
      <c r="Q302" t="n">
        <v>0</v>
      </c>
      <c r="R302" t="n">
        <v>68.7</v>
      </c>
      <c r="S302" t="n">
        <v>0</v>
      </c>
      <c r="T302" t="n">
        <v>0</v>
      </c>
      <c r="U302" t="n">
        <v>0</v>
      </c>
      <c r="V302" t="n">
        <v>8.19</v>
      </c>
      <c r="W302" t="n">
        <v>171.99</v>
      </c>
      <c r="X302" t="n">
        <v>163.8</v>
      </c>
      <c r="Y302" t="n">
        <v>19</v>
      </c>
      <c r="Z302" t="n">
        <v>31.12</v>
      </c>
      <c r="AA302" t="n">
        <v>3.16</v>
      </c>
      <c r="AB302" t="n">
        <v>34.28</v>
      </c>
      <c r="AC302" t="n">
        <v>6.17</v>
      </c>
      <c r="AD302" t="n">
        <v>0</v>
      </c>
      <c r="AE302" t="n">
        <v>163.8</v>
      </c>
      <c r="AF302" t="n">
        <v>0</v>
      </c>
      <c r="AG302" t="n">
        <v>0</v>
      </c>
      <c r="AH302" t="n">
        <v>0.16</v>
      </c>
      <c r="AI302" t="n">
        <v>8.199999999999999</v>
      </c>
      <c r="AJ302" t="n">
        <v>-0.01</v>
      </c>
      <c r="AK302" t="n">
        <v>14.53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48.81</v>
      </c>
      <c r="AV302" t="n">
        <v>0</v>
      </c>
      <c r="AW302" t="n">
        <v>123.18</v>
      </c>
      <c r="AX302" t="inlineStr">
        <is>
          <t>settled</t>
        </is>
      </c>
      <c r="AY302" t="inlineStr">
        <is>
          <t>NA</t>
        </is>
      </c>
      <c r="AZ302" t="inlineStr">
        <is>
          <t>NA</t>
        </is>
      </c>
      <c r="BA302" t="n">
        <v>0</v>
      </c>
      <c r="BB302" t="inlineStr">
        <is>
          <t>f965c705b5c4cac429aaa12fa644d2d6b611f69f55ef841ad3fea42d208be5e0</t>
        </is>
      </c>
    </row>
    <row r="303">
      <c r="A303" t="inlineStr">
        <is>
          <t>987</t>
        </is>
      </c>
      <c r="B303" t="inlineStr">
        <is>
          <t>7604018058</t>
        </is>
      </c>
      <c r="C303" t="inlineStr">
        <is>
          <t>2025-12-21 01:42:21</t>
        </is>
      </c>
      <c r="D303" t="inlineStr">
        <is>
          <t>51</t>
        </is>
      </c>
      <c r="E303" t="inlineStr">
        <is>
          <t>Sha Sha - Shandaar Shawarma</t>
        </is>
      </c>
      <c r="F303" t="inlineStr">
        <is>
          <t>18557902</t>
        </is>
      </c>
      <c r="G303" t="inlineStr">
        <is>
          <t>NA</t>
        </is>
      </c>
      <c r="H303" t="inlineStr">
        <is>
          <t>ONLINE</t>
        </is>
      </c>
      <c r="I303" t="inlineStr">
        <is>
          <t>DELIVERED</t>
        </is>
      </c>
      <c r="J303" t="inlineStr">
        <is>
          <t>NA</t>
        </is>
      </c>
      <c r="K303" t="inlineStr">
        <is>
          <t>NA</t>
        </is>
      </c>
      <c r="L303" t="inlineStr">
        <is>
          <t>NA</t>
        </is>
      </c>
      <c r="M303" t="inlineStr">
        <is>
          <t>O2</t>
        </is>
      </c>
      <c r="N303" t="inlineStr">
        <is>
          <t>36</t>
        </is>
      </c>
      <c r="O303" t="n">
        <v>229</v>
      </c>
      <c r="P303" t="n">
        <v>3.5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11.63</v>
      </c>
      <c r="W303" t="n">
        <v>244.13</v>
      </c>
      <c r="X303" t="n">
        <v>232.5</v>
      </c>
      <c r="Y303" t="n">
        <v>19</v>
      </c>
      <c r="Z303" t="n">
        <v>44.18</v>
      </c>
      <c r="AA303" t="n">
        <v>4.49</v>
      </c>
      <c r="AB303" t="n">
        <v>48.67</v>
      </c>
      <c r="AC303" t="n">
        <v>8.76</v>
      </c>
      <c r="AD303" t="n">
        <v>0</v>
      </c>
      <c r="AE303" t="n">
        <v>232.5</v>
      </c>
      <c r="AF303" t="n">
        <v>0</v>
      </c>
      <c r="AG303" t="n">
        <v>0</v>
      </c>
      <c r="AH303" t="n">
        <v>0.23</v>
      </c>
      <c r="AI303" t="n">
        <v>11.63</v>
      </c>
      <c r="AJ303" t="n">
        <v>0</v>
      </c>
      <c r="AK303" t="n">
        <v>20.62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69.29000000000001</v>
      </c>
      <c r="AV303" t="n">
        <v>0</v>
      </c>
      <c r="AW303" t="n">
        <v>174.84</v>
      </c>
      <c r="AX303" t="inlineStr">
        <is>
          <t>settled</t>
        </is>
      </c>
      <c r="AY303" t="inlineStr">
        <is>
          <t>NA</t>
        </is>
      </c>
      <c r="AZ303" t="inlineStr">
        <is>
          <t>NA</t>
        </is>
      </c>
      <c r="BA303" t="n">
        <v>0</v>
      </c>
      <c r="BB303" t="inlineStr">
        <is>
          <t>5098c69b72b0711ca2a8806084dab512ff2960841cd0ae433d3983d8d1bfccf5</t>
        </is>
      </c>
    </row>
    <row r="304">
      <c r="A304" t="inlineStr">
        <is>
          <t>988</t>
        </is>
      </c>
      <c r="B304" t="inlineStr">
        <is>
          <t>7603562081</t>
        </is>
      </c>
      <c r="C304" t="inlineStr">
        <is>
          <t>2025-12-21 01:46:19</t>
        </is>
      </c>
      <c r="D304" t="inlineStr">
        <is>
          <t>51</t>
        </is>
      </c>
      <c r="E304" t="inlineStr">
        <is>
          <t>Sha Sha - Shandaar Shawarma</t>
        </is>
      </c>
      <c r="F304" t="inlineStr">
        <is>
          <t>18557902</t>
        </is>
      </c>
      <c r="G304" t="inlineStr">
        <is>
          <t>30% off upto ₹75 (2025-06-25 - 2031-01-01)</t>
        </is>
      </c>
      <c r="H304" t="inlineStr">
        <is>
          <t>ONLINE</t>
        </is>
      </c>
      <c r="I304" t="inlineStr">
        <is>
          <t>DELIVERED</t>
        </is>
      </c>
      <c r="J304" t="inlineStr">
        <is>
          <t>NA</t>
        </is>
      </c>
      <c r="K304" t="inlineStr">
        <is>
          <t>NA</t>
        </is>
      </c>
      <c r="L304" t="inlineStr">
        <is>
          <t>NA</t>
        </is>
      </c>
      <c r="M304" t="inlineStr">
        <is>
          <t>O2</t>
        </is>
      </c>
      <c r="N304" t="inlineStr">
        <is>
          <t>36</t>
        </is>
      </c>
      <c r="O304" t="n">
        <v>229</v>
      </c>
      <c r="P304" t="n">
        <v>3.5</v>
      </c>
      <c r="Q304" t="n">
        <v>0</v>
      </c>
      <c r="R304" t="n">
        <v>68.7</v>
      </c>
      <c r="S304" t="n">
        <v>0</v>
      </c>
      <c r="T304" t="n">
        <v>0</v>
      </c>
      <c r="U304" t="n">
        <v>0</v>
      </c>
      <c r="V304" t="n">
        <v>8.19</v>
      </c>
      <c r="W304" t="n">
        <v>171.99</v>
      </c>
      <c r="X304" t="n">
        <v>163.8</v>
      </c>
      <c r="Y304" t="n">
        <v>19</v>
      </c>
      <c r="Z304" t="n">
        <v>31.12</v>
      </c>
      <c r="AA304" t="n">
        <v>3.16</v>
      </c>
      <c r="AB304" t="n">
        <v>34.28</v>
      </c>
      <c r="AC304" t="n">
        <v>6.17</v>
      </c>
      <c r="AD304" t="n">
        <v>0</v>
      </c>
      <c r="AE304" t="n">
        <v>163.8</v>
      </c>
      <c r="AF304" t="n">
        <v>0</v>
      </c>
      <c r="AG304" t="n">
        <v>0</v>
      </c>
      <c r="AH304" t="n">
        <v>0.16</v>
      </c>
      <c r="AI304" t="n">
        <v>8.199999999999999</v>
      </c>
      <c r="AJ304" t="n">
        <v>-0.01</v>
      </c>
      <c r="AK304" t="n">
        <v>14.53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48.81</v>
      </c>
      <c r="AV304" t="n">
        <v>0</v>
      </c>
      <c r="AW304" t="n">
        <v>123.18</v>
      </c>
      <c r="AX304" t="inlineStr">
        <is>
          <t>settled</t>
        </is>
      </c>
      <c r="AY304" t="inlineStr">
        <is>
          <t>NA</t>
        </is>
      </c>
      <c r="AZ304" t="inlineStr">
        <is>
          <t>NA</t>
        </is>
      </c>
      <c r="BA304" t="n">
        <v>0</v>
      </c>
      <c r="BB304" t="inlineStr">
        <is>
          <t>cced21294a761e8e520d3f723af908adf3bedcfdce1f6051f03037bf5aa364a8</t>
        </is>
      </c>
    </row>
    <row r="305">
      <c r="A305" t="inlineStr">
        <is>
          <t>989</t>
        </is>
      </c>
      <c r="B305" t="inlineStr">
        <is>
          <t>7587131352</t>
        </is>
      </c>
      <c r="C305" t="inlineStr">
        <is>
          <t>2025-12-21 01:53:05</t>
        </is>
      </c>
      <c r="D305" t="inlineStr">
        <is>
          <t>51</t>
        </is>
      </c>
      <c r="E305" t="inlineStr">
        <is>
          <t>Sha Sha - Shandaar Shawarma</t>
        </is>
      </c>
      <c r="F305" t="inlineStr">
        <is>
          <t>18557902</t>
        </is>
      </c>
      <c r="G305" t="inlineStr">
        <is>
          <t>30% off upto ₹75 (2025-06-25 - 2031-01-01)</t>
        </is>
      </c>
      <c r="H305" t="inlineStr">
        <is>
          <t>ONLINE</t>
        </is>
      </c>
      <c r="I305" t="inlineStr">
        <is>
          <t>DELIVERED</t>
        </is>
      </c>
      <c r="J305" t="inlineStr">
        <is>
          <t>NA</t>
        </is>
      </c>
      <c r="K305" t="inlineStr">
        <is>
          <t>NA</t>
        </is>
      </c>
      <c r="L305" t="inlineStr">
        <is>
          <t>NA</t>
        </is>
      </c>
      <c r="M305" t="inlineStr">
        <is>
          <t>O2</t>
        </is>
      </c>
      <c r="N305" t="inlineStr">
        <is>
          <t>36</t>
        </is>
      </c>
      <c r="O305" t="n">
        <v>219</v>
      </c>
      <c r="P305" t="n">
        <v>3.5</v>
      </c>
      <c r="Q305" t="n">
        <v>0</v>
      </c>
      <c r="R305" t="n">
        <v>65.7</v>
      </c>
      <c r="S305" t="n">
        <v>0</v>
      </c>
      <c r="T305" t="n">
        <v>0</v>
      </c>
      <c r="U305" t="n">
        <v>0</v>
      </c>
      <c r="V305" t="n">
        <v>7.84</v>
      </c>
      <c r="W305" t="n">
        <v>164.64</v>
      </c>
      <c r="X305" t="n">
        <v>156.8</v>
      </c>
      <c r="Y305" t="n">
        <v>19</v>
      </c>
      <c r="Z305" t="n">
        <v>29.79</v>
      </c>
      <c r="AA305" t="n">
        <v>3.03</v>
      </c>
      <c r="AB305" t="n">
        <v>32.82</v>
      </c>
      <c r="AC305" t="n">
        <v>5.91</v>
      </c>
      <c r="AD305" t="n">
        <v>0</v>
      </c>
      <c r="AE305" t="n">
        <v>156.8</v>
      </c>
      <c r="AF305" t="n">
        <v>0</v>
      </c>
      <c r="AG305" t="n">
        <v>0</v>
      </c>
      <c r="AH305" t="n">
        <v>0.16</v>
      </c>
      <c r="AI305" t="n">
        <v>7.85</v>
      </c>
      <c r="AJ305" t="n">
        <v>-0.01</v>
      </c>
      <c r="AK305" t="n">
        <v>13.92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46.74</v>
      </c>
      <c r="AV305" t="n">
        <v>0</v>
      </c>
      <c r="AW305" t="n">
        <v>117.9</v>
      </c>
      <c r="AX305" t="inlineStr">
        <is>
          <t>settled</t>
        </is>
      </c>
      <c r="AY305" t="inlineStr">
        <is>
          <t>NA</t>
        </is>
      </c>
      <c r="AZ305" t="inlineStr">
        <is>
          <t>NA</t>
        </is>
      </c>
      <c r="BA305" t="n">
        <v>0</v>
      </c>
      <c r="BB305" t="inlineStr">
        <is>
          <t>1faa20978569aad5976cb7087e83762b544298521f2488e8d1d4df96901a863d</t>
        </is>
      </c>
    </row>
    <row r="306">
      <c r="A306" t="inlineStr">
        <is>
          <t>990</t>
        </is>
      </c>
      <c r="B306" t="inlineStr">
        <is>
          <t>7597596745</t>
        </is>
      </c>
      <c r="C306" t="inlineStr">
        <is>
          <t>2025-12-21 02:00:11</t>
        </is>
      </c>
      <c r="D306" t="inlineStr">
        <is>
          <t>51</t>
        </is>
      </c>
      <c r="E306" t="inlineStr">
        <is>
          <t>Sha Sha - Shandaar Shawarma</t>
        </is>
      </c>
      <c r="F306" t="inlineStr">
        <is>
          <t>18557902</t>
        </is>
      </c>
      <c r="G306" t="inlineStr">
        <is>
          <t>NA</t>
        </is>
      </c>
      <c r="H306" t="inlineStr">
        <is>
          <t>ONLINE</t>
        </is>
      </c>
      <c r="I306" t="inlineStr">
        <is>
          <t>CANCELLED</t>
        </is>
      </c>
      <c r="J306" t="inlineStr">
        <is>
          <t>100%</t>
        </is>
      </c>
      <c r="K306" t="inlineStr">
        <is>
          <t>Customer cancellation due to delay</t>
        </is>
      </c>
      <c r="L306" t="inlineStr">
        <is>
          <t>Order picked up by rider</t>
        </is>
      </c>
      <c r="M306" t="inlineStr">
        <is>
          <t>O2</t>
        </is>
      </c>
      <c r="N306" t="inlineStr">
        <is>
          <t>NA</t>
        </is>
      </c>
      <c r="O306" t="n">
        <v>229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229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174.84</v>
      </c>
      <c r="AW306" t="n">
        <v>174.84</v>
      </c>
      <c r="AX306" t="inlineStr">
        <is>
          <t>settled</t>
        </is>
      </c>
      <c r="AY306" t="inlineStr">
        <is>
          <t>NA</t>
        </is>
      </c>
      <c r="AZ306" t="inlineStr">
        <is>
          <t>NA</t>
        </is>
      </c>
      <c r="BA306" t="n">
        <v>0</v>
      </c>
      <c r="BB306" t="inlineStr">
        <is>
          <t>NA</t>
        </is>
      </c>
    </row>
    <row r="307">
      <c r="A307" t="inlineStr">
        <is>
          <t>991</t>
        </is>
      </c>
      <c r="B307" t="inlineStr">
        <is>
          <t>7603638777</t>
        </is>
      </c>
      <c r="C307" t="inlineStr">
        <is>
          <t>2025-12-21 02:16:47</t>
        </is>
      </c>
      <c r="D307" t="inlineStr">
        <is>
          <t>51</t>
        </is>
      </c>
      <c r="E307" t="inlineStr">
        <is>
          <t>Sha Sha - Shandaar Shawarma</t>
        </is>
      </c>
      <c r="F307" t="inlineStr">
        <is>
          <t>18557902</t>
        </is>
      </c>
      <c r="G307" t="inlineStr">
        <is>
          <t>30% off upto ₹75 (2025-06-25 - 2031-01-01)</t>
        </is>
      </c>
      <c r="H307" t="inlineStr">
        <is>
          <t>ONLINE</t>
        </is>
      </c>
      <c r="I307" t="inlineStr">
        <is>
          <t>DELIVERED</t>
        </is>
      </c>
      <c r="J307" t="inlineStr">
        <is>
          <t>NA</t>
        </is>
      </c>
      <c r="K307" t="inlineStr">
        <is>
          <t>NA</t>
        </is>
      </c>
      <c r="L307" t="inlineStr">
        <is>
          <t>NA</t>
        </is>
      </c>
      <c r="M307" t="inlineStr">
        <is>
          <t>O2</t>
        </is>
      </c>
      <c r="N307" t="inlineStr">
        <is>
          <t>36</t>
        </is>
      </c>
      <c r="O307" t="n">
        <v>229</v>
      </c>
      <c r="P307" t="n">
        <v>3.5</v>
      </c>
      <c r="Q307" t="n">
        <v>0</v>
      </c>
      <c r="R307" t="n">
        <v>68.7</v>
      </c>
      <c r="S307" t="n">
        <v>0</v>
      </c>
      <c r="T307" t="n">
        <v>0</v>
      </c>
      <c r="U307" t="n">
        <v>0</v>
      </c>
      <c r="V307" t="n">
        <v>8.19</v>
      </c>
      <c r="W307" t="n">
        <v>171.99</v>
      </c>
      <c r="X307" t="n">
        <v>163.8</v>
      </c>
      <c r="Y307" t="n">
        <v>19</v>
      </c>
      <c r="Z307" t="n">
        <v>31.12</v>
      </c>
      <c r="AA307" t="n">
        <v>3.16</v>
      </c>
      <c r="AB307" t="n">
        <v>34.28</v>
      </c>
      <c r="AC307" t="n">
        <v>6.17</v>
      </c>
      <c r="AD307" t="n">
        <v>0</v>
      </c>
      <c r="AE307" t="n">
        <v>163.8</v>
      </c>
      <c r="AF307" t="n">
        <v>0</v>
      </c>
      <c r="AG307" t="n">
        <v>0</v>
      </c>
      <c r="AH307" t="n">
        <v>0.16</v>
      </c>
      <c r="AI307" t="n">
        <v>8.199999999999999</v>
      </c>
      <c r="AJ307" t="n">
        <v>-0.01</v>
      </c>
      <c r="AK307" t="n">
        <v>14.53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48.81</v>
      </c>
      <c r="AV307" t="n">
        <v>0</v>
      </c>
      <c r="AW307" t="n">
        <v>123.18</v>
      </c>
      <c r="AX307" t="inlineStr">
        <is>
          <t>settled</t>
        </is>
      </c>
      <c r="AY307" t="inlineStr">
        <is>
          <t>NA</t>
        </is>
      </c>
      <c r="AZ307" t="inlineStr">
        <is>
          <t>NA</t>
        </is>
      </c>
      <c r="BA307" t="n">
        <v>0</v>
      </c>
      <c r="BB307" t="inlineStr">
        <is>
          <t>5a529d94c19790e201348d815823a6e4553c08000a85263dfb3d8024d944100f</t>
        </is>
      </c>
    </row>
    <row r="308">
      <c r="A308" t="inlineStr">
        <is>
          <t>992</t>
        </is>
      </c>
      <c r="B308" t="inlineStr">
        <is>
          <t>7605043433</t>
        </is>
      </c>
      <c r="C308" t="inlineStr">
        <is>
          <t>2025-12-21 02:30:16</t>
        </is>
      </c>
      <c r="D308" t="inlineStr">
        <is>
          <t>51</t>
        </is>
      </c>
      <c r="E308" t="inlineStr">
        <is>
          <t>Sha Sha - Shandaar Shawarma</t>
        </is>
      </c>
      <c r="F308" t="inlineStr">
        <is>
          <t>18557902</t>
        </is>
      </c>
      <c r="G308" t="inlineStr">
        <is>
          <t>30% off upto ₹75 (2025-06-25 - 2031-01-01)</t>
        </is>
      </c>
      <c r="H308" t="inlineStr">
        <is>
          <t>ONLINE</t>
        </is>
      </c>
      <c r="I308" t="inlineStr">
        <is>
          <t>DELIVERED</t>
        </is>
      </c>
      <c r="J308" t="inlineStr">
        <is>
          <t>NA</t>
        </is>
      </c>
      <c r="K308" t="inlineStr">
        <is>
          <t>NA</t>
        </is>
      </c>
      <c r="L308" t="inlineStr">
        <is>
          <t>NA</t>
        </is>
      </c>
      <c r="M308" t="inlineStr">
        <is>
          <t>O2</t>
        </is>
      </c>
      <c r="N308" t="inlineStr">
        <is>
          <t>36</t>
        </is>
      </c>
      <c r="O308" t="n">
        <v>229</v>
      </c>
      <c r="P308" t="n">
        <v>3.5</v>
      </c>
      <c r="Q308" t="n">
        <v>0</v>
      </c>
      <c r="R308" t="n">
        <v>68.7</v>
      </c>
      <c r="S308" t="n">
        <v>0</v>
      </c>
      <c r="T308" t="n">
        <v>0</v>
      </c>
      <c r="U308" t="n">
        <v>0</v>
      </c>
      <c r="V308" t="n">
        <v>8.19</v>
      </c>
      <c r="W308" t="n">
        <v>171.99</v>
      </c>
      <c r="X308" t="n">
        <v>163.8</v>
      </c>
      <c r="Y308" t="n">
        <v>19</v>
      </c>
      <c r="Z308" t="n">
        <v>31.12</v>
      </c>
      <c r="AA308" t="n">
        <v>3.16</v>
      </c>
      <c r="AB308" t="n">
        <v>34.28</v>
      </c>
      <c r="AC308" t="n">
        <v>6.17</v>
      </c>
      <c r="AD308" t="n">
        <v>0</v>
      </c>
      <c r="AE308" t="n">
        <v>163.8</v>
      </c>
      <c r="AF308" t="n">
        <v>0</v>
      </c>
      <c r="AG308" t="n">
        <v>0</v>
      </c>
      <c r="AH308" t="n">
        <v>0.16</v>
      </c>
      <c r="AI308" t="n">
        <v>8.199999999999999</v>
      </c>
      <c r="AJ308" t="n">
        <v>-0.01</v>
      </c>
      <c r="AK308" t="n">
        <v>14.53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48.81</v>
      </c>
      <c r="AV308" t="n">
        <v>0</v>
      </c>
      <c r="AW308" t="n">
        <v>123.18</v>
      </c>
      <c r="AX308" t="inlineStr">
        <is>
          <t>settled</t>
        </is>
      </c>
      <c r="AY308" t="inlineStr">
        <is>
          <t>NA</t>
        </is>
      </c>
      <c r="AZ308" t="inlineStr">
        <is>
          <t>NA</t>
        </is>
      </c>
      <c r="BA308" t="n">
        <v>0</v>
      </c>
      <c r="BB308" t="inlineStr">
        <is>
          <t>9e6d81c74896b250fddc74f79a08d4c3d88c75c197e0f396d8e3988c75b89f8b</t>
        </is>
      </c>
    </row>
    <row r="309">
      <c r="A309" t="inlineStr">
        <is>
          <t>993</t>
        </is>
      </c>
      <c r="B309" t="inlineStr">
        <is>
          <t>7602482285</t>
        </is>
      </c>
      <c r="C309" t="inlineStr">
        <is>
          <t>2025-12-21 02:44:00</t>
        </is>
      </c>
      <c r="D309" t="inlineStr">
        <is>
          <t>51</t>
        </is>
      </c>
      <c r="E309" t="inlineStr">
        <is>
          <t>Sha Sha - Shandaar Shawarma</t>
        </is>
      </c>
      <c r="F309" t="inlineStr">
        <is>
          <t>18557902</t>
        </is>
      </c>
      <c r="G309" t="inlineStr">
        <is>
          <t>NA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NA</t>
        </is>
      </c>
      <c r="K309" t="inlineStr">
        <is>
          <t>NA</t>
        </is>
      </c>
      <c r="L309" t="inlineStr">
        <is>
          <t>NA</t>
        </is>
      </c>
      <c r="M309" t="inlineStr">
        <is>
          <t>O2</t>
        </is>
      </c>
      <c r="N309" t="inlineStr">
        <is>
          <t>36</t>
        </is>
      </c>
      <c r="O309" t="n">
        <v>229</v>
      </c>
      <c r="P309" t="n">
        <v>3.5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11.63</v>
      </c>
      <c r="W309" t="n">
        <v>244.13</v>
      </c>
      <c r="X309" t="n">
        <v>232.5</v>
      </c>
      <c r="Y309" t="n">
        <v>19</v>
      </c>
      <c r="Z309" t="n">
        <v>44.18</v>
      </c>
      <c r="AA309" t="n">
        <v>4.49</v>
      </c>
      <c r="AB309" t="n">
        <v>48.67</v>
      </c>
      <c r="AC309" t="n">
        <v>8.76</v>
      </c>
      <c r="AD309" t="n">
        <v>0</v>
      </c>
      <c r="AE309" t="n">
        <v>232.5</v>
      </c>
      <c r="AF309" t="n">
        <v>0</v>
      </c>
      <c r="AG309" t="n">
        <v>0</v>
      </c>
      <c r="AH309" t="n">
        <v>0.23</v>
      </c>
      <c r="AI309" t="n">
        <v>11.63</v>
      </c>
      <c r="AJ309" t="n">
        <v>0</v>
      </c>
      <c r="AK309" t="n">
        <v>20.62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69.29000000000001</v>
      </c>
      <c r="AV309" t="n">
        <v>0</v>
      </c>
      <c r="AW309" t="n">
        <v>174.84</v>
      </c>
      <c r="AX309" t="inlineStr">
        <is>
          <t>settled</t>
        </is>
      </c>
      <c r="AY309" t="inlineStr">
        <is>
          <t>NA</t>
        </is>
      </c>
      <c r="AZ309" t="inlineStr">
        <is>
          <t>NA</t>
        </is>
      </c>
      <c r="BA309" t="n">
        <v>0</v>
      </c>
      <c r="BB309" t="inlineStr">
        <is>
          <t>45e9bd240d186e54c00b303a50a7b1e8beb90b410f95b77edf996ef7704c94a3</t>
        </is>
      </c>
    </row>
    <row r="310">
      <c r="A310" t="inlineStr">
        <is>
          <t>994</t>
        </is>
      </c>
      <c r="B310" t="inlineStr">
        <is>
          <t>7599557549</t>
        </is>
      </c>
      <c r="C310" t="inlineStr">
        <is>
          <t>2025-12-21 02:51:48</t>
        </is>
      </c>
      <c r="D310" t="inlineStr">
        <is>
          <t>51</t>
        </is>
      </c>
      <c r="E310" t="inlineStr">
        <is>
          <t>Sha Sha - Shandaar Shawarma</t>
        </is>
      </c>
      <c r="F310" t="inlineStr">
        <is>
          <t>18557902</t>
        </is>
      </c>
      <c r="G310" t="inlineStr">
        <is>
          <t>NA</t>
        </is>
      </c>
      <c r="H310" t="inlineStr">
        <is>
          <t>ONLINE</t>
        </is>
      </c>
      <c r="I310" t="inlineStr">
        <is>
          <t>DELIVERED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RELISTING</t>
        </is>
      </c>
      <c r="N310" t="inlineStr">
        <is>
          <t>36</t>
        </is>
      </c>
      <c r="O310" t="n">
        <v>229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11.45</v>
      </c>
      <c r="W310" t="n">
        <v>240.45</v>
      </c>
      <c r="X310" t="n">
        <v>229</v>
      </c>
      <c r="Y310" t="n">
        <v>74.34</v>
      </c>
      <c r="Z310" t="n">
        <v>170.24</v>
      </c>
      <c r="AA310" t="n">
        <v>4.42</v>
      </c>
      <c r="AB310" t="n">
        <v>174.66</v>
      </c>
      <c r="AC310" t="n">
        <v>31.44</v>
      </c>
      <c r="AD310" t="n">
        <v>0</v>
      </c>
      <c r="AE310" t="n">
        <v>229</v>
      </c>
      <c r="AF310" t="n">
        <v>0</v>
      </c>
      <c r="AG310" t="n">
        <v>0</v>
      </c>
      <c r="AH310" t="n">
        <v>0.23</v>
      </c>
      <c r="AI310" t="n">
        <v>11.45</v>
      </c>
      <c r="AJ310" t="n">
        <v>0</v>
      </c>
      <c r="AK310" t="n">
        <v>43.12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217.78</v>
      </c>
      <c r="AV310" t="n">
        <v>0</v>
      </c>
      <c r="AW310" t="n">
        <v>22.67</v>
      </c>
      <c r="AX310" t="inlineStr">
        <is>
          <t>settled</t>
        </is>
      </c>
      <c r="AY310" t="inlineStr">
        <is>
          <t>NA</t>
        </is>
      </c>
      <c r="AZ310" t="inlineStr">
        <is>
          <t>NA</t>
        </is>
      </c>
      <c r="BA310" t="n">
        <v>0</v>
      </c>
      <c r="BB310" t="inlineStr">
        <is>
          <t>68743d4a0441ee782d9aa00a3be3b5a92fecae5633bd0cd7a2fb851b43fce4ee</t>
        </is>
      </c>
    </row>
    <row r="311">
      <c r="A311" t="inlineStr">
        <is>
          <t>995</t>
        </is>
      </c>
      <c r="B311" t="inlineStr">
        <is>
          <t>7600007625</t>
        </is>
      </c>
      <c r="C311" t="inlineStr">
        <is>
          <t>2025-12-21 02:55:54</t>
        </is>
      </c>
      <c r="D311" t="inlineStr">
        <is>
          <t>51</t>
        </is>
      </c>
      <c r="E311" t="inlineStr">
        <is>
          <t>Sha Sha - Shandaar Shawarma</t>
        </is>
      </c>
      <c r="F311" t="inlineStr">
        <is>
          <t>18557902</t>
        </is>
      </c>
      <c r="G311" t="inlineStr">
        <is>
          <t>NA</t>
        </is>
      </c>
      <c r="H311" t="inlineStr">
        <is>
          <t>ONLINE</t>
        </is>
      </c>
      <c r="I311" t="inlineStr">
        <is>
          <t>DELIVERED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O2</t>
        </is>
      </c>
      <c r="N311" t="inlineStr">
        <is>
          <t>36</t>
        </is>
      </c>
      <c r="O311" t="n">
        <v>229</v>
      </c>
      <c r="P311" t="n">
        <v>3.5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11.63</v>
      </c>
      <c r="W311" t="n">
        <v>244.13</v>
      </c>
      <c r="X311" t="n">
        <v>232.5</v>
      </c>
      <c r="Y311" t="n">
        <v>19</v>
      </c>
      <c r="Z311" t="n">
        <v>44.18</v>
      </c>
      <c r="AA311" t="n">
        <v>4.49</v>
      </c>
      <c r="AB311" t="n">
        <v>48.67</v>
      </c>
      <c r="AC311" t="n">
        <v>8.76</v>
      </c>
      <c r="AD311" t="n">
        <v>0</v>
      </c>
      <c r="AE311" t="n">
        <v>232.5</v>
      </c>
      <c r="AF311" t="n">
        <v>0</v>
      </c>
      <c r="AG311" t="n">
        <v>0</v>
      </c>
      <c r="AH311" t="n">
        <v>0.23</v>
      </c>
      <c r="AI311" t="n">
        <v>11.63</v>
      </c>
      <c r="AJ311" t="n">
        <v>0</v>
      </c>
      <c r="AK311" t="n">
        <v>20.62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69.29000000000001</v>
      </c>
      <c r="AV311" t="n">
        <v>0</v>
      </c>
      <c r="AW311" t="n">
        <v>174.84</v>
      </c>
      <c r="AX311" t="inlineStr">
        <is>
          <t>settled</t>
        </is>
      </c>
      <c r="AY311" t="inlineStr">
        <is>
          <t>NA</t>
        </is>
      </c>
      <c r="AZ311" t="inlineStr">
        <is>
          <t>NA</t>
        </is>
      </c>
      <c r="BA311" t="n">
        <v>0</v>
      </c>
      <c r="BB311" t="inlineStr">
        <is>
          <t>fc06bca7a8f7fd2707c84bf2fd963b1a97014c4689b99c9a4429dd32c8b7271b</t>
        </is>
      </c>
    </row>
    <row r="312">
      <c r="A312" t="inlineStr">
        <is>
          <t>996</t>
        </is>
      </c>
      <c r="B312" t="inlineStr">
        <is>
          <t>7601835731</t>
        </is>
      </c>
      <c r="C312" t="inlineStr">
        <is>
          <t>2025-12-21 03:29:20</t>
        </is>
      </c>
      <c r="D312" t="inlineStr">
        <is>
          <t>51</t>
        </is>
      </c>
      <c r="E312" t="inlineStr">
        <is>
          <t>Sha Sha - Shandaar Shawarma</t>
        </is>
      </c>
      <c r="F312" t="inlineStr">
        <is>
          <t>18557902</t>
        </is>
      </c>
      <c r="G312" t="inlineStr">
        <is>
          <t>30% off upto ₹75 (2025-06-25 - 2031-01-01)</t>
        </is>
      </c>
      <c r="H312" t="inlineStr">
        <is>
          <t>ONLINE</t>
        </is>
      </c>
      <c r="I312" t="inlineStr">
        <is>
          <t>DELIVERED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O2</t>
        </is>
      </c>
      <c r="N312" t="inlineStr">
        <is>
          <t>36</t>
        </is>
      </c>
      <c r="O312" t="n">
        <v>229</v>
      </c>
      <c r="P312" t="n">
        <v>3.5</v>
      </c>
      <c r="Q312" t="n">
        <v>0</v>
      </c>
      <c r="R312" t="n">
        <v>68.7</v>
      </c>
      <c r="S312" t="n">
        <v>0</v>
      </c>
      <c r="T312" t="n">
        <v>0</v>
      </c>
      <c r="U312" t="n">
        <v>0</v>
      </c>
      <c r="V312" t="n">
        <v>8.19</v>
      </c>
      <c r="W312" t="n">
        <v>171.99</v>
      </c>
      <c r="X312" t="n">
        <v>163.8</v>
      </c>
      <c r="Y312" t="n">
        <v>19</v>
      </c>
      <c r="Z312" t="n">
        <v>31.12</v>
      </c>
      <c r="AA312" t="n">
        <v>3.16</v>
      </c>
      <c r="AB312" t="n">
        <v>34.28</v>
      </c>
      <c r="AC312" t="n">
        <v>6.17</v>
      </c>
      <c r="AD312" t="n">
        <v>0</v>
      </c>
      <c r="AE312" t="n">
        <v>163.8</v>
      </c>
      <c r="AF312" t="n">
        <v>0</v>
      </c>
      <c r="AG312" t="n">
        <v>0</v>
      </c>
      <c r="AH312" t="n">
        <v>0.16</v>
      </c>
      <c r="AI312" t="n">
        <v>8.199999999999999</v>
      </c>
      <c r="AJ312" t="n">
        <v>-0.01</v>
      </c>
      <c r="AK312" t="n">
        <v>14.53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48.81</v>
      </c>
      <c r="AV312" t="n">
        <v>0</v>
      </c>
      <c r="AW312" t="n">
        <v>123.18</v>
      </c>
      <c r="AX312" t="inlineStr">
        <is>
          <t>settled</t>
        </is>
      </c>
      <c r="AY312" t="inlineStr">
        <is>
          <t>NA</t>
        </is>
      </c>
      <c r="AZ312" t="inlineStr">
        <is>
          <t>NA</t>
        </is>
      </c>
      <c r="BA312" t="n">
        <v>0</v>
      </c>
      <c r="BB312" t="inlineStr">
        <is>
          <t>42ba7bcede19cb228ac1b9b7f3a6410a78610aaae747ae2731c6c66fb6709154</t>
        </is>
      </c>
    </row>
    <row r="313">
      <c r="A313" t="inlineStr">
        <is>
          <t>997</t>
        </is>
      </c>
      <c r="B313" t="inlineStr">
        <is>
          <t>7602379733</t>
        </is>
      </c>
      <c r="C313" t="inlineStr">
        <is>
          <t>2025-12-21 03:47:00</t>
        </is>
      </c>
      <c r="D313" t="inlineStr">
        <is>
          <t>51</t>
        </is>
      </c>
      <c r="E313" t="inlineStr">
        <is>
          <t>Sha Sha - Shandaar Shawarma</t>
        </is>
      </c>
      <c r="F313" t="inlineStr">
        <is>
          <t>18557902</t>
        </is>
      </c>
      <c r="G313" t="inlineStr">
        <is>
          <t>NA</t>
        </is>
      </c>
      <c r="H313" t="inlineStr">
        <is>
          <t>ONLINE</t>
        </is>
      </c>
      <c r="I313" t="inlineStr">
        <is>
          <t>DELIVERED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O2</t>
        </is>
      </c>
      <c r="N313" t="inlineStr">
        <is>
          <t>36</t>
        </is>
      </c>
      <c r="O313" t="n">
        <v>258</v>
      </c>
      <c r="P313" t="n">
        <v>3.5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13.08</v>
      </c>
      <c r="W313" t="n">
        <v>274.58</v>
      </c>
      <c r="X313" t="n">
        <v>261.5</v>
      </c>
      <c r="Y313" t="n">
        <v>19</v>
      </c>
      <c r="Z313" t="n">
        <v>49.68</v>
      </c>
      <c r="AA313" t="n">
        <v>5.05</v>
      </c>
      <c r="AB313" t="n">
        <v>54.73</v>
      </c>
      <c r="AC313" t="n">
        <v>9.85</v>
      </c>
      <c r="AD313" t="n">
        <v>0</v>
      </c>
      <c r="AE313" t="n">
        <v>261.5</v>
      </c>
      <c r="AF313" t="n">
        <v>0</v>
      </c>
      <c r="AG313" t="n">
        <v>0</v>
      </c>
      <c r="AH313" t="n">
        <v>0.26</v>
      </c>
      <c r="AI313" t="n">
        <v>13.08</v>
      </c>
      <c r="AJ313" t="n">
        <v>0</v>
      </c>
      <c r="AK313" t="n">
        <v>23.19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77.92</v>
      </c>
      <c r="AV313" t="n">
        <v>0</v>
      </c>
      <c r="AW313" t="n">
        <v>196.66</v>
      </c>
      <c r="AX313" t="inlineStr">
        <is>
          <t>settled</t>
        </is>
      </c>
      <c r="AY313" t="inlineStr">
        <is>
          <t>NA</t>
        </is>
      </c>
      <c r="AZ313" t="inlineStr">
        <is>
          <t>NA</t>
        </is>
      </c>
      <c r="BA313" t="n">
        <v>0</v>
      </c>
      <c r="BB313" t="inlineStr">
        <is>
          <t>01837b5aeacd2773c481dbbf144a2b32644b20cc2d0ff05ec21733590698bc65</t>
        </is>
      </c>
    </row>
    <row r="314">
      <c r="A314" t="inlineStr">
        <is>
          <t>998</t>
        </is>
      </c>
      <c r="B314" t="inlineStr">
        <is>
          <t>7601602562</t>
        </is>
      </c>
      <c r="C314" t="inlineStr">
        <is>
          <t>2025-12-21 04:19:47</t>
        </is>
      </c>
      <c r="D314" t="inlineStr">
        <is>
          <t>51</t>
        </is>
      </c>
      <c r="E314" t="inlineStr">
        <is>
          <t>Sha Sha - Shandaar Shawarma</t>
        </is>
      </c>
      <c r="F314" t="inlineStr">
        <is>
          <t>18557902</t>
        </is>
      </c>
      <c r="G314" t="inlineStr">
        <is>
          <t>NA</t>
        </is>
      </c>
      <c r="H314" t="inlineStr">
        <is>
          <t>ONLINE</t>
        </is>
      </c>
      <c r="I314" t="inlineStr">
        <is>
          <t>DELIVERED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O2</t>
        </is>
      </c>
      <c r="N314" t="inlineStr">
        <is>
          <t>36</t>
        </is>
      </c>
      <c r="O314" t="n">
        <v>268</v>
      </c>
      <c r="P314" t="n">
        <v>3.5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13.58</v>
      </c>
      <c r="W314" t="n">
        <v>285.08</v>
      </c>
      <c r="X314" t="n">
        <v>271.5</v>
      </c>
      <c r="Y314" t="n">
        <v>19</v>
      </c>
      <c r="Z314" t="n">
        <v>51.58</v>
      </c>
      <c r="AA314" t="n">
        <v>5.25</v>
      </c>
      <c r="AB314" t="n">
        <v>56.83</v>
      </c>
      <c r="AC314" t="n">
        <v>10.22</v>
      </c>
      <c r="AD314" t="n">
        <v>0</v>
      </c>
      <c r="AE314" t="n">
        <v>271.5</v>
      </c>
      <c r="AF314" t="n">
        <v>0</v>
      </c>
      <c r="AG314" t="n">
        <v>0</v>
      </c>
      <c r="AH314" t="n">
        <v>0.27</v>
      </c>
      <c r="AI314" t="n">
        <v>13.58</v>
      </c>
      <c r="AJ314" t="n">
        <v>0</v>
      </c>
      <c r="AK314" t="n">
        <v>24.07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80.90000000000001</v>
      </c>
      <c r="AV314" t="n">
        <v>0</v>
      </c>
      <c r="AW314" t="n">
        <v>204.18</v>
      </c>
      <c r="AX314" t="inlineStr">
        <is>
          <t>settled</t>
        </is>
      </c>
      <c r="AY314" t="inlineStr">
        <is>
          <t>NA</t>
        </is>
      </c>
      <c r="AZ314" t="inlineStr">
        <is>
          <t>NA</t>
        </is>
      </c>
      <c r="BA314" t="n">
        <v>0</v>
      </c>
      <c r="BB314" t="inlineStr">
        <is>
          <t>7eedc3b596cf681a2fd2a77ec35b92435fc4a8b332a7e4dcaeb261505fca478d</t>
        </is>
      </c>
    </row>
    <row r="315">
      <c r="A315" t="inlineStr">
        <is>
          <t>999</t>
        </is>
      </c>
      <c r="B315" t="inlineStr">
        <is>
          <t>7604322564</t>
        </is>
      </c>
      <c r="C315" t="inlineStr">
        <is>
          <t>2025-12-21 04:29:49</t>
        </is>
      </c>
      <c r="D315" t="inlineStr">
        <is>
          <t>51</t>
        </is>
      </c>
      <c r="E315" t="inlineStr">
        <is>
          <t>Sha Sha - Shandaar Shawarma</t>
        </is>
      </c>
      <c r="F315" t="inlineStr">
        <is>
          <t>18557902</t>
        </is>
      </c>
      <c r="G315" t="inlineStr">
        <is>
          <t>NA</t>
        </is>
      </c>
      <c r="H315" t="inlineStr">
        <is>
          <t>ONLINE</t>
        </is>
      </c>
      <c r="I315" t="inlineStr">
        <is>
          <t>DELIVERED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O2</t>
        </is>
      </c>
      <c r="N315" t="inlineStr">
        <is>
          <t>36</t>
        </is>
      </c>
      <c r="O315" t="n">
        <v>229</v>
      </c>
      <c r="P315" t="n">
        <v>3.5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11.63</v>
      </c>
      <c r="W315" t="n">
        <v>244.13</v>
      </c>
      <c r="X315" t="n">
        <v>232.5</v>
      </c>
      <c r="Y315" t="n">
        <v>19</v>
      </c>
      <c r="Z315" t="n">
        <v>44.18</v>
      </c>
      <c r="AA315" t="n">
        <v>4.49</v>
      </c>
      <c r="AB315" t="n">
        <v>48.67</v>
      </c>
      <c r="AC315" t="n">
        <v>8.76</v>
      </c>
      <c r="AD315" t="n">
        <v>0</v>
      </c>
      <c r="AE315" t="n">
        <v>232.5</v>
      </c>
      <c r="AF315" t="n">
        <v>0</v>
      </c>
      <c r="AG315" t="n">
        <v>0</v>
      </c>
      <c r="AH315" t="n">
        <v>0.23</v>
      </c>
      <c r="AI315" t="n">
        <v>11.63</v>
      </c>
      <c r="AJ315" t="n">
        <v>0</v>
      </c>
      <c r="AK315" t="n">
        <v>20.62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69.29000000000001</v>
      </c>
      <c r="AV315" t="n">
        <v>0</v>
      </c>
      <c r="AW315" t="n">
        <v>174.84</v>
      </c>
      <c r="AX315" t="inlineStr">
        <is>
          <t>settled</t>
        </is>
      </c>
      <c r="AY315" t="inlineStr">
        <is>
          <t>NA</t>
        </is>
      </c>
      <c r="AZ315" t="inlineStr">
        <is>
          <t>NA</t>
        </is>
      </c>
      <c r="BA315" t="n">
        <v>0</v>
      </c>
      <c r="BB315" t="inlineStr">
        <is>
          <t>6fd4f053683b79743e15e11d81bb228ab16e48b7380431e29dbbbdf068167ca0</t>
        </is>
      </c>
    </row>
    <row r="316">
      <c r="A316" t="inlineStr">
        <is>
          <t>1000</t>
        </is>
      </c>
      <c r="B316" t="inlineStr">
        <is>
          <t>7603165125</t>
        </is>
      </c>
      <c r="C316" t="inlineStr">
        <is>
          <t>2025-12-21 04:35:44</t>
        </is>
      </c>
      <c r="D316" t="inlineStr">
        <is>
          <t>51</t>
        </is>
      </c>
      <c r="E316" t="inlineStr">
        <is>
          <t>Sha Sha - Shandaar Shawarma</t>
        </is>
      </c>
      <c r="F316" t="inlineStr">
        <is>
          <t>18557902</t>
        </is>
      </c>
      <c r="G316" t="inlineStr">
        <is>
          <t>30% off upto ₹75 (2025-06-25 - 2031-01-01)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NA</t>
        </is>
      </c>
      <c r="K316" t="inlineStr">
        <is>
          <t>NA</t>
        </is>
      </c>
      <c r="L316" t="inlineStr">
        <is>
          <t>NA</t>
        </is>
      </c>
      <c r="M316" t="inlineStr">
        <is>
          <t>O2</t>
        </is>
      </c>
      <c r="N316" t="inlineStr">
        <is>
          <t>36</t>
        </is>
      </c>
      <c r="O316" t="n">
        <v>229</v>
      </c>
      <c r="P316" t="n">
        <v>3.5</v>
      </c>
      <c r="Q316" t="n">
        <v>0</v>
      </c>
      <c r="R316" t="n">
        <v>68.7</v>
      </c>
      <c r="S316" t="n">
        <v>0</v>
      </c>
      <c r="T316" t="n">
        <v>0</v>
      </c>
      <c r="U316" t="n">
        <v>0</v>
      </c>
      <c r="V316" t="n">
        <v>8.19</v>
      </c>
      <c r="W316" t="n">
        <v>171.99</v>
      </c>
      <c r="X316" t="n">
        <v>163.8</v>
      </c>
      <c r="Y316" t="n">
        <v>19</v>
      </c>
      <c r="Z316" t="n">
        <v>31.12</v>
      </c>
      <c r="AA316" t="n">
        <v>3.16</v>
      </c>
      <c r="AB316" t="n">
        <v>34.28</v>
      </c>
      <c r="AC316" t="n">
        <v>6.17</v>
      </c>
      <c r="AD316" t="n">
        <v>0</v>
      </c>
      <c r="AE316" t="n">
        <v>163.8</v>
      </c>
      <c r="AF316" t="n">
        <v>0</v>
      </c>
      <c r="AG316" t="n">
        <v>0</v>
      </c>
      <c r="AH316" t="n">
        <v>0.16</v>
      </c>
      <c r="AI316" t="n">
        <v>8.199999999999999</v>
      </c>
      <c r="AJ316" t="n">
        <v>-0.01</v>
      </c>
      <c r="AK316" t="n">
        <v>14.53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48.81</v>
      </c>
      <c r="AV316" t="n">
        <v>0</v>
      </c>
      <c r="AW316" t="n">
        <v>123.18</v>
      </c>
      <c r="AX316" t="inlineStr">
        <is>
          <t>settled</t>
        </is>
      </c>
      <c r="AY316" t="inlineStr">
        <is>
          <t>NA</t>
        </is>
      </c>
      <c r="AZ316" t="inlineStr">
        <is>
          <t>NA</t>
        </is>
      </c>
      <c r="BA316" t="n">
        <v>0</v>
      </c>
      <c r="BB316" t="inlineStr">
        <is>
          <t>4eb03d3bab921f414372daa557bddc78ee9702e387fd8f4d3f65f7c142f5fe80</t>
        </is>
      </c>
    </row>
    <row r="317">
      <c r="A317" t="inlineStr">
        <is>
          <t>1001</t>
        </is>
      </c>
      <c r="B317" t="inlineStr">
        <is>
          <t>7587474876</t>
        </is>
      </c>
      <c r="C317" t="inlineStr">
        <is>
          <t>2025-12-21 04:49:41</t>
        </is>
      </c>
      <c r="D317" t="inlineStr">
        <is>
          <t>51</t>
        </is>
      </c>
      <c r="E317" t="inlineStr">
        <is>
          <t>Sha Sha - Shandaar Shawarma</t>
        </is>
      </c>
      <c r="F317" t="inlineStr">
        <is>
          <t>18557902</t>
        </is>
      </c>
      <c r="G317" t="inlineStr">
        <is>
          <t>30% off upto ₹75 (2025-06-25 - 2031-01-01)</t>
        </is>
      </c>
      <c r="H317" t="inlineStr">
        <is>
          <t>ONLINE</t>
        </is>
      </c>
      <c r="I317" t="inlineStr">
        <is>
          <t>DELIVERED</t>
        </is>
      </c>
      <c r="J317" t="inlineStr">
        <is>
          <t>NA</t>
        </is>
      </c>
      <c r="K317" t="inlineStr">
        <is>
          <t>NA</t>
        </is>
      </c>
      <c r="L317" t="inlineStr">
        <is>
          <t>NA</t>
        </is>
      </c>
      <c r="M317" t="inlineStr">
        <is>
          <t>O2</t>
        </is>
      </c>
      <c r="N317" t="inlineStr">
        <is>
          <t>36</t>
        </is>
      </c>
      <c r="O317" t="n">
        <v>229</v>
      </c>
      <c r="P317" t="n">
        <v>3.5</v>
      </c>
      <c r="Q317" t="n">
        <v>0</v>
      </c>
      <c r="R317" t="n">
        <v>68.7</v>
      </c>
      <c r="S317" t="n">
        <v>0</v>
      </c>
      <c r="T317" t="n">
        <v>0</v>
      </c>
      <c r="U317" t="n">
        <v>0</v>
      </c>
      <c r="V317" t="n">
        <v>8.19</v>
      </c>
      <c r="W317" t="n">
        <v>171.99</v>
      </c>
      <c r="X317" t="n">
        <v>163.8</v>
      </c>
      <c r="Y317" t="n">
        <v>19</v>
      </c>
      <c r="Z317" t="n">
        <v>31.12</v>
      </c>
      <c r="AA317" t="n">
        <v>3.16</v>
      </c>
      <c r="AB317" t="n">
        <v>34.28</v>
      </c>
      <c r="AC317" t="n">
        <v>6.17</v>
      </c>
      <c r="AD317" t="n">
        <v>0</v>
      </c>
      <c r="AE317" t="n">
        <v>163.8</v>
      </c>
      <c r="AF317" t="n">
        <v>0</v>
      </c>
      <c r="AG317" t="n">
        <v>0</v>
      </c>
      <c r="AH317" t="n">
        <v>0.16</v>
      </c>
      <c r="AI317" t="n">
        <v>8.199999999999999</v>
      </c>
      <c r="AJ317" t="n">
        <v>-0.01</v>
      </c>
      <c r="AK317" t="n">
        <v>14.53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48.81</v>
      </c>
      <c r="AV317" t="n">
        <v>0</v>
      </c>
      <c r="AW317" t="n">
        <v>123.18</v>
      </c>
      <c r="AX317" t="inlineStr">
        <is>
          <t>settled</t>
        </is>
      </c>
      <c r="AY317" t="inlineStr">
        <is>
          <t>NA</t>
        </is>
      </c>
      <c r="AZ317" t="inlineStr">
        <is>
          <t>NA</t>
        </is>
      </c>
      <c r="BA317" t="n">
        <v>0</v>
      </c>
      <c r="BB317" t="inlineStr">
        <is>
          <t>d82328ad8525ebbfd2dab021122b5788008773c5b1a4c3dc718196106dafc73d</t>
        </is>
      </c>
    </row>
    <row r="318">
      <c r="A318" t="inlineStr">
        <is>
          <t>1002</t>
        </is>
      </c>
      <c r="B318" t="inlineStr">
        <is>
          <t>7604677347</t>
        </is>
      </c>
      <c r="C318" t="inlineStr">
        <is>
          <t>2025-12-21 09:34:33</t>
        </is>
      </c>
      <c r="D318" t="inlineStr">
        <is>
          <t>51</t>
        </is>
      </c>
      <c r="E318" t="inlineStr">
        <is>
          <t>Sha Sha - Shandaar Shawarma</t>
        </is>
      </c>
      <c r="F318" t="inlineStr">
        <is>
          <t>18557902</t>
        </is>
      </c>
      <c r="G318" t="inlineStr">
        <is>
          <t>30% off upto ₹75 (2025-06-25 - 2031-01-01)</t>
        </is>
      </c>
      <c r="H318" t="inlineStr">
        <is>
          <t>ONLINE</t>
        </is>
      </c>
      <c r="I318" t="inlineStr">
        <is>
          <t>DELIVERED</t>
        </is>
      </c>
      <c r="J318" t="inlineStr">
        <is>
          <t>NA</t>
        </is>
      </c>
      <c r="K318" t="inlineStr">
        <is>
          <t>NA</t>
        </is>
      </c>
      <c r="L318" t="inlineStr">
        <is>
          <t>NA</t>
        </is>
      </c>
      <c r="M318" t="inlineStr">
        <is>
          <t>O2</t>
        </is>
      </c>
      <c r="N318" t="inlineStr">
        <is>
          <t>36</t>
        </is>
      </c>
      <c r="O318" t="n">
        <v>229</v>
      </c>
      <c r="P318" t="n">
        <v>3.5</v>
      </c>
      <c r="Q318" t="n">
        <v>0</v>
      </c>
      <c r="R318" t="n">
        <v>68.7</v>
      </c>
      <c r="S318" t="n">
        <v>0</v>
      </c>
      <c r="T318" t="n">
        <v>0</v>
      </c>
      <c r="U318" t="n">
        <v>0</v>
      </c>
      <c r="V318" t="n">
        <v>8.19</v>
      </c>
      <c r="W318" t="n">
        <v>171.99</v>
      </c>
      <c r="X318" t="n">
        <v>163.8</v>
      </c>
      <c r="Y318" t="n">
        <v>19</v>
      </c>
      <c r="Z318" t="n">
        <v>31.12</v>
      </c>
      <c r="AA318" t="n">
        <v>3.16</v>
      </c>
      <c r="AB318" t="n">
        <v>34.28</v>
      </c>
      <c r="AC318" t="n">
        <v>6.17</v>
      </c>
      <c r="AD318" t="n">
        <v>0</v>
      </c>
      <c r="AE318" t="n">
        <v>163.8</v>
      </c>
      <c r="AF318" t="n">
        <v>0</v>
      </c>
      <c r="AG318" t="n">
        <v>0</v>
      </c>
      <c r="AH318" t="n">
        <v>0.16</v>
      </c>
      <c r="AI318" t="n">
        <v>8.199999999999999</v>
      </c>
      <c r="AJ318" t="n">
        <v>-0.01</v>
      </c>
      <c r="AK318" t="n">
        <v>14.53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48.81</v>
      </c>
      <c r="AV318" t="n">
        <v>0</v>
      </c>
      <c r="AW318" t="n">
        <v>123.18</v>
      </c>
      <c r="AX318" t="inlineStr">
        <is>
          <t>settled</t>
        </is>
      </c>
      <c r="AY318" t="inlineStr">
        <is>
          <t>NA</t>
        </is>
      </c>
      <c r="AZ318" t="inlineStr">
        <is>
          <t>NA</t>
        </is>
      </c>
      <c r="BA318" t="n">
        <v>0</v>
      </c>
      <c r="BB318" t="inlineStr">
        <is>
          <t>f92d431f2ea6b64f1deffc86c3e9c5266ae52c8ae237b5b4ddc13d0bf62c680d</t>
        </is>
      </c>
    </row>
    <row r="319">
      <c r="A319" t="inlineStr">
        <is>
          <t>1003</t>
        </is>
      </c>
      <c r="B319" t="inlineStr">
        <is>
          <t>7598362983</t>
        </is>
      </c>
      <c r="C319" t="inlineStr">
        <is>
          <t>2025-12-21 12:53:04</t>
        </is>
      </c>
      <c r="D319" t="inlineStr">
        <is>
          <t>51</t>
        </is>
      </c>
      <c r="E319" t="inlineStr">
        <is>
          <t>Sha Sha - Shandaar Shawarma</t>
        </is>
      </c>
      <c r="F319" t="inlineStr">
        <is>
          <t>18557902</t>
        </is>
      </c>
      <c r="G319" t="inlineStr">
        <is>
          <t>30% off upto ₹75 (2025-06-25 - 2031-01-01)</t>
        </is>
      </c>
      <c r="H319" t="inlineStr">
        <is>
          <t>ONLINE</t>
        </is>
      </c>
      <c r="I319" t="inlineStr">
        <is>
          <t>DELIVERED</t>
        </is>
      </c>
      <c r="J319" t="inlineStr">
        <is>
          <t>NA</t>
        </is>
      </c>
      <c r="K319" t="inlineStr">
        <is>
          <t>NA</t>
        </is>
      </c>
      <c r="L319" t="inlineStr">
        <is>
          <t>NA</t>
        </is>
      </c>
      <c r="M319" t="inlineStr">
        <is>
          <t>O2</t>
        </is>
      </c>
      <c r="N319" t="inlineStr">
        <is>
          <t>36</t>
        </is>
      </c>
      <c r="O319" t="n">
        <v>219</v>
      </c>
      <c r="P319" t="n">
        <v>3.5</v>
      </c>
      <c r="Q319" t="n">
        <v>0</v>
      </c>
      <c r="R319" t="n">
        <v>65.7</v>
      </c>
      <c r="S319" t="n">
        <v>0</v>
      </c>
      <c r="T319" t="n">
        <v>0</v>
      </c>
      <c r="U319" t="n">
        <v>0</v>
      </c>
      <c r="V319" t="n">
        <v>7.84</v>
      </c>
      <c r="W319" t="n">
        <v>164.64</v>
      </c>
      <c r="X319" t="n">
        <v>156.8</v>
      </c>
      <c r="Y319" t="n">
        <v>19</v>
      </c>
      <c r="Z319" t="n">
        <v>29.79</v>
      </c>
      <c r="AA319" t="n">
        <v>3.03</v>
      </c>
      <c r="AB319" t="n">
        <v>32.82</v>
      </c>
      <c r="AC319" t="n">
        <v>5.91</v>
      </c>
      <c r="AD319" t="n">
        <v>0</v>
      </c>
      <c r="AE319" t="n">
        <v>156.8</v>
      </c>
      <c r="AF319" t="n">
        <v>0</v>
      </c>
      <c r="AG319" t="n">
        <v>0</v>
      </c>
      <c r="AH319" t="n">
        <v>0.16</v>
      </c>
      <c r="AI319" t="n">
        <v>7.85</v>
      </c>
      <c r="AJ319" t="n">
        <v>-0.01</v>
      </c>
      <c r="AK319" t="n">
        <v>13.92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46.74</v>
      </c>
      <c r="AV319" t="n">
        <v>0</v>
      </c>
      <c r="AW319" t="n">
        <v>117.9</v>
      </c>
      <c r="AX319" t="inlineStr">
        <is>
          <t>settled</t>
        </is>
      </c>
      <c r="AY319" t="inlineStr">
        <is>
          <t>NA</t>
        </is>
      </c>
      <c r="AZ319" t="inlineStr">
        <is>
          <t>NA</t>
        </is>
      </c>
      <c r="BA319" t="n">
        <v>0</v>
      </c>
      <c r="BB319" t="inlineStr">
        <is>
          <t>9b6ef8b21fa9279045abd325f71c0c37d62a3f2de728b2d673a46eb984071f4a</t>
        </is>
      </c>
    </row>
    <row r="320">
      <c r="A320" t="inlineStr">
        <is>
          <t>1004</t>
        </is>
      </c>
      <c r="B320" t="inlineStr">
        <is>
          <t>7602628362</t>
        </is>
      </c>
      <c r="C320" t="inlineStr">
        <is>
          <t>2025-12-21 14:07:20</t>
        </is>
      </c>
      <c r="D320" t="inlineStr">
        <is>
          <t>51</t>
        </is>
      </c>
      <c r="E320" t="inlineStr">
        <is>
          <t>Sha Sha - Shandaar Shawarma</t>
        </is>
      </c>
      <c r="F320" t="inlineStr">
        <is>
          <t>18557902</t>
        </is>
      </c>
      <c r="G320" t="inlineStr">
        <is>
          <t>NA</t>
        </is>
      </c>
      <c r="H320" t="inlineStr">
        <is>
          <t>ONLINE</t>
        </is>
      </c>
      <c r="I320" t="inlineStr">
        <is>
          <t>DELIVERED</t>
        </is>
      </c>
      <c r="J320" t="inlineStr">
        <is>
          <t>NA</t>
        </is>
      </c>
      <c r="K320" t="inlineStr">
        <is>
          <t>NA</t>
        </is>
      </c>
      <c r="L320" t="inlineStr">
        <is>
          <t>NA</t>
        </is>
      </c>
      <c r="M320" t="inlineStr">
        <is>
          <t>O2</t>
        </is>
      </c>
      <c r="N320" t="inlineStr">
        <is>
          <t>36</t>
        </is>
      </c>
      <c r="O320" t="n">
        <v>199</v>
      </c>
      <c r="P320" t="n">
        <v>3.5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10.13</v>
      </c>
      <c r="W320" t="n">
        <v>212.63</v>
      </c>
      <c r="X320" t="n">
        <v>202.5</v>
      </c>
      <c r="Y320" t="n">
        <v>19</v>
      </c>
      <c r="Z320" t="n">
        <v>38.48</v>
      </c>
      <c r="AA320" t="n">
        <v>3.91</v>
      </c>
      <c r="AB320" t="n">
        <v>42.39</v>
      </c>
      <c r="AC320" t="n">
        <v>7.63</v>
      </c>
      <c r="AD320" t="n">
        <v>0</v>
      </c>
      <c r="AE320" t="n">
        <v>202.5</v>
      </c>
      <c r="AF320" t="n">
        <v>0</v>
      </c>
      <c r="AG320" t="n">
        <v>0</v>
      </c>
      <c r="AH320" t="n">
        <v>0.2</v>
      </c>
      <c r="AI320" t="n">
        <v>10.13</v>
      </c>
      <c r="AJ320" t="n">
        <v>0</v>
      </c>
      <c r="AK320" t="n">
        <v>17.96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60.35</v>
      </c>
      <c r="AV320" t="n">
        <v>0</v>
      </c>
      <c r="AW320" t="n">
        <v>152.28</v>
      </c>
      <c r="AX320" t="inlineStr">
        <is>
          <t>settled</t>
        </is>
      </c>
      <c r="AY320" t="inlineStr">
        <is>
          <t>NA</t>
        </is>
      </c>
      <c r="AZ320" t="inlineStr">
        <is>
          <t>NA</t>
        </is>
      </c>
      <c r="BA320" t="n">
        <v>0</v>
      </c>
      <c r="BB320" t="inlineStr">
        <is>
          <t>9003da1d9c009ba6351fba89506f331969473208c4a2d6648a66e08073f5c178</t>
        </is>
      </c>
    </row>
    <row r="321">
      <c r="A321" t="inlineStr">
        <is>
          <t>1005</t>
        </is>
      </c>
      <c r="B321" t="inlineStr">
        <is>
          <t>7603899809</t>
        </is>
      </c>
      <c r="C321" t="inlineStr">
        <is>
          <t>2025-12-21 14:35:16</t>
        </is>
      </c>
      <c r="D321" t="inlineStr">
        <is>
          <t>51</t>
        </is>
      </c>
      <c r="E321" t="inlineStr">
        <is>
          <t>Sha Sha - Shandaar Shawarma</t>
        </is>
      </c>
      <c r="F321" t="inlineStr">
        <is>
          <t>18557902</t>
        </is>
      </c>
      <c r="G321" t="inlineStr">
        <is>
          <t>30% off upto ₹75 (2025-06-25 - 2031-01-01)</t>
        </is>
      </c>
      <c r="H321" t="inlineStr">
        <is>
          <t>ONLINE</t>
        </is>
      </c>
      <c r="I321" t="inlineStr">
        <is>
          <t>DELIVERED</t>
        </is>
      </c>
      <c r="J321" t="inlineStr">
        <is>
          <t>NA</t>
        </is>
      </c>
      <c r="K321" t="inlineStr">
        <is>
          <t>NA</t>
        </is>
      </c>
      <c r="L321" t="inlineStr">
        <is>
          <t>NA</t>
        </is>
      </c>
      <c r="M321" t="inlineStr">
        <is>
          <t>O2</t>
        </is>
      </c>
      <c r="N321" t="inlineStr">
        <is>
          <t>36</t>
        </is>
      </c>
      <c r="O321" t="n">
        <v>229</v>
      </c>
      <c r="P321" t="n">
        <v>3.5</v>
      </c>
      <c r="Q321" t="n">
        <v>0</v>
      </c>
      <c r="R321" t="n">
        <v>68.7</v>
      </c>
      <c r="S321" t="n">
        <v>0</v>
      </c>
      <c r="T321" t="n">
        <v>0</v>
      </c>
      <c r="U321" t="n">
        <v>0</v>
      </c>
      <c r="V321" t="n">
        <v>8.19</v>
      </c>
      <c r="W321" t="n">
        <v>171.99</v>
      </c>
      <c r="X321" t="n">
        <v>163.8</v>
      </c>
      <c r="Y321" t="n">
        <v>19</v>
      </c>
      <c r="Z321" t="n">
        <v>31.12</v>
      </c>
      <c r="AA321" t="n">
        <v>3.16</v>
      </c>
      <c r="AB321" t="n">
        <v>34.28</v>
      </c>
      <c r="AC321" t="n">
        <v>6.17</v>
      </c>
      <c r="AD321" t="n">
        <v>0</v>
      </c>
      <c r="AE321" t="n">
        <v>163.8</v>
      </c>
      <c r="AF321" t="n">
        <v>0</v>
      </c>
      <c r="AG321" t="n">
        <v>0</v>
      </c>
      <c r="AH321" t="n">
        <v>0.16</v>
      </c>
      <c r="AI321" t="n">
        <v>8.199999999999999</v>
      </c>
      <c r="AJ321" t="n">
        <v>-0.01</v>
      </c>
      <c r="AK321" t="n">
        <v>14.53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48.81</v>
      </c>
      <c r="AV321" t="n">
        <v>0</v>
      </c>
      <c r="AW321" t="n">
        <v>123.18</v>
      </c>
      <c r="AX321" t="inlineStr">
        <is>
          <t>settled</t>
        </is>
      </c>
      <c r="AY321" t="inlineStr">
        <is>
          <t>NA</t>
        </is>
      </c>
      <c r="AZ321" t="inlineStr">
        <is>
          <t>NA</t>
        </is>
      </c>
      <c r="BA321" t="n">
        <v>0</v>
      </c>
      <c r="BB321" t="inlineStr">
        <is>
          <t>99ab7bdea52802ca64b41c2a92f98fe928b5a4a9e8bd1c1d729bcb724fec1178</t>
        </is>
      </c>
    </row>
    <row r="322">
      <c r="A322" t="inlineStr">
        <is>
          <t>1006</t>
        </is>
      </c>
      <c r="B322" t="inlineStr">
        <is>
          <t>7604777494</t>
        </is>
      </c>
      <c r="C322" t="inlineStr">
        <is>
          <t>2025-12-21 15:14:24</t>
        </is>
      </c>
      <c r="D322" t="inlineStr">
        <is>
          <t>51</t>
        </is>
      </c>
      <c r="E322" t="inlineStr">
        <is>
          <t>Sha Sha - Shandaar Shawarma</t>
        </is>
      </c>
      <c r="F322" t="inlineStr">
        <is>
          <t>18557902</t>
        </is>
      </c>
      <c r="G322" t="inlineStr">
        <is>
          <t>30% off upto ₹75 (2025-06-25 - 2031-01-01)</t>
        </is>
      </c>
      <c r="H322" t="inlineStr">
        <is>
          <t>ONLINE</t>
        </is>
      </c>
      <c r="I322" t="inlineStr">
        <is>
          <t>DELIVERED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O2</t>
        </is>
      </c>
      <c r="N322" t="inlineStr">
        <is>
          <t>36</t>
        </is>
      </c>
      <c r="O322" t="n">
        <v>219</v>
      </c>
      <c r="P322" t="n">
        <v>3.5</v>
      </c>
      <c r="Q322" t="n">
        <v>0</v>
      </c>
      <c r="R322" t="n">
        <v>65.7</v>
      </c>
      <c r="S322" t="n">
        <v>0</v>
      </c>
      <c r="T322" t="n">
        <v>0</v>
      </c>
      <c r="U322" t="n">
        <v>0</v>
      </c>
      <c r="V322" t="n">
        <v>7.84</v>
      </c>
      <c r="W322" t="n">
        <v>164.64</v>
      </c>
      <c r="X322" t="n">
        <v>156.8</v>
      </c>
      <c r="Y322" t="n">
        <v>19</v>
      </c>
      <c r="Z322" t="n">
        <v>29.79</v>
      </c>
      <c r="AA322" t="n">
        <v>3.03</v>
      </c>
      <c r="AB322" t="n">
        <v>32.82</v>
      </c>
      <c r="AC322" t="n">
        <v>5.91</v>
      </c>
      <c r="AD322" t="n">
        <v>0</v>
      </c>
      <c r="AE322" t="n">
        <v>156.8</v>
      </c>
      <c r="AF322" t="n">
        <v>0</v>
      </c>
      <c r="AG322" t="n">
        <v>0</v>
      </c>
      <c r="AH322" t="n">
        <v>0.16</v>
      </c>
      <c r="AI322" t="n">
        <v>7.85</v>
      </c>
      <c r="AJ322" t="n">
        <v>-0.01</v>
      </c>
      <c r="AK322" t="n">
        <v>13.92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46.74</v>
      </c>
      <c r="AV322" t="n">
        <v>0</v>
      </c>
      <c r="AW322" t="n">
        <v>117.9</v>
      </c>
      <c r="AX322" t="inlineStr">
        <is>
          <t>settled</t>
        </is>
      </c>
      <c r="AY322" t="inlineStr">
        <is>
          <t>NA</t>
        </is>
      </c>
      <c r="AZ322" t="inlineStr">
        <is>
          <t>NA</t>
        </is>
      </c>
      <c r="BA322" t="n">
        <v>0</v>
      </c>
      <c r="BB322" t="inlineStr">
        <is>
          <t>ce2d41687607a2ec3bab8aa1cb468b18459bcca52107405badd4000976254b09</t>
        </is>
      </c>
    </row>
    <row r="323">
      <c r="A323" t="inlineStr">
        <is>
          <t>1007</t>
        </is>
      </c>
      <c r="B323" t="inlineStr">
        <is>
          <t>7606350858</t>
        </is>
      </c>
      <c r="C323" t="inlineStr">
        <is>
          <t>2025-12-21 17:15:46</t>
        </is>
      </c>
      <c r="D323" t="inlineStr">
        <is>
          <t>51</t>
        </is>
      </c>
      <c r="E323" t="inlineStr">
        <is>
          <t>Sha Sha - Shandaar Shawarma</t>
        </is>
      </c>
      <c r="F323" t="inlineStr">
        <is>
          <t>18557902</t>
        </is>
      </c>
      <c r="G323" t="inlineStr">
        <is>
          <t>NA</t>
        </is>
      </c>
      <c r="H323" t="inlineStr">
        <is>
          <t>ONLINE</t>
        </is>
      </c>
      <c r="I323" t="inlineStr">
        <is>
          <t>DELIVERED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O2</t>
        </is>
      </c>
      <c r="N323" t="inlineStr">
        <is>
          <t>36</t>
        </is>
      </c>
      <c r="O323" t="n">
        <v>677</v>
      </c>
      <c r="P323" t="n">
        <v>3.5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34.03</v>
      </c>
      <c r="W323" t="n">
        <v>714.53</v>
      </c>
      <c r="X323" t="n">
        <v>680.5</v>
      </c>
      <c r="Y323" t="n">
        <v>19</v>
      </c>
      <c r="Z323" t="n">
        <v>129.3</v>
      </c>
      <c r="AA323" t="n">
        <v>13.15</v>
      </c>
      <c r="AB323" t="n">
        <v>142.45</v>
      </c>
      <c r="AC323" t="n">
        <v>25.64</v>
      </c>
      <c r="AD323" t="n">
        <v>0</v>
      </c>
      <c r="AE323" t="n">
        <v>680.5</v>
      </c>
      <c r="AF323" t="n">
        <v>0</v>
      </c>
      <c r="AG323" t="n">
        <v>0</v>
      </c>
      <c r="AH323" t="n">
        <v>0.68</v>
      </c>
      <c r="AI323" t="n">
        <v>34.03</v>
      </c>
      <c r="AJ323" t="n">
        <v>0</v>
      </c>
      <c r="AK323" t="n">
        <v>60.35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202.8</v>
      </c>
      <c r="AV323" t="n">
        <v>0</v>
      </c>
      <c r="AW323" t="n">
        <v>511.73</v>
      </c>
      <c r="AX323" t="inlineStr">
        <is>
          <t>settled</t>
        </is>
      </c>
      <c r="AY323" t="inlineStr">
        <is>
          <t>NA</t>
        </is>
      </c>
      <c r="AZ323" t="inlineStr">
        <is>
          <t>NA</t>
        </is>
      </c>
      <c r="BA323" t="n">
        <v>0</v>
      </c>
      <c r="BB323" t="inlineStr">
        <is>
          <t>c864cabf967482366bc1c469efc09862e44310c384611918b958675dd5273767</t>
        </is>
      </c>
    </row>
    <row r="324">
      <c r="A324" t="inlineStr">
        <is>
          <t>1008</t>
        </is>
      </c>
      <c r="B324" t="inlineStr">
        <is>
          <t>7604967463</t>
        </is>
      </c>
      <c r="C324" t="inlineStr">
        <is>
          <t>2025-12-21 17:37:03</t>
        </is>
      </c>
      <c r="D324" t="inlineStr">
        <is>
          <t>51</t>
        </is>
      </c>
      <c r="E324" t="inlineStr">
        <is>
          <t>Sha Sha - Shandaar Shawarma</t>
        </is>
      </c>
      <c r="F324" t="inlineStr">
        <is>
          <t>18557902</t>
        </is>
      </c>
      <c r="G324" t="inlineStr">
        <is>
          <t>NA</t>
        </is>
      </c>
      <c r="H324" t="inlineStr">
        <is>
          <t>ONLINE</t>
        </is>
      </c>
      <c r="I324" t="inlineStr">
        <is>
          <t>DELIVERED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O2</t>
        </is>
      </c>
      <c r="N324" t="inlineStr">
        <is>
          <t>36</t>
        </is>
      </c>
      <c r="O324" t="n">
        <v>219</v>
      </c>
      <c r="P324" t="n">
        <v>3.5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11.13</v>
      </c>
      <c r="W324" t="n">
        <v>233.63</v>
      </c>
      <c r="X324" t="n">
        <v>222.5</v>
      </c>
      <c r="Y324" t="n">
        <v>19</v>
      </c>
      <c r="Z324" t="n">
        <v>42.28</v>
      </c>
      <c r="AA324" t="n">
        <v>4.3</v>
      </c>
      <c r="AB324" t="n">
        <v>46.58</v>
      </c>
      <c r="AC324" t="n">
        <v>8.380000000000001</v>
      </c>
      <c r="AD324" t="n">
        <v>0</v>
      </c>
      <c r="AE324" t="n">
        <v>222.5</v>
      </c>
      <c r="AF324" t="n">
        <v>0</v>
      </c>
      <c r="AG324" t="n">
        <v>0</v>
      </c>
      <c r="AH324" t="n">
        <v>0.22</v>
      </c>
      <c r="AI324" t="n">
        <v>11.13</v>
      </c>
      <c r="AJ324" t="n">
        <v>0</v>
      </c>
      <c r="AK324" t="n">
        <v>19.73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66.31</v>
      </c>
      <c r="AV324" t="n">
        <v>0</v>
      </c>
      <c r="AW324" t="n">
        <v>167.32</v>
      </c>
      <c r="AX324" t="inlineStr">
        <is>
          <t>settled</t>
        </is>
      </c>
      <c r="AY324" t="inlineStr">
        <is>
          <t>NA</t>
        </is>
      </c>
      <c r="AZ324" t="inlineStr">
        <is>
          <t>NA</t>
        </is>
      </c>
      <c r="BA324" t="n">
        <v>0</v>
      </c>
      <c r="BB324" t="inlineStr">
        <is>
          <t>b788ddee9479e8739fe08f77987f1cf70b768f0a05591607d8ec2a358fe928ea</t>
        </is>
      </c>
    </row>
    <row r="325">
      <c r="A325" t="inlineStr">
        <is>
          <t>1009</t>
        </is>
      </c>
      <c r="B325" t="inlineStr">
        <is>
          <t>7602713128</t>
        </is>
      </c>
      <c r="C325" t="inlineStr">
        <is>
          <t>2025-12-21 18:27:09</t>
        </is>
      </c>
      <c r="D325" t="inlineStr">
        <is>
          <t>51</t>
        </is>
      </c>
      <c r="E325" t="inlineStr">
        <is>
          <t>Sha Sha - Shandaar Shawarma</t>
        </is>
      </c>
      <c r="F325" t="inlineStr">
        <is>
          <t>18557902</t>
        </is>
      </c>
      <c r="G325" t="inlineStr">
        <is>
          <t>30% off upto ₹75 (2025-06-25 - 2031-01-01)</t>
        </is>
      </c>
      <c r="H325" t="inlineStr">
        <is>
          <t>ONLINE</t>
        </is>
      </c>
      <c r="I325" t="inlineStr">
        <is>
          <t>DELIVERED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O2</t>
        </is>
      </c>
      <c r="N325" t="inlineStr">
        <is>
          <t>36</t>
        </is>
      </c>
      <c r="O325" t="n">
        <v>229</v>
      </c>
      <c r="P325" t="n">
        <v>3.5</v>
      </c>
      <c r="Q325" t="n">
        <v>0</v>
      </c>
      <c r="R325" t="n">
        <v>68.7</v>
      </c>
      <c r="S325" t="n">
        <v>0</v>
      </c>
      <c r="T325" t="n">
        <v>0</v>
      </c>
      <c r="U325" t="n">
        <v>0</v>
      </c>
      <c r="V325" t="n">
        <v>8.19</v>
      </c>
      <c r="W325" t="n">
        <v>171.99</v>
      </c>
      <c r="X325" t="n">
        <v>163.8</v>
      </c>
      <c r="Y325" t="n">
        <v>19</v>
      </c>
      <c r="Z325" t="n">
        <v>31.12</v>
      </c>
      <c r="AA325" t="n">
        <v>3.16</v>
      </c>
      <c r="AB325" t="n">
        <v>34.28</v>
      </c>
      <c r="AC325" t="n">
        <v>6.17</v>
      </c>
      <c r="AD325" t="n">
        <v>0</v>
      </c>
      <c r="AE325" t="n">
        <v>163.8</v>
      </c>
      <c r="AF325" t="n">
        <v>0</v>
      </c>
      <c r="AG325" t="n">
        <v>0</v>
      </c>
      <c r="AH325" t="n">
        <v>0.16</v>
      </c>
      <c r="AI325" t="n">
        <v>8.199999999999999</v>
      </c>
      <c r="AJ325" t="n">
        <v>-0.01</v>
      </c>
      <c r="AK325" t="n">
        <v>14.53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48.81</v>
      </c>
      <c r="AV325" t="n">
        <v>0</v>
      </c>
      <c r="AW325" t="n">
        <v>123.18</v>
      </c>
      <c r="AX325" t="inlineStr">
        <is>
          <t>settled</t>
        </is>
      </c>
      <c r="AY325" t="inlineStr">
        <is>
          <t>NA</t>
        </is>
      </c>
      <c r="AZ325" t="inlineStr">
        <is>
          <t>NA</t>
        </is>
      </c>
      <c r="BA325" t="n">
        <v>0</v>
      </c>
      <c r="BB325" t="inlineStr">
        <is>
          <t>ebe4167de617434441772a951b22d239b490ec7ccee786ef76efd93bdd0ac43a</t>
        </is>
      </c>
    </row>
    <row r="326">
      <c r="A326" t="inlineStr">
        <is>
          <t>1010</t>
        </is>
      </c>
      <c r="B326" t="inlineStr">
        <is>
          <t>7602874801</t>
        </is>
      </c>
      <c r="C326" t="inlineStr">
        <is>
          <t>2025-12-21 18:33:29</t>
        </is>
      </c>
      <c r="D326" t="inlineStr">
        <is>
          <t>51</t>
        </is>
      </c>
      <c r="E326" t="inlineStr">
        <is>
          <t>Sha Sha - Shandaar Shawarma</t>
        </is>
      </c>
      <c r="F326" t="inlineStr">
        <is>
          <t>18557902</t>
        </is>
      </c>
      <c r="G326" t="inlineStr">
        <is>
          <t>30% off upto ₹75 (2025-06-25 - 2031-01-01)</t>
        </is>
      </c>
      <c r="H326" t="inlineStr">
        <is>
          <t>ONLINE</t>
        </is>
      </c>
      <c r="I326" t="inlineStr">
        <is>
          <t>DELIVERED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O2</t>
        </is>
      </c>
      <c r="N326" t="inlineStr">
        <is>
          <t>36</t>
        </is>
      </c>
      <c r="O326" t="n">
        <v>258</v>
      </c>
      <c r="P326" t="n">
        <v>3.5</v>
      </c>
      <c r="Q326" t="n">
        <v>0</v>
      </c>
      <c r="R326" t="n">
        <v>75</v>
      </c>
      <c r="S326" t="n">
        <v>0</v>
      </c>
      <c r="T326" t="n">
        <v>0</v>
      </c>
      <c r="U326" t="n">
        <v>0</v>
      </c>
      <c r="V326" t="n">
        <v>9.33</v>
      </c>
      <c r="W326" t="n">
        <v>195.83</v>
      </c>
      <c r="X326" t="n">
        <v>186.5</v>
      </c>
      <c r="Y326" t="n">
        <v>19</v>
      </c>
      <c r="Z326" t="n">
        <v>35.44</v>
      </c>
      <c r="AA326" t="n">
        <v>3.6</v>
      </c>
      <c r="AB326" t="n">
        <v>39.04</v>
      </c>
      <c r="AC326" t="n">
        <v>7.03</v>
      </c>
      <c r="AD326" t="n">
        <v>0</v>
      </c>
      <c r="AE326" t="n">
        <v>186.5</v>
      </c>
      <c r="AF326" t="n">
        <v>0</v>
      </c>
      <c r="AG326" t="n">
        <v>0</v>
      </c>
      <c r="AH326" t="n">
        <v>0.19</v>
      </c>
      <c r="AI326" t="n">
        <v>9.33</v>
      </c>
      <c r="AJ326" t="n">
        <v>0</v>
      </c>
      <c r="AK326" t="n">
        <v>16.55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55.59</v>
      </c>
      <c r="AV326" t="n">
        <v>0</v>
      </c>
      <c r="AW326" t="n">
        <v>140.24</v>
      </c>
      <c r="AX326" t="inlineStr">
        <is>
          <t>settled</t>
        </is>
      </c>
      <c r="AY326" t="inlineStr">
        <is>
          <t>NA</t>
        </is>
      </c>
      <c r="AZ326" t="inlineStr">
        <is>
          <t>NA</t>
        </is>
      </c>
      <c r="BA326" t="n">
        <v>0</v>
      </c>
      <c r="BB326" t="inlineStr">
        <is>
          <t>4f60c89f2ab51f850c63b7ce29718021fe7cc6b7073d1ad678b971bf67dabb46</t>
        </is>
      </c>
    </row>
    <row r="327">
      <c r="A327" t="inlineStr">
        <is>
          <t>1011</t>
        </is>
      </c>
      <c r="B327" t="inlineStr">
        <is>
          <t>7601300660</t>
        </is>
      </c>
      <c r="C327" t="inlineStr">
        <is>
          <t>2025-12-21 18:34:38</t>
        </is>
      </c>
      <c r="D327" t="inlineStr">
        <is>
          <t>51</t>
        </is>
      </c>
      <c r="E327" t="inlineStr">
        <is>
          <t>Sha Sha - Shandaar Shawarma</t>
        </is>
      </c>
      <c r="F327" t="inlineStr">
        <is>
          <t>18557902</t>
        </is>
      </c>
      <c r="G327" t="inlineStr">
        <is>
          <t>NA</t>
        </is>
      </c>
      <c r="H327" t="inlineStr">
        <is>
          <t>ONLINE</t>
        </is>
      </c>
      <c r="I327" t="inlineStr">
        <is>
          <t>DELIVERED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O2</t>
        </is>
      </c>
      <c r="N327" t="inlineStr">
        <is>
          <t>36</t>
        </is>
      </c>
      <c r="O327" t="n">
        <v>219</v>
      </c>
      <c r="P327" t="n">
        <v>3.5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11.13</v>
      </c>
      <c r="W327" t="n">
        <v>233.63</v>
      </c>
      <c r="X327" t="n">
        <v>222.5</v>
      </c>
      <c r="Y327" t="n">
        <v>19</v>
      </c>
      <c r="Z327" t="n">
        <v>42.28</v>
      </c>
      <c r="AA327" t="n">
        <v>4.3</v>
      </c>
      <c r="AB327" t="n">
        <v>46.58</v>
      </c>
      <c r="AC327" t="n">
        <v>8.380000000000001</v>
      </c>
      <c r="AD327" t="n">
        <v>0</v>
      </c>
      <c r="AE327" t="n">
        <v>222.5</v>
      </c>
      <c r="AF327" t="n">
        <v>0</v>
      </c>
      <c r="AG327" t="n">
        <v>0</v>
      </c>
      <c r="AH327" t="n">
        <v>0.22</v>
      </c>
      <c r="AI327" t="n">
        <v>11.13</v>
      </c>
      <c r="AJ327" t="n">
        <v>0</v>
      </c>
      <c r="AK327" t="n">
        <v>19.73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66.31</v>
      </c>
      <c r="AV327" t="n">
        <v>0</v>
      </c>
      <c r="AW327" t="n">
        <v>167.32</v>
      </c>
      <c r="AX327" t="inlineStr">
        <is>
          <t>settled</t>
        </is>
      </c>
      <c r="AY327" t="inlineStr">
        <is>
          <t>NA</t>
        </is>
      </c>
      <c r="AZ327" t="inlineStr">
        <is>
          <t>NA</t>
        </is>
      </c>
      <c r="BA327" t="n">
        <v>0</v>
      </c>
      <c r="BB327" t="inlineStr">
        <is>
          <t>7f80555a46a502b192467500fefd1883492300ac8b168539c0cc93ffda6e9335</t>
        </is>
      </c>
    </row>
    <row r="328">
      <c r="A328" t="inlineStr">
        <is>
          <t>1012</t>
        </is>
      </c>
      <c r="B328" t="inlineStr">
        <is>
          <t>7602938298</t>
        </is>
      </c>
      <c r="C328" t="inlineStr">
        <is>
          <t>2025-12-21 18:49:32</t>
        </is>
      </c>
      <c r="D328" t="inlineStr">
        <is>
          <t>51</t>
        </is>
      </c>
      <c r="E328" t="inlineStr">
        <is>
          <t>Sha Sha - Shandaar Shawarma</t>
        </is>
      </c>
      <c r="F328" t="inlineStr">
        <is>
          <t>18557902</t>
        </is>
      </c>
      <c r="G328" t="inlineStr">
        <is>
          <t>NA</t>
        </is>
      </c>
      <c r="H328" t="inlineStr">
        <is>
          <t>ONLINE</t>
        </is>
      </c>
      <c r="I328" t="inlineStr">
        <is>
          <t>DELIVERED</t>
        </is>
      </c>
      <c r="J328" t="inlineStr">
        <is>
          <t>NA</t>
        </is>
      </c>
      <c r="K328" t="inlineStr">
        <is>
          <t>NA</t>
        </is>
      </c>
      <c r="L328" t="inlineStr">
        <is>
          <t>NA</t>
        </is>
      </c>
      <c r="M328" t="inlineStr">
        <is>
          <t>O2</t>
        </is>
      </c>
      <c r="N328" t="inlineStr">
        <is>
          <t>36</t>
        </is>
      </c>
      <c r="O328" t="n">
        <v>229</v>
      </c>
      <c r="P328" t="n">
        <v>3.5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11.63</v>
      </c>
      <c r="W328" t="n">
        <v>244.13</v>
      </c>
      <c r="X328" t="n">
        <v>232.5</v>
      </c>
      <c r="Y328" t="n">
        <v>19</v>
      </c>
      <c r="Z328" t="n">
        <v>44.18</v>
      </c>
      <c r="AA328" t="n">
        <v>4.49</v>
      </c>
      <c r="AB328" t="n">
        <v>48.67</v>
      </c>
      <c r="AC328" t="n">
        <v>8.76</v>
      </c>
      <c r="AD328" t="n">
        <v>0</v>
      </c>
      <c r="AE328" t="n">
        <v>232.5</v>
      </c>
      <c r="AF328" t="n">
        <v>0</v>
      </c>
      <c r="AG328" t="n">
        <v>0</v>
      </c>
      <c r="AH328" t="n">
        <v>0.23</v>
      </c>
      <c r="AI328" t="n">
        <v>11.63</v>
      </c>
      <c r="AJ328" t="n">
        <v>0</v>
      </c>
      <c r="AK328" t="n">
        <v>20.62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69.29000000000001</v>
      </c>
      <c r="AV328" t="n">
        <v>0</v>
      </c>
      <c r="AW328" t="n">
        <v>174.84</v>
      </c>
      <c r="AX328" t="inlineStr">
        <is>
          <t>settled</t>
        </is>
      </c>
      <c r="AY328" t="inlineStr">
        <is>
          <t>NA</t>
        </is>
      </c>
      <c r="AZ328" t="inlineStr">
        <is>
          <t>NA</t>
        </is>
      </c>
      <c r="BA328" t="n">
        <v>0</v>
      </c>
      <c r="BB328" t="inlineStr">
        <is>
          <t>3b9fc1d22bd8282cee3fabd08d8e6a7fb96e01256becfe6597728c7e2ffb858b</t>
        </is>
      </c>
    </row>
    <row r="329">
      <c r="A329" t="inlineStr">
        <is>
          <t>1013</t>
        </is>
      </c>
      <c r="B329" t="inlineStr">
        <is>
          <t>7606726061</t>
        </is>
      </c>
      <c r="C329" t="inlineStr">
        <is>
          <t>2025-12-21 18:54:58</t>
        </is>
      </c>
      <c r="D329" t="inlineStr">
        <is>
          <t>51</t>
        </is>
      </c>
      <c r="E329" t="inlineStr">
        <is>
          <t>Sha Sha - Shandaar Shawarma</t>
        </is>
      </c>
      <c r="F329" t="inlineStr">
        <is>
          <t>18557902</t>
        </is>
      </c>
      <c r="G329" t="inlineStr">
        <is>
          <t>NA</t>
        </is>
      </c>
      <c r="H329" t="inlineStr">
        <is>
          <t>ONLINE</t>
        </is>
      </c>
      <c r="I329" t="inlineStr">
        <is>
          <t>DELIVERED</t>
        </is>
      </c>
      <c r="J329" t="inlineStr">
        <is>
          <t>NA</t>
        </is>
      </c>
      <c r="K329" t="inlineStr">
        <is>
          <t>NA</t>
        </is>
      </c>
      <c r="L329" t="inlineStr">
        <is>
          <t>NA</t>
        </is>
      </c>
      <c r="M329" t="inlineStr">
        <is>
          <t>O2</t>
        </is>
      </c>
      <c r="N329" t="inlineStr">
        <is>
          <t>36</t>
        </is>
      </c>
      <c r="O329" t="n">
        <v>219</v>
      </c>
      <c r="P329" t="n">
        <v>3.5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11.13</v>
      </c>
      <c r="W329" t="n">
        <v>233.63</v>
      </c>
      <c r="X329" t="n">
        <v>222.5</v>
      </c>
      <c r="Y329" t="n">
        <v>19</v>
      </c>
      <c r="Z329" t="n">
        <v>42.28</v>
      </c>
      <c r="AA329" t="n">
        <v>4.3</v>
      </c>
      <c r="AB329" t="n">
        <v>46.58</v>
      </c>
      <c r="AC329" t="n">
        <v>8.380000000000001</v>
      </c>
      <c r="AD329" t="n">
        <v>0</v>
      </c>
      <c r="AE329" t="n">
        <v>222.5</v>
      </c>
      <c r="AF329" t="n">
        <v>0</v>
      </c>
      <c r="AG329" t="n">
        <v>0</v>
      </c>
      <c r="AH329" t="n">
        <v>0.22</v>
      </c>
      <c r="AI329" t="n">
        <v>11.13</v>
      </c>
      <c r="AJ329" t="n">
        <v>0</v>
      </c>
      <c r="AK329" t="n">
        <v>19.73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66.31</v>
      </c>
      <c r="AV329" t="n">
        <v>0</v>
      </c>
      <c r="AW329" t="n">
        <v>167.32</v>
      </c>
      <c r="AX329" t="inlineStr">
        <is>
          <t>settled</t>
        </is>
      </c>
      <c r="AY329" t="inlineStr">
        <is>
          <t>NA</t>
        </is>
      </c>
      <c r="AZ329" t="inlineStr">
        <is>
          <t>NA</t>
        </is>
      </c>
      <c r="BA329" t="n">
        <v>0</v>
      </c>
      <c r="BB329" t="inlineStr">
        <is>
          <t>0ad53005bc58ea50bab0887623dfcc45e9e0676b7ab4cfb92f1d68156078f06e</t>
        </is>
      </c>
    </row>
    <row r="330">
      <c r="A330" t="inlineStr">
        <is>
          <t>1014</t>
        </is>
      </c>
      <c r="B330" t="inlineStr">
        <is>
          <t>7604762852</t>
        </is>
      </c>
      <c r="C330" t="inlineStr">
        <is>
          <t>2025-12-21 19:07:43</t>
        </is>
      </c>
      <c r="D330" t="inlineStr">
        <is>
          <t>51</t>
        </is>
      </c>
      <c r="E330" t="inlineStr">
        <is>
          <t>Sha Sha - Shandaar Shawarma</t>
        </is>
      </c>
      <c r="F330" t="inlineStr">
        <is>
          <t>18557902</t>
        </is>
      </c>
      <c r="G330" t="inlineStr">
        <is>
          <t>30% off upto ₹75 (2025-06-25 - 2031-01-01)</t>
        </is>
      </c>
      <c r="H330" t="inlineStr">
        <is>
          <t>ONLINE</t>
        </is>
      </c>
      <c r="I330" t="inlineStr">
        <is>
          <t>DELIVERED</t>
        </is>
      </c>
      <c r="J330" t="inlineStr">
        <is>
          <t>NA</t>
        </is>
      </c>
      <c r="K330" t="inlineStr">
        <is>
          <t>NA</t>
        </is>
      </c>
      <c r="L330" t="inlineStr">
        <is>
          <t>NA</t>
        </is>
      </c>
      <c r="M330" t="inlineStr">
        <is>
          <t>O2</t>
        </is>
      </c>
      <c r="N330" t="inlineStr">
        <is>
          <t>36</t>
        </is>
      </c>
      <c r="O330" t="n">
        <v>657</v>
      </c>
      <c r="P330" t="n">
        <v>3.5</v>
      </c>
      <c r="Q330" t="n">
        <v>0</v>
      </c>
      <c r="R330" t="n">
        <v>75</v>
      </c>
      <c r="S330" t="n">
        <v>0</v>
      </c>
      <c r="T330" t="n">
        <v>0</v>
      </c>
      <c r="U330" t="n">
        <v>0</v>
      </c>
      <c r="V330" t="n">
        <v>29.28</v>
      </c>
      <c r="W330" t="n">
        <v>614.78</v>
      </c>
      <c r="X330" t="n">
        <v>585.5</v>
      </c>
      <c r="Y330" t="n">
        <v>19</v>
      </c>
      <c r="Z330" t="n">
        <v>111.24</v>
      </c>
      <c r="AA330" t="n">
        <v>11.31</v>
      </c>
      <c r="AB330" t="n">
        <v>122.55</v>
      </c>
      <c r="AC330" t="n">
        <v>22.06</v>
      </c>
      <c r="AD330" t="n">
        <v>0</v>
      </c>
      <c r="AE330" t="n">
        <v>585.5</v>
      </c>
      <c r="AF330" t="n">
        <v>0</v>
      </c>
      <c r="AG330" t="n">
        <v>0</v>
      </c>
      <c r="AH330" t="n">
        <v>0.59</v>
      </c>
      <c r="AI330" t="n">
        <v>29.28</v>
      </c>
      <c r="AJ330" t="n">
        <v>0</v>
      </c>
      <c r="AK330" t="n">
        <v>51.93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174.48</v>
      </c>
      <c r="AV330" t="n">
        <v>0</v>
      </c>
      <c r="AW330" t="n">
        <v>440.3</v>
      </c>
      <c r="AX330" t="inlineStr">
        <is>
          <t>settled</t>
        </is>
      </c>
      <c r="AY330" t="inlineStr">
        <is>
          <t>NA</t>
        </is>
      </c>
      <c r="AZ330" t="inlineStr">
        <is>
          <t>NA</t>
        </is>
      </c>
      <c r="BA330" t="n">
        <v>0</v>
      </c>
      <c r="BB330" t="inlineStr">
        <is>
          <t>4ad60d65a10408e855c105e3c117d0ace8303e431aa9eb4b93b253f19c5b5f91</t>
        </is>
      </c>
    </row>
    <row r="331">
      <c r="A331" t="inlineStr">
        <is>
          <t>1015</t>
        </is>
      </c>
      <c r="B331" t="inlineStr">
        <is>
          <t>7606163170</t>
        </is>
      </c>
      <c r="C331" t="inlineStr">
        <is>
          <t>2025-12-21 19:13:20</t>
        </is>
      </c>
      <c r="D331" t="inlineStr">
        <is>
          <t>51</t>
        </is>
      </c>
      <c r="E331" t="inlineStr">
        <is>
          <t>Sha Sha - Shandaar Shawarma</t>
        </is>
      </c>
      <c r="F331" t="inlineStr">
        <is>
          <t>18557902</t>
        </is>
      </c>
      <c r="G331" t="inlineStr">
        <is>
          <t>30% off upto ₹75 (2025-06-25 - 2031-01-01)</t>
        </is>
      </c>
      <c r="H331" t="inlineStr">
        <is>
          <t>ONLINE</t>
        </is>
      </c>
      <c r="I331" t="inlineStr">
        <is>
          <t>DELIVERED</t>
        </is>
      </c>
      <c r="J331" t="inlineStr">
        <is>
          <t>NA</t>
        </is>
      </c>
      <c r="K331" t="inlineStr">
        <is>
          <t>NA</t>
        </is>
      </c>
      <c r="L331" t="inlineStr">
        <is>
          <t>NA</t>
        </is>
      </c>
      <c r="M331" t="inlineStr">
        <is>
          <t>O2</t>
        </is>
      </c>
      <c r="N331" t="inlineStr">
        <is>
          <t>36</t>
        </is>
      </c>
      <c r="O331" t="n">
        <v>229</v>
      </c>
      <c r="P331" t="n">
        <v>3.5</v>
      </c>
      <c r="Q331" t="n">
        <v>0</v>
      </c>
      <c r="R331" t="n">
        <v>68.7</v>
      </c>
      <c r="S331" t="n">
        <v>0</v>
      </c>
      <c r="T331" t="n">
        <v>0</v>
      </c>
      <c r="U331" t="n">
        <v>0</v>
      </c>
      <c r="V331" t="n">
        <v>8.19</v>
      </c>
      <c r="W331" t="n">
        <v>171.99</v>
      </c>
      <c r="X331" t="n">
        <v>163.8</v>
      </c>
      <c r="Y331" t="n">
        <v>19</v>
      </c>
      <c r="Z331" t="n">
        <v>31.12</v>
      </c>
      <c r="AA331" t="n">
        <v>3.16</v>
      </c>
      <c r="AB331" t="n">
        <v>34.28</v>
      </c>
      <c r="AC331" t="n">
        <v>6.17</v>
      </c>
      <c r="AD331" t="n">
        <v>0</v>
      </c>
      <c r="AE331" t="n">
        <v>163.8</v>
      </c>
      <c r="AF331" t="n">
        <v>0</v>
      </c>
      <c r="AG331" t="n">
        <v>0</v>
      </c>
      <c r="AH331" t="n">
        <v>0.16</v>
      </c>
      <c r="AI331" t="n">
        <v>8.199999999999999</v>
      </c>
      <c r="AJ331" t="n">
        <v>-0.01</v>
      </c>
      <c r="AK331" t="n">
        <v>14.53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48.81</v>
      </c>
      <c r="AV331" t="n">
        <v>0</v>
      </c>
      <c r="AW331" t="n">
        <v>123.18</v>
      </c>
      <c r="AX331" t="inlineStr">
        <is>
          <t>settled</t>
        </is>
      </c>
      <c r="AY331" t="inlineStr">
        <is>
          <t>NA</t>
        </is>
      </c>
      <c r="AZ331" t="inlineStr">
        <is>
          <t>NA</t>
        </is>
      </c>
      <c r="BA331" t="n">
        <v>0</v>
      </c>
      <c r="BB331" t="inlineStr">
        <is>
          <t>5e95728466535b52d6711dde2ac91133285984fa107204eb18a3f8ba97d49ffd</t>
        </is>
      </c>
    </row>
    <row r="332">
      <c r="A332" t="inlineStr">
        <is>
          <t>1016</t>
        </is>
      </c>
      <c r="B332" t="inlineStr">
        <is>
          <t>7594536833</t>
        </is>
      </c>
      <c r="C332" t="inlineStr">
        <is>
          <t>2025-12-21 19:15:50</t>
        </is>
      </c>
      <c r="D332" t="inlineStr">
        <is>
          <t>51</t>
        </is>
      </c>
      <c r="E332" t="inlineStr">
        <is>
          <t>Sha Sha - Shandaar Shawarma</t>
        </is>
      </c>
      <c r="F332" t="inlineStr">
        <is>
          <t>18557902</t>
        </is>
      </c>
      <c r="G332" t="inlineStr">
        <is>
          <t>30% off upto ₹75 (2025-06-25 - 2031-01-01)</t>
        </is>
      </c>
      <c r="H332" t="inlineStr">
        <is>
          <t>ONLINE</t>
        </is>
      </c>
      <c r="I332" t="inlineStr">
        <is>
          <t>DELIVERED</t>
        </is>
      </c>
      <c r="J332" t="inlineStr">
        <is>
          <t>NA</t>
        </is>
      </c>
      <c r="K332" t="inlineStr">
        <is>
          <t>NA</t>
        </is>
      </c>
      <c r="L332" t="inlineStr">
        <is>
          <t>NA</t>
        </is>
      </c>
      <c r="M332" t="inlineStr">
        <is>
          <t>O2</t>
        </is>
      </c>
      <c r="N332" t="inlineStr">
        <is>
          <t>36</t>
        </is>
      </c>
      <c r="O332" t="n">
        <v>229</v>
      </c>
      <c r="P332" t="n">
        <v>3.5</v>
      </c>
      <c r="Q332" t="n">
        <v>0</v>
      </c>
      <c r="R332" t="n">
        <v>68.7</v>
      </c>
      <c r="S332" t="n">
        <v>0</v>
      </c>
      <c r="T332" t="n">
        <v>0</v>
      </c>
      <c r="U332" t="n">
        <v>0</v>
      </c>
      <c r="V332" t="n">
        <v>8.19</v>
      </c>
      <c r="W332" t="n">
        <v>171.99</v>
      </c>
      <c r="X332" t="n">
        <v>163.8</v>
      </c>
      <c r="Y332" t="n">
        <v>19</v>
      </c>
      <c r="Z332" t="n">
        <v>31.12</v>
      </c>
      <c r="AA332" t="n">
        <v>3.16</v>
      </c>
      <c r="AB332" t="n">
        <v>34.28</v>
      </c>
      <c r="AC332" t="n">
        <v>6.17</v>
      </c>
      <c r="AD332" t="n">
        <v>0</v>
      </c>
      <c r="AE332" t="n">
        <v>163.8</v>
      </c>
      <c r="AF332" t="n">
        <v>0</v>
      </c>
      <c r="AG332" t="n">
        <v>0</v>
      </c>
      <c r="AH332" t="n">
        <v>0.16</v>
      </c>
      <c r="AI332" t="n">
        <v>8.199999999999999</v>
      </c>
      <c r="AJ332" t="n">
        <v>-0.01</v>
      </c>
      <c r="AK332" t="n">
        <v>14.53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48.81</v>
      </c>
      <c r="AV332" t="n">
        <v>0</v>
      </c>
      <c r="AW332" t="n">
        <v>123.18</v>
      </c>
      <c r="AX332" t="inlineStr">
        <is>
          <t>settled</t>
        </is>
      </c>
      <c r="AY332" t="inlineStr">
        <is>
          <t>NA</t>
        </is>
      </c>
      <c r="AZ332" t="inlineStr">
        <is>
          <t>NA</t>
        </is>
      </c>
      <c r="BA332" t="n">
        <v>0</v>
      </c>
      <c r="BB332" t="inlineStr">
        <is>
          <t>5c9a917ceee87e24908faac922b817beae5fcef9b862879e65925656c1ab7125</t>
        </is>
      </c>
    </row>
    <row r="333">
      <c r="A333" t="inlineStr">
        <is>
          <t>1017</t>
        </is>
      </c>
      <c r="B333" t="inlineStr">
        <is>
          <t>7606620341</t>
        </is>
      </c>
      <c r="C333" t="inlineStr">
        <is>
          <t>2025-12-21 19:31:16</t>
        </is>
      </c>
      <c r="D333" t="inlineStr">
        <is>
          <t>51</t>
        </is>
      </c>
      <c r="E333" t="inlineStr">
        <is>
          <t>Sha Sha - Shandaar Shawarma</t>
        </is>
      </c>
      <c r="F333" t="inlineStr">
        <is>
          <t>18557902</t>
        </is>
      </c>
      <c r="G333" t="inlineStr">
        <is>
          <t>NA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NA</t>
        </is>
      </c>
      <c r="K333" t="inlineStr">
        <is>
          <t>NA</t>
        </is>
      </c>
      <c r="L333" t="inlineStr">
        <is>
          <t>NA</t>
        </is>
      </c>
      <c r="M333" t="inlineStr">
        <is>
          <t>O2</t>
        </is>
      </c>
      <c r="N333" t="inlineStr">
        <is>
          <t>36</t>
        </is>
      </c>
      <c r="O333" t="n">
        <v>803</v>
      </c>
      <c r="P333" t="n">
        <v>3.5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40.33</v>
      </c>
      <c r="W333" t="n">
        <v>846.83</v>
      </c>
      <c r="X333" t="n">
        <v>806.5</v>
      </c>
      <c r="Y333" t="n">
        <v>19</v>
      </c>
      <c r="Z333" t="n">
        <v>153.24</v>
      </c>
      <c r="AA333" t="n">
        <v>15.58</v>
      </c>
      <c r="AB333" t="n">
        <v>168.82</v>
      </c>
      <c r="AC333" t="n">
        <v>30.38</v>
      </c>
      <c r="AD333" t="n">
        <v>0</v>
      </c>
      <c r="AE333" t="n">
        <v>806.5</v>
      </c>
      <c r="AF333" t="n">
        <v>0</v>
      </c>
      <c r="AG333" t="n">
        <v>0</v>
      </c>
      <c r="AH333" t="n">
        <v>0.8100000000000001</v>
      </c>
      <c r="AI333" t="n">
        <v>40.33</v>
      </c>
      <c r="AJ333" t="n">
        <v>0</v>
      </c>
      <c r="AK333" t="n">
        <v>71.52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240.34</v>
      </c>
      <c r="AV333" t="n">
        <v>0</v>
      </c>
      <c r="AW333" t="n">
        <v>606.49</v>
      </c>
      <c r="AX333" t="inlineStr">
        <is>
          <t>settled</t>
        </is>
      </c>
      <c r="AY333" t="inlineStr">
        <is>
          <t>NA</t>
        </is>
      </c>
      <c r="AZ333" t="inlineStr">
        <is>
          <t>NA</t>
        </is>
      </c>
      <c r="BA333" t="n">
        <v>0</v>
      </c>
      <c r="BB333" t="inlineStr">
        <is>
          <t>f0a1c9cc4dd056e4725eee291462e352a95aa21f00122563a205d9a603635e72</t>
        </is>
      </c>
    </row>
    <row r="334">
      <c r="A334" t="inlineStr">
        <is>
          <t>1018</t>
        </is>
      </c>
      <c r="B334" t="inlineStr">
        <is>
          <t>7606588828</t>
        </is>
      </c>
      <c r="C334" t="inlineStr">
        <is>
          <t>2025-12-21 19:37:29</t>
        </is>
      </c>
      <c r="D334" t="inlineStr">
        <is>
          <t>51</t>
        </is>
      </c>
      <c r="E334" t="inlineStr">
        <is>
          <t>Sha Sha - Shandaar Shawarma</t>
        </is>
      </c>
      <c r="F334" t="inlineStr">
        <is>
          <t>18557902</t>
        </is>
      </c>
      <c r="G334" t="inlineStr">
        <is>
          <t>30% off upto ₹75 (2025-06-25 - 2031-01-01)</t>
        </is>
      </c>
      <c r="H334" t="inlineStr">
        <is>
          <t>ONLINE</t>
        </is>
      </c>
      <c r="I334" t="inlineStr">
        <is>
          <t>DELIVERED</t>
        </is>
      </c>
      <c r="J334" t="inlineStr">
        <is>
          <t>NA</t>
        </is>
      </c>
      <c r="K334" t="inlineStr">
        <is>
          <t>NA</t>
        </is>
      </c>
      <c r="L334" t="inlineStr">
        <is>
          <t>NA</t>
        </is>
      </c>
      <c r="M334" t="inlineStr">
        <is>
          <t>O2</t>
        </is>
      </c>
      <c r="N334" t="inlineStr">
        <is>
          <t>36</t>
        </is>
      </c>
      <c r="O334" t="n">
        <v>567</v>
      </c>
      <c r="P334" t="n">
        <v>3.5</v>
      </c>
      <c r="Q334" t="n">
        <v>0</v>
      </c>
      <c r="R334" t="n">
        <v>75</v>
      </c>
      <c r="S334" t="n">
        <v>0</v>
      </c>
      <c r="T334" t="n">
        <v>0</v>
      </c>
      <c r="U334" t="n">
        <v>0</v>
      </c>
      <c r="V334" t="n">
        <v>24.78</v>
      </c>
      <c r="W334" t="n">
        <v>520.28</v>
      </c>
      <c r="X334" t="n">
        <v>495.5</v>
      </c>
      <c r="Y334" t="n">
        <v>19</v>
      </c>
      <c r="Z334" t="n">
        <v>94.14</v>
      </c>
      <c r="AA334" t="n">
        <v>9.57</v>
      </c>
      <c r="AB334" t="n">
        <v>103.71</v>
      </c>
      <c r="AC334" t="n">
        <v>18.67</v>
      </c>
      <c r="AD334" t="n">
        <v>0</v>
      </c>
      <c r="AE334" t="n">
        <v>495.5</v>
      </c>
      <c r="AF334" t="n">
        <v>0</v>
      </c>
      <c r="AG334" t="n">
        <v>0</v>
      </c>
      <c r="AH334" t="n">
        <v>0.5</v>
      </c>
      <c r="AI334" t="n">
        <v>24.78</v>
      </c>
      <c r="AJ334" t="n">
        <v>0</v>
      </c>
      <c r="AK334" t="n">
        <v>43.95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147.66</v>
      </c>
      <c r="AV334" t="n">
        <v>0</v>
      </c>
      <c r="AW334" t="n">
        <v>372.62</v>
      </c>
      <c r="AX334" t="inlineStr">
        <is>
          <t>settled</t>
        </is>
      </c>
      <c r="AY334" t="inlineStr">
        <is>
          <t>NA</t>
        </is>
      </c>
      <c r="AZ334" t="inlineStr">
        <is>
          <t>NA</t>
        </is>
      </c>
      <c r="BA334" t="n">
        <v>0</v>
      </c>
      <c r="BB334" t="inlineStr">
        <is>
          <t>08a781c0cce1486ac6b6acd3762372aebf7ad8b30039e82bf61b7738217af089</t>
        </is>
      </c>
    </row>
    <row r="335">
      <c r="A335" t="inlineStr">
        <is>
          <t>1019</t>
        </is>
      </c>
      <c r="B335" t="inlineStr">
        <is>
          <t>7596016649</t>
        </is>
      </c>
      <c r="C335" t="inlineStr">
        <is>
          <t>2025-12-21 20:04:07</t>
        </is>
      </c>
      <c r="D335" t="inlineStr">
        <is>
          <t>51</t>
        </is>
      </c>
      <c r="E335" t="inlineStr">
        <is>
          <t>Sha Sha - Shandaar Shawarma</t>
        </is>
      </c>
      <c r="F335" t="inlineStr">
        <is>
          <t>18557902</t>
        </is>
      </c>
      <c r="G335" t="inlineStr">
        <is>
          <t>30% off upto ₹75 (2025-06-25 - 2031-01-01)</t>
        </is>
      </c>
      <c r="H335" t="inlineStr">
        <is>
          <t>ONLINE</t>
        </is>
      </c>
      <c r="I335" t="inlineStr">
        <is>
          <t>DELIVERED</t>
        </is>
      </c>
      <c r="J335" t="inlineStr">
        <is>
          <t>NA</t>
        </is>
      </c>
      <c r="K335" t="inlineStr">
        <is>
          <t>NA</t>
        </is>
      </c>
      <c r="L335" t="inlineStr">
        <is>
          <t>NA</t>
        </is>
      </c>
      <c r="M335" t="inlineStr">
        <is>
          <t>O2</t>
        </is>
      </c>
      <c r="N335" t="inlineStr">
        <is>
          <t>36</t>
        </is>
      </c>
      <c r="O335" t="n">
        <v>355</v>
      </c>
      <c r="P335" t="n">
        <v>3.5</v>
      </c>
      <c r="Q335" t="n">
        <v>0</v>
      </c>
      <c r="R335" t="n">
        <v>75</v>
      </c>
      <c r="S335" t="n">
        <v>0</v>
      </c>
      <c r="T335" t="n">
        <v>0</v>
      </c>
      <c r="U335" t="n">
        <v>0</v>
      </c>
      <c r="V335" t="n">
        <v>14.18</v>
      </c>
      <c r="W335" t="n">
        <v>297.68</v>
      </c>
      <c r="X335" t="n">
        <v>283.5</v>
      </c>
      <c r="Y335" t="n">
        <v>19</v>
      </c>
      <c r="Z335" t="n">
        <v>53.86</v>
      </c>
      <c r="AA335" t="n">
        <v>5.48</v>
      </c>
      <c r="AB335" t="n">
        <v>59.34</v>
      </c>
      <c r="AC335" t="n">
        <v>10.68</v>
      </c>
      <c r="AD335" t="n">
        <v>0</v>
      </c>
      <c r="AE335" t="n">
        <v>283.5</v>
      </c>
      <c r="AF335" t="n">
        <v>0</v>
      </c>
      <c r="AG335" t="n">
        <v>0</v>
      </c>
      <c r="AH335" t="n">
        <v>0.28</v>
      </c>
      <c r="AI335" t="n">
        <v>14.18</v>
      </c>
      <c r="AJ335" t="n">
        <v>0</v>
      </c>
      <c r="AK335" t="n">
        <v>25.14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84.48</v>
      </c>
      <c r="AV335" t="n">
        <v>0</v>
      </c>
      <c r="AW335" t="n">
        <v>213.2</v>
      </c>
      <c r="AX335" t="inlineStr">
        <is>
          <t>settled</t>
        </is>
      </c>
      <c r="AY335" t="inlineStr">
        <is>
          <t>NA</t>
        </is>
      </c>
      <c r="AZ335" t="inlineStr">
        <is>
          <t>NA</t>
        </is>
      </c>
      <c r="BA335" t="n">
        <v>0</v>
      </c>
      <c r="BB335" t="inlineStr">
        <is>
          <t>08f7fb8c9b34de191093cb4ea335fc67de976c66e9c117ed63db7f1f0528aa4c</t>
        </is>
      </c>
    </row>
    <row r="336">
      <c r="A336" t="inlineStr">
        <is>
          <t>1020</t>
        </is>
      </c>
      <c r="B336" t="inlineStr">
        <is>
          <t>7590287729</t>
        </is>
      </c>
      <c r="C336" t="inlineStr">
        <is>
          <t>2025-12-21 20:18:33</t>
        </is>
      </c>
      <c r="D336" t="inlineStr">
        <is>
          <t>51</t>
        </is>
      </c>
      <c r="E336" t="inlineStr">
        <is>
          <t>Sha Sha - Shandaar Shawarma</t>
        </is>
      </c>
      <c r="F336" t="inlineStr">
        <is>
          <t>18557902</t>
        </is>
      </c>
      <c r="G336" t="inlineStr">
        <is>
          <t>30% off upto ₹75 (2025-06-25 - 2031-01-01)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NA</t>
        </is>
      </c>
      <c r="K336" t="inlineStr">
        <is>
          <t>NA</t>
        </is>
      </c>
      <c r="L336" t="inlineStr">
        <is>
          <t>NA</t>
        </is>
      </c>
      <c r="M336" t="inlineStr">
        <is>
          <t>O2</t>
        </is>
      </c>
      <c r="N336" t="inlineStr">
        <is>
          <t>36</t>
        </is>
      </c>
      <c r="O336" t="n">
        <v>229</v>
      </c>
      <c r="P336" t="n">
        <v>3.5</v>
      </c>
      <c r="Q336" t="n">
        <v>0</v>
      </c>
      <c r="R336" t="n">
        <v>68.7</v>
      </c>
      <c r="S336" t="n">
        <v>0</v>
      </c>
      <c r="T336" t="n">
        <v>0</v>
      </c>
      <c r="U336" t="n">
        <v>0</v>
      </c>
      <c r="V336" t="n">
        <v>8.19</v>
      </c>
      <c r="W336" t="n">
        <v>171.99</v>
      </c>
      <c r="X336" t="n">
        <v>163.8</v>
      </c>
      <c r="Y336" t="n">
        <v>19</v>
      </c>
      <c r="Z336" t="n">
        <v>31.12</v>
      </c>
      <c r="AA336" t="n">
        <v>3.16</v>
      </c>
      <c r="AB336" t="n">
        <v>34.28</v>
      </c>
      <c r="AC336" t="n">
        <v>6.17</v>
      </c>
      <c r="AD336" t="n">
        <v>0</v>
      </c>
      <c r="AE336" t="n">
        <v>163.8</v>
      </c>
      <c r="AF336" t="n">
        <v>0</v>
      </c>
      <c r="AG336" t="n">
        <v>0</v>
      </c>
      <c r="AH336" t="n">
        <v>0.16</v>
      </c>
      <c r="AI336" t="n">
        <v>8.199999999999999</v>
      </c>
      <c r="AJ336" t="n">
        <v>-0.01</v>
      </c>
      <c r="AK336" t="n">
        <v>14.53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48.81</v>
      </c>
      <c r="AV336" t="n">
        <v>0</v>
      </c>
      <c r="AW336" t="n">
        <v>123.18</v>
      </c>
      <c r="AX336" t="inlineStr">
        <is>
          <t>settled</t>
        </is>
      </c>
      <c r="AY336" t="inlineStr">
        <is>
          <t>NA</t>
        </is>
      </c>
      <c r="AZ336" t="inlineStr">
        <is>
          <t>NA</t>
        </is>
      </c>
      <c r="BA336" t="n">
        <v>0</v>
      </c>
      <c r="BB336" t="inlineStr">
        <is>
          <t>3615bbab2ece159dec95f89aab443c45ec95dbd6cfa4d96f9cce32e8a91ecb4c</t>
        </is>
      </c>
    </row>
    <row r="337">
      <c r="A337" t="inlineStr">
        <is>
          <t>1021</t>
        </is>
      </c>
      <c r="B337" t="inlineStr">
        <is>
          <t>7606758911</t>
        </is>
      </c>
      <c r="C337" t="inlineStr">
        <is>
          <t>2025-12-21 20:49:37</t>
        </is>
      </c>
      <c r="D337" t="inlineStr">
        <is>
          <t>51</t>
        </is>
      </c>
      <c r="E337" t="inlineStr">
        <is>
          <t>Sha Sha - Shandaar Shawarma</t>
        </is>
      </c>
      <c r="F337" t="inlineStr">
        <is>
          <t>18557902</t>
        </is>
      </c>
      <c r="G337" t="inlineStr">
        <is>
          <t>30% off upto ₹75 (2025-06-25 - 2031-01-01)</t>
        </is>
      </c>
      <c r="H337" t="inlineStr">
        <is>
          <t>ONLINE</t>
        </is>
      </c>
      <c r="I337" t="inlineStr">
        <is>
          <t>DELIVERED</t>
        </is>
      </c>
      <c r="J337" t="inlineStr">
        <is>
          <t>NA</t>
        </is>
      </c>
      <c r="K337" t="inlineStr">
        <is>
          <t>NA</t>
        </is>
      </c>
      <c r="L337" t="inlineStr">
        <is>
          <t>NA</t>
        </is>
      </c>
      <c r="M337" t="inlineStr">
        <is>
          <t>O2</t>
        </is>
      </c>
      <c r="N337" t="inlineStr">
        <is>
          <t>36</t>
        </is>
      </c>
      <c r="O337" t="n">
        <v>219</v>
      </c>
      <c r="P337" t="n">
        <v>3.5</v>
      </c>
      <c r="Q337" t="n">
        <v>0</v>
      </c>
      <c r="R337" t="n">
        <v>65.7</v>
      </c>
      <c r="S337" t="n">
        <v>0</v>
      </c>
      <c r="T337" t="n">
        <v>0</v>
      </c>
      <c r="U337" t="n">
        <v>0</v>
      </c>
      <c r="V337" t="n">
        <v>7.84</v>
      </c>
      <c r="W337" t="n">
        <v>164.64</v>
      </c>
      <c r="X337" t="n">
        <v>156.8</v>
      </c>
      <c r="Y337" t="n">
        <v>19</v>
      </c>
      <c r="Z337" t="n">
        <v>29.79</v>
      </c>
      <c r="AA337" t="n">
        <v>3.03</v>
      </c>
      <c r="AB337" t="n">
        <v>32.82</v>
      </c>
      <c r="AC337" t="n">
        <v>5.91</v>
      </c>
      <c r="AD337" t="n">
        <v>0</v>
      </c>
      <c r="AE337" t="n">
        <v>156.8</v>
      </c>
      <c r="AF337" t="n">
        <v>0</v>
      </c>
      <c r="AG337" t="n">
        <v>0</v>
      </c>
      <c r="AH337" t="n">
        <v>0.16</v>
      </c>
      <c r="AI337" t="n">
        <v>7.85</v>
      </c>
      <c r="AJ337" t="n">
        <v>-0.01</v>
      </c>
      <c r="AK337" t="n">
        <v>13.92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46.74</v>
      </c>
      <c r="AV337" t="n">
        <v>0</v>
      </c>
      <c r="AW337" t="n">
        <v>117.9</v>
      </c>
      <c r="AX337" t="inlineStr">
        <is>
          <t>settled</t>
        </is>
      </c>
      <c r="AY337" t="inlineStr">
        <is>
          <t>NA</t>
        </is>
      </c>
      <c r="AZ337" t="inlineStr">
        <is>
          <t>NA</t>
        </is>
      </c>
      <c r="BA337" t="n">
        <v>0</v>
      </c>
      <c r="BB337" t="inlineStr">
        <is>
          <t>50f395ef03351fb7b6b13de466f3ea1023acab7bd5f7910047edd5e941a2e865</t>
        </is>
      </c>
    </row>
    <row r="338">
      <c r="A338" t="inlineStr">
        <is>
          <t>1022</t>
        </is>
      </c>
      <c r="B338" t="inlineStr">
        <is>
          <t>7601744659</t>
        </is>
      </c>
      <c r="C338" t="inlineStr">
        <is>
          <t>2025-12-21 20:55:35</t>
        </is>
      </c>
      <c r="D338" t="inlineStr">
        <is>
          <t>51</t>
        </is>
      </c>
      <c r="E338" t="inlineStr">
        <is>
          <t>Sha Sha - Shandaar Shawarma</t>
        </is>
      </c>
      <c r="F338" t="inlineStr">
        <is>
          <t>18557902</t>
        </is>
      </c>
      <c r="G338" t="inlineStr">
        <is>
          <t>30% off upto ₹75 (2025-06-25 - 2031-01-01)</t>
        </is>
      </c>
      <c r="H338" t="inlineStr">
        <is>
          <t>ONLINE</t>
        </is>
      </c>
      <c r="I338" t="inlineStr">
        <is>
          <t>DELIVERED</t>
        </is>
      </c>
      <c r="J338" t="inlineStr">
        <is>
          <t>NA</t>
        </is>
      </c>
      <c r="K338" t="inlineStr">
        <is>
          <t>NA</t>
        </is>
      </c>
      <c r="L338" t="inlineStr">
        <is>
          <t>NA</t>
        </is>
      </c>
      <c r="M338" t="inlineStr">
        <is>
          <t>O2</t>
        </is>
      </c>
      <c r="N338" t="inlineStr">
        <is>
          <t>36</t>
        </is>
      </c>
      <c r="O338" t="n">
        <v>219</v>
      </c>
      <c r="P338" t="n">
        <v>3.5</v>
      </c>
      <c r="Q338" t="n">
        <v>0</v>
      </c>
      <c r="R338" t="n">
        <v>65.7</v>
      </c>
      <c r="S338" t="n">
        <v>0</v>
      </c>
      <c r="T338" t="n">
        <v>0</v>
      </c>
      <c r="U338" t="n">
        <v>0</v>
      </c>
      <c r="V338" t="n">
        <v>7.84</v>
      </c>
      <c r="W338" t="n">
        <v>164.64</v>
      </c>
      <c r="X338" t="n">
        <v>156.8</v>
      </c>
      <c r="Y338" t="n">
        <v>19</v>
      </c>
      <c r="Z338" t="n">
        <v>29.79</v>
      </c>
      <c r="AA338" t="n">
        <v>3.03</v>
      </c>
      <c r="AB338" t="n">
        <v>32.82</v>
      </c>
      <c r="AC338" t="n">
        <v>5.91</v>
      </c>
      <c r="AD338" t="n">
        <v>0</v>
      </c>
      <c r="AE338" t="n">
        <v>156.8</v>
      </c>
      <c r="AF338" t="n">
        <v>0</v>
      </c>
      <c r="AG338" t="n">
        <v>0</v>
      </c>
      <c r="AH338" t="n">
        <v>0.16</v>
      </c>
      <c r="AI338" t="n">
        <v>7.85</v>
      </c>
      <c r="AJ338" t="n">
        <v>-0.01</v>
      </c>
      <c r="AK338" t="n">
        <v>13.92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46.74</v>
      </c>
      <c r="AV338" t="n">
        <v>0</v>
      </c>
      <c r="AW338" t="n">
        <v>117.9</v>
      </c>
      <c r="AX338" t="inlineStr">
        <is>
          <t>settled</t>
        </is>
      </c>
      <c r="AY338" t="inlineStr">
        <is>
          <t>NA</t>
        </is>
      </c>
      <c r="AZ338" t="inlineStr">
        <is>
          <t>NA</t>
        </is>
      </c>
      <c r="BA338" t="n">
        <v>0</v>
      </c>
      <c r="BB338" t="inlineStr">
        <is>
          <t>768375edb996c145e65c609ecfa676a68346d4f6047d29a4a42feecf0c643409</t>
        </is>
      </c>
    </row>
    <row r="339">
      <c r="A339" t="inlineStr">
        <is>
          <t>1023</t>
        </is>
      </c>
      <c r="B339" t="inlineStr">
        <is>
          <t>7606167852</t>
        </is>
      </c>
      <c r="C339" t="inlineStr">
        <is>
          <t>2025-12-21 20:58:03</t>
        </is>
      </c>
      <c r="D339" t="inlineStr">
        <is>
          <t>51</t>
        </is>
      </c>
      <c r="E339" t="inlineStr">
        <is>
          <t>Sha Sha - Shandaar Shawarma</t>
        </is>
      </c>
      <c r="F339" t="inlineStr">
        <is>
          <t>18557902</t>
        </is>
      </c>
      <c r="G339" t="inlineStr">
        <is>
          <t>30% off upto ₹75 (2025-06-25 - 2031-01-01)</t>
        </is>
      </c>
      <c r="H339" t="inlineStr">
        <is>
          <t>ONLINE</t>
        </is>
      </c>
      <c r="I339" t="inlineStr">
        <is>
          <t>DELIVERED</t>
        </is>
      </c>
      <c r="J339" t="inlineStr">
        <is>
          <t>NA</t>
        </is>
      </c>
      <c r="K339" t="inlineStr">
        <is>
          <t>NA</t>
        </is>
      </c>
      <c r="L339" t="inlineStr">
        <is>
          <t>NA</t>
        </is>
      </c>
      <c r="M339" t="inlineStr">
        <is>
          <t>O2</t>
        </is>
      </c>
      <c r="N339" t="inlineStr">
        <is>
          <t>36</t>
        </is>
      </c>
      <c r="O339" t="n">
        <v>229</v>
      </c>
      <c r="P339" t="n">
        <v>3.5</v>
      </c>
      <c r="Q339" t="n">
        <v>0</v>
      </c>
      <c r="R339" t="n">
        <v>68.7</v>
      </c>
      <c r="S339" t="n">
        <v>0</v>
      </c>
      <c r="T339" t="n">
        <v>0</v>
      </c>
      <c r="U339" t="n">
        <v>0</v>
      </c>
      <c r="V339" t="n">
        <v>8.19</v>
      </c>
      <c r="W339" t="n">
        <v>171.99</v>
      </c>
      <c r="X339" t="n">
        <v>163.8</v>
      </c>
      <c r="Y339" t="n">
        <v>19</v>
      </c>
      <c r="Z339" t="n">
        <v>31.12</v>
      </c>
      <c r="AA339" t="n">
        <v>3.16</v>
      </c>
      <c r="AB339" t="n">
        <v>34.28</v>
      </c>
      <c r="AC339" t="n">
        <v>6.17</v>
      </c>
      <c r="AD339" t="n">
        <v>0</v>
      </c>
      <c r="AE339" t="n">
        <v>163.8</v>
      </c>
      <c r="AF339" t="n">
        <v>0</v>
      </c>
      <c r="AG339" t="n">
        <v>0</v>
      </c>
      <c r="AH339" t="n">
        <v>0.16</v>
      </c>
      <c r="AI339" t="n">
        <v>8.199999999999999</v>
      </c>
      <c r="AJ339" t="n">
        <v>-0.01</v>
      </c>
      <c r="AK339" t="n">
        <v>14.53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48.81</v>
      </c>
      <c r="AV339" t="n">
        <v>0</v>
      </c>
      <c r="AW339" t="n">
        <v>123.18</v>
      </c>
      <c r="AX339" t="inlineStr">
        <is>
          <t>settled</t>
        </is>
      </c>
      <c r="AY339" t="inlineStr">
        <is>
          <t>NA</t>
        </is>
      </c>
      <c r="AZ339" t="inlineStr">
        <is>
          <t>NA</t>
        </is>
      </c>
      <c r="BA339" t="n">
        <v>0</v>
      </c>
      <c r="BB339" t="inlineStr">
        <is>
          <t>d06fa1f18f053e742de62874255d03741a4975c7f091bd108bfaf20be347e5a9</t>
        </is>
      </c>
    </row>
    <row r="340">
      <c r="A340" t="inlineStr">
        <is>
          <t>1024</t>
        </is>
      </c>
      <c r="B340" t="inlineStr">
        <is>
          <t>7607576806</t>
        </is>
      </c>
      <c r="C340" t="inlineStr">
        <is>
          <t>2025-12-21 21:12:48</t>
        </is>
      </c>
      <c r="D340" t="inlineStr">
        <is>
          <t>51</t>
        </is>
      </c>
      <c r="E340" t="inlineStr">
        <is>
          <t>Sha Sha - Shandaar Shawarma</t>
        </is>
      </c>
      <c r="F340" t="inlineStr">
        <is>
          <t>18557902</t>
        </is>
      </c>
      <c r="G340" t="inlineStr">
        <is>
          <t>30% off upto ₹75 (2025-06-25 - 2031-01-01)</t>
        </is>
      </c>
      <c r="H340" t="inlineStr">
        <is>
          <t>ONLINE</t>
        </is>
      </c>
      <c r="I340" t="inlineStr">
        <is>
          <t>DELIVERED</t>
        </is>
      </c>
      <c r="J340" t="inlineStr">
        <is>
          <t>NA</t>
        </is>
      </c>
      <c r="K340" t="inlineStr">
        <is>
          <t>NA</t>
        </is>
      </c>
      <c r="L340" t="inlineStr">
        <is>
          <t>NA</t>
        </is>
      </c>
      <c r="M340" t="inlineStr">
        <is>
          <t>O2</t>
        </is>
      </c>
      <c r="N340" t="inlineStr">
        <is>
          <t>36</t>
        </is>
      </c>
      <c r="O340" t="n">
        <v>219</v>
      </c>
      <c r="P340" t="n">
        <v>3.5</v>
      </c>
      <c r="Q340" t="n">
        <v>0</v>
      </c>
      <c r="R340" t="n">
        <v>65.7</v>
      </c>
      <c r="S340" t="n">
        <v>0</v>
      </c>
      <c r="T340" t="n">
        <v>0</v>
      </c>
      <c r="U340" t="n">
        <v>0</v>
      </c>
      <c r="V340" t="n">
        <v>7.84</v>
      </c>
      <c r="W340" t="n">
        <v>164.64</v>
      </c>
      <c r="X340" t="n">
        <v>156.8</v>
      </c>
      <c r="Y340" t="n">
        <v>19</v>
      </c>
      <c r="Z340" t="n">
        <v>29.79</v>
      </c>
      <c r="AA340" t="n">
        <v>3.03</v>
      </c>
      <c r="AB340" t="n">
        <v>32.82</v>
      </c>
      <c r="AC340" t="n">
        <v>5.91</v>
      </c>
      <c r="AD340" t="n">
        <v>0</v>
      </c>
      <c r="AE340" t="n">
        <v>156.8</v>
      </c>
      <c r="AF340" t="n">
        <v>0</v>
      </c>
      <c r="AG340" t="n">
        <v>0</v>
      </c>
      <c r="AH340" t="n">
        <v>0.16</v>
      </c>
      <c r="AI340" t="n">
        <v>7.85</v>
      </c>
      <c r="AJ340" t="n">
        <v>-0.01</v>
      </c>
      <c r="AK340" t="n">
        <v>13.92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46.74</v>
      </c>
      <c r="AV340" t="n">
        <v>0</v>
      </c>
      <c r="AW340" t="n">
        <v>117.9</v>
      </c>
      <c r="AX340" t="inlineStr">
        <is>
          <t>settled</t>
        </is>
      </c>
      <c r="AY340" t="inlineStr">
        <is>
          <t>NA</t>
        </is>
      </c>
      <c r="AZ340" t="inlineStr">
        <is>
          <t>NA</t>
        </is>
      </c>
      <c r="BA340" t="n">
        <v>0</v>
      </c>
      <c r="BB340" t="inlineStr">
        <is>
          <t>175d13c10feaeb25593eac995afd62757b9e5e3d733bebfa8dbc4548d72b72d0</t>
        </is>
      </c>
    </row>
    <row r="341">
      <c r="A341" t="inlineStr">
        <is>
          <t>1025</t>
        </is>
      </c>
      <c r="B341" t="inlineStr">
        <is>
          <t>7596618979</t>
        </is>
      </c>
      <c r="C341" t="inlineStr">
        <is>
          <t>2025-12-21 21:19:39</t>
        </is>
      </c>
      <c r="D341" t="inlineStr">
        <is>
          <t>51</t>
        </is>
      </c>
      <c r="E341" t="inlineStr">
        <is>
          <t>Sha Sha - Shandaar Shawarma</t>
        </is>
      </c>
      <c r="F341" t="inlineStr">
        <is>
          <t>18557902</t>
        </is>
      </c>
      <c r="G341" t="inlineStr">
        <is>
          <t>NA</t>
        </is>
      </c>
      <c r="H341" t="inlineStr">
        <is>
          <t>ONLINE</t>
        </is>
      </c>
      <c r="I341" t="inlineStr">
        <is>
          <t>DELIVERED</t>
        </is>
      </c>
      <c r="J341" t="inlineStr">
        <is>
          <t>NA</t>
        </is>
      </c>
      <c r="K341" t="inlineStr">
        <is>
          <t>NA</t>
        </is>
      </c>
      <c r="L341" t="inlineStr">
        <is>
          <t>NA</t>
        </is>
      </c>
      <c r="M341" t="inlineStr">
        <is>
          <t>O2</t>
        </is>
      </c>
      <c r="N341" t="inlineStr">
        <is>
          <t>36</t>
        </is>
      </c>
      <c r="O341" t="n">
        <v>219</v>
      </c>
      <c r="P341" t="n">
        <v>3.5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11.13</v>
      </c>
      <c r="W341" t="n">
        <v>233.63</v>
      </c>
      <c r="X341" t="n">
        <v>222.5</v>
      </c>
      <c r="Y341" t="n">
        <v>19</v>
      </c>
      <c r="Z341" t="n">
        <v>42.28</v>
      </c>
      <c r="AA341" t="n">
        <v>4.3</v>
      </c>
      <c r="AB341" t="n">
        <v>46.58</v>
      </c>
      <c r="AC341" t="n">
        <v>8.380000000000001</v>
      </c>
      <c r="AD341" t="n">
        <v>0</v>
      </c>
      <c r="AE341" t="n">
        <v>222.5</v>
      </c>
      <c r="AF341" t="n">
        <v>0</v>
      </c>
      <c r="AG341" t="n">
        <v>0</v>
      </c>
      <c r="AH341" t="n">
        <v>0.22</v>
      </c>
      <c r="AI341" t="n">
        <v>11.13</v>
      </c>
      <c r="AJ341" t="n">
        <v>0</v>
      </c>
      <c r="AK341" t="n">
        <v>19.73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66.31</v>
      </c>
      <c r="AV341" t="n">
        <v>0</v>
      </c>
      <c r="AW341" t="n">
        <v>167.32</v>
      </c>
      <c r="AX341" t="inlineStr">
        <is>
          <t>settled</t>
        </is>
      </c>
      <c r="AY341" t="inlineStr">
        <is>
          <t>NA</t>
        </is>
      </c>
      <c r="AZ341" t="inlineStr">
        <is>
          <t>NA</t>
        </is>
      </c>
      <c r="BA341" t="n">
        <v>0</v>
      </c>
      <c r="BB341" t="inlineStr">
        <is>
          <t>087ccee7cd2f4573cc0e1532842a6232f2be1aaf96948304b398198fe883900e</t>
        </is>
      </c>
    </row>
    <row r="342">
      <c r="A342" t="inlineStr">
        <is>
          <t>1026</t>
        </is>
      </c>
      <c r="B342" t="inlineStr">
        <is>
          <t>7591152491</t>
        </is>
      </c>
      <c r="C342" t="inlineStr">
        <is>
          <t>2025-12-21 21:26:51</t>
        </is>
      </c>
      <c r="D342" t="inlineStr">
        <is>
          <t>51</t>
        </is>
      </c>
      <c r="E342" t="inlineStr">
        <is>
          <t>Sha Sha - Shandaar Shawarma</t>
        </is>
      </c>
      <c r="F342" t="inlineStr">
        <is>
          <t>18557902</t>
        </is>
      </c>
      <c r="G342" t="inlineStr">
        <is>
          <t>30% off upto ₹75 (2025-06-25 - 2031-01-01)</t>
        </is>
      </c>
      <c r="H342" t="inlineStr">
        <is>
          <t>ONLINE</t>
        </is>
      </c>
      <c r="I342" t="inlineStr">
        <is>
          <t>DELIVERED</t>
        </is>
      </c>
      <c r="J342" t="inlineStr">
        <is>
          <t>NA</t>
        </is>
      </c>
      <c r="K342" t="inlineStr">
        <is>
          <t>NA</t>
        </is>
      </c>
      <c r="L342" t="inlineStr">
        <is>
          <t>NA</t>
        </is>
      </c>
      <c r="M342" t="inlineStr">
        <is>
          <t>O2</t>
        </is>
      </c>
      <c r="N342" t="inlineStr">
        <is>
          <t>36</t>
        </is>
      </c>
      <c r="O342" t="n">
        <v>338</v>
      </c>
      <c r="P342" t="n">
        <v>3.5</v>
      </c>
      <c r="Q342" t="n">
        <v>0</v>
      </c>
      <c r="R342" t="n">
        <v>75</v>
      </c>
      <c r="S342" t="n">
        <v>0</v>
      </c>
      <c r="T342" t="n">
        <v>0</v>
      </c>
      <c r="U342" t="n">
        <v>0</v>
      </c>
      <c r="V342" t="n">
        <v>13.33</v>
      </c>
      <c r="W342" t="n">
        <v>279.83</v>
      </c>
      <c r="X342" t="n">
        <v>266.5</v>
      </c>
      <c r="Y342" t="n">
        <v>19</v>
      </c>
      <c r="Z342" t="n">
        <v>50.64</v>
      </c>
      <c r="AA342" t="n">
        <v>5.15</v>
      </c>
      <c r="AB342" t="n">
        <v>55.79</v>
      </c>
      <c r="AC342" t="n">
        <v>10.05</v>
      </c>
      <c r="AD342" t="n">
        <v>0</v>
      </c>
      <c r="AE342" t="n">
        <v>266.5</v>
      </c>
      <c r="AF342" t="n">
        <v>0</v>
      </c>
      <c r="AG342" t="n">
        <v>0</v>
      </c>
      <c r="AH342" t="n">
        <v>0.27</v>
      </c>
      <c r="AI342" t="n">
        <v>13.33</v>
      </c>
      <c r="AJ342" t="n">
        <v>0</v>
      </c>
      <c r="AK342" t="n">
        <v>23.65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79.44</v>
      </c>
      <c r="AV342" t="n">
        <v>0</v>
      </c>
      <c r="AW342" t="n">
        <v>200.39</v>
      </c>
      <c r="AX342" t="inlineStr">
        <is>
          <t>settled</t>
        </is>
      </c>
      <c r="AY342" t="inlineStr">
        <is>
          <t>NA</t>
        </is>
      </c>
      <c r="AZ342" t="inlineStr">
        <is>
          <t>NA</t>
        </is>
      </c>
      <c r="BA342" t="n">
        <v>0</v>
      </c>
      <c r="BB342" t="inlineStr">
        <is>
          <t>5a4152e7640e85cce3714ee026d54b97b622f52be4a354a0a91e419ba9540499</t>
        </is>
      </c>
    </row>
    <row r="343">
      <c r="A343" t="inlineStr">
        <is>
          <t>1027</t>
        </is>
      </c>
      <c r="B343" t="inlineStr">
        <is>
          <t>7596332286</t>
        </is>
      </c>
      <c r="C343" t="inlineStr">
        <is>
          <t>2025-12-21 21:39:40</t>
        </is>
      </c>
      <c r="D343" t="inlineStr">
        <is>
          <t>51</t>
        </is>
      </c>
      <c r="E343" t="inlineStr">
        <is>
          <t>Sha Sha - Shandaar Shawarma</t>
        </is>
      </c>
      <c r="F343" t="inlineStr">
        <is>
          <t>18557902</t>
        </is>
      </c>
      <c r="G343" t="inlineStr">
        <is>
          <t>NA</t>
        </is>
      </c>
      <c r="H343" t="inlineStr">
        <is>
          <t>ONLINE</t>
        </is>
      </c>
      <c r="I343" t="inlineStr">
        <is>
          <t>DELIVERED</t>
        </is>
      </c>
      <c r="J343" t="inlineStr">
        <is>
          <t>NA</t>
        </is>
      </c>
      <c r="K343" t="inlineStr">
        <is>
          <t>NA</t>
        </is>
      </c>
      <c r="L343" t="inlineStr">
        <is>
          <t>NA</t>
        </is>
      </c>
      <c r="M343" t="inlineStr">
        <is>
          <t>O2</t>
        </is>
      </c>
      <c r="N343" t="inlineStr">
        <is>
          <t>36</t>
        </is>
      </c>
      <c r="O343" t="n">
        <v>229</v>
      </c>
      <c r="P343" t="n">
        <v>3.5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11.63</v>
      </c>
      <c r="W343" t="n">
        <v>244.13</v>
      </c>
      <c r="X343" t="n">
        <v>232.5</v>
      </c>
      <c r="Y343" t="n">
        <v>19</v>
      </c>
      <c r="Z343" t="n">
        <v>44.18</v>
      </c>
      <c r="AA343" t="n">
        <v>4.49</v>
      </c>
      <c r="AB343" t="n">
        <v>48.67</v>
      </c>
      <c r="AC343" t="n">
        <v>8.76</v>
      </c>
      <c r="AD343" t="n">
        <v>0</v>
      </c>
      <c r="AE343" t="n">
        <v>232.5</v>
      </c>
      <c r="AF343" t="n">
        <v>0</v>
      </c>
      <c r="AG343" t="n">
        <v>0</v>
      </c>
      <c r="AH343" t="n">
        <v>0.23</v>
      </c>
      <c r="AI343" t="n">
        <v>11.63</v>
      </c>
      <c r="AJ343" t="n">
        <v>0</v>
      </c>
      <c r="AK343" t="n">
        <v>20.62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69.29000000000001</v>
      </c>
      <c r="AV343" t="n">
        <v>0</v>
      </c>
      <c r="AW343" t="n">
        <v>174.84</v>
      </c>
      <c r="AX343" t="inlineStr">
        <is>
          <t>settled</t>
        </is>
      </c>
      <c r="AY343" t="inlineStr">
        <is>
          <t>NA</t>
        </is>
      </c>
      <c r="AZ343" t="inlineStr">
        <is>
          <t>NA</t>
        </is>
      </c>
      <c r="BA343" t="n">
        <v>0</v>
      </c>
      <c r="BB343" t="inlineStr">
        <is>
          <t>01c9b0202395651c9c674b116338ea11680ea4a49bfc0d98d564c39d174383f6</t>
        </is>
      </c>
    </row>
    <row r="344">
      <c r="A344" t="inlineStr">
        <is>
          <t>1028</t>
        </is>
      </c>
      <c r="B344" t="inlineStr">
        <is>
          <t>7607843478</t>
        </is>
      </c>
      <c r="C344" t="inlineStr">
        <is>
          <t>2025-12-21 22:00:33</t>
        </is>
      </c>
      <c r="D344" t="inlineStr">
        <is>
          <t>51</t>
        </is>
      </c>
      <c r="E344" t="inlineStr">
        <is>
          <t>Sha Sha - Shandaar Shawarma</t>
        </is>
      </c>
      <c r="F344" t="inlineStr">
        <is>
          <t>18557902</t>
        </is>
      </c>
      <c r="G344" t="inlineStr">
        <is>
          <t>NA</t>
        </is>
      </c>
      <c r="H344" t="inlineStr">
        <is>
          <t>ONLINE</t>
        </is>
      </c>
      <c r="I344" t="inlineStr">
        <is>
          <t>DELIVERED</t>
        </is>
      </c>
      <c r="J344" t="inlineStr">
        <is>
          <t>NA</t>
        </is>
      </c>
      <c r="K344" t="inlineStr">
        <is>
          <t>NA</t>
        </is>
      </c>
      <c r="L344" t="inlineStr">
        <is>
          <t>NA</t>
        </is>
      </c>
      <c r="M344" t="inlineStr">
        <is>
          <t>O2</t>
        </is>
      </c>
      <c r="N344" t="inlineStr">
        <is>
          <t>36</t>
        </is>
      </c>
      <c r="O344" t="n">
        <v>229</v>
      </c>
      <c r="P344" t="n">
        <v>3.5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11.63</v>
      </c>
      <c r="W344" t="n">
        <v>244.13</v>
      </c>
      <c r="X344" t="n">
        <v>232.5</v>
      </c>
      <c r="Y344" t="n">
        <v>19</v>
      </c>
      <c r="Z344" t="n">
        <v>44.18</v>
      </c>
      <c r="AA344" t="n">
        <v>4.49</v>
      </c>
      <c r="AB344" t="n">
        <v>48.67</v>
      </c>
      <c r="AC344" t="n">
        <v>8.76</v>
      </c>
      <c r="AD344" t="n">
        <v>0</v>
      </c>
      <c r="AE344" t="n">
        <v>232.5</v>
      </c>
      <c r="AF344" t="n">
        <v>0</v>
      </c>
      <c r="AG344" t="n">
        <v>0</v>
      </c>
      <c r="AH344" t="n">
        <v>0.23</v>
      </c>
      <c r="AI344" t="n">
        <v>11.63</v>
      </c>
      <c r="AJ344" t="n">
        <v>0</v>
      </c>
      <c r="AK344" t="n">
        <v>20.62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69.29000000000001</v>
      </c>
      <c r="AV344" t="n">
        <v>0</v>
      </c>
      <c r="AW344" t="n">
        <v>174.84</v>
      </c>
      <c r="AX344" t="inlineStr">
        <is>
          <t>settled</t>
        </is>
      </c>
      <c r="AY344" t="inlineStr">
        <is>
          <t>NA</t>
        </is>
      </c>
      <c r="AZ344" t="inlineStr">
        <is>
          <t>NA</t>
        </is>
      </c>
      <c r="BA344" t="n">
        <v>0</v>
      </c>
      <c r="BB344" t="inlineStr">
        <is>
          <t>dafdfc018201a03e8027a8eadc3116672209b3e179e8d45cdfd049f65f96f371</t>
        </is>
      </c>
    </row>
    <row r="345">
      <c r="A345" t="inlineStr">
        <is>
          <t>1029</t>
        </is>
      </c>
      <c r="B345" t="inlineStr">
        <is>
          <t>7597704312</t>
        </is>
      </c>
      <c r="C345" t="inlineStr">
        <is>
          <t>2025-12-21 22:14:04</t>
        </is>
      </c>
      <c r="D345" t="inlineStr">
        <is>
          <t>51</t>
        </is>
      </c>
      <c r="E345" t="inlineStr">
        <is>
          <t>Sha Sha - Shandaar Shawarma</t>
        </is>
      </c>
      <c r="F345" t="inlineStr">
        <is>
          <t>18557902</t>
        </is>
      </c>
      <c r="G345" t="inlineStr">
        <is>
          <t>30% off upto ₹75 (2025-06-25 - 2031-01-01)</t>
        </is>
      </c>
      <c r="H345" t="inlineStr">
        <is>
          <t>ONLINE</t>
        </is>
      </c>
      <c r="I345" t="inlineStr">
        <is>
          <t>DELIVERED</t>
        </is>
      </c>
      <c r="J345" t="inlineStr">
        <is>
          <t>NA</t>
        </is>
      </c>
      <c r="K345" t="inlineStr">
        <is>
          <t>NA</t>
        </is>
      </c>
      <c r="L345" t="inlineStr">
        <is>
          <t>NA</t>
        </is>
      </c>
      <c r="M345" t="inlineStr">
        <is>
          <t>O2</t>
        </is>
      </c>
      <c r="N345" t="inlineStr">
        <is>
          <t>36</t>
        </is>
      </c>
      <c r="O345" t="n">
        <v>458</v>
      </c>
      <c r="P345" t="n">
        <v>3.5</v>
      </c>
      <c r="Q345" t="n">
        <v>0</v>
      </c>
      <c r="R345" t="n">
        <v>75</v>
      </c>
      <c r="S345" t="n">
        <v>0</v>
      </c>
      <c r="T345" t="n">
        <v>0</v>
      </c>
      <c r="U345" t="n">
        <v>0</v>
      </c>
      <c r="V345" t="n">
        <v>19.33</v>
      </c>
      <c r="W345" t="n">
        <v>405.83</v>
      </c>
      <c r="X345" t="n">
        <v>386.5</v>
      </c>
      <c r="Y345" t="n">
        <v>19</v>
      </c>
      <c r="Z345" t="n">
        <v>73.44</v>
      </c>
      <c r="AA345" t="n">
        <v>7.47</v>
      </c>
      <c r="AB345" t="n">
        <v>80.91</v>
      </c>
      <c r="AC345" t="n">
        <v>14.56</v>
      </c>
      <c r="AD345" t="n">
        <v>0</v>
      </c>
      <c r="AE345" t="n">
        <v>386.5</v>
      </c>
      <c r="AF345" t="n">
        <v>0</v>
      </c>
      <c r="AG345" t="n">
        <v>0</v>
      </c>
      <c r="AH345" t="n">
        <v>0.39</v>
      </c>
      <c r="AI345" t="n">
        <v>19.33</v>
      </c>
      <c r="AJ345" t="n">
        <v>0</v>
      </c>
      <c r="AK345" t="n">
        <v>34.28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115.19</v>
      </c>
      <c r="AV345" t="n">
        <v>0</v>
      </c>
      <c r="AW345" t="n">
        <v>290.64</v>
      </c>
      <c r="AX345" t="inlineStr">
        <is>
          <t>settled</t>
        </is>
      </c>
      <c r="AY345" t="inlineStr">
        <is>
          <t>NA</t>
        </is>
      </c>
      <c r="AZ345" t="inlineStr">
        <is>
          <t>NA</t>
        </is>
      </c>
      <c r="BA345" t="n">
        <v>0</v>
      </c>
      <c r="BB345" t="inlineStr">
        <is>
          <t>c7241f6af7bd606ba9c9d7267ebb33e5e2d52940cbba83627603e0bbc83ba96b</t>
        </is>
      </c>
    </row>
    <row r="346">
      <c r="A346" t="inlineStr">
        <is>
          <t>1030</t>
        </is>
      </c>
      <c r="B346" t="inlineStr">
        <is>
          <t>7605851292</t>
        </is>
      </c>
      <c r="C346" t="inlineStr">
        <is>
          <t>2025-12-21 22:15:19</t>
        </is>
      </c>
      <c r="D346" t="inlineStr">
        <is>
          <t>51</t>
        </is>
      </c>
      <c r="E346" t="inlineStr">
        <is>
          <t>Sha Sha - Shandaar Shawarma</t>
        </is>
      </c>
      <c r="F346" t="inlineStr">
        <is>
          <t>18557902</t>
        </is>
      </c>
      <c r="G346" t="inlineStr">
        <is>
          <t>NA</t>
        </is>
      </c>
      <c r="H346" t="inlineStr">
        <is>
          <t>ONLINE</t>
        </is>
      </c>
      <c r="I346" t="inlineStr">
        <is>
          <t>DELIVERED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O2</t>
        </is>
      </c>
      <c r="N346" t="inlineStr">
        <is>
          <t>36</t>
        </is>
      </c>
      <c r="O346" t="n">
        <v>229</v>
      </c>
      <c r="P346" t="n">
        <v>3.5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11.63</v>
      </c>
      <c r="W346" t="n">
        <v>244.13</v>
      </c>
      <c r="X346" t="n">
        <v>232.5</v>
      </c>
      <c r="Y346" t="n">
        <v>19</v>
      </c>
      <c r="Z346" t="n">
        <v>44.18</v>
      </c>
      <c r="AA346" t="n">
        <v>4.49</v>
      </c>
      <c r="AB346" t="n">
        <v>48.67</v>
      </c>
      <c r="AC346" t="n">
        <v>8.76</v>
      </c>
      <c r="AD346" t="n">
        <v>0</v>
      </c>
      <c r="AE346" t="n">
        <v>232.5</v>
      </c>
      <c r="AF346" t="n">
        <v>0</v>
      </c>
      <c r="AG346" t="n">
        <v>0</v>
      </c>
      <c r="AH346" t="n">
        <v>0.23</v>
      </c>
      <c r="AI346" t="n">
        <v>11.63</v>
      </c>
      <c r="AJ346" t="n">
        <v>0</v>
      </c>
      <c r="AK346" t="n">
        <v>20.62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69.29000000000001</v>
      </c>
      <c r="AV346" t="n">
        <v>0</v>
      </c>
      <c r="AW346" t="n">
        <v>174.84</v>
      </c>
      <c r="AX346" t="inlineStr">
        <is>
          <t>settled</t>
        </is>
      </c>
      <c r="AY346" t="inlineStr">
        <is>
          <t>NA</t>
        </is>
      </c>
      <c r="AZ346" t="inlineStr">
        <is>
          <t>NA</t>
        </is>
      </c>
      <c r="BA346" t="n">
        <v>0</v>
      </c>
      <c r="BB346" t="inlineStr">
        <is>
          <t>d4798ebb5bde8cf2419f305d5d1b0fc5dec9f00c283e14f4a056d5733f3a9309</t>
        </is>
      </c>
    </row>
    <row r="347">
      <c r="A347" t="inlineStr">
        <is>
          <t>1031</t>
        </is>
      </c>
      <c r="B347" t="inlineStr">
        <is>
          <t>7605231044</t>
        </is>
      </c>
      <c r="C347" t="inlineStr">
        <is>
          <t>2025-12-21 23:03:24</t>
        </is>
      </c>
      <c r="D347" t="inlineStr">
        <is>
          <t>51</t>
        </is>
      </c>
      <c r="E347" t="inlineStr">
        <is>
          <t>Sha Sha - Shandaar Shawarma</t>
        </is>
      </c>
      <c r="F347" t="inlineStr">
        <is>
          <t>18557902</t>
        </is>
      </c>
      <c r="G347" t="inlineStr">
        <is>
          <t>30% off upto ₹75 (2025-06-25 - 2031-01-01)</t>
        </is>
      </c>
      <c r="H347" t="inlineStr">
        <is>
          <t>ONLINE</t>
        </is>
      </c>
      <c r="I347" t="inlineStr">
        <is>
          <t>DELIVERED</t>
        </is>
      </c>
      <c r="J347" t="inlineStr">
        <is>
          <t>NA</t>
        </is>
      </c>
      <c r="K347" t="inlineStr">
        <is>
          <t>NA</t>
        </is>
      </c>
      <c r="L347" t="inlineStr">
        <is>
          <t>NA</t>
        </is>
      </c>
      <c r="M347" t="inlineStr">
        <is>
          <t>O2</t>
        </is>
      </c>
      <c r="N347" t="inlineStr">
        <is>
          <t>36</t>
        </is>
      </c>
      <c r="O347" t="n">
        <v>229</v>
      </c>
      <c r="P347" t="n">
        <v>3.5</v>
      </c>
      <c r="Q347" t="n">
        <v>0</v>
      </c>
      <c r="R347" t="n">
        <v>68.7</v>
      </c>
      <c r="S347" t="n">
        <v>0</v>
      </c>
      <c r="T347" t="n">
        <v>0</v>
      </c>
      <c r="U347" t="n">
        <v>0</v>
      </c>
      <c r="V347" t="n">
        <v>8.19</v>
      </c>
      <c r="W347" t="n">
        <v>171.99</v>
      </c>
      <c r="X347" t="n">
        <v>163.8</v>
      </c>
      <c r="Y347" t="n">
        <v>19</v>
      </c>
      <c r="Z347" t="n">
        <v>31.12</v>
      </c>
      <c r="AA347" t="n">
        <v>3.16</v>
      </c>
      <c r="AB347" t="n">
        <v>34.28</v>
      </c>
      <c r="AC347" t="n">
        <v>6.17</v>
      </c>
      <c r="AD347" t="n">
        <v>0</v>
      </c>
      <c r="AE347" t="n">
        <v>163.8</v>
      </c>
      <c r="AF347" t="n">
        <v>0</v>
      </c>
      <c r="AG347" t="n">
        <v>0</v>
      </c>
      <c r="AH347" t="n">
        <v>0.16</v>
      </c>
      <c r="AI347" t="n">
        <v>8.199999999999999</v>
      </c>
      <c r="AJ347" t="n">
        <v>-0.01</v>
      </c>
      <c r="AK347" t="n">
        <v>14.53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48.81</v>
      </c>
      <c r="AV347" t="n">
        <v>0</v>
      </c>
      <c r="AW347" t="n">
        <v>123.18</v>
      </c>
      <c r="AX347" t="inlineStr">
        <is>
          <t>settled</t>
        </is>
      </c>
      <c r="AY347" t="inlineStr">
        <is>
          <t>NA</t>
        </is>
      </c>
      <c r="AZ347" t="inlineStr">
        <is>
          <t>NA</t>
        </is>
      </c>
      <c r="BA347" t="n">
        <v>0</v>
      </c>
      <c r="BB347" t="inlineStr">
        <is>
          <t>0508f216963849a8ae6db54a42daa69ccff926701866d038093c5268ad3ab514</t>
        </is>
      </c>
    </row>
    <row r="348">
      <c r="A348" t="inlineStr">
        <is>
          <t>1032</t>
        </is>
      </c>
      <c r="B348" t="inlineStr">
        <is>
          <t>7606708126</t>
        </is>
      </c>
      <c r="C348" t="inlineStr">
        <is>
          <t>2025-12-21 23:14:22</t>
        </is>
      </c>
      <c r="D348" t="inlineStr">
        <is>
          <t>51</t>
        </is>
      </c>
      <c r="E348" t="inlineStr">
        <is>
          <t>Sha Sha - Shandaar Shawarma</t>
        </is>
      </c>
      <c r="F348" t="inlineStr">
        <is>
          <t>18557902</t>
        </is>
      </c>
      <c r="G348" t="inlineStr">
        <is>
          <t>30% off upto ₹75 (2025-06-25 - 2031-01-01)</t>
        </is>
      </c>
      <c r="H348" t="inlineStr">
        <is>
          <t>ONLINE</t>
        </is>
      </c>
      <c r="I348" t="inlineStr">
        <is>
          <t>DELIVERED</t>
        </is>
      </c>
      <c r="J348" t="inlineStr">
        <is>
          <t>NA</t>
        </is>
      </c>
      <c r="K348" t="inlineStr">
        <is>
          <t>NA</t>
        </is>
      </c>
      <c r="L348" t="inlineStr">
        <is>
          <t>NA</t>
        </is>
      </c>
      <c r="M348" t="inlineStr">
        <is>
          <t>O2</t>
        </is>
      </c>
      <c r="N348" t="inlineStr">
        <is>
          <t>36</t>
        </is>
      </c>
      <c r="O348" t="n">
        <v>229</v>
      </c>
      <c r="P348" t="n">
        <v>3.5</v>
      </c>
      <c r="Q348" t="n">
        <v>0</v>
      </c>
      <c r="R348" t="n">
        <v>68.7</v>
      </c>
      <c r="S348" t="n">
        <v>0</v>
      </c>
      <c r="T348" t="n">
        <v>0</v>
      </c>
      <c r="U348" t="n">
        <v>0</v>
      </c>
      <c r="V348" t="n">
        <v>8.19</v>
      </c>
      <c r="W348" t="n">
        <v>171.99</v>
      </c>
      <c r="X348" t="n">
        <v>163.8</v>
      </c>
      <c r="Y348" t="n">
        <v>19</v>
      </c>
      <c r="Z348" t="n">
        <v>31.12</v>
      </c>
      <c r="AA348" t="n">
        <v>3.16</v>
      </c>
      <c r="AB348" t="n">
        <v>34.28</v>
      </c>
      <c r="AC348" t="n">
        <v>6.17</v>
      </c>
      <c r="AD348" t="n">
        <v>0</v>
      </c>
      <c r="AE348" t="n">
        <v>163.8</v>
      </c>
      <c r="AF348" t="n">
        <v>0</v>
      </c>
      <c r="AG348" t="n">
        <v>0</v>
      </c>
      <c r="AH348" t="n">
        <v>0.16</v>
      </c>
      <c r="AI348" t="n">
        <v>8.199999999999999</v>
      </c>
      <c r="AJ348" t="n">
        <v>-0.01</v>
      </c>
      <c r="AK348" t="n">
        <v>14.53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48.81</v>
      </c>
      <c r="AV348" t="n">
        <v>0</v>
      </c>
      <c r="AW348" t="n">
        <v>123.18</v>
      </c>
      <c r="AX348" t="inlineStr">
        <is>
          <t>settled</t>
        </is>
      </c>
      <c r="AY348" t="inlineStr">
        <is>
          <t>NA</t>
        </is>
      </c>
      <c r="AZ348" t="inlineStr">
        <is>
          <t>NA</t>
        </is>
      </c>
      <c r="BA348" t="n">
        <v>0</v>
      </c>
      <c r="BB348" t="inlineStr">
        <is>
          <t>b359ba1d0deb7c6134bf34fd66b09e7ef0d0c62fed1d632ea7d6af12a33df66f</t>
        </is>
      </c>
    </row>
    <row r="349">
      <c r="A349" t="inlineStr">
        <is>
          <t>1033</t>
        </is>
      </c>
      <c r="B349" t="inlineStr">
        <is>
          <t>7605161917</t>
        </is>
      </c>
      <c r="C349" t="inlineStr">
        <is>
          <t>2025-12-21 23:23:40</t>
        </is>
      </c>
      <c r="D349" t="inlineStr">
        <is>
          <t>51</t>
        </is>
      </c>
      <c r="E349" t="inlineStr">
        <is>
          <t>Sha Sha - Shandaar Shawarma</t>
        </is>
      </c>
      <c r="F349" t="inlineStr">
        <is>
          <t>18557902</t>
        </is>
      </c>
      <c r="G349" t="inlineStr">
        <is>
          <t>30% off upto ₹75 (2025-06-25 - 2031-01-01)</t>
        </is>
      </c>
      <c r="H349" t="inlineStr">
        <is>
          <t>ONLINE</t>
        </is>
      </c>
      <c r="I349" t="inlineStr">
        <is>
          <t>DELIVERED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O2</t>
        </is>
      </c>
      <c r="N349" t="inlineStr">
        <is>
          <t>36</t>
        </is>
      </c>
      <c r="O349" t="n">
        <v>407</v>
      </c>
      <c r="P349" t="n">
        <v>3.5</v>
      </c>
      <c r="Q349" t="n">
        <v>0</v>
      </c>
      <c r="R349" t="n">
        <v>75</v>
      </c>
      <c r="S349" t="n">
        <v>0</v>
      </c>
      <c r="T349" t="n">
        <v>0</v>
      </c>
      <c r="U349" t="n">
        <v>0</v>
      </c>
      <c r="V349" t="n">
        <v>16.78</v>
      </c>
      <c r="W349" t="n">
        <v>352.28</v>
      </c>
      <c r="X349" t="n">
        <v>335.5</v>
      </c>
      <c r="Y349" t="n">
        <v>19</v>
      </c>
      <c r="Z349" t="n">
        <v>63.74</v>
      </c>
      <c r="AA349" t="n">
        <v>6.48</v>
      </c>
      <c r="AB349" t="n">
        <v>70.22</v>
      </c>
      <c r="AC349" t="n">
        <v>12.64</v>
      </c>
      <c r="AD349" t="n">
        <v>0</v>
      </c>
      <c r="AE349" t="n">
        <v>335.5</v>
      </c>
      <c r="AF349" t="n">
        <v>0</v>
      </c>
      <c r="AG349" t="n">
        <v>0</v>
      </c>
      <c r="AH349" t="n">
        <v>0.34</v>
      </c>
      <c r="AI349" t="n">
        <v>16.78</v>
      </c>
      <c r="AJ349" t="n">
        <v>0</v>
      </c>
      <c r="AK349" t="n">
        <v>29.76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99.98</v>
      </c>
      <c r="AV349" t="n">
        <v>0</v>
      </c>
      <c r="AW349" t="n">
        <v>252.3</v>
      </c>
      <c r="AX349" t="inlineStr">
        <is>
          <t>settled</t>
        </is>
      </c>
      <c r="AY349" t="inlineStr">
        <is>
          <t>NA</t>
        </is>
      </c>
      <c r="AZ349" t="inlineStr">
        <is>
          <t>NA</t>
        </is>
      </c>
      <c r="BA349" t="n">
        <v>0</v>
      </c>
      <c r="BB349" t="inlineStr">
        <is>
          <t>d7c8b64754fcbc3aa6cf2135d0a23660b9bb85f7200fc0b5161e9796861106a6</t>
        </is>
      </c>
    </row>
    <row r="350">
      <c r="A350" t="inlineStr">
        <is>
          <t>1034</t>
        </is>
      </c>
      <c r="B350" t="inlineStr">
        <is>
          <t>7607338161</t>
        </is>
      </c>
      <c r="C350" t="inlineStr">
        <is>
          <t>2025-12-21 23:30:35</t>
        </is>
      </c>
      <c r="D350" t="inlineStr">
        <is>
          <t>51</t>
        </is>
      </c>
      <c r="E350" t="inlineStr">
        <is>
          <t>Sha Sha - Shandaar Shawarma</t>
        </is>
      </c>
      <c r="F350" t="inlineStr">
        <is>
          <t>18557902</t>
        </is>
      </c>
      <c r="G350" t="inlineStr">
        <is>
          <t>30% off upto ₹75 (2025-06-25 - 2031-01-01)</t>
        </is>
      </c>
      <c r="H350" t="inlineStr">
        <is>
          <t>ONLINE</t>
        </is>
      </c>
      <c r="I350" t="inlineStr">
        <is>
          <t>DELIVERED</t>
        </is>
      </c>
      <c r="J350" t="inlineStr">
        <is>
          <t>NA</t>
        </is>
      </c>
      <c r="K350" t="inlineStr">
        <is>
          <t>NA</t>
        </is>
      </c>
      <c r="L350" t="inlineStr">
        <is>
          <t>NA</t>
        </is>
      </c>
      <c r="M350" t="inlineStr">
        <is>
          <t>O2</t>
        </is>
      </c>
      <c r="N350" t="inlineStr">
        <is>
          <t>36</t>
        </is>
      </c>
      <c r="O350" t="n">
        <v>219</v>
      </c>
      <c r="P350" t="n">
        <v>3.5</v>
      </c>
      <c r="Q350" t="n">
        <v>0</v>
      </c>
      <c r="R350" t="n">
        <v>65.7</v>
      </c>
      <c r="S350" t="n">
        <v>0</v>
      </c>
      <c r="T350" t="n">
        <v>0</v>
      </c>
      <c r="U350" t="n">
        <v>0</v>
      </c>
      <c r="V350" t="n">
        <v>7.84</v>
      </c>
      <c r="W350" t="n">
        <v>164.64</v>
      </c>
      <c r="X350" t="n">
        <v>156.8</v>
      </c>
      <c r="Y350" t="n">
        <v>19</v>
      </c>
      <c r="Z350" t="n">
        <v>29.79</v>
      </c>
      <c r="AA350" t="n">
        <v>3.03</v>
      </c>
      <c r="AB350" t="n">
        <v>32.82</v>
      </c>
      <c r="AC350" t="n">
        <v>5.91</v>
      </c>
      <c r="AD350" t="n">
        <v>0</v>
      </c>
      <c r="AE350" t="n">
        <v>156.8</v>
      </c>
      <c r="AF350" t="n">
        <v>0</v>
      </c>
      <c r="AG350" t="n">
        <v>0</v>
      </c>
      <c r="AH350" t="n">
        <v>0.16</v>
      </c>
      <c r="AI350" t="n">
        <v>7.85</v>
      </c>
      <c r="AJ350" t="n">
        <v>-0.01</v>
      </c>
      <c r="AK350" t="n">
        <v>13.92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46.74</v>
      </c>
      <c r="AV350" t="n">
        <v>0</v>
      </c>
      <c r="AW350" t="n">
        <v>117.9</v>
      </c>
      <c r="AX350" t="inlineStr">
        <is>
          <t>settled</t>
        </is>
      </c>
      <c r="AY350" t="inlineStr">
        <is>
          <t>NA</t>
        </is>
      </c>
      <c r="AZ350" t="inlineStr">
        <is>
          <t>NA</t>
        </is>
      </c>
      <c r="BA350" t="n">
        <v>0</v>
      </c>
      <c r="BB350" t="inlineStr">
        <is>
          <t>014782515d033ec67c32178e282afe722a65e465e8d62b509646719faf6aeda1</t>
        </is>
      </c>
    </row>
    <row r="351">
      <c r="A351" t="inlineStr">
        <is>
          <t>1035</t>
        </is>
      </c>
      <c r="B351" t="inlineStr">
        <is>
          <t>7608721845</t>
        </is>
      </c>
      <c r="C351" t="inlineStr">
        <is>
          <t>2025-12-21 23:56:21</t>
        </is>
      </c>
      <c r="D351" t="inlineStr">
        <is>
          <t>51</t>
        </is>
      </c>
      <c r="E351" t="inlineStr">
        <is>
          <t>Sha Sha - Shandaar Shawarma</t>
        </is>
      </c>
      <c r="F351" t="inlineStr">
        <is>
          <t>18557902</t>
        </is>
      </c>
      <c r="G351" t="inlineStr">
        <is>
          <t>NA</t>
        </is>
      </c>
      <c r="H351" t="inlineStr">
        <is>
          <t>ONLINE</t>
        </is>
      </c>
      <c r="I351" t="inlineStr">
        <is>
          <t>DELIVERED</t>
        </is>
      </c>
      <c r="J351" t="inlineStr">
        <is>
          <t>NA</t>
        </is>
      </c>
      <c r="K351" t="inlineStr">
        <is>
          <t>NA</t>
        </is>
      </c>
      <c r="L351" t="inlineStr">
        <is>
          <t>NA</t>
        </is>
      </c>
      <c r="M351" t="inlineStr">
        <is>
          <t>O2</t>
        </is>
      </c>
      <c r="N351" t="inlineStr">
        <is>
          <t>36</t>
        </is>
      </c>
      <c r="O351" t="n">
        <v>229</v>
      </c>
      <c r="P351" t="n">
        <v>3.5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11.63</v>
      </c>
      <c r="W351" t="n">
        <v>244.13</v>
      </c>
      <c r="X351" t="n">
        <v>232.5</v>
      </c>
      <c r="Y351" t="n">
        <v>19</v>
      </c>
      <c r="Z351" t="n">
        <v>44.18</v>
      </c>
      <c r="AA351" t="n">
        <v>4.49</v>
      </c>
      <c r="AB351" t="n">
        <v>48.67</v>
      </c>
      <c r="AC351" t="n">
        <v>8.76</v>
      </c>
      <c r="AD351" t="n">
        <v>0</v>
      </c>
      <c r="AE351" t="n">
        <v>232.5</v>
      </c>
      <c r="AF351" t="n">
        <v>0</v>
      </c>
      <c r="AG351" t="n">
        <v>0</v>
      </c>
      <c r="AH351" t="n">
        <v>0.23</v>
      </c>
      <c r="AI351" t="n">
        <v>11.63</v>
      </c>
      <c r="AJ351" t="n">
        <v>0</v>
      </c>
      <c r="AK351" t="n">
        <v>20.62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69.29000000000001</v>
      </c>
      <c r="AV351" t="n">
        <v>0</v>
      </c>
      <c r="AW351" t="n">
        <v>174.84</v>
      </c>
      <c r="AX351" t="inlineStr">
        <is>
          <t>settled</t>
        </is>
      </c>
      <c r="AY351" t="inlineStr">
        <is>
          <t>NA</t>
        </is>
      </c>
      <c r="AZ351" t="inlineStr">
        <is>
          <t>NA</t>
        </is>
      </c>
      <c r="BA351" t="n">
        <v>0</v>
      </c>
      <c r="BB351" t="inlineStr">
        <is>
          <t>aca3ea8829f35f32eeb9c617b1f572fd528973fe5d98cd8653b3eae979a66190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B298"/>
  <sheetViews>
    <sheetView workbookViewId="0">
      <selection activeCell="A1" sqref="A1"/>
    </sheetView>
  </sheetViews>
  <sheetFormatPr baseColWidth="8" defaultRowHeight="15"/>
  <sheetData>
    <row r="1">
      <c r="O1" t="n">
        <v>289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289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163.56</v>
      </c>
      <c r="AW1" t="n">
        <v>163.56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</row>
    <row r="2">
      <c r="O2" t="n">
        <v>83954</v>
      </c>
      <c r="P2" t="n">
        <v>1022</v>
      </c>
      <c r="Q2" t="n">
        <v>0</v>
      </c>
      <c r="R2" t="n">
        <v>16789.80000000005</v>
      </c>
      <c r="S2" t="n">
        <v>0</v>
      </c>
      <c r="T2" t="n">
        <v>0</v>
      </c>
      <c r="U2" t="n">
        <v>0</v>
      </c>
      <c r="V2" t="n">
        <v>3409.950000000009</v>
      </c>
      <c r="W2" t="n">
        <v>71596.15000000001</v>
      </c>
      <c r="X2" t="n">
        <v>68186.2000000002</v>
      </c>
      <c r="Y2" t="n">
        <v>5548</v>
      </c>
      <c r="Z2" t="n">
        <v>12955.34000000005</v>
      </c>
      <c r="AA2" t="n">
        <v>1316.800000000001</v>
      </c>
      <c r="AB2" t="n">
        <v>14272.14000000002</v>
      </c>
      <c r="AC2" t="n">
        <v>2568.900000000006</v>
      </c>
      <c r="AD2" t="n">
        <v>0</v>
      </c>
      <c r="AE2" t="n">
        <v>68186.2000000002</v>
      </c>
      <c r="AF2" t="n">
        <v>0</v>
      </c>
      <c r="AG2" t="n">
        <v>0</v>
      </c>
      <c r="AH2" t="n">
        <v>67.7799999999997</v>
      </c>
      <c r="AI2" t="n">
        <v>3411.589999999992</v>
      </c>
      <c r="AJ2" t="n">
        <v>-1.640000000000001</v>
      </c>
      <c r="AK2" t="n">
        <v>6048.269999999997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20320.41000000004</v>
      </c>
      <c r="AV2" t="n">
        <v>0</v>
      </c>
      <c r="AW2" t="n">
        <v>51275.74000000001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O3" t="n">
        <v>99065.72</v>
      </c>
      <c r="P3" t="n">
        <v>1205.96</v>
      </c>
      <c r="Q3" t="n">
        <v>0</v>
      </c>
      <c r="R3" t="n">
        <v>19811.96400000006</v>
      </c>
      <c r="S3" t="n">
        <v>0</v>
      </c>
      <c r="T3" t="n">
        <v>0</v>
      </c>
      <c r="U3" t="n">
        <v>0</v>
      </c>
      <c r="V3" t="n">
        <v>4023.741000000011</v>
      </c>
      <c r="W3" t="n">
        <v>84483.45700000001</v>
      </c>
      <c r="X3" t="n">
        <v>80459.71600000023</v>
      </c>
      <c r="Y3" t="n">
        <v>6546.639999999999</v>
      </c>
      <c r="Z3" t="n">
        <v>15287.30120000006</v>
      </c>
      <c r="AA3" t="n">
        <v>1553.824000000001</v>
      </c>
      <c r="AB3" t="n">
        <v>16841.12520000003</v>
      </c>
      <c r="AC3" t="n">
        <v>3031.302000000007</v>
      </c>
      <c r="AD3" t="n">
        <v>0</v>
      </c>
      <c r="AE3" t="n">
        <v>80459.71600000023</v>
      </c>
      <c r="AF3" t="n">
        <v>0</v>
      </c>
      <c r="AG3" t="n">
        <v>0</v>
      </c>
      <c r="AH3" t="n">
        <v>79.98039999999965</v>
      </c>
      <c r="AI3" t="n">
        <v>4025.676199999991</v>
      </c>
      <c r="AJ3" t="n">
        <v>-1.935200000000001</v>
      </c>
      <c r="AK3" t="n">
        <v>7136.958599999996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23978.08380000005</v>
      </c>
      <c r="AV3" t="n">
        <v>0</v>
      </c>
      <c r="AW3" t="n">
        <v>60505.3732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O4" t="n">
        <v>84243</v>
      </c>
      <c r="P4" t="n">
        <v>1022</v>
      </c>
      <c r="Q4" t="n">
        <v>0</v>
      </c>
      <c r="R4" t="n">
        <v>16789.80000000005</v>
      </c>
      <c r="S4" t="n">
        <v>0</v>
      </c>
      <c r="T4" t="n">
        <v>0</v>
      </c>
      <c r="U4" t="n">
        <v>0</v>
      </c>
      <c r="V4" t="n">
        <v>3409.950000000009</v>
      </c>
      <c r="W4" t="n">
        <v>71885.15000000001</v>
      </c>
      <c r="X4" t="n">
        <v>68186.2000000002</v>
      </c>
      <c r="Y4" t="n">
        <v>5548</v>
      </c>
      <c r="Z4" t="n">
        <v>12955.34000000005</v>
      </c>
      <c r="AA4" t="n">
        <v>1316.800000000001</v>
      </c>
      <c r="AB4" t="n">
        <v>14272.14000000002</v>
      </c>
      <c r="AC4" t="n">
        <v>2568.900000000006</v>
      </c>
      <c r="AD4" t="n">
        <v>0</v>
      </c>
      <c r="AE4" t="n">
        <v>68186.2000000002</v>
      </c>
      <c r="AF4" t="n">
        <v>0</v>
      </c>
      <c r="AG4" t="n">
        <v>0</v>
      </c>
      <c r="AH4" t="n">
        <v>67.7799999999997</v>
      </c>
      <c r="AI4" t="n">
        <v>3411.589999999992</v>
      </c>
      <c r="AJ4" t="n">
        <v>-1.640000000000001</v>
      </c>
      <c r="AK4" t="n">
        <v>6048.269999999997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20320.41000000004</v>
      </c>
      <c r="AV4" t="n">
        <v>163.56</v>
      </c>
      <c r="AW4" t="n">
        <v>51439.3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[Promo]</t>
        </is>
      </c>
      <c r="S5" t="inlineStr">
        <is>
          <t>Restaurant Discount [BOGO, Freebies, Gold, Brand pack &amp; others]</t>
        </is>
      </c>
      <c r="T5" t="inlineStr">
        <is>
          <t xml:space="preserve">Brand pack subscription fee </t>
        </is>
      </c>
      <c r="U5" t="inlineStr">
        <is>
          <t xml:space="preserve">Delivery charge discount 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(excludes customer GST)
[(A) + (7) - (8) - (6) - (3)]</t>
        </is>
      </c>
      <c r="Y5" t="inlineStr">
        <is>
          <t>Service fees %</t>
        </is>
      </c>
      <c r="Z5" t="inlineStr">
        <is>
          <t>Service fee
[ (9) * (10) ]</t>
        </is>
      </c>
      <c r="AA5" t="inlineStr">
        <is>
          <t>Payment mechanism fee</t>
        </is>
      </c>
      <c r="AB5" t="inlineStr">
        <is>
          <t>Service fee &amp; payment mechanism fees
[(11) + (12)]</t>
        </is>
      </c>
      <c r="AC5" t="inlineStr">
        <is>
          <t>Taxes on service &amp; payment mechanism fees
(B) * 18%</t>
        </is>
      </c>
      <c r="AD5" t="inlineStr">
        <is>
          <t>Applicable amount for TCS</t>
        </is>
      </c>
      <c r="AE5" t="inlineStr">
        <is>
          <t>Applicable amount for 9(5)</t>
        </is>
      </c>
      <c r="AF5" t="inlineStr">
        <is>
          <t>Tax collected at source</t>
        </is>
      </c>
      <c r="AG5" t="inlineStr">
        <is>
          <t>TCS IGST amount</t>
        </is>
      </c>
      <c r="AH5" t="inlineStr">
        <is>
          <t>TDS 194O amount</t>
        </is>
      </c>
      <c r="AI5" t="inlineStr">
        <is>
          <t>GST paid by Zomato on behalf of restaurant - under section 9(5)</t>
        </is>
      </c>
      <c r="AJ5" t="inlineStr">
        <is>
          <t>GST to be paid by Restaurant partner to Govt.</t>
        </is>
      </c>
      <c r="AK5" t="inlineStr">
        <is>
          <t>Government charges
[(13) + (16) + (17) + (18) + (19)]</t>
        </is>
      </c>
      <c r="AL5" t="inlineStr">
        <is>
          <t>Customer Compensation/Recoupment</t>
        </is>
      </c>
      <c r="AM5" t="inlineStr">
        <is>
          <t>Delivery Charges Recovery</t>
        </is>
      </c>
      <c r="AN5" t="inlineStr">
        <is>
          <t>Amount received in cash (on self delivery orders)</t>
        </is>
      </c>
      <c r="AO5" t="inlineStr">
        <is>
          <t>Credit note/(Debit Note) adjustment</t>
        </is>
      </c>
      <c r="AP5" t="inlineStr">
        <is>
          <t>Promo recovery adjustment</t>
        </is>
      </c>
      <c r="AQ5" t="inlineStr">
        <is>
          <t>Extra Inventory Ads and Misc. (order level deduction)</t>
        </is>
      </c>
      <c r="AR5" t="inlineStr">
        <is>
          <t>Brand loyalty points redemption</t>
        </is>
      </c>
      <c r="AS5" t="inlineStr">
        <is>
          <t>Express Order Fee</t>
        </is>
      </c>
      <c r="AT5" t="inlineStr">
        <is>
          <t>Other order-level deductions
[(21) + (22) + (23) + (24) + (25) + (26) + (27) + (28)]</t>
        </is>
      </c>
      <c r="AU5" t="inlineStr">
        <is>
          <t>Net Deductions
(B) + (C) + (D)</t>
        </is>
      </c>
      <c r="AV5" t="inlineStr">
        <is>
          <t>Net Additions 
(cancellation refund for cancelled orders/Tip for Kitchen Staff for delivered orders)</t>
        </is>
      </c>
      <c r="AW5" t="inlineStr">
        <is>
          <t>Order level Payout
(A) - (E) + (F)</t>
        </is>
      </c>
      <c r="AX5" t="inlineStr">
        <is>
          <t>Settlement status</t>
        </is>
      </c>
      <c r="AY5" t="inlineStr">
        <is>
          <t>Settlement date</t>
        </is>
      </c>
      <c r="AZ5" t="inlineStr">
        <is>
          <t>Bank UTR</t>
        </is>
      </c>
      <c r="BA5" t="inlineStr">
        <is>
          <t>Unsettled Amount</t>
        </is>
      </c>
      <c r="BB5" t="inlineStr">
        <is>
          <t>Customer ID</t>
        </is>
      </c>
    </row>
    <row r="6">
      <c r="A6" t="inlineStr">
        <is>
          <t>1036</t>
        </is>
      </c>
      <c r="B6" t="inlineStr">
        <is>
          <t>7608821644</t>
        </is>
      </c>
      <c r="C6" t="inlineStr">
        <is>
          <t>2025-12-22 00:31:15</t>
        </is>
      </c>
      <c r="D6" t="inlineStr">
        <is>
          <t>52</t>
        </is>
      </c>
      <c r="E6" t="inlineStr">
        <is>
          <t>Sha Sha - Shandaar Shawarma</t>
        </is>
      </c>
      <c r="F6" t="inlineStr">
        <is>
          <t>18557902</t>
        </is>
      </c>
      <c r="G6" t="inlineStr">
        <is>
          <t>30% off upto ₹75 (2025-06-25 - 2031-01-01)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36</t>
        </is>
      </c>
      <c r="O6" t="n">
        <v>229</v>
      </c>
      <c r="P6" t="n">
        <v>3.5</v>
      </c>
      <c r="Q6" t="n">
        <v>0</v>
      </c>
      <c r="R6" t="n">
        <v>68.7</v>
      </c>
      <c r="S6" t="n">
        <v>0</v>
      </c>
      <c r="T6" t="n">
        <v>0</v>
      </c>
      <c r="U6" t="n">
        <v>0</v>
      </c>
      <c r="V6" t="n">
        <v>8.19</v>
      </c>
      <c r="W6" t="n">
        <v>171.99</v>
      </c>
      <c r="X6" t="n">
        <v>163.8</v>
      </c>
      <c r="Y6" t="n">
        <v>19</v>
      </c>
      <c r="Z6" t="n">
        <v>31.12</v>
      </c>
      <c r="AA6" t="n">
        <v>3.16</v>
      </c>
      <c r="AB6" t="n">
        <v>34.28</v>
      </c>
      <c r="AC6" t="n">
        <v>6.17</v>
      </c>
      <c r="AD6" t="n">
        <v>0</v>
      </c>
      <c r="AE6" t="n">
        <v>163.8</v>
      </c>
      <c r="AF6" t="n">
        <v>0</v>
      </c>
      <c r="AG6" t="n">
        <v>0</v>
      </c>
      <c r="AH6" t="n">
        <v>0.16</v>
      </c>
      <c r="AI6" t="n">
        <v>8.199999999999999</v>
      </c>
      <c r="AJ6" t="n">
        <v>-0.01</v>
      </c>
      <c r="AK6" t="n">
        <v>14.53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48.81</v>
      </c>
      <c r="AV6" t="n">
        <v>0</v>
      </c>
      <c r="AW6" t="n">
        <v>123.18</v>
      </c>
      <c r="AX6" t="inlineStr">
        <is>
          <t>settled</t>
        </is>
      </c>
      <c r="AY6" t="inlineStr">
        <is>
          <t>NA</t>
        </is>
      </c>
      <c r="AZ6" t="inlineStr">
        <is>
          <t>NA</t>
        </is>
      </c>
      <c r="BA6" t="n">
        <v>0</v>
      </c>
      <c r="BB6" t="inlineStr">
        <is>
          <t>0e1676fc71ff5c54d5c9b60eac184326b3aabea3fecee680028b1ce0dd7f19af</t>
        </is>
      </c>
    </row>
    <row r="7">
      <c r="A7" t="inlineStr">
        <is>
          <t>1037</t>
        </is>
      </c>
      <c r="B7" t="inlineStr">
        <is>
          <t>7588185160</t>
        </is>
      </c>
      <c r="C7" t="inlineStr">
        <is>
          <t>2025-12-22 00:44:53</t>
        </is>
      </c>
      <c r="D7" t="inlineStr">
        <is>
          <t>52</t>
        </is>
      </c>
      <c r="E7" t="inlineStr">
        <is>
          <t>Sha Sha - Shandaar Shawarma</t>
        </is>
      </c>
      <c r="F7" t="inlineStr">
        <is>
          <t>18557902</t>
        </is>
      </c>
      <c r="G7" t="inlineStr">
        <is>
          <t>NA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36</t>
        </is>
      </c>
      <c r="O7" t="n">
        <v>458</v>
      </c>
      <c r="P7" t="n">
        <v>3.5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23.08</v>
      </c>
      <c r="W7" t="n">
        <v>484.58</v>
      </c>
      <c r="X7" t="n">
        <v>461.5</v>
      </c>
      <c r="Y7" t="n">
        <v>19</v>
      </c>
      <c r="Z7" t="n">
        <v>87.68000000000001</v>
      </c>
      <c r="AA7" t="n">
        <v>8.92</v>
      </c>
      <c r="AB7" t="n">
        <v>96.59999999999999</v>
      </c>
      <c r="AC7" t="n">
        <v>17.39</v>
      </c>
      <c r="AD7" t="n">
        <v>0</v>
      </c>
      <c r="AE7" t="n">
        <v>461.5</v>
      </c>
      <c r="AF7" t="n">
        <v>0</v>
      </c>
      <c r="AG7" t="n">
        <v>0</v>
      </c>
      <c r="AH7" t="n">
        <v>0.46</v>
      </c>
      <c r="AI7" t="n">
        <v>23.08</v>
      </c>
      <c r="AJ7" t="n">
        <v>0</v>
      </c>
      <c r="AK7" t="n">
        <v>40.93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137.53</v>
      </c>
      <c r="AV7" t="n">
        <v>0</v>
      </c>
      <c r="AW7" t="n">
        <v>347.05</v>
      </c>
      <c r="AX7" t="inlineStr">
        <is>
          <t>settled</t>
        </is>
      </c>
      <c r="AY7" t="inlineStr">
        <is>
          <t>NA</t>
        </is>
      </c>
      <c r="AZ7" t="inlineStr">
        <is>
          <t>NA</t>
        </is>
      </c>
      <c r="BA7" t="n">
        <v>0</v>
      </c>
      <c r="BB7" t="inlineStr">
        <is>
          <t>44a6603e612fdb41821a80405edfd9e7d0f7f34af258f6acd38dd2d2837d0b05</t>
        </is>
      </c>
    </row>
    <row r="8">
      <c r="A8" t="inlineStr">
        <is>
          <t>1038</t>
        </is>
      </c>
      <c r="B8" t="inlineStr">
        <is>
          <t>7600034506</t>
        </is>
      </c>
      <c r="C8" t="inlineStr">
        <is>
          <t>2025-12-22 01:08:19</t>
        </is>
      </c>
      <c r="D8" t="inlineStr">
        <is>
          <t>52</t>
        </is>
      </c>
      <c r="E8" t="inlineStr">
        <is>
          <t>Sha Sha - Shandaar Shawarma</t>
        </is>
      </c>
      <c r="F8" t="inlineStr">
        <is>
          <t>18557902</t>
        </is>
      </c>
      <c r="G8" t="inlineStr">
        <is>
          <t>30% off upto ₹75 (2025-06-25 - 2031-01-01)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36</t>
        </is>
      </c>
      <c r="O8" t="n">
        <v>219</v>
      </c>
      <c r="P8" t="n">
        <v>3.5</v>
      </c>
      <c r="Q8" t="n">
        <v>0</v>
      </c>
      <c r="R8" t="n">
        <v>65.7</v>
      </c>
      <c r="S8" t="n">
        <v>0</v>
      </c>
      <c r="T8" t="n">
        <v>0</v>
      </c>
      <c r="U8" t="n">
        <v>0</v>
      </c>
      <c r="V8" t="n">
        <v>7.84</v>
      </c>
      <c r="W8" t="n">
        <v>164.64</v>
      </c>
      <c r="X8" t="n">
        <v>156.8</v>
      </c>
      <c r="Y8" t="n">
        <v>19</v>
      </c>
      <c r="Z8" t="n">
        <v>29.79</v>
      </c>
      <c r="AA8" t="n">
        <v>3.03</v>
      </c>
      <c r="AB8" t="n">
        <v>32.82</v>
      </c>
      <c r="AC8" t="n">
        <v>5.91</v>
      </c>
      <c r="AD8" t="n">
        <v>0</v>
      </c>
      <c r="AE8" t="n">
        <v>156.8</v>
      </c>
      <c r="AF8" t="n">
        <v>0</v>
      </c>
      <c r="AG8" t="n">
        <v>0</v>
      </c>
      <c r="AH8" t="n">
        <v>0.16</v>
      </c>
      <c r="AI8" t="n">
        <v>7.85</v>
      </c>
      <c r="AJ8" t="n">
        <v>-0.01</v>
      </c>
      <c r="AK8" t="n">
        <v>13.92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46.74</v>
      </c>
      <c r="AV8" t="n">
        <v>0</v>
      </c>
      <c r="AW8" t="n">
        <v>117.9</v>
      </c>
      <c r="AX8" t="inlineStr">
        <is>
          <t>settled</t>
        </is>
      </c>
      <c r="AY8" t="inlineStr">
        <is>
          <t>NA</t>
        </is>
      </c>
      <c r="AZ8" t="inlineStr">
        <is>
          <t>NA</t>
        </is>
      </c>
      <c r="BA8" t="n">
        <v>0</v>
      </c>
      <c r="BB8" t="inlineStr">
        <is>
          <t>b3c490809c30d4adc248551bb5c555129fe021f80da970dd0271e91772e202fe</t>
        </is>
      </c>
    </row>
    <row r="9">
      <c r="A9" t="inlineStr">
        <is>
          <t>1039</t>
        </is>
      </c>
      <c r="B9" t="inlineStr">
        <is>
          <t>7605977918</t>
        </is>
      </c>
      <c r="C9" t="inlineStr">
        <is>
          <t>2025-12-22 01:27:42</t>
        </is>
      </c>
      <c r="D9" t="inlineStr">
        <is>
          <t>52</t>
        </is>
      </c>
      <c r="E9" t="inlineStr">
        <is>
          <t>Sha Sha - Shandaar Shawarma</t>
        </is>
      </c>
      <c r="F9" t="inlineStr">
        <is>
          <t>18557902</t>
        </is>
      </c>
      <c r="G9" t="inlineStr">
        <is>
          <t>30% off upto ₹75 (2025-06-25 - 2031-01-01)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O2</t>
        </is>
      </c>
      <c r="N9" t="inlineStr">
        <is>
          <t>36</t>
        </is>
      </c>
      <c r="O9" t="n">
        <v>229</v>
      </c>
      <c r="P9" t="n">
        <v>3.5</v>
      </c>
      <c r="Q9" t="n">
        <v>0</v>
      </c>
      <c r="R9" t="n">
        <v>68.7</v>
      </c>
      <c r="S9" t="n">
        <v>0</v>
      </c>
      <c r="T9" t="n">
        <v>0</v>
      </c>
      <c r="U9" t="n">
        <v>0</v>
      </c>
      <c r="V9" t="n">
        <v>8.19</v>
      </c>
      <c r="W9" t="n">
        <v>171.99</v>
      </c>
      <c r="X9" t="n">
        <v>163.8</v>
      </c>
      <c r="Y9" t="n">
        <v>19</v>
      </c>
      <c r="Z9" t="n">
        <v>31.12</v>
      </c>
      <c r="AA9" t="n">
        <v>3.16</v>
      </c>
      <c r="AB9" t="n">
        <v>34.28</v>
      </c>
      <c r="AC9" t="n">
        <v>6.17</v>
      </c>
      <c r="AD9" t="n">
        <v>0</v>
      </c>
      <c r="AE9" t="n">
        <v>163.8</v>
      </c>
      <c r="AF9" t="n">
        <v>0</v>
      </c>
      <c r="AG9" t="n">
        <v>0</v>
      </c>
      <c r="AH9" t="n">
        <v>0.16</v>
      </c>
      <c r="AI9" t="n">
        <v>8.199999999999999</v>
      </c>
      <c r="AJ9" t="n">
        <v>-0.01</v>
      </c>
      <c r="AK9" t="n">
        <v>14.53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48.81</v>
      </c>
      <c r="AV9" t="n">
        <v>0</v>
      </c>
      <c r="AW9" t="n">
        <v>123.18</v>
      </c>
      <c r="AX9" t="inlineStr">
        <is>
          <t>settled</t>
        </is>
      </c>
      <c r="AY9" t="inlineStr">
        <is>
          <t>NA</t>
        </is>
      </c>
      <c r="AZ9" t="inlineStr">
        <is>
          <t>NA</t>
        </is>
      </c>
      <c r="BA9" t="n">
        <v>0</v>
      </c>
      <c r="BB9" t="inlineStr">
        <is>
          <t>477fc7e9b7349b47e3ee3748b726e2cb8294b282b97a4f524483e4eb4e2c2f10</t>
        </is>
      </c>
    </row>
    <row r="10">
      <c r="A10" t="inlineStr">
        <is>
          <t>1040</t>
        </is>
      </c>
      <c r="B10" t="inlineStr">
        <is>
          <t>7604044822</t>
        </is>
      </c>
      <c r="C10" t="inlineStr">
        <is>
          <t>2025-12-22 01:47:56</t>
        </is>
      </c>
      <c r="D10" t="inlineStr">
        <is>
          <t>52</t>
        </is>
      </c>
      <c r="E10" t="inlineStr">
        <is>
          <t>Sha Sha - Shandaar Shawarma</t>
        </is>
      </c>
      <c r="F10" t="inlineStr">
        <is>
          <t>18557902</t>
        </is>
      </c>
      <c r="G10" t="inlineStr">
        <is>
          <t>30% off upto ₹75 (2025-06-25 - 2031-01-01)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36</t>
        </is>
      </c>
      <c r="O10" t="n">
        <v>229</v>
      </c>
      <c r="P10" t="n">
        <v>3.5</v>
      </c>
      <c r="Q10" t="n">
        <v>0</v>
      </c>
      <c r="R10" t="n">
        <v>68.7</v>
      </c>
      <c r="S10" t="n">
        <v>0</v>
      </c>
      <c r="T10" t="n">
        <v>0</v>
      </c>
      <c r="U10" t="n">
        <v>0</v>
      </c>
      <c r="V10" t="n">
        <v>8.19</v>
      </c>
      <c r="W10" t="n">
        <v>171.99</v>
      </c>
      <c r="X10" t="n">
        <v>163.8</v>
      </c>
      <c r="Y10" t="n">
        <v>19</v>
      </c>
      <c r="Z10" t="n">
        <v>31.12</v>
      </c>
      <c r="AA10" t="n">
        <v>3.16</v>
      </c>
      <c r="AB10" t="n">
        <v>34.28</v>
      </c>
      <c r="AC10" t="n">
        <v>6.17</v>
      </c>
      <c r="AD10" t="n">
        <v>0</v>
      </c>
      <c r="AE10" t="n">
        <v>163.8</v>
      </c>
      <c r="AF10" t="n">
        <v>0</v>
      </c>
      <c r="AG10" t="n">
        <v>0</v>
      </c>
      <c r="AH10" t="n">
        <v>0.16</v>
      </c>
      <c r="AI10" t="n">
        <v>8.199999999999999</v>
      </c>
      <c r="AJ10" t="n">
        <v>-0.01</v>
      </c>
      <c r="AK10" t="n">
        <v>14.53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48.81</v>
      </c>
      <c r="AV10" t="n">
        <v>0</v>
      </c>
      <c r="AW10" t="n">
        <v>123.18</v>
      </c>
      <c r="AX10" t="inlineStr">
        <is>
          <t>settled</t>
        </is>
      </c>
      <c r="AY10" t="inlineStr">
        <is>
          <t>NA</t>
        </is>
      </c>
      <c r="AZ10" t="inlineStr">
        <is>
          <t>NA</t>
        </is>
      </c>
      <c r="BA10" t="n">
        <v>0</v>
      </c>
      <c r="BB10" t="inlineStr">
        <is>
          <t>60b4964effebb9e3924a0053884646d670ec66ef7f7e9de0a96721ef4097a18e</t>
        </is>
      </c>
    </row>
    <row r="11">
      <c r="A11" t="inlineStr">
        <is>
          <t>1041</t>
        </is>
      </c>
      <c r="B11" t="inlineStr">
        <is>
          <t>7604688603</t>
        </is>
      </c>
      <c r="C11" t="inlineStr">
        <is>
          <t>2025-12-22 01:48:48</t>
        </is>
      </c>
      <c r="D11" t="inlineStr">
        <is>
          <t>52</t>
        </is>
      </c>
      <c r="E11" t="inlineStr">
        <is>
          <t>Sha Sha - Shandaar Shawarma</t>
        </is>
      </c>
      <c r="F11" t="inlineStr">
        <is>
          <t>18557902</t>
        </is>
      </c>
      <c r="G11" t="inlineStr">
        <is>
          <t>NA</t>
        </is>
      </c>
      <c r="H11" t="inlineStr">
        <is>
          <t>ONLINE</t>
        </is>
      </c>
      <c r="I11" t="inlineStr">
        <is>
          <t>DELIVERED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O2</t>
        </is>
      </c>
      <c r="N11" t="inlineStr">
        <is>
          <t>36</t>
        </is>
      </c>
      <c r="O11" t="n">
        <v>229</v>
      </c>
      <c r="P11" t="n">
        <v>3.5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11.63</v>
      </c>
      <c r="W11" t="n">
        <v>244.13</v>
      </c>
      <c r="X11" t="n">
        <v>232.5</v>
      </c>
      <c r="Y11" t="n">
        <v>19</v>
      </c>
      <c r="Z11" t="n">
        <v>44.18</v>
      </c>
      <c r="AA11" t="n">
        <v>4.49</v>
      </c>
      <c r="AB11" t="n">
        <v>48.67</v>
      </c>
      <c r="AC11" t="n">
        <v>8.76</v>
      </c>
      <c r="AD11" t="n">
        <v>0</v>
      </c>
      <c r="AE11" t="n">
        <v>232.5</v>
      </c>
      <c r="AF11" t="n">
        <v>0</v>
      </c>
      <c r="AG11" t="n">
        <v>0</v>
      </c>
      <c r="AH11" t="n">
        <v>0.23</v>
      </c>
      <c r="AI11" t="n">
        <v>11.63</v>
      </c>
      <c r="AJ11" t="n">
        <v>0</v>
      </c>
      <c r="AK11" t="n">
        <v>20.62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69.29000000000001</v>
      </c>
      <c r="AV11" t="n">
        <v>0</v>
      </c>
      <c r="AW11" t="n">
        <v>174.84</v>
      </c>
      <c r="AX11" t="inlineStr">
        <is>
          <t>settled</t>
        </is>
      </c>
      <c r="AY11" t="inlineStr">
        <is>
          <t>NA</t>
        </is>
      </c>
      <c r="AZ11" t="inlineStr">
        <is>
          <t>NA</t>
        </is>
      </c>
      <c r="BA11" t="n">
        <v>0</v>
      </c>
      <c r="BB11" t="inlineStr">
        <is>
          <t>6d5d06bd2869811be139efab28b7a1230220bc095533e2effc4e9c875f80f41a</t>
        </is>
      </c>
    </row>
    <row r="12">
      <c r="A12" t="inlineStr">
        <is>
          <t>1042</t>
        </is>
      </c>
      <c r="B12" t="inlineStr">
        <is>
          <t>7604707174</t>
        </is>
      </c>
      <c r="C12" t="inlineStr">
        <is>
          <t>2025-12-22 01:51:53</t>
        </is>
      </c>
      <c r="D12" t="inlineStr">
        <is>
          <t>52</t>
        </is>
      </c>
      <c r="E12" t="inlineStr">
        <is>
          <t>Sha Sha - Shandaar Shawarma</t>
        </is>
      </c>
      <c r="F12" t="inlineStr">
        <is>
          <t>18557902</t>
        </is>
      </c>
      <c r="G12" t="inlineStr">
        <is>
          <t>30% off upto ₹75 (2025-06-25 - 2031-01-01)</t>
        </is>
      </c>
      <c r="H12" t="inlineStr">
        <is>
          <t>ONLINE</t>
        </is>
      </c>
      <c r="I12" t="inlineStr">
        <is>
          <t>DELIVERED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O2</t>
        </is>
      </c>
      <c r="N12" t="inlineStr">
        <is>
          <t>36</t>
        </is>
      </c>
      <c r="O12" t="n">
        <v>229</v>
      </c>
      <c r="P12" t="n">
        <v>3.5</v>
      </c>
      <c r="Q12" t="n">
        <v>0</v>
      </c>
      <c r="R12" t="n">
        <v>68.7</v>
      </c>
      <c r="S12" t="n">
        <v>0</v>
      </c>
      <c r="T12" t="n">
        <v>0</v>
      </c>
      <c r="U12" t="n">
        <v>0</v>
      </c>
      <c r="V12" t="n">
        <v>8.19</v>
      </c>
      <c r="W12" t="n">
        <v>171.99</v>
      </c>
      <c r="X12" t="n">
        <v>163.8</v>
      </c>
      <c r="Y12" t="n">
        <v>19</v>
      </c>
      <c r="Z12" t="n">
        <v>31.12</v>
      </c>
      <c r="AA12" t="n">
        <v>3.16</v>
      </c>
      <c r="AB12" t="n">
        <v>34.28</v>
      </c>
      <c r="AC12" t="n">
        <v>6.17</v>
      </c>
      <c r="AD12" t="n">
        <v>0</v>
      </c>
      <c r="AE12" t="n">
        <v>163.8</v>
      </c>
      <c r="AF12" t="n">
        <v>0</v>
      </c>
      <c r="AG12" t="n">
        <v>0</v>
      </c>
      <c r="AH12" t="n">
        <v>0.16</v>
      </c>
      <c r="AI12" t="n">
        <v>8.199999999999999</v>
      </c>
      <c r="AJ12" t="n">
        <v>-0.01</v>
      </c>
      <c r="AK12" t="n">
        <v>14.53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48.81</v>
      </c>
      <c r="AV12" t="n">
        <v>0</v>
      </c>
      <c r="AW12" t="n">
        <v>123.18</v>
      </c>
      <c r="AX12" t="inlineStr">
        <is>
          <t>settled</t>
        </is>
      </c>
      <c r="AY12" t="inlineStr">
        <is>
          <t>NA</t>
        </is>
      </c>
      <c r="AZ12" t="inlineStr">
        <is>
          <t>NA</t>
        </is>
      </c>
      <c r="BA12" t="n">
        <v>0</v>
      </c>
      <c r="BB12" t="inlineStr">
        <is>
          <t>3f3eca36291126911a81e571bcc06cf60d6a181a063728c0e7eb387a9c07b105</t>
        </is>
      </c>
    </row>
    <row r="13">
      <c r="A13" t="inlineStr">
        <is>
          <t>1043</t>
        </is>
      </c>
      <c r="B13" t="inlineStr">
        <is>
          <t>7603515432</t>
        </is>
      </c>
      <c r="C13" t="inlineStr">
        <is>
          <t>2025-12-22 01:56:38</t>
        </is>
      </c>
      <c r="D13" t="inlineStr">
        <is>
          <t>52</t>
        </is>
      </c>
      <c r="E13" t="inlineStr">
        <is>
          <t>Sha Sha - Shandaar Shawarma</t>
        </is>
      </c>
      <c r="F13" t="inlineStr">
        <is>
          <t>18557902</t>
        </is>
      </c>
      <c r="G13" t="inlineStr">
        <is>
          <t>30% off upto ₹75 (2025-06-25 - 2031-01-01)</t>
        </is>
      </c>
      <c r="H13" t="inlineStr">
        <is>
          <t>ONLINE</t>
        </is>
      </c>
      <c r="I13" t="inlineStr">
        <is>
          <t>DELIVERED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O2</t>
        </is>
      </c>
      <c r="N13" t="inlineStr">
        <is>
          <t>36</t>
        </is>
      </c>
      <c r="O13" t="n">
        <v>219</v>
      </c>
      <c r="P13" t="n">
        <v>3.5</v>
      </c>
      <c r="Q13" t="n">
        <v>0</v>
      </c>
      <c r="R13" t="n">
        <v>65.7</v>
      </c>
      <c r="S13" t="n">
        <v>0</v>
      </c>
      <c r="T13" t="n">
        <v>0</v>
      </c>
      <c r="U13" t="n">
        <v>0</v>
      </c>
      <c r="V13" t="n">
        <v>7.84</v>
      </c>
      <c r="W13" t="n">
        <v>164.64</v>
      </c>
      <c r="X13" t="n">
        <v>156.8</v>
      </c>
      <c r="Y13" t="n">
        <v>19</v>
      </c>
      <c r="Z13" t="n">
        <v>29.79</v>
      </c>
      <c r="AA13" t="n">
        <v>3.03</v>
      </c>
      <c r="AB13" t="n">
        <v>32.82</v>
      </c>
      <c r="AC13" t="n">
        <v>5.91</v>
      </c>
      <c r="AD13" t="n">
        <v>0</v>
      </c>
      <c r="AE13" t="n">
        <v>156.8</v>
      </c>
      <c r="AF13" t="n">
        <v>0</v>
      </c>
      <c r="AG13" t="n">
        <v>0</v>
      </c>
      <c r="AH13" t="n">
        <v>0.16</v>
      </c>
      <c r="AI13" t="n">
        <v>7.85</v>
      </c>
      <c r="AJ13" t="n">
        <v>-0.01</v>
      </c>
      <c r="AK13" t="n">
        <v>13.92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46.74</v>
      </c>
      <c r="AV13" t="n">
        <v>0</v>
      </c>
      <c r="AW13" t="n">
        <v>117.9</v>
      </c>
      <c r="AX13" t="inlineStr">
        <is>
          <t>settled</t>
        </is>
      </c>
      <c r="AY13" t="inlineStr">
        <is>
          <t>NA</t>
        </is>
      </c>
      <c r="AZ13" t="inlineStr">
        <is>
          <t>NA</t>
        </is>
      </c>
      <c r="BA13" t="n">
        <v>0</v>
      </c>
      <c r="BB13" t="inlineStr">
        <is>
          <t>e82088a00e2a518bad161c64de687890f1a58ab131ee0bc8971b4c79b3dd3b51</t>
        </is>
      </c>
    </row>
    <row r="14">
      <c r="A14" t="inlineStr">
        <is>
          <t>1044</t>
        </is>
      </c>
      <c r="B14" t="inlineStr">
        <is>
          <t>7594984882</t>
        </is>
      </c>
      <c r="C14" t="inlineStr">
        <is>
          <t>2025-12-22 02:46:04</t>
        </is>
      </c>
      <c r="D14" t="inlineStr">
        <is>
          <t>52</t>
        </is>
      </c>
      <c r="E14" t="inlineStr">
        <is>
          <t>Sha Sha - Shandaar Shawarma</t>
        </is>
      </c>
      <c r="F14" t="inlineStr">
        <is>
          <t>18557902</t>
        </is>
      </c>
      <c r="G14" t="inlineStr">
        <is>
          <t>30% off upto ₹75 (2025-06-25 - 2031-01-01)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36</t>
        </is>
      </c>
      <c r="O14" t="n">
        <v>706</v>
      </c>
      <c r="P14" t="n">
        <v>3.5</v>
      </c>
      <c r="Q14" t="n">
        <v>0</v>
      </c>
      <c r="R14" t="n">
        <v>75</v>
      </c>
      <c r="S14" t="n">
        <v>0</v>
      </c>
      <c r="T14" t="n">
        <v>0</v>
      </c>
      <c r="U14" t="n">
        <v>0</v>
      </c>
      <c r="V14" t="n">
        <v>31.73</v>
      </c>
      <c r="W14" t="n">
        <v>666.23</v>
      </c>
      <c r="X14" t="n">
        <v>634.5</v>
      </c>
      <c r="Y14" t="n">
        <v>19</v>
      </c>
      <c r="Z14" t="n">
        <v>120.56</v>
      </c>
      <c r="AA14" t="n">
        <v>12.26</v>
      </c>
      <c r="AB14" t="n">
        <v>132.82</v>
      </c>
      <c r="AC14" t="n">
        <v>23.91</v>
      </c>
      <c r="AD14" t="n">
        <v>0</v>
      </c>
      <c r="AE14" t="n">
        <v>634.5</v>
      </c>
      <c r="AF14" t="n">
        <v>0</v>
      </c>
      <c r="AG14" t="n">
        <v>0</v>
      </c>
      <c r="AH14" t="n">
        <v>0.63</v>
      </c>
      <c r="AI14" t="n">
        <v>31.73</v>
      </c>
      <c r="AJ14" t="n">
        <v>0</v>
      </c>
      <c r="AK14" t="n">
        <v>56.27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189.09</v>
      </c>
      <c r="AV14" t="n">
        <v>0</v>
      </c>
      <c r="AW14" t="n">
        <v>477.14</v>
      </c>
      <c r="AX14" t="inlineStr">
        <is>
          <t>settled</t>
        </is>
      </c>
      <c r="AY14" t="inlineStr">
        <is>
          <t>NA</t>
        </is>
      </c>
      <c r="AZ14" t="inlineStr">
        <is>
          <t>NA</t>
        </is>
      </c>
      <c r="BA14" t="n">
        <v>0</v>
      </c>
      <c r="BB14" t="inlineStr">
        <is>
          <t>13e17be5b920c7b24d377b8b8a00ca1adfb27c465baecd78c92d0ed72ca4757a</t>
        </is>
      </c>
    </row>
    <row r="15">
      <c r="A15" t="inlineStr">
        <is>
          <t>1045</t>
        </is>
      </c>
      <c r="B15" t="inlineStr">
        <is>
          <t>7598183744</t>
        </is>
      </c>
      <c r="C15" t="inlineStr">
        <is>
          <t>2025-12-22 03:30:24</t>
        </is>
      </c>
      <c r="D15" t="inlineStr">
        <is>
          <t>52</t>
        </is>
      </c>
      <c r="E15" t="inlineStr">
        <is>
          <t>Sha Sha - Shandaar Shawarma</t>
        </is>
      </c>
      <c r="F15" t="inlineStr">
        <is>
          <t>18557902</t>
        </is>
      </c>
      <c r="G15" t="inlineStr">
        <is>
          <t>30% off upto ₹75 (2025-06-25 - 2031-01-01)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36</t>
        </is>
      </c>
      <c r="O15" t="n">
        <v>345</v>
      </c>
      <c r="P15" t="n">
        <v>3.5</v>
      </c>
      <c r="Q15" t="n">
        <v>0</v>
      </c>
      <c r="R15" t="n">
        <v>75</v>
      </c>
      <c r="S15" t="n">
        <v>0</v>
      </c>
      <c r="T15" t="n">
        <v>0</v>
      </c>
      <c r="U15" t="n">
        <v>0</v>
      </c>
      <c r="V15" t="n">
        <v>13.68</v>
      </c>
      <c r="W15" t="n">
        <v>287.18</v>
      </c>
      <c r="X15" t="n">
        <v>273.5</v>
      </c>
      <c r="Y15" t="n">
        <v>19</v>
      </c>
      <c r="Z15" t="n">
        <v>51.96</v>
      </c>
      <c r="AA15" t="n">
        <v>5.28</v>
      </c>
      <c r="AB15" t="n">
        <v>57.24</v>
      </c>
      <c r="AC15" t="n">
        <v>10.3</v>
      </c>
      <c r="AD15" t="n">
        <v>0</v>
      </c>
      <c r="AE15" t="n">
        <v>273.5</v>
      </c>
      <c r="AF15" t="n">
        <v>0</v>
      </c>
      <c r="AG15" t="n">
        <v>0</v>
      </c>
      <c r="AH15" t="n">
        <v>0.27</v>
      </c>
      <c r="AI15" t="n">
        <v>13.68</v>
      </c>
      <c r="AJ15" t="n">
        <v>0</v>
      </c>
      <c r="AK15" t="n">
        <v>24.25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81.48999999999999</v>
      </c>
      <c r="AV15" t="n">
        <v>0</v>
      </c>
      <c r="AW15" t="n">
        <v>205.69</v>
      </c>
      <c r="AX15" t="inlineStr">
        <is>
          <t>settled</t>
        </is>
      </c>
      <c r="AY15" t="inlineStr">
        <is>
          <t>NA</t>
        </is>
      </c>
      <c r="AZ15" t="inlineStr">
        <is>
          <t>NA</t>
        </is>
      </c>
      <c r="BA15" t="n">
        <v>0</v>
      </c>
      <c r="BB15" t="inlineStr">
        <is>
          <t>fd34baec042f8c9901250c28a136a72dad3b4949a0df2da1478a9c11a2198997</t>
        </is>
      </c>
    </row>
    <row r="16">
      <c r="A16" t="inlineStr">
        <is>
          <t>1046</t>
        </is>
      </c>
      <c r="B16" t="inlineStr">
        <is>
          <t>7607074874</t>
        </is>
      </c>
      <c r="C16" t="inlineStr">
        <is>
          <t>2025-12-22 09:06:50</t>
        </is>
      </c>
      <c r="D16" t="inlineStr">
        <is>
          <t>52</t>
        </is>
      </c>
      <c r="E16" t="inlineStr">
        <is>
          <t>Sha Sha - Shandaar Shawarma</t>
        </is>
      </c>
      <c r="F16" t="inlineStr">
        <is>
          <t>18557902</t>
        </is>
      </c>
      <c r="G16" t="inlineStr">
        <is>
          <t>NA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36</t>
        </is>
      </c>
      <c r="O16" t="n">
        <v>199</v>
      </c>
      <c r="P16" t="n">
        <v>3.5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10.13</v>
      </c>
      <c r="W16" t="n">
        <v>212.63</v>
      </c>
      <c r="X16" t="n">
        <v>202.5</v>
      </c>
      <c r="Y16" t="n">
        <v>19</v>
      </c>
      <c r="Z16" t="n">
        <v>38.48</v>
      </c>
      <c r="AA16" t="n">
        <v>3.91</v>
      </c>
      <c r="AB16" t="n">
        <v>42.39</v>
      </c>
      <c r="AC16" t="n">
        <v>7.63</v>
      </c>
      <c r="AD16" t="n">
        <v>0</v>
      </c>
      <c r="AE16" t="n">
        <v>202.5</v>
      </c>
      <c r="AF16" t="n">
        <v>0</v>
      </c>
      <c r="AG16" t="n">
        <v>0</v>
      </c>
      <c r="AH16" t="n">
        <v>0.2</v>
      </c>
      <c r="AI16" t="n">
        <v>10.13</v>
      </c>
      <c r="AJ16" t="n">
        <v>0</v>
      </c>
      <c r="AK16" t="n">
        <v>17.96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60.35</v>
      </c>
      <c r="AV16" t="n">
        <v>0</v>
      </c>
      <c r="AW16" t="n">
        <v>152.28</v>
      </c>
      <c r="AX16" t="inlineStr">
        <is>
          <t>settled</t>
        </is>
      </c>
      <c r="AY16" t="inlineStr">
        <is>
          <t>NA</t>
        </is>
      </c>
      <c r="AZ16" t="inlineStr">
        <is>
          <t>NA</t>
        </is>
      </c>
      <c r="BA16" t="n">
        <v>0</v>
      </c>
      <c r="BB16" t="inlineStr">
        <is>
          <t>522872bc9605da27956eeab38110db4cbf11ceb5fed834d3d3349f882220d4ad</t>
        </is>
      </c>
    </row>
    <row r="17">
      <c r="A17" t="inlineStr">
        <is>
          <t>1047</t>
        </is>
      </c>
      <c r="B17" t="inlineStr">
        <is>
          <t>7600660993</t>
        </is>
      </c>
      <c r="C17" t="inlineStr">
        <is>
          <t>2025-12-22 12:13:10</t>
        </is>
      </c>
      <c r="D17" t="inlineStr">
        <is>
          <t>52</t>
        </is>
      </c>
      <c r="E17" t="inlineStr">
        <is>
          <t>Sha Sha - Shandaar Shawarma</t>
        </is>
      </c>
      <c r="F17" t="inlineStr">
        <is>
          <t>18557902</t>
        </is>
      </c>
      <c r="G17" t="inlineStr">
        <is>
          <t>30% off upto ₹75 (2025-06-25 - 2031-01-01)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36</t>
        </is>
      </c>
      <c r="O17" t="n">
        <v>229</v>
      </c>
      <c r="P17" t="n">
        <v>3.5</v>
      </c>
      <c r="Q17" t="n">
        <v>0</v>
      </c>
      <c r="R17" t="n">
        <v>68.7</v>
      </c>
      <c r="S17" t="n">
        <v>0</v>
      </c>
      <c r="T17" t="n">
        <v>0</v>
      </c>
      <c r="U17" t="n">
        <v>0</v>
      </c>
      <c r="V17" t="n">
        <v>8.19</v>
      </c>
      <c r="W17" t="n">
        <v>171.99</v>
      </c>
      <c r="X17" t="n">
        <v>163.8</v>
      </c>
      <c r="Y17" t="n">
        <v>19</v>
      </c>
      <c r="Z17" t="n">
        <v>31.12</v>
      </c>
      <c r="AA17" t="n">
        <v>3.16</v>
      </c>
      <c r="AB17" t="n">
        <v>34.28</v>
      </c>
      <c r="AC17" t="n">
        <v>6.17</v>
      </c>
      <c r="AD17" t="n">
        <v>0</v>
      </c>
      <c r="AE17" t="n">
        <v>163.8</v>
      </c>
      <c r="AF17" t="n">
        <v>0</v>
      </c>
      <c r="AG17" t="n">
        <v>0</v>
      </c>
      <c r="AH17" t="n">
        <v>0.16</v>
      </c>
      <c r="AI17" t="n">
        <v>8.199999999999999</v>
      </c>
      <c r="AJ17" t="n">
        <v>-0.01</v>
      </c>
      <c r="AK17" t="n">
        <v>14.53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48.81</v>
      </c>
      <c r="AV17" t="n">
        <v>0</v>
      </c>
      <c r="AW17" t="n">
        <v>123.18</v>
      </c>
      <c r="AX17" t="inlineStr">
        <is>
          <t>settled</t>
        </is>
      </c>
      <c r="AY17" t="inlineStr">
        <is>
          <t>NA</t>
        </is>
      </c>
      <c r="AZ17" t="inlineStr">
        <is>
          <t>NA</t>
        </is>
      </c>
      <c r="BA17" t="n">
        <v>0</v>
      </c>
      <c r="BB17" t="inlineStr">
        <is>
          <t>e58b616b4f8bc9cb9068637c0c7cb0d4149bd91d2e1fe300b6a5c963f2ee9254</t>
        </is>
      </c>
    </row>
    <row r="18">
      <c r="A18" t="inlineStr">
        <is>
          <t>1048</t>
        </is>
      </c>
      <c r="B18" t="inlineStr">
        <is>
          <t>7595703046</t>
        </is>
      </c>
      <c r="C18" t="inlineStr">
        <is>
          <t>2025-12-22 12:44:22</t>
        </is>
      </c>
      <c r="D18" t="inlineStr">
        <is>
          <t>52</t>
        </is>
      </c>
      <c r="E18" t="inlineStr">
        <is>
          <t>Sha Sha - Shandaar Shawarma</t>
        </is>
      </c>
      <c r="F18" t="inlineStr">
        <is>
          <t>18557902</t>
        </is>
      </c>
      <c r="G18" t="inlineStr">
        <is>
          <t>NA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36</t>
        </is>
      </c>
      <c r="O18" t="n">
        <v>710</v>
      </c>
      <c r="P18" t="n">
        <v>3.5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35.68</v>
      </c>
      <c r="W18" t="n">
        <v>749.1799999999999</v>
      </c>
      <c r="X18" t="n">
        <v>713.5</v>
      </c>
      <c r="Y18" t="n">
        <v>19</v>
      </c>
      <c r="Z18" t="n">
        <v>135.56</v>
      </c>
      <c r="AA18" t="n">
        <v>13.78</v>
      </c>
      <c r="AB18" t="n">
        <v>149.34</v>
      </c>
      <c r="AC18" t="n">
        <v>26.88</v>
      </c>
      <c r="AD18" t="n">
        <v>0</v>
      </c>
      <c r="AE18" t="n">
        <v>713.5</v>
      </c>
      <c r="AF18" t="n">
        <v>0</v>
      </c>
      <c r="AG18" t="n">
        <v>0</v>
      </c>
      <c r="AH18" t="n">
        <v>0.71</v>
      </c>
      <c r="AI18" t="n">
        <v>35.68</v>
      </c>
      <c r="AJ18" t="n">
        <v>0</v>
      </c>
      <c r="AK18" t="n">
        <v>63.27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212.61</v>
      </c>
      <c r="AV18" t="n">
        <v>0</v>
      </c>
      <c r="AW18" t="n">
        <v>536.5700000000001</v>
      </c>
      <c r="AX18" t="inlineStr">
        <is>
          <t>settled</t>
        </is>
      </c>
      <c r="AY18" t="inlineStr">
        <is>
          <t>NA</t>
        </is>
      </c>
      <c r="AZ18" t="inlineStr">
        <is>
          <t>NA</t>
        </is>
      </c>
      <c r="BA18" t="n">
        <v>0</v>
      </c>
      <c r="BB18" t="inlineStr">
        <is>
          <t>0daad1223233568329385ff575f46b3e637742420ce1d228193458eef624be3e</t>
        </is>
      </c>
    </row>
    <row r="19">
      <c r="A19" t="inlineStr">
        <is>
          <t>1049</t>
        </is>
      </c>
      <c r="B19" t="inlineStr">
        <is>
          <t>7588875940</t>
        </is>
      </c>
      <c r="C19" t="inlineStr">
        <is>
          <t>2025-12-22 14:44:16</t>
        </is>
      </c>
      <c r="D19" t="inlineStr">
        <is>
          <t>52</t>
        </is>
      </c>
      <c r="E19" t="inlineStr">
        <is>
          <t>Sha Sha - Shandaar Shawarma</t>
        </is>
      </c>
      <c r="F19" t="inlineStr">
        <is>
          <t>18557902</t>
        </is>
      </c>
      <c r="G19" t="inlineStr">
        <is>
          <t>30% off upto ₹75 (2025-06-25 - 2031-01-01)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36</t>
        </is>
      </c>
      <c r="O19" t="n">
        <v>229</v>
      </c>
      <c r="P19" t="n">
        <v>3.5</v>
      </c>
      <c r="Q19" t="n">
        <v>0</v>
      </c>
      <c r="R19" t="n">
        <v>68.7</v>
      </c>
      <c r="S19" t="n">
        <v>0</v>
      </c>
      <c r="T19" t="n">
        <v>0</v>
      </c>
      <c r="U19" t="n">
        <v>0</v>
      </c>
      <c r="V19" t="n">
        <v>8.19</v>
      </c>
      <c r="W19" t="n">
        <v>171.99</v>
      </c>
      <c r="X19" t="n">
        <v>163.8</v>
      </c>
      <c r="Y19" t="n">
        <v>19</v>
      </c>
      <c r="Z19" t="n">
        <v>31.12</v>
      </c>
      <c r="AA19" t="n">
        <v>3.16</v>
      </c>
      <c r="AB19" t="n">
        <v>34.28</v>
      </c>
      <c r="AC19" t="n">
        <v>6.17</v>
      </c>
      <c r="AD19" t="n">
        <v>0</v>
      </c>
      <c r="AE19" t="n">
        <v>163.8</v>
      </c>
      <c r="AF19" t="n">
        <v>0</v>
      </c>
      <c r="AG19" t="n">
        <v>0</v>
      </c>
      <c r="AH19" t="n">
        <v>0.16</v>
      </c>
      <c r="AI19" t="n">
        <v>8.199999999999999</v>
      </c>
      <c r="AJ19" t="n">
        <v>-0.01</v>
      </c>
      <c r="AK19" t="n">
        <v>14.53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48.81</v>
      </c>
      <c r="AV19" t="n">
        <v>0</v>
      </c>
      <c r="AW19" t="n">
        <v>123.18</v>
      </c>
      <c r="AX19" t="inlineStr">
        <is>
          <t>settled</t>
        </is>
      </c>
      <c r="AY19" t="inlineStr">
        <is>
          <t>NA</t>
        </is>
      </c>
      <c r="AZ19" t="inlineStr">
        <is>
          <t>NA</t>
        </is>
      </c>
      <c r="BA19" t="n">
        <v>0</v>
      </c>
      <c r="BB19" t="inlineStr">
        <is>
          <t>9f74273cb62c4e70beb4bcab259ac1fed638f8006b707a1c669f8daad6129f8e</t>
        </is>
      </c>
    </row>
    <row r="20">
      <c r="A20" t="inlineStr">
        <is>
          <t>1050</t>
        </is>
      </c>
      <c r="B20" t="inlineStr">
        <is>
          <t>7605653697</t>
        </is>
      </c>
      <c r="C20" t="inlineStr">
        <is>
          <t>2025-12-22 15:23:37</t>
        </is>
      </c>
      <c r="D20" t="inlineStr">
        <is>
          <t>52</t>
        </is>
      </c>
      <c r="E20" t="inlineStr">
        <is>
          <t>Sha Sha - Shandaar Shawarma</t>
        </is>
      </c>
      <c r="F20" t="inlineStr">
        <is>
          <t>18557902</t>
        </is>
      </c>
      <c r="G20" t="inlineStr">
        <is>
          <t>30% off upto ₹75 (2025-06-25 - 2031-01-01)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36</t>
        </is>
      </c>
      <c r="O20" t="n">
        <v>229</v>
      </c>
      <c r="P20" t="n">
        <v>3.5</v>
      </c>
      <c r="Q20" t="n">
        <v>0</v>
      </c>
      <c r="R20" t="n">
        <v>68.7</v>
      </c>
      <c r="S20" t="n">
        <v>0</v>
      </c>
      <c r="T20" t="n">
        <v>0</v>
      </c>
      <c r="U20" t="n">
        <v>0</v>
      </c>
      <c r="V20" t="n">
        <v>8.19</v>
      </c>
      <c r="W20" t="n">
        <v>171.99</v>
      </c>
      <c r="X20" t="n">
        <v>163.8</v>
      </c>
      <c r="Y20" t="n">
        <v>19</v>
      </c>
      <c r="Z20" t="n">
        <v>31.12</v>
      </c>
      <c r="AA20" t="n">
        <v>3.16</v>
      </c>
      <c r="AB20" t="n">
        <v>34.28</v>
      </c>
      <c r="AC20" t="n">
        <v>6.17</v>
      </c>
      <c r="AD20" t="n">
        <v>0</v>
      </c>
      <c r="AE20" t="n">
        <v>163.8</v>
      </c>
      <c r="AF20" t="n">
        <v>0</v>
      </c>
      <c r="AG20" t="n">
        <v>0</v>
      </c>
      <c r="AH20" t="n">
        <v>0.16</v>
      </c>
      <c r="AI20" t="n">
        <v>8.199999999999999</v>
      </c>
      <c r="AJ20" t="n">
        <v>-0.01</v>
      </c>
      <c r="AK20" t="n">
        <v>14.53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48.81</v>
      </c>
      <c r="AV20" t="n">
        <v>0</v>
      </c>
      <c r="AW20" t="n">
        <v>123.18</v>
      </c>
      <c r="AX20" t="inlineStr">
        <is>
          <t>settled</t>
        </is>
      </c>
      <c r="AY20" t="inlineStr">
        <is>
          <t>NA</t>
        </is>
      </c>
      <c r="AZ20" t="inlineStr">
        <is>
          <t>NA</t>
        </is>
      </c>
      <c r="BA20" t="n">
        <v>0</v>
      </c>
      <c r="BB20" t="inlineStr">
        <is>
          <t>6ebba438841f3365e1e8bb6cdc773648705c22b05df36e2fd9cf2cb0291de923</t>
        </is>
      </c>
    </row>
    <row r="21">
      <c r="A21" t="inlineStr">
        <is>
          <t>1051</t>
        </is>
      </c>
      <c r="B21" t="inlineStr">
        <is>
          <t>7603399590</t>
        </is>
      </c>
      <c r="C21" t="inlineStr">
        <is>
          <t>2025-12-22 16:19:19</t>
        </is>
      </c>
      <c r="D21" t="inlineStr">
        <is>
          <t>52</t>
        </is>
      </c>
      <c r="E21" t="inlineStr">
        <is>
          <t>Sha Sha - Shandaar Shawarma</t>
        </is>
      </c>
      <c r="F21" t="inlineStr">
        <is>
          <t>18557902</t>
        </is>
      </c>
      <c r="G21" t="inlineStr">
        <is>
          <t>30% off upto ₹75 (2025-06-25 - 2031-01-01)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36</t>
        </is>
      </c>
      <c r="O21" t="n">
        <v>219</v>
      </c>
      <c r="P21" t="n">
        <v>3.5</v>
      </c>
      <c r="Q21" t="n">
        <v>0</v>
      </c>
      <c r="R21" t="n">
        <v>65.7</v>
      </c>
      <c r="S21" t="n">
        <v>0</v>
      </c>
      <c r="T21" t="n">
        <v>0</v>
      </c>
      <c r="U21" t="n">
        <v>0</v>
      </c>
      <c r="V21" t="n">
        <v>7.84</v>
      </c>
      <c r="W21" t="n">
        <v>164.64</v>
      </c>
      <c r="X21" t="n">
        <v>156.8</v>
      </c>
      <c r="Y21" t="n">
        <v>19</v>
      </c>
      <c r="Z21" t="n">
        <v>29.79</v>
      </c>
      <c r="AA21" t="n">
        <v>3.03</v>
      </c>
      <c r="AB21" t="n">
        <v>32.82</v>
      </c>
      <c r="AC21" t="n">
        <v>5.91</v>
      </c>
      <c r="AD21" t="n">
        <v>0</v>
      </c>
      <c r="AE21" t="n">
        <v>156.8</v>
      </c>
      <c r="AF21" t="n">
        <v>0</v>
      </c>
      <c r="AG21" t="n">
        <v>0</v>
      </c>
      <c r="AH21" t="n">
        <v>0.16</v>
      </c>
      <c r="AI21" t="n">
        <v>7.85</v>
      </c>
      <c r="AJ21" t="n">
        <v>-0.01</v>
      </c>
      <c r="AK21" t="n">
        <v>13.92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46.74</v>
      </c>
      <c r="AV21" t="n">
        <v>0</v>
      </c>
      <c r="AW21" t="n">
        <v>117.9</v>
      </c>
      <c r="AX21" t="inlineStr">
        <is>
          <t>settled</t>
        </is>
      </c>
      <c r="AY21" t="inlineStr">
        <is>
          <t>NA</t>
        </is>
      </c>
      <c r="AZ21" t="inlineStr">
        <is>
          <t>NA</t>
        </is>
      </c>
      <c r="BA21" t="n">
        <v>0</v>
      </c>
      <c r="BB21" t="inlineStr">
        <is>
          <t>c88fb7e023507575af3cb13519a6e9d2b90346df658dacf581a0e16ac69137eb</t>
        </is>
      </c>
    </row>
    <row r="22">
      <c r="A22" t="inlineStr">
        <is>
          <t>1052</t>
        </is>
      </c>
      <c r="B22" t="inlineStr">
        <is>
          <t>7599364088</t>
        </is>
      </c>
      <c r="C22" t="inlineStr">
        <is>
          <t>2025-12-22 17:14:49</t>
        </is>
      </c>
      <c r="D22" t="inlineStr">
        <is>
          <t>52</t>
        </is>
      </c>
      <c r="E22" t="inlineStr">
        <is>
          <t>Sha Sha - Shandaar Shawarma</t>
        </is>
      </c>
      <c r="F22" t="inlineStr">
        <is>
          <t>18557902</t>
        </is>
      </c>
      <c r="G22" t="inlineStr">
        <is>
          <t>30% off upto ₹75 (2025-06-25 - 2031-01-01)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36</t>
        </is>
      </c>
      <c r="O22" t="n">
        <v>229</v>
      </c>
      <c r="P22" t="n">
        <v>3.5</v>
      </c>
      <c r="Q22" t="n">
        <v>0</v>
      </c>
      <c r="R22" t="n">
        <v>68.7</v>
      </c>
      <c r="S22" t="n">
        <v>0</v>
      </c>
      <c r="T22" t="n">
        <v>0</v>
      </c>
      <c r="U22" t="n">
        <v>0</v>
      </c>
      <c r="V22" t="n">
        <v>8.19</v>
      </c>
      <c r="W22" t="n">
        <v>171.99</v>
      </c>
      <c r="X22" t="n">
        <v>163.8</v>
      </c>
      <c r="Y22" t="n">
        <v>19</v>
      </c>
      <c r="Z22" t="n">
        <v>31.12</v>
      </c>
      <c r="AA22" t="n">
        <v>3.16</v>
      </c>
      <c r="AB22" t="n">
        <v>34.28</v>
      </c>
      <c r="AC22" t="n">
        <v>6.17</v>
      </c>
      <c r="AD22" t="n">
        <v>0</v>
      </c>
      <c r="AE22" t="n">
        <v>163.8</v>
      </c>
      <c r="AF22" t="n">
        <v>0</v>
      </c>
      <c r="AG22" t="n">
        <v>0</v>
      </c>
      <c r="AH22" t="n">
        <v>0.16</v>
      </c>
      <c r="AI22" t="n">
        <v>8.199999999999999</v>
      </c>
      <c r="AJ22" t="n">
        <v>-0.01</v>
      </c>
      <c r="AK22" t="n">
        <v>14.53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48.81</v>
      </c>
      <c r="AV22" t="n">
        <v>0</v>
      </c>
      <c r="AW22" t="n">
        <v>123.18</v>
      </c>
      <c r="AX22" t="inlineStr">
        <is>
          <t>settled</t>
        </is>
      </c>
      <c r="AY22" t="inlineStr">
        <is>
          <t>NA</t>
        </is>
      </c>
      <c r="AZ22" t="inlineStr">
        <is>
          <t>NA</t>
        </is>
      </c>
      <c r="BA22" t="n">
        <v>0</v>
      </c>
      <c r="BB22" t="inlineStr">
        <is>
          <t>b2345fe689dd67b21c9ec10cd45a1e07ca529903e7244ac92cda4f26ebccc79f</t>
        </is>
      </c>
    </row>
    <row r="23">
      <c r="A23" t="inlineStr">
        <is>
          <t>1053</t>
        </is>
      </c>
      <c r="B23" t="inlineStr">
        <is>
          <t>7609081396</t>
        </is>
      </c>
      <c r="C23" t="inlineStr">
        <is>
          <t>2025-12-22 17:27:35</t>
        </is>
      </c>
      <c r="D23" t="inlineStr">
        <is>
          <t>52</t>
        </is>
      </c>
      <c r="E23" t="inlineStr">
        <is>
          <t>Sha Sha - Shandaar Shawarma</t>
        </is>
      </c>
      <c r="F23" t="inlineStr">
        <is>
          <t>18557902</t>
        </is>
      </c>
      <c r="G23" t="inlineStr">
        <is>
          <t>30% off upto ₹75 (2025-06-25 - 2031-01-01)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36</t>
        </is>
      </c>
      <c r="O23" t="n">
        <v>229</v>
      </c>
      <c r="P23" t="n">
        <v>3.5</v>
      </c>
      <c r="Q23" t="n">
        <v>0</v>
      </c>
      <c r="R23" t="n">
        <v>68.7</v>
      </c>
      <c r="S23" t="n">
        <v>0</v>
      </c>
      <c r="T23" t="n">
        <v>0</v>
      </c>
      <c r="U23" t="n">
        <v>0</v>
      </c>
      <c r="V23" t="n">
        <v>8.19</v>
      </c>
      <c r="W23" t="n">
        <v>171.99</v>
      </c>
      <c r="X23" t="n">
        <v>163.8</v>
      </c>
      <c r="Y23" t="n">
        <v>19</v>
      </c>
      <c r="Z23" t="n">
        <v>31.12</v>
      </c>
      <c r="AA23" t="n">
        <v>3.16</v>
      </c>
      <c r="AB23" t="n">
        <v>34.28</v>
      </c>
      <c r="AC23" t="n">
        <v>6.17</v>
      </c>
      <c r="AD23" t="n">
        <v>0</v>
      </c>
      <c r="AE23" t="n">
        <v>163.8</v>
      </c>
      <c r="AF23" t="n">
        <v>0</v>
      </c>
      <c r="AG23" t="n">
        <v>0</v>
      </c>
      <c r="AH23" t="n">
        <v>0.16</v>
      </c>
      <c r="AI23" t="n">
        <v>8.199999999999999</v>
      </c>
      <c r="AJ23" t="n">
        <v>-0.01</v>
      </c>
      <c r="AK23" t="n">
        <v>14.53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48.81</v>
      </c>
      <c r="AV23" t="n">
        <v>0</v>
      </c>
      <c r="AW23" t="n">
        <v>123.18</v>
      </c>
      <c r="AX23" t="inlineStr">
        <is>
          <t>settled</t>
        </is>
      </c>
      <c r="AY23" t="inlineStr">
        <is>
          <t>NA</t>
        </is>
      </c>
      <c r="AZ23" t="inlineStr">
        <is>
          <t>NA</t>
        </is>
      </c>
      <c r="BA23" t="n">
        <v>0</v>
      </c>
      <c r="BB23" t="inlineStr">
        <is>
          <t>9c6bcac5d2e05b2341f2aecaaa1243209d7092b22d1b8c2151ba1323ea9d7a4a</t>
        </is>
      </c>
    </row>
    <row r="24">
      <c r="A24" t="inlineStr">
        <is>
          <t>1054</t>
        </is>
      </c>
      <c r="B24" t="inlineStr">
        <is>
          <t>7608811351</t>
        </is>
      </c>
      <c r="C24" t="inlineStr">
        <is>
          <t>2025-12-22 17:39:54</t>
        </is>
      </c>
      <c r="D24" t="inlineStr">
        <is>
          <t>52</t>
        </is>
      </c>
      <c r="E24" t="inlineStr">
        <is>
          <t>Sha Sha - Shandaar Shawarma</t>
        </is>
      </c>
      <c r="F24" t="inlineStr">
        <is>
          <t>18557902</t>
        </is>
      </c>
      <c r="G24" t="inlineStr">
        <is>
          <t>NA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36</t>
        </is>
      </c>
      <c r="O24" t="n">
        <v>149</v>
      </c>
      <c r="P24" t="n">
        <v>3.5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7.63</v>
      </c>
      <c r="W24" t="n">
        <v>160.13</v>
      </c>
      <c r="X24" t="n">
        <v>152.5</v>
      </c>
      <c r="Y24" t="n">
        <v>19</v>
      </c>
      <c r="Z24" t="n">
        <v>28.98</v>
      </c>
      <c r="AA24" t="n">
        <v>2.95</v>
      </c>
      <c r="AB24" t="n">
        <v>31.93</v>
      </c>
      <c r="AC24" t="n">
        <v>5.75</v>
      </c>
      <c r="AD24" t="n">
        <v>0</v>
      </c>
      <c r="AE24" t="n">
        <v>152.5</v>
      </c>
      <c r="AF24" t="n">
        <v>0</v>
      </c>
      <c r="AG24" t="n">
        <v>0</v>
      </c>
      <c r="AH24" t="n">
        <v>0.15</v>
      </c>
      <c r="AI24" t="n">
        <v>7.63</v>
      </c>
      <c r="AJ24" t="n">
        <v>0</v>
      </c>
      <c r="AK24" t="n">
        <v>13.53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45.46</v>
      </c>
      <c r="AV24" t="n">
        <v>0</v>
      </c>
      <c r="AW24" t="n">
        <v>114.67</v>
      </c>
      <c r="AX24" t="inlineStr">
        <is>
          <t>settled</t>
        </is>
      </c>
      <c r="AY24" t="inlineStr">
        <is>
          <t>NA</t>
        </is>
      </c>
      <c r="AZ24" t="inlineStr">
        <is>
          <t>NA</t>
        </is>
      </c>
      <c r="BA24" t="n">
        <v>0</v>
      </c>
      <c r="BB24" t="inlineStr">
        <is>
          <t>1b4b5cee8b3ed559c1ca8b4e1a2f531968a5d80bae9639c6319576e6ab7ba86b</t>
        </is>
      </c>
    </row>
    <row r="25">
      <c r="A25" t="inlineStr">
        <is>
          <t>1055</t>
        </is>
      </c>
      <c r="B25" t="inlineStr">
        <is>
          <t>7607459807</t>
        </is>
      </c>
      <c r="C25" t="inlineStr">
        <is>
          <t>2025-12-22 18:39:55</t>
        </is>
      </c>
      <c r="D25" t="inlineStr">
        <is>
          <t>52</t>
        </is>
      </c>
      <c r="E25" t="inlineStr">
        <is>
          <t>Sha Sha - Shandaar Shawarma</t>
        </is>
      </c>
      <c r="F25" t="inlineStr">
        <is>
          <t>18557902</t>
        </is>
      </c>
      <c r="G25" t="inlineStr">
        <is>
          <t>NA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36</t>
        </is>
      </c>
      <c r="O25" t="n">
        <v>438</v>
      </c>
      <c r="P25" t="n">
        <v>3.5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22.08</v>
      </c>
      <c r="W25" t="n">
        <v>463.58</v>
      </c>
      <c r="X25" t="n">
        <v>441.5</v>
      </c>
      <c r="Y25" t="n">
        <v>19</v>
      </c>
      <c r="Z25" t="n">
        <v>83.88</v>
      </c>
      <c r="AA25" t="n">
        <v>8.529999999999999</v>
      </c>
      <c r="AB25" t="n">
        <v>92.41</v>
      </c>
      <c r="AC25" t="n">
        <v>16.64</v>
      </c>
      <c r="AD25" t="n">
        <v>0</v>
      </c>
      <c r="AE25" t="n">
        <v>441.5</v>
      </c>
      <c r="AF25" t="n">
        <v>0</v>
      </c>
      <c r="AG25" t="n">
        <v>0</v>
      </c>
      <c r="AH25" t="n">
        <v>0.44</v>
      </c>
      <c r="AI25" t="n">
        <v>22.08</v>
      </c>
      <c r="AJ25" t="n">
        <v>0</v>
      </c>
      <c r="AK25" t="n">
        <v>39.16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131.57</v>
      </c>
      <c r="AV25" t="n">
        <v>0</v>
      </c>
      <c r="AW25" t="n">
        <v>332.01</v>
      </c>
      <c r="AX25" t="inlineStr">
        <is>
          <t>settled</t>
        </is>
      </c>
      <c r="AY25" t="inlineStr">
        <is>
          <t>NA</t>
        </is>
      </c>
      <c r="AZ25" t="inlineStr">
        <is>
          <t>NA</t>
        </is>
      </c>
      <c r="BA25" t="n">
        <v>0</v>
      </c>
      <c r="BB25" t="inlineStr">
        <is>
          <t>1d63a885b28a78eb758b672943a1d60cc791610528b4c879fa910af6ee4f9bed</t>
        </is>
      </c>
    </row>
    <row r="26">
      <c r="A26" t="inlineStr">
        <is>
          <t>1056</t>
        </is>
      </c>
      <c r="B26" t="inlineStr">
        <is>
          <t>7609851316</t>
        </is>
      </c>
      <c r="C26" t="inlineStr">
        <is>
          <t>2025-12-22 18:59:33</t>
        </is>
      </c>
      <c r="D26" t="inlineStr">
        <is>
          <t>52</t>
        </is>
      </c>
      <c r="E26" t="inlineStr">
        <is>
          <t>Sha Sha - Shandaar Shawarma</t>
        </is>
      </c>
      <c r="F26" t="inlineStr">
        <is>
          <t>18557902</t>
        </is>
      </c>
      <c r="G26" t="inlineStr">
        <is>
          <t>30% off upto ₹75 (2025-06-25 - 2031-01-01)</t>
        </is>
      </c>
      <c r="H26" t="inlineStr">
        <is>
          <t>ONLINE</t>
        </is>
      </c>
      <c r="I26" t="inlineStr">
        <is>
          <t>DELIVERED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O2</t>
        </is>
      </c>
      <c r="N26" t="inlineStr">
        <is>
          <t>36</t>
        </is>
      </c>
      <c r="O26" t="n">
        <v>229</v>
      </c>
      <c r="P26" t="n">
        <v>3.5</v>
      </c>
      <c r="Q26" t="n">
        <v>0</v>
      </c>
      <c r="R26" t="n">
        <v>68.7</v>
      </c>
      <c r="S26" t="n">
        <v>0</v>
      </c>
      <c r="T26" t="n">
        <v>0</v>
      </c>
      <c r="U26" t="n">
        <v>0</v>
      </c>
      <c r="V26" t="n">
        <v>8.19</v>
      </c>
      <c r="W26" t="n">
        <v>171.99</v>
      </c>
      <c r="X26" t="n">
        <v>163.8</v>
      </c>
      <c r="Y26" t="n">
        <v>19</v>
      </c>
      <c r="Z26" t="n">
        <v>31.12</v>
      </c>
      <c r="AA26" t="n">
        <v>3.16</v>
      </c>
      <c r="AB26" t="n">
        <v>34.28</v>
      </c>
      <c r="AC26" t="n">
        <v>6.17</v>
      </c>
      <c r="AD26" t="n">
        <v>0</v>
      </c>
      <c r="AE26" t="n">
        <v>163.8</v>
      </c>
      <c r="AF26" t="n">
        <v>0</v>
      </c>
      <c r="AG26" t="n">
        <v>0</v>
      </c>
      <c r="AH26" t="n">
        <v>0.16</v>
      </c>
      <c r="AI26" t="n">
        <v>8.199999999999999</v>
      </c>
      <c r="AJ26" t="n">
        <v>-0.01</v>
      </c>
      <c r="AK26" t="n">
        <v>14.53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48.81</v>
      </c>
      <c r="AV26" t="n">
        <v>0</v>
      </c>
      <c r="AW26" t="n">
        <v>123.18</v>
      </c>
      <c r="AX26" t="inlineStr">
        <is>
          <t>settled</t>
        </is>
      </c>
      <c r="AY26" t="inlineStr">
        <is>
          <t>NA</t>
        </is>
      </c>
      <c r="AZ26" t="inlineStr">
        <is>
          <t>NA</t>
        </is>
      </c>
      <c r="BA26" t="n">
        <v>0</v>
      </c>
      <c r="BB26" t="inlineStr">
        <is>
          <t>d68e704082bc05c6a3ac8ce8eafa6bcfddc5cfdafa2a6ce5263020a6899395b3</t>
        </is>
      </c>
    </row>
    <row r="27">
      <c r="A27" t="inlineStr">
        <is>
          <t>1057</t>
        </is>
      </c>
      <c r="B27" t="inlineStr">
        <is>
          <t>7609128484</t>
        </is>
      </c>
      <c r="C27" t="inlineStr">
        <is>
          <t>2025-12-22 19:24:08</t>
        </is>
      </c>
      <c r="D27" t="inlineStr">
        <is>
          <t>52</t>
        </is>
      </c>
      <c r="E27" t="inlineStr">
        <is>
          <t>Sha Sha - Shandaar Shawarma</t>
        </is>
      </c>
      <c r="F27" t="inlineStr">
        <is>
          <t>18557902</t>
        </is>
      </c>
      <c r="G27" t="inlineStr">
        <is>
          <t>30% off upto ₹75 (2025-06-25 - 2031-01-01)</t>
        </is>
      </c>
      <c r="H27" t="inlineStr">
        <is>
          <t>ONLINE</t>
        </is>
      </c>
      <c r="I27" t="inlineStr">
        <is>
          <t>DELIVERED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O2</t>
        </is>
      </c>
      <c r="N27" t="inlineStr">
        <is>
          <t>36</t>
        </is>
      </c>
      <c r="O27" t="n">
        <v>229</v>
      </c>
      <c r="P27" t="n">
        <v>3.5</v>
      </c>
      <c r="Q27" t="n">
        <v>0</v>
      </c>
      <c r="R27" t="n">
        <v>68.7</v>
      </c>
      <c r="S27" t="n">
        <v>0</v>
      </c>
      <c r="T27" t="n">
        <v>0</v>
      </c>
      <c r="U27" t="n">
        <v>0</v>
      </c>
      <c r="V27" t="n">
        <v>8.19</v>
      </c>
      <c r="W27" t="n">
        <v>171.99</v>
      </c>
      <c r="X27" t="n">
        <v>163.8</v>
      </c>
      <c r="Y27" t="n">
        <v>19</v>
      </c>
      <c r="Z27" t="n">
        <v>31.12</v>
      </c>
      <c r="AA27" t="n">
        <v>3.16</v>
      </c>
      <c r="AB27" t="n">
        <v>34.28</v>
      </c>
      <c r="AC27" t="n">
        <v>6.17</v>
      </c>
      <c r="AD27" t="n">
        <v>0</v>
      </c>
      <c r="AE27" t="n">
        <v>163.8</v>
      </c>
      <c r="AF27" t="n">
        <v>0</v>
      </c>
      <c r="AG27" t="n">
        <v>0</v>
      </c>
      <c r="AH27" t="n">
        <v>0.16</v>
      </c>
      <c r="AI27" t="n">
        <v>8.199999999999999</v>
      </c>
      <c r="AJ27" t="n">
        <v>-0.01</v>
      </c>
      <c r="AK27" t="n">
        <v>14.53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48.81</v>
      </c>
      <c r="AV27" t="n">
        <v>0</v>
      </c>
      <c r="AW27" t="n">
        <v>123.18</v>
      </c>
      <c r="AX27" t="inlineStr">
        <is>
          <t>settled</t>
        </is>
      </c>
      <c r="AY27" t="inlineStr">
        <is>
          <t>NA</t>
        </is>
      </c>
      <c r="AZ27" t="inlineStr">
        <is>
          <t>NA</t>
        </is>
      </c>
      <c r="BA27" t="n">
        <v>0</v>
      </c>
      <c r="BB27" t="inlineStr">
        <is>
          <t>035d82acc9ca59697fdb36b3ca8da7aa998b23e17fb2b1c1e220fac3bab78ad4</t>
        </is>
      </c>
    </row>
    <row r="28">
      <c r="A28" t="inlineStr">
        <is>
          <t>1058</t>
        </is>
      </c>
      <c r="B28" t="inlineStr">
        <is>
          <t>7602809188</t>
        </is>
      </c>
      <c r="C28" t="inlineStr">
        <is>
          <t>2025-12-22 20:10:24</t>
        </is>
      </c>
      <c r="D28" t="inlineStr">
        <is>
          <t>52</t>
        </is>
      </c>
      <c r="E28" t="inlineStr">
        <is>
          <t>Sha Sha - Shandaar Shawarma</t>
        </is>
      </c>
      <c r="F28" t="inlineStr">
        <is>
          <t>18557902</t>
        </is>
      </c>
      <c r="G28" t="inlineStr">
        <is>
          <t>NA</t>
        </is>
      </c>
      <c r="H28" t="inlineStr">
        <is>
          <t>ONLINE</t>
        </is>
      </c>
      <c r="I28" t="inlineStr">
        <is>
          <t>DELIVERED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O2</t>
        </is>
      </c>
      <c r="N28" t="inlineStr">
        <is>
          <t>36</t>
        </is>
      </c>
      <c r="O28" t="n">
        <v>229</v>
      </c>
      <c r="P28" t="n">
        <v>3.5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11.63</v>
      </c>
      <c r="W28" t="n">
        <v>244.13</v>
      </c>
      <c r="X28" t="n">
        <v>232.5</v>
      </c>
      <c r="Y28" t="n">
        <v>19</v>
      </c>
      <c r="Z28" t="n">
        <v>44.18</v>
      </c>
      <c r="AA28" t="n">
        <v>4.49</v>
      </c>
      <c r="AB28" t="n">
        <v>48.67</v>
      </c>
      <c r="AC28" t="n">
        <v>8.76</v>
      </c>
      <c r="AD28" t="n">
        <v>0</v>
      </c>
      <c r="AE28" t="n">
        <v>232.5</v>
      </c>
      <c r="AF28" t="n">
        <v>0</v>
      </c>
      <c r="AG28" t="n">
        <v>0</v>
      </c>
      <c r="AH28" t="n">
        <v>0.23</v>
      </c>
      <c r="AI28" t="n">
        <v>11.63</v>
      </c>
      <c r="AJ28" t="n">
        <v>0</v>
      </c>
      <c r="AK28" t="n">
        <v>20.62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69.29000000000001</v>
      </c>
      <c r="AV28" t="n">
        <v>0</v>
      </c>
      <c r="AW28" t="n">
        <v>174.84</v>
      </c>
      <c r="AX28" t="inlineStr">
        <is>
          <t>settled</t>
        </is>
      </c>
      <c r="AY28" t="inlineStr">
        <is>
          <t>NA</t>
        </is>
      </c>
      <c r="AZ28" t="inlineStr">
        <is>
          <t>NA</t>
        </is>
      </c>
      <c r="BA28" t="n">
        <v>0</v>
      </c>
      <c r="BB28" t="inlineStr">
        <is>
          <t>105b62cf66f7ad650f326ba852e5cc8df6b424ed5bb73f1a6b8eab3a18d4d1ec</t>
        </is>
      </c>
    </row>
    <row r="29">
      <c r="A29" t="inlineStr">
        <is>
          <t>1059</t>
        </is>
      </c>
      <c r="B29" t="inlineStr">
        <is>
          <t>7607740576</t>
        </is>
      </c>
      <c r="C29" t="inlineStr">
        <is>
          <t>2025-12-22 20:22:23</t>
        </is>
      </c>
      <c r="D29" t="inlineStr">
        <is>
          <t>52</t>
        </is>
      </c>
      <c r="E29" t="inlineStr">
        <is>
          <t>Sha Sha - Shandaar Shawarma</t>
        </is>
      </c>
      <c r="F29" t="inlineStr">
        <is>
          <t>18557902</t>
        </is>
      </c>
      <c r="G29" t="inlineStr">
        <is>
          <t>30% off upto ₹75 (2025-06-25 - 2031-01-01)</t>
        </is>
      </c>
      <c r="H29" t="inlineStr">
        <is>
          <t>ONLINE</t>
        </is>
      </c>
      <c r="I29" t="inlineStr">
        <is>
          <t>DELIVERED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O2</t>
        </is>
      </c>
      <c r="N29" t="inlineStr">
        <is>
          <t>36</t>
        </is>
      </c>
      <c r="O29" t="n">
        <v>458</v>
      </c>
      <c r="P29" t="n">
        <v>3.5</v>
      </c>
      <c r="Q29" t="n">
        <v>0</v>
      </c>
      <c r="R29" t="n">
        <v>75</v>
      </c>
      <c r="S29" t="n">
        <v>0</v>
      </c>
      <c r="T29" t="n">
        <v>0</v>
      </c>
      <c r="U29" t="n">
        <v>0</v>
      </c>
      <c r="V29" t="n">
        <v>19.33</v>
      </c>
      <c r="W29" t="n">
        <v>405.83</v>
      </c>
      <c r="X29" t="n">
        <v>386.5</v>
      </c>
      <c r="Y29" t="n">
        <v>19</v>
      </c>
      <c r="Z29" t="n">
        <v>73.44</v>
      </c>
      <c r="AA29" t="n">
        <v>7.47</v>
      </c>
      <c r="AB29" t="n">
        <v>80.91</v>
      </c>
      <c r="AC29" t="n">
        <v>14.56</v>
      </c>
      <c r="AD29" t="n">
        <v>0</v>
      </c>
      <c r="AE29" t="n">
        <v>386.5</v>
      </c>
      <c r="AF29" t="n">
        <v>0</v>
      </c>
      <c r="AG29" t="n">
        <v>0</v>
      </c>
      <c r="AH29" t="n">
        <v>0.39</v>
      </c>
      <c r="AI29" t="n">
        <v>19.33</v>
      </c>
      <c r="AJ29" t="n">
        <v>0</v>
      </c>
      <c r="AK29" t="n">
        <v>34.28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115.19</v>
      </c>
      <c r="AV29" t="n">
        <v>0</v>
      </c>
      <c r="AW29" t="n">
        <v>290.64</v>
      </c>
      <c r="AX29" t="inlineStr">
        <is>
          <t>settled</t>
        </is>
      </c>
      <c r="AY29" t="inlineStr">
        <is>
          <t>NA</t>
        </is>
      </c>
      <c r="AZ29" t="inlineStr">
        <is>
          <t>NA</t>
        </is>
      </c>
      <c r="BA29" t="n">
        <v>0</v>
      </c>
      <c r="BB29" t="inlineStr">
        <is>
          <t>e447d34c1040423061f049a96405285f112c5e8ccab2b26d41b3e95fc64d80a6</t>
        </is>
      </c>
    </row>
    <row r="30">
      <c r="A30" t="inlineStr">
        <is>
          <t>1060</t>
        </is>
      </c>
      <c r="B30" t="inlineStr">
        <is>
          <t>7609186157</t>
        </is>
      </c>
      <c r="C30" t="inlineStr">
        <is>
          <t>2025-12-22 20:25:20</t>
        </is>
      </c>
      <c r="D30" t="inlineStr">
        <is>
          <t>52</t>
        </is>
      </c>
      <c r="E30" t="inlineStr">
        <is>
          <t>Sha Sha - Shandaar Shawarma</t>
        </is>
      </c>
      <c r="F30" t="inlineStr">
        <is>
          <t>18557902</t>
        </is>
      </c>
      <c r="G30" t="inlineStr">
        <is>
          <t>NA</t>
        </is>
      </c>
      <c r="H30" t="inlineStr">
        <is>
          <t>ONLINE</t>
        </is>
      </c>
      <c r="I30" t="inlineStr">
        <is>
          <t>DELIVERED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O2</t>
        </is>
      </c>
      <c r="N30" t="inlineStr">
        <is>
          <t>36</t>
        </is>
      </c>
      <c r="O30" t="n">
        <v>219</v>
      </c>
      <c r="P30" t="n">
        <v>3.5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11.13</v>
      </c>
      <c r="W30" t="n">
        <v>233.63</v>
      </c>
      <c r="X30" t="n">
        <v>222.5</v>
      </c>
      <c r="Y30" t="n">
        <v>19</v>
      </c>
      <c r="Z30" t="n">
        <v>42.28</v>
      </c>
      <c r="AA30" t="n">
        <v>4.3</v>
      </c>
      <c r="AB30" t="n">
        <v>46.58</v>
      </c>
      <c r="AC30" t="n">
        <v>8.380000000000001</v>
      </c>
      <c r="AD30" t="n">
        <v>0</v>
      </c>
      <c r="AE30" t="n">
        <v>222.5</v>
      </c>
      <c r="AF30" t="n">
        <v>0</v>
      </c>
      <c r="AG30" t="n">
        <v>0</v>
      </c>
      <c r="AH30" t="n">
        <v>0.22</v>
      </c>
      <c r="AI30" t="n">
        <v>11.13</v>
      </c>
      <c r="AJ30" t="n">
        <v>0</v>
      </c>
      <c r="AK30" t="n">
        <v>19.73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66.31</v>
      </c>
      <c r="AV30" t="n">
        <v>0</v>
      </c>
      <c r="AW30" t="n">
        <v>167.32</v>
      </c>
      <c r="AX30" t="inlineStr">
        <is>
          <t>settled</t>
        </is>
      </c>
      <c r="AY30" t="inlineStr">
        <is>
          <t>NA</t>
        </is>
      </c>
      <c r="AZ30" t="inlineStr">
        <is>
          <t>NA</t>
        </is>
      </c>
      <c r="BA30" t="n">
        <v>0</v>
      </c>
      <c r="BB30" t="inlineStr">
        <is>
          <t>6bc04d2d1ced4adffce1a5001e257d8975f097a8bfdb75391eb6c1a6d77d687d</t>
        </is>
      </c>
    </row>
    <row r="31">
      <c r="A31" t="inlineStr">
        <is>
          <t>1061</t>
        </is>
      </c>
      <c r="B31" t="inlineStr">
        <is>
          <t>7599960277</t>
        </is>
      </c>
      <c r="C31" t="inlineStr">
        <is>
          <t>2025-12-22 20:30:51</t>
        </is>
      </c>
      <c r="D31" t="inlineStr">
        <is>
          <t>52</t>
        </is>
      </c>
      <c r="E31" t="inlineStr">
        <is>
          <t>Sha Sha - Shandaar Shawarma</t>
        </is>
      </c>
      <c r="F31" t="inlineStr">
        <is>
          <t>18557902</t>
        </is>
      </c>
      <c r="G31" t="inlineStr">
        <is>
          <t>NA</t>
        </is>
      </c>
      <c r="H31" t="inlineStr">
        <is>
          <t>ONLINE</t>
        </is>
      </c>
      <c r="I31" t="inlineStr">
        <is>
          <t>DELIVERED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O2</t>
        </is>
      </c>
      <c r="N31" t="inlineStr">
        <is>
          <t>36</t>
        </is>
      </c>
      <c r="O31" t="n">
        <v>229</v>
      </c>
      <c r="P31" t="n">
        <v>3.5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11.63</v>
      </c>
      <c r="W31" t="n">
        <v>244.13</v>
      </c>
      <c r="X31" t="n">
        <v>232.5</v>
      </c>
      <c r="Y31" t="n">
        <v>19</v>
      </c>
      <c r="Z31" t="n">
        <v>44.18</v>
      </c>
      <c r="AA31" t="n">
        <v>4.49</v>
      </c>
      <c r="AB31" t="n">
        <v>48.67</v>
      </c>
      <c r="AC31" t="n">
        <v>8.76</v>
      </c>
      <c r="AD31" t="n">
        <v>0</v>
      </c>
      <c r="AE31" t="n">
        <v>232.5</v>
      </c>
      <c r="AF31" t="n">
        <v>0</v>
      </c>
      <c r="AG31" t="n">
        <v>0</v>
      </c>
      <c r="AH31" t="n">
        <v>0.23</v>
      </c>
      <c r="AI31" t="n">
        <v>11.63</v>
      </c>
      <c r="AJ31" t="n">
        <v>0</v>
      </c>
      <c r="AK31" t="n">
        <v>20.62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69.29000000000001</v>
      </c>
      <c r="AV31" t="n">
        <v>0</v>
      </c>
      <c r="AW31" t="n">
        <v>174.84</v>
      </c>
      <c r="AX31" t="inlineStr">
        <is>
          <t>settled</t>
        </is>
      </c>
      <c r="AY31" t="inlineStr">
        <is>
          <t>NA</t>
        </is>
      </c>
      <c r="AZ31" t="inlineStr">
        <is>
          <t>NA</t>
        </is>
      </c>
      <c r="BA31" t="n">
        <v>0</v>
      </c>
      <c r="BB31" t="inlineStr">
        <is>
          <t>3e927e91aa1d291b66178eac9661111ba7cf03613e60a7c7743119cfaa1d47e8</t>
        </is>
      </c>
    </row>
    <row r="32">
      <c r="A32" t="inlineStr">
        <is>
          <t>1062</t>
        </is>
      </c>
      <c r="B32" t="inlineStr">
        <is>
          <t>7605648929</t>
        </is>
      </c>
      <c r="C32" t="inlineStr">
        <is>
          <t>2025-12-22 20:34:14</t>
        </is>
      </c>
      <c r="D32" t="inlineStr">
        <is>
          <t>52</t>
        </is>
      </c>
      <c r="E32" t="inlineStr">
        <is>
          <t>Sha Sha - Shandaar Shawarma</t>
        </is>
      </c>
      <c r="F32" t="inlineStr">
        <is>
          <t>18557902</t>
        </is>
      </c>
      <c r="G32" t="inlineStr">
        <is>
          <t>NA</t>
        </is>
      </c>
      <c r="H32" t="inlineStr">
        <is>
          <t>ONLINE</t>
        </is>
      </c>
      <c r="I32" t="inlineStr">
        <is>
          <t>DELIVERED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O2</t>
        </is>
      </c>
      <c r="N32" t="inlineStr">
        <is>
          <t>36</t>
        </is>
      </c>
      <c r="O32" t="n">
        <v>229</v>
      </c>
      <c r="P32" t="n">
        <v>3.5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11.63</v>
      </c>
      <c r="W32" t="n">
        <v>244.13</v>
      </c>
      <c r="X32" t="n">
        <v>232.5</v>
      </c>
      <c r="Y32" t="n">
        <v>19</v>
      </c>
      <c r="Z32" t="n">
        <v>44.18</v>
      </c>
      <c r="AA32" t="n">
        <v>4.49</v>
      </c>
      <c r="AB32" t="n">
        <v>48.67</v>
      </c>
      <c r="AC32" t="n">
        <v>8.76</v>
      </c>
      <c r="AD32" t="n">
        <v>0</v>
      </c>
      <c r="AE32" t="n">
        <v>232.5</v>
      </c>
      <c r="AF32" t="n">
        <v>0</v>
      </c>
      <c r="AG32" t="n">
        <v>0</v>
      </c>
      <c r="AH32" t="n">
        <v>0.23</v>
      </c>
      <c r="AI32" t="n">
        <v>11.63</v>
      </c>
      <c r="AJ32" t="n">
        <v>0</v>
      </c>
      <c r="AK32" t="n">
        <v>20.62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69.29000000000001</v>
      </c>
      <c r="AV32" t="n">
        <v>0</v>
      </c>
      <c r="AW32" t="n">
        <v>174.84</v>
      </c>
      <c r="AX32" t="inlineStr">
        <is>
          <t>settled</t>
        </is>
      </c>
      <c r="AY32" t="inlineStr">
        <is>
          <t>NA</t>
        </is>
      </c>
      <c r="AZ32" t="inlineStr">
        <is>
          <t>NA</t>
        </is>
      </c>
      <c r="BA32" t="n">
        <v>0</v>
      </c>
      <c r="BB32" t="inlineStr">
        <is>
          <t>3e927e91aa1d291b66178eac9661111ba7cf03613e60a7c7743119cfaa1d47e8</t>
        </is>
      </c>
    </row>
    <row r="33">
      <c r="A33" t="inlineStr">
        <is>
          <t>1063</t>
        </is>
      </c>
      <c r="B33" t="inlineStr">
        <is>
          <t>7607065392</t>
        </is>
      </c>
      <c r="C33" t="inlineStr">
        <is>
          <t>2025-12-22 21:26:03</t>
        </is>
      </c>
      <c r="D33" t="inlineStr">
        <is>
          <t>52</t>
        </is>
      </c>
      <c r="E33" t="inlineStr">
        <is>
          <t>Sha Sha - Shandaar Shawarma</t>
        </is>
      </c>
      <c r="F33" t="inlineStr">
        <is>
          <t>18557902</t>
        </is>
      </c>
      <c r="G33" t="inlineStr">
        <is>
          <t>30% off upto ₹75 (2025-06-25 - 2031-01-01)</t>
        </is>
      </c>
      <c r="H33" t="inlineStr">
        <is>
          <t>ONLINE</t>
        </is>
      </c>
      <c r="I33" t="inlineStr">
        <is>
          <t>DELIVERED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O2</t>
        </is>
      </c>
      <c r="N33" t="inlineStr">
        <is>
          <t>36</t>
        </is>
      </c>
      <c r="O33" t="n">
        <v>229</v>
      </c>
      <c r="P33" t="n">
        <v>3.5</v>
      </c>
      <c r="Q33" t="n">
        <v>0</v>
      </c>
      <c r="R33" t="n">
        <v>68.7</v>
      </c>
      <c r="S33" t="n">
        <v>0</v>
      </c>
      <c r="T33" t="n">
        <v>0</v>
      </c>
      <c r="U33" t="n">
        <v>0</v>
      </c>
      <c r="V33" t="n">
        <v>8.19</v>
      </c>
      <c r="W33" t="n">
        <v>171.99</v>
      </c>
      <c r="X33" t="n">
        <v>163.8</v>
      </c>
      <c r="Y33" t="n">
        <v>19</v>
      </c>
      <c r="Z33" t="n">
        <v>31.12</v>
      </c>
      <c r="AA33" t="n">
        <v>3.16</v>
      </c>
      <c r="AB33" t="n">
        <v>34.28</v>
      </c>
      <c r="AC33" t="n">
        <v>6.17</v>
      </c>
      <c r="AD33" t="n">
        <v>0</v>
      </c>
      <c r="AE33" t="n">
        <v>163.8</v>
      </c>
      <c r="AF33" t="n">
        <v>0</v>
      </c>
      <c r="AG33" t="n">
        <v>0</v>
      </c>
      <c r="AH33" t="n">
        <v>0.16</v>
      </c>
      <c r="AI33" t="n">
        <v>8.199999999999999</v>
      </c>
      <c r="AJ33" t="n">
        <v>-0.01</v>
      </c>
      <c r="AK33" t="n">
        <v>14.53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48.81</v>
      </c>
      <c r="AV33" t="n">
        <v>0</v>
      </c>
      <c r="AW33" t="n">
        <v>123.18</v>
      </c>
      <c r="AX33" t="inlineStr">
        <is>
          <t>settled</t>
        </is>
      </c>
      <c r="AY33" t="inlineStr">
        <is>
          <t>NA</t>
        </is>
      </c>
      <c r="AZ33" t="inlineStr">
        <is>
          <t>NA</t>
        </is>
      </c>
      <c r="BA33" t="n">
        <v>0</v>
      </c>
      <c r="BB33" t="inlineStr">
        <is>
          <t>8e231a5b249ad64733887a0094e43c2e5d6f9cd613aa1404233de0610bfdedd5</t>
        </is>
      </c>
    </row>
    <row r="34">
      <c r="A34" t="inlineStr">
        <is>
          <t>1064</t>
        </is>
      </c>
      <c r="B34" t="inlineStr">
        <is>
          <t>7607091433</t>
        </is>
      </c>
      <c r="C34" t="inlineStr">
        <is>
          <t>2025-12-22 21:42:04</t>
        </is>
      </c>
      <c r="D34" t="inlineStr">
        <is>
          <t>52</t>
        </is>
      </c>
      <c r="E34" t="inlineStr">
        <is>
          <t>Sha Sha - Shandaar Shawarma</t>
        </is>
      </c>
      <c r="F34" t="inlineStr">
        <is>
          <t>18557902</t>
        </is>
      </c>
      <c r="G34" t="inlineStr">
        <is>
          <t>30% off upto ₹75 (2025-06-25 - 2031-01-01)</t>
        </is>
      </c>
      <c r="H34" t="inlineStr">
        <is>
          <t>ONLINE</t>
        </is>
      </c>
      <c r="I34" t="inlineStr">
        <is>
          <t>DELIVERED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O2</t>
        </is>
      </c>
      <c r="N34" t="inlineStr">
        <is>
          <t>36</t>
        </is>
      </c>
      <c r="O34" t="n">
        <v>507</v>
      </c>
      <c r="P34" t="n">
        <v>3.5</v>
      </c>
      <c r="Q34" t="n">
        <v>0</v>
      </c>
      <c r="R34" t="n">
        <v>75</v>
      </c>
      <c r="S34" t="n">
        <v>0</v>
      </c>
      <c r="T34" t="n">
        <v>0</v>
      </c>
      <c r="U34" t="n">
        <v>0</v>
      </c>
      <c r="V34" t="n">
        <v>21.78</v>
      </c>
      <c r="W34" t="n">
        <v>457.28</v>
      </c>
      <c r="X34" t="n">
        <v>435.5</v>
      </c>
      <c r="Y34" t="n">
        <v>19</v>
      </c>
      <c r="Z34" t="n">
        <v>82.73999999999999</v>
      </c>
      <c r="AA34" t="n">
        <v>8.41</v>
      </c>
      <c r="AB34" t="n">
        <v>91.15000000000001</v>
      </c>
      <c r="AC34" t="n">
        <v>16.4</v>
      </c>
      <c r="AD34" t="n">
        <v>0</v>
      </c>
      <c r="AE34" t="n">
        <v>435.5</v>
      </c>
      <c r="AF34" t="n">
        <v>0</v>
      </c>
      <c r="AG34" t="n">
        <v>0</v>
      </c>
      <c r="AH34" t="n">
        <v>0.44</v>
      </c>
      <c r="AI34" t="n">
        <v>21.78</v>
      </c>
      <c r="AJ34" t="n">
        <v>0</v>
      </c>
      <c r="AK34" t="n">
        <v>38.62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129.77</v>
      </c>
      <c r="AV34" t="n">
        <v>0</v>
      </c>
      <c r="AW34" t="n">
        <v>327.51</v>
      </c>
      <c r="AX34" t="inlineStr">
        <is>
          <t>settled</t>
        </is>
      </c>
      <c r="AY34" t="inlineStr">
        <is>
          <t>NA</t>
        </is>
      </c>
      <c r="AZ34" t="inlineStr">
        <is>
          <t>NA</t>
        </is>
      </c>
      <c r="BA34" t="n">
        <v>0</v>
      </c>
      <c r="BB34" t="inlineStr">
        <is>
          <t>e353af31381dccc3125230701a66480453a2c1b2c86b2e75f0aa1c367844ecf4</t>
        </is>
      </c>
    </row>
    <row r="35">
      <c r="A35" t="inlineStr">
        <is>
          <t>1065</t>
        </is>
      </c>
      <c r="B35" t="inlineStr">
        <is>
          <t>7609909988</t>
        </is>
      </c>
      <c r="C35" t="inlineStr">
        <is>
          <t>2025-12-22 21:59:24</t>
        </is>
      </c>
      <c r="D35" t="inlineStr">
        <is>
          <t>52</t>
        </is>
      </c>
      <c r="E35" t="inlineStr">
        <is>
          <t>Sha Sha - Shandaar Shawarma</t>
        </is>
      </c>
      <c r="F35" t="inlineStr">
        <is>
          <t>18557902</t>
        </is>
      </c>
      <c r="G35" t="inlineStr">
        <is>
          <t>30% off upto ₹75 (2025-06-25 - 2031-01-01)</t>
        </is>
      </c>
      <c r="H35" t="inlineStr">
        <is>
          <t>ONLINE</t>
        </is>
      </c>
      <c r="I35" t="inlineStr">
        <is>
          <t>DELIVERED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O2</t>
        </is>
      </c>
      <c r="N35" t="inlineStr">
        <is>
          <t>36</t>
        </is>
      </c>
      <c r="O35" t="n">
        <v>368</v>
      </c>
      <c r="P35" t="n">
        <v>3.5</v>
      </c>
      <c r="Q35" t="n">
        <v>0</v>
      </c>
      <c r="R35" t="n">
        <v>75</v>
      </c>
      <c r="S35" t="n">
        <v>0</v>
      </c>
      <c r="T35" t="n">
        <v>0</v>
      </c>
      <c r="U35" t="n">
        <v>0</v>
      </c>
      <c r="V35" t="n">
        <v>14.83</v>
      </c>
      <c r="W35" t="n">
        <v>311.33</v>
      </c>
      <c r="X35" t="n">
        <v>296.5</v>
      </c>
      <c r="Y35" t="n">
        <v>19</v>
      </c>
      <c r="Z35" t="n">
        <v>56.34</v>
      </c>
      <c r="AA35" t="n">
        <v>5.73</v>
      </c>
      <c r="AB35" t="n">
        <v>62.07</v>
      </c>
      <c r="AC35" t="n">
        <v>11.17</v>
      </c>
      <c r="AD35" t="n">
        <v>0</v>
      </c>
      <c r="AE35" t="n">
        <v>296.5</v>
      </c>
      <c r="AF35" t="n">
        <v>0</v>
      </c>
      <c r="AG35" t="n">
        <v>0</v>
      </c>
      <c r="AH35" t="n">
        <v>0.3</v>
      </c>
      <c r="AI35" t="n">
        <v>14.83</v>
      </c>
      <c r="AJ35" t="n">
        <v>0</v>
      </c>
      <c r="AK35" t="n">
        <v>26.3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88.37</v>
      </c>
      <c r="AV35" t="n">
        <v>0</v>
      </c>
      <c r="AW35" t="n">
        <v>222.96</v>
      </c>
      <c r="AX35" t="inlineStr">
        <is>
          <t>settled</t>
        </is>
      </c>
      <c r="AY35" t="inlineStr">
        <is>
          <t>NA</t>
        </is>
      </c>
      <c r="AZ35" t="inlineStr">
        <is>
          <t>NA</t>
        </is>
      </c>
      <c r="BA35" t="n">
        <v>0</v>
      </c>
      <c r="BB35" t="inlineStr">
        <is>
          <t>d08ad5206f5eec236422f90acc1260b483a1670c104d997cff6a7c7a7fa46117</t>
        </is>
      </c>
    </row>
    <row r="36">
      <c r="A36" t="inlineStr">
        <is>
          <t>1066</t>
        </is>
      </c>
      <c r="B36" t="inlineStr">
        <is>
          <t>7604132454</t>
        </is>
      </c>
      <c r="C36" t="inlineStr">
        <is>
          <t>2025-12-22 22:12:55</t>
        </is>
      </c>
      <c r="D36" t="inlineStr">
        <is>
          <t>52</t>
        </is>
      </c>
      <c r="E36" t="inlineStr">
        <is>
          <t>Sha Sha - Shandaar Shawarma</t>
        </is>
      </c>
      <c r="F36" t="inlineStr">
        <is>
          <t>18557902</t>
        </is>
      </c>
      <c r="G36" t="inlineStr">
        <is>
          <t>NA</t>
        </is>
      </c>
      <c r="H36" t="inlineStr">
        <is>
          <t>ONLINE</t>
        </is>
      </c>
      <c r="I36" t="inlineStr">
        <is>
          <t>DELIVERED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O2</t>
        </is>
      </c>
      <c r="N36" t="inlineStr">
        <is>
          <t>36</t>
        </is>
      </c>
      <c r="O36" t="n">
        <v>428</v>
      </c>
      <c r="P36" t="n">
        <v>3.5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21.58</v>
      </c>
      <c r="W36" t="n">
        <v>453.08</v>
      </c>
      <c r="X36" t="n">
        <v>431.5</v>
      </c>
      <c r="Y36" t="n">
        <v>19</v>
      </c>
      <c r="Z36" t="n">
        <v>81.98</v>
      </c>
      <c r="AA36" t="n">
        <v>8.34</v>
      </c>
      <c r="AB36" t="n">
        <v>90.31999999999999</v>
      </c>
      <c r="AC36" t="n">
        <v>16.26</v>
      </c>
      <c r="AD36" t="n">
        <v>0</v>
      </c>
      <c r="AE36" t="n">
        <v>431.5</v>
      </c>
      <c r="AF36" t="n">
        <v>0</v>
      </c>
      <c r="AG36" t="n">
        <v>0</v>
      </c>
      <c r="AH36" t="n">
        <v>0.43</v>
      </c>
      <c r="AI36" t="n">
        <v>21.58</v>
      </c>
      <c r="AJ36" t="n">
        <v>0</v>
      </c>
      <c r="AK36" t="n">
        <v>38.27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128.59</v>
      </c>
      <c r="AV36" t="n">
        <v>0</v>
      </c>
      <c r="AW36" t="n">
        <v>324.49</v>
      </c>
      <c r="AX36" t="inlineStr">
        <is>
          <t>settled</t>
        </is>
      </c>
      <c r="AY36" t="inlineStr">
        <is>
          <t>NA</t>
        </is>
      </c>
      <c r="AZ36" t="inlineStr">
        <is>
          <t>NA</t>
        </is>
      </c>
      <c r="BA36" t="n">
        <v>0</v>
      </c>
      <c r="BB36" t="inlineStr">
        <is>
          <t>99570a2289b3f3b9e1ec6b49fae260f06c8604c493f506984ad3188b903060e6</t>
        </is>
      </c>
    </row>
    <row r="37">
      <c r="A37" t="inlineStr">
        <is>
          <t>1067</t>
        </is>
      </c>
      <c r="B37" t="inlineStr">
        <is>
          <t>7593971408</t>
        </is>
      </c>
      <c r="C37" t="inlineStr">
        <is>
          <t>2025-12-22 22:36:17</t>
        </is>
      </c>
      <c r="D37" t="inlineStr">
        <is>
          <t>52</t>
        </is>
      </c>
      <c r="E37" t="inlineStr">
        <is>
          <t>Sha Sha - Shandaar Shawarma</t>
        </is>
      </c>
      <c r="F37" t="inlineStr">
        <is>
          <t>18557902</t>
        </is>
      </c>
      <c r="G37" t="inlineStr">
        <is>
          <t>30% off upto ₹75 (2025-06-25 - 2031-01-01)</t>
        </is>
      </c>
      <c r="H37" t="inlineStr">
        <is>
          <t>ONLINE</t>
        </is>
      </c>
      <c r="I37" t="inlineStr">
        <is>
          <t>DELIVERED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O2</t>
        </is>
      </c>
      <c r="N37" t="inlineStr">
        <is>
          <t>36</t>
        </is>
      </c>
      <c r="O37" t="n">
        <v>219</v>
      </c>
      <c r="P37" t="n">
        <v>3.5</v>
      </c>
      <c r="Q37" t="n">
        <v>0</v>
      </c>
      <c r="R37" t="n">
        <v>65.7</v>
      </c>
      <c r="S37" t="n">
        <v>0</v>
      </c>
      <c r="T37" t="n">
        <v>0</v>
      </c>
      <c r="U37" t="n">
        <v>0</v>
      </c>
      <c r="V37" t="n">
        <v>7.84</v>
      </c>
      <c r="W37" t="n">
        <v>164.64</v>
      </c>
      <c r="X37" t="n">
        <v>156.8</v>
      </c>
      <c r="Y37" t="n">
        <v>19</v>
      </c>
      <c r="Z37" t="n">
        <v>29.79</v>
      </c>
      <c r="AA37" t="n">
        <v>3.03</v>
      </c>
      <c r="AB37" t="n">
        <v>32.82</v>
      </c>
      <c r="AC37" t="n">
        <v>5.91</v>
      </c>
      <c r="AD37" t="n">
        <v>0</v>
      </c>
      <c r="AE37" t="n">
        <v>156.8</v>
      </c>
      <c r="AF37" t="n">
        <v>0</v>
      </c>
      <c r="AG37" t="n">
        <v>0</v>
      </c>
      <c r="AH37" t="n">
        <v>0.16</v>
      </c>
      <c r="AI37" t="n">
        <v>7.85</v>
      </c>
      <c r="AJ37" t="n">
        <v>-0.01</v>
      </c>
      <c r="AK37" t="n">
        <v>13.92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46.74</v>
      </c>
      <c r="AV37" t="n">
        <v>0</v>
      </c>
      <c r="AW37" t="n">
        <v>117.9</v>
      </c>
      <c r="AX37" t="inlineStr">
        <is>
          <t>settled</t>
        </is>
      </c>
      <c r="AY37" t="inlineStr">
        <is>
          <t>NA</t>
        </is>
      </c>
      <c r="AZ37" t="inlineStr">
        <is>
          <t>NA</t>
        </is>
      </c>
      <c r="BA37" t="n">
        <v>0</v>
      </c>
      <c r="BB37" t="inlineStr">
        <is>
          <t>c06cb8121103eef6bb1f3d099d90b9f5ad66b406c027587020d5e13bab91cc88</t>
        </is>
      </c>
    </row>
    <row r="38">
      <c r="A38" t="inlineStr">
        <is>
          <t>1068</t>
        </is>
      </c>
      <c r="B38" t="inlineStr">
        <is>
          <t>7609558312</t>
        </is>
      </c>
      <c r="C38" t="inlineStr">
        <is>
          <t>2025-12-22 23:18:33</t>
        </is>
      </c>
      <c r="D38" t="inlineStr">
        <is>
          <t>52</t>
        </is>
      </c>
      <c r="E38" t="inlineStr">
        <is>
          <t>Sha Sha - Shandaar Shawarma</t>
        </is>
      </c>
      <c r="F38" t="inlineStr">
        <is>
          <t>18557902</t>
        </is>
      </c>
      <c r="G38" t="inlineStr">
        <is>
          <t>30% off upto ₹75 (2025-06-25 - 2031-01-01)</t>
        </is>
      </c>
      <c r="H38" t="inlineStr">
        <is>
          <t>ONLINE</t>
        </is>
      </c>
      <c r="I38" t="inlineStr">
        <is>
          <t>DELIVERED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O2</t>
        </is>
      </c>
      <c r="N38" t="inlineStr">
        <is>
          <t>36</t>
        </is>
      </c>
      <c r="O38" t="n">
        <v>229</v>
      </c>
      <c r="P38" t="n">
        <v>3.5</v>
      </c>
      <c r="Q38" t="n">
        <v>0</v>
      </c>
      <c r="R38" t="n">
        <v>68.7</v>
      </c>
      <c r="S38" t="n">
        <v>0</v>
      </c>
      <c r="T38" t="n">
        <v>0</v>
      </c>
      <c r="U38" t="n">
        <v>0</v>
      </c>
      <c r="V38" t="n">
        <v>8.19</v>
      </c>
      <c r="W38" t="n">
        <v>171.99</v>
      </c>
      <c r="X38" t="n">
        <v>163.8</v>
      </c>
      <c r="Y38" t="n">
        <v>19</v>
      </c>
      <c r="Z38" t="n">
        <v>31.12</v>
      </c>
      <c r="AA38" t="n">
        <v>3.16</v>
      </c>
      <c r="AB38" t="n">
        <v>34.28</v>
      </c>
      <c r="AC38" t="n">
        <v>6.17</v>
      </c>
      <c r="AD38" t="n">
        <v>0</v>
      </c>
      <c r="AE38" t="n">
        <v>163.8</v>
      </c>
      <c r="AF38" t="n">
        <v>0</v>
      </c>
      <c r="AG38" t="n">
        <v>0</v>
      </c>
      <c r="AH38" t="n">
        <v>0.16</v>
      </c>
      <c r="AI38" t="n">
        <v>8.199999999999999</v>
      </c>
      <c r="AJ38" t="n">
        <v>-0.01</v>
      </c>
      <c r="AK38" t="n">
        <v>14.53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48.81</v>
      </c>
      <c r="AV38" t="n">
        <v>0</v>
      </c>
      <c r="AW38" t="n">
        <v>123.18</v>
      </c>
      <c r="AX38" t="inlineStr">
        <is>
          <t>settled</t>
        </is>
      </c>
      <c r="AY38" t="inlineStr">
        <is>
          <t>NA</t>
        </is>
      </c>
      <c r="AZ38" t="inlineStr">
        <is>
          <t>NA</t>
        </is>
      </c>
      <c r="BA38" t="n">
        <v>0</v>
      </c>
      <c r="BB38" t="inlineStr">
        <is>
          <t>18bc1f1e563cfcf3375dfef91583e368e7b7f362be7fb6af6e930da87e0bed06</t>
        </is>
      </c>
    </row>
    <row r="39">
      <c r="A39" t="inlineStr">
        <is>
          <t>1069</t>
        </is>
      </c>
      <c r="B39" t="inlineStr">
        <is>
          <t>7610300760</t>
        </is>
      </c>
      <c r="C39" t="inlineStr">
        <is>
          <t>2025-12-22 23:26:49</t>
        </is>
      </c>
      <c r="D39" t="inlineStr">
        <is>
          <t>52</t>
        </is>
      </c>
      <c r="E39" t="inlineStr">
        <is>
          <t>Sha Sha - Shandaar Shawarma</t>
        </is>
      </c>
      <c r="F39" t="inlineStr">
        <is>
          <t>18557902</t>
        </is>
      </c>
      <c r="G39" t="inlineStr">
        <is>
          <t>30% off upto ₹75 (2025-06-25 - 2031-01-01)</t>
        </is>
      </c>
      <c r="H39" t="inlineStr">
        <is>
          <t>ONLINE</t>
        </is>
      </c>
      <c r="I39" t="inlineStr">
        <is>
          <t>DELIVERED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O2</t>
        </is>
      </c>
      <c r="N39" t="inlineStr">
        <is>
          <t>36</t>
        </is>
      </c>
      <c r="O39" t="n">
        <v>345</v>
      </c>
      <c r="P39" t="n">
        <v>3.5</v>
      </c>
      <c r="Q39" t="n">
        <v>0</v>
      </c>
      <c r="R39" t="n">
        <v>75</v>
      </c>
      <c r="S39" t="n">
        <v>0</v>
      </c>
      <c r="T39" t="n">
        <v>0</v>
      </c>
      <c r="U39" t="n">
        <v>0</v>
      </c>
      <c r="V39" t="n">
        <v>13.68</v>
      </c>
      <c r="W39" t="n">
        <v>287.18</v>
      </c>
      <c r="X39" t="n">
        <v>273.5</v>
      </c>
      <c r="Y39" t="n">
        <v>19</v>
      </c>
      <c r="Z39" t="n">
        <v>51.96</v>
      </c>
      <c r="AA39" t="n">
        <v>5.28</v>
      </c>
      <c r="AB39" t="n">
        <v>57.24</v>
      </c>
      <c r="AC39" t="n">
        <v>10.3</v>
      </c>
      <c r="AD39" t="n">
        <v>0</v>
      </c>
      <c r="AE39" t="n">
        <v>273.5</v>
      </c>
      <c r="AF39" t="n">
        <v>0</v>
      </c>
      <c r="AG39" t="n">
        <v>0</v>
      </c>
      <c r="AH39" t="n">
        <v>0.27</v>
      </c>
      <c r="AI39" t="n">
        <v>13.68</v>
      </c>
      <c r="AJ39" t="n">
        <v>0</v>
      </c>
      <c r="AK39" t="n">
        <v>24.25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81.48999999999999</v>
      </c>
      <c r="AV39" t="n">
        <v>0</v>
      </c>
      <c r="AW39" t="n">
        <v>205.69</v>
      </c>
      <c r="AX39" t="inlineStr">
        <is>
          <t>settled</t>
        </is>
      </c>
      <c r="AY39" t="inlineStr">
        <is>
          <t>NA</t>
        </is>
      </c>
      <c r="AZ39" t="inlineStr">
        <is>
          <t>NA</t>
        </is>
      </c>
      <c r="BA39" t="n">
        <v>0</v>
      </c>
      <c r="BB39" t="inlineStr">
        <is>
          <t>c3fce766b3631ca1b7e6e25a84bcb004ac54d5c86cc6f9e265bfff7bbfe9202d</t>
        </is>
      </c>
    </row>
    <row r="40">
      <c r="A40" t="inlineStr">
        <is>
          <t>1070</t>
        </is>
      </c>
      <c r="B40" t="inlineStr">
        <is>
          <t>7602287553</t>
        </is>
      </c>
      <c r="C40" t="inlineStr">
        <is>
          <t>2025-12-22 23:43:06</t>
        </is>
      </c>
      <c r="D40" t="inlineStr">
        <is>
          <t>52</t>
        </is>
      </c>
      <c r="E40" t="inlineStr">
        <is>
          <t>Sha Sha - Shandaar Shawarma</t>
        </is>
      </c>
      <c r="F40" t="inlineStr">
        <is>
          <t>18557902</t>
        </is>
      </c>
      <c r="G40" t="inlineStr">
        <is>
          <t>30% off upto ₹75 (2025-06-25 - 2031-01-01)</t>
        </is>
      </c>
      <c r="H40" t="inlineStr">
        <is>
          <t>ONLINE</t>
        </is>
      </c>
      <c r="I40" t="inlineStr">
        <is>
          <t>DELIVERED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O2</t>
        </is>
      </c>
      <c r="N40" t="inlineStr">
        <is>
          <t>36</t>
        </is>
      </c>
      <c r="O40" t="n">
        <v>229</v>
      </c>
      <c r="P40" t="n">
        <v>3.5</v>
      </c>
      <c r="Q40" t="n">
        <v>0</v>
      </c>
      <c r="R40" t="n">
        <v>68.7</v>
      </c>
      <c r="S40" t="n">
        <v>0</v>
      </c>
      <c r="T40" t="n">
        <v>0</v>
      </c>
      <c r="U40" t="n">
        <v>0</v>
      </c>
      <c r="V40" t="n">
        <v>8.19</v>
      </c>
      <c r="W40" t="n">
        <v>171.99</v>
      </c>
      <c r="X40" t="n">
        <v>163.8</v>
      </c>
      <c r="Y40" t="n">
        <v>19</v>
      </c>
      <c r="Z40" t="n">
        <v>31.12</v>
      </c>
      <c r="AA40" t="n">
        <v>3.16</v>
      </c>
      <c r="AB40" t="n">
        <v>34.28</v>
      </c>
      <c r="AC40" t="n">
        <v>6.17</v>
      </c>
      <c r="AD40" t="n">
        <v>0</v>
      </c>
      <c r="AE40" t="n">
        <v>163.8</v>
      </c>
      <c r="AF40" t="n">
        <v>0</v>
      </c>
      <c r="AG40" t="n">
        <v>0</v>
      </c>
      <c r="AH40" t="n">
        <v>0.16</v>
      </c>
      <c r="AI40" t="n">
        <v>8.199999999999999</v>
      </c>
      <c r="AJ40" t="n">
        <v>-0.01</v>
      </c>
      <c r="AK40" t="n">
        <v>14.53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48.81</v>
      </c>
      <c r="AV40" t="n">
        <v>0</v>
      </c>
      <c r="AW40" t="n">
        <v>123.18</v>
      </c>
      <c r="AX40" t="inlineStr">
        <is>
          <t>settled</t>
        </is>
      </c>
      <c r="AY40" t="inlineStr">
        <is>
          <t>NA</t>
        </is>
      </c>
      <c r="AZ40" t="inlineStr">
        <is>
          <t>NA</t>
        </is>
      </c>
      <c r="BA40" t="n">
        <v>0</v>
      </c>
      <c r="BB40" t="inlineStr">
        <is>
          <t>a0c6159a8061049294f0e146a1558df0f3c540aae824439031d0905ded15d077</t>
        </is>
      </c>
    </row>
    <row r="41">
      <c r="A41" t="inlineStr">
        <is>
          <t>1071</t>
        </is>
      </c>
      <c r="B41" t="inlineStr">
        <is>
          <t>7608604166</t>
        </is>
      </c>
      <c r="C41" t="inlineStr">
        <is>
          <t>2025-12-23 00:03:43</t>
        </is>
      </c>
      <c r="D41" t="inlineStr">
        <is>
          <t>52</t>
        </is>
      </c>
      <c r="E41" t="inlineStr">
        <is>
          <t>Sha Sha - Shandaar Shawarma</t>
        </is>
      </c>
      <c r="F41" t="inlineStr">
        <is>
          <t>18557902</t>
        </is>
      </c>
      <c r="G41" t="inlineStr">
        <is>
          <t>30% off upto ₹75 (2025-06-25 - 2031-01-01)</t>
        </is>
      </c>
      <c r="H41" t="inlineStr">
        <is>
          <t>ONLINE</t>
        </is>
      </c>
      <c r="I41" t="inlineStr">
        <is>
          <t>DELIVERED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O2</t>
        </is>
      </c>
      <c r="N41" t="inlineStr">
        <is>
          <t>36</t>
        </is>
      </c>
      <c r="O41" t="n">
        <v>229</v>
      </c>
      <c r="P41" t="n">
        <v>3.5</v>
      </c>
      <c r="Q41" t="n">
        <v>0</v>
      </c>
      <c r="R41" t="n">
        <v>68.7</v>
      </c>
      <c r="S41" t="n">
        <v>0</v>
      </c>
      <c r="T41" t="n">
        <v>0</v>
      </c>
      <c r="U41" t="n">
        <v>0</v>
      </c>
      <c r="V41" t="n">
        <v>8.19</v>
      </c>
      <c r="W41" t="n">
        <v>171.99</v>
      </c>
      <c r="X41" t="n">
        <v>163.8</v>
      </c>
      <c r="Y41" t="n">
        <v>19</v>
      </c>
      <c r="Z41" t="n">
        <v>31.12</v>
      </c>
      <c r="AA41" t="n">
        <v>3.16</v>
      </c>
      <c r="AB41" t="n">
        <v>34.28</v>
      </c>
      <c r="AC41" t="n">
        <v>6.17</v>
      </c>
      <c r="AD41" t="n">
        <v>0</v>
      </c>
      <c r="AE41" t="n">
        <v>163.8</v>
      </c>
      <c r="AF41" t="n">
        <v>0</v>
      </c>
      <c r="AG41" t="n">
        <v>0</v>
      </c>
      <c r="AH41" t="n">
        <v>0.16</v>
      </c>
      <c r="AI41" t="n">
        <v>8.199999999999999</v>
      </c>
      <c r="AJ41" t="n">
        <v>-0.01</v>
      </c>
      <c r="AK41" t="n">
        <v>14.53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48.81</v>
      </c>
      <c r="AV41" t="n">
        <v>0</v>
      </c>
      <c r="AW41" t="n">
        <v>123.18</v>
      </c>
      <c r="AX41" t="inlineStr">
        <is>
          <t>settled</t>
        </is>
      </c>
      <c r="AY41" t="inlineStr">
        <is>
          <t>NA</t>
        </is>
      </c>
      <c r="AZ41" t="inlineStr">
        <is>
          <t>NA</t>
        </is>
      </c>
      <c r="BA41" t="n">
        <v>0</v>
      </c>
      <c r="BB41" t="inlineStr">
        <is>
          <t>700d5820e0cbe45897b17e00501876be3430296e7beb5bf12da96c105392a670</t>
        </is>
      </c>
    </row>
    <row r="42">
      <c r="A42" t="inlineStr">
        <is>
          <t>1072</t>
        </is>
      </c>
      <c r="B42" t="inlineStr">
        <is>
          <t>7611470648</t>
        </is>
      </c>
      <c r="C42" t="inlineStr">
        <is>
          <t>2025-12-23 00:28:28</t>
        </is>
      </c>
      <c r="D42" t="inlineStr">
        <is>
          <t>52</t>
        </is>
      </c>
      <c r="E42" t="inlineStr">
        <is>
          <t>Sha Sha - Shandaar Shawarma</t>
        </is>
      </c>
      <c r="F42" t="inlineStr">
        <is>
          <t>18557902</t>
        </is>
      </c>
      <c r="G42" t="inlineStr">
        <is>
          <t>30% off upto ₹75 (2025-06-25 - 2031-01-01)</t>
        </is>
      </c>
      <c r="H42" t="inlineStr">
        <is>
          <t>ONLINE</t>
        </is>
      </c>
      <c r="I42" t="inlineStr">
        <is>
          <t>DELIVERED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O2</t>
        </is>
      </c>
      <c r="N42" t="inlineStr">
        <is>
          <t>36</t>
        </is>
      </c>
      <c r="O42" t="n">
        <v>229</v>
      </c>
      <c r="P42" t="n">
        <v>3.5</v>
      </c>
      <c r="Q42" t="n">
        <v>0</v>
      </c>
      <c r="R42" t="n">
        <v>68.7</v>
      </c>
      <c r="S42" t="n">
        <v>0</v>
      </c>
      <c r="T42" t="n">
        <v>0</v>
      </c>
      <c r="U42" t="n">
        <v>0</v>
      </c>
      <c r="V42" t="n">
        <v>8.19</v>
      </c>
      <c r="W42" t="n">
        <v>171.99</v>
      </c>
      <c r="X42" t="n">
        <v>163.8</v>
      </c>
      <c r="Y42" t="n">
        <v>19</v>
      </c>
      <c r="Z42" t="n">
        <v>31.12</v>
      </c>
      <c r="AA42" t="n">
        <v>3.16</v>
      </c>
      <c r="AB42" t="n">
        <v>34.28</v>
      </c>
      <c r="AC42" t="n">
        <v>6.17</v>
      </c>
      <c r="AD42" t="n">
        <v>0</v>
      </c>
      <c r="AE42" t="n">
        <v>163.8</v>
      </c>
      <c r="AF42" t="n">
        <v>0</v>
      </c>
      <c r="AG42" t="n">
        <v>0</v>
      </c>
      <c r="AH42" t="n">
        <v>0.16</v>
      </c>
      <c r="AI42" t="n">
        <v>8.199999999999999</v>
      </c>
      <c r="AJ42" t="n">
        <v>-0.01</v>
      </c>
      <c r="AK42" t="n">
        <v>14.53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48.81</v>
      </c>
      <c r="AV42" t="n">
        <v>0</v>
      </c>
      <c r="AW42" t="n">
        <v>123.18</v>
      </c>
      <c r="AX42" t="inlineStr">
        <is>
          <t>settled</t>
        </is>
      </c>
      <c r="AY42" t="inlineStr">
        <is>
          <t>NA</t>
        </is>
      </c>
      <c r="AZ42" t="inlineStr">
        <is>
          <t>NA</t>
        </is>
      </c>
      <c r="BA42" t="n">
        <v>0</v>
      </c>
      <c r="BB42" t="inlineStr">
        <is>
          <t>601f7c78848432ab4ea9755fd8e5943ee56dce54d4cd7034f0b43187dc7a1024</t>
        </is>
      </c>
    </row>
    <row r="43">
      <c r="A43" t="inlineStr">
        <is>
          <t>1073</t>
        </is>
      </c>
      <c r="B43" t="inlineStr">
        <is>
          <t>7611819037</t>
        </is>
      </c>
      <c r="C43" t="inlineStr">
        <is>
          <t>2025-12-23 01:06:01</t>
        </is>
      </c>
      <c r="D43" t="inlineStr">
        <is>
          <t>52</t>
        </is>
      </c>
      <c r="E43" t="inlineStr">
        <is>
          <t>Sha Sha - Shandaar Shawarma</t>
        </is>
      </c>
      <c r="F43" t="inlineStr">
        <is>
          <t>18557902</t>
        </is>
      </c>
      <c r="G43" t="inlineStr">
        <is>
          <t>30% off upto ₹75 (2025-06-25 - 2031-01-01)</t>
        </is>
      </c>
      <c r="H43" t="inlineStr">
        <is>
          <t>ONLINE</t>
        </is>
      </c>
      <c r="I43" t="inlineStr">
        <is>
          <t>DELIVERED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O2</t>
        </is>
      </c>
      <c r="N43" t="inlineStr">
        <is>
          <t>36</t>
        </is>
      </c>
      <c r="O43" t="n">
        <v>219</v>
      </c>
      <c r="P43" t="n">
        <v>3.5</v>
      </c>
      <c r="Q43" t="n">
        <v>0</v>
      </c>
      <c r="R43" t="n">
        <v>65.7</v>
      </c>
      <c r="S43" t="n">
        <v>0</v>
      </c>
      <c r="T43" t="n">
        <v>0</v>
      </c>
      <c r="U43" t="n">
        <v>0</v>
      </c>
      <c r="V43" t="n">
        <v>7.84</v>
      </c>
      <c r="W43" t="n">
        <v>164.64</v>
      </c>
      <c r="X43" t="n">
        <v>156.8</v>
      </c>
      <c r="Y43" t="n">
        <v>19</v>
      </c>
      <c r="Z43" t="n">
        <v>29.79</v>
      </c>
      <c r="AA43" t="n">
        <v>3.03</v>
      </c>
      <c r="AB43" t="n">
        <v>32.82</v>
      </c>
      <c r="AC43" t="n">
        <v>5.91</v>
      </c>
      <c r="AD43" t="n">
        <v>0</v>
      </c>
      <c r="AE43" t="n">
        <v>156.8</v>
      </c>
      <c r="AF43" t="n">
        <v>0</v>
      </c>
      <c r="AG43" t="n">
        <v>0</v>
      </c>
      <c r="AH43" t="n">
        <v>0.16</v>
      </c>
      <c r="AI43" t="n">
        <v>7.85</v>
      </c>
      <c r="AJ43" t="n">
        <v>-0.01</v>
      </c>
      <c r="AK43" t="n">
        <v>13.92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46.74</v>
      </c>
      <c r="AV43" t="n">
        <v>0</v>
      </c>
      <c r="AW43" t="n">
        <v>117.9</v>
      </c>
      <c r="AX43" t="inlineStr">
        <is>
          <t>settled</t>
        </is>
      </c>
      <c r="AY43" t="inlineStr">
        <is>
          <t>NA</t>
        </is>
      </c>
      <c r="AZ43" t="inlineStr">
        <is>
          <t>NA</t>
        </is>
      </c>
      <c r="BA43" t="n">
        <v>0</v>
      </c>
      <c r="BB43" t="inlineStr">
        <is>
          <t>64efc7f4670230e888aea8ed0723578eea652ac72cd490faea96eb2cdb3561ae</t>
        </is>
      </c>
    </row>
    <row r="44">
      <c r="A44" t="inlineStr">
        <is>
          <t>1074</t>
        </is>
      </c>
      <c r="B44" t="inlineStr">
        <is>
          <t>7573186539</t>
        </is>
      </c>
      <c r="C44" t="inlineStr">
        <is>
          <t>2025-12-23 01:11:37</t>
        </is>
      </c>
      <c r="D44" t="inlineStr">
        <is>
          <t>52</t>
        </is>
      </c>
      <c r="E44" t="inlineStr">
        <is>
          <t>Sha Sha - Shandaar Shawarma</t>
        </is>
      </c>
      <c r="F44" t="inlineStr">
        <is>
          <t>18557902</t>
        </is>
      </c>
      <c r="G44" t="inlineStr">
        <is>
          <t>30% off upto ₹75 (2025-06-25 - 2031-01-01)</t>
        </is>
      </c>
      <c r="H44" t="inlineStr">
        <is>
          <t>ONLINE</t>
        </is>
      </c>
      <c r="I44" t="inlineStr">
        <is>
          <t>DELIVERED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O2</t>
        </is>
      </c>
      <c r="N44" t="inlineStr">
        <is>
          <t>36</t>
        </is>
      </c>
      <c r="O44" t="n">
        <v>229</v>
      </c>
      <c r="P44" t="n">
        <v>3.5</v>
      </c>
      <c r="Q44" t="n">
        <v>0</v>
      </c>
      <c r="R44" t="n">
        <v>68.7</v>
      </c>
      <c r="S44" t="n">
        <v>0</v>
      </c>
      <c r="T44" t="n">
        <v>0</v>
      </c>
      <c r="U44" t="n">
        <v>0</v>
      </c>
      <c r="V44" t="n">
        <v>8.19</v>
      </c>
      <c r="W44" t="n">
        <v>171.99</v>
      </c>
      <c r="X44" t="n">
        <v>163.8</v>
      </c>
      <c r="Y44" t="n">
        <v>19</v>
      </c>
      <c r="Z44" t="n">
        <v>31.12</v>
      </c>
      <c r="AA44" t="n">
        <v>3.16</v>
      </c>
      <c r="AB44" t="n">
        <v>34.28</v>
      </c>
      <c r="AC44" t="n">
        <v>6.17</v>
      </c>
      <c r="AD44" t="n">
        <v>0</v>
      </c>
      <c r="AE44" t="n">
        <v>163.8</v>
      </c>
      <c r="AF44" t="n">
        <v>0</v>
      </c>
      <c r="AG44" t="n">
        <v>0</v>
      </c>
      <c r="AH44" t="n">
        <v>0.16</v>
      </c>
      <c r="AI44" t="n">
        <v>8.199999999999999</v>
      </c>
      <c r="AJ44" t="n">
        <v>-0.01</v>
      </c>
      <c r="AK44" t="n">
        <v>14.53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48.81</v>
      </c>
      <c r="AV44" t="n">
        <v>0</v>
      </c>
      <c r="AW44" t="n">
        <v>123.18</v>
      </c>
      <c r="AX44" t="inlineStr">
        <is>
          <t>settled</t>
        </is>
      </c>
      <c r="AY44" t="inlineStr">
        <is>
          <t>NA</t>
        </is>
      </c>
      <c r="AZ44" t="inlineStr">
        <is>
          <t>NA</t>
        </is>
      </c>
      <c r="BA44" t="n">
        <v>0</v>
      </c>
      <c r="BB44" t="inlineStr">
        <is>
          <t>c3c2d13a128da56f89f6ed07d59b8312dcce0279db33518dc069cb1b9231b4e2</t>
        </is>
      </c>
    </row>
    <row r="45">
      <c r="A45" t="inlineStr">
        <is>
          <t>1075</t>
        </is>
      </c>
      <c r="B45" t="inlineStr">
        <is>
          <t>7611926845</t>
        </is>
      </c>
      <c r="C45" t="inlineStr">
        <is>
          <t>2025-12-23 01:11:50</t>
        </is>
      </c>
      <c r="D45" t="inlineStr">
        <is>
          <t>52</t>
        </is>
      </c>
      <c r="E45" t="inlineStr">
        <is>
          <t>Sha Sha - Shandaar Shawarma</t>
        </is>
      </c>
      <c r="F45" t="inlineStr">
        <is>
          <t>18557902</t>
        </is>
      </c>
      <c r="G45" t="inlineStr">
        <is>
          <t>30% off upto ₹75 (2025-06-25 - 2031-01-01)</t>
        </is>
      </c>
      <c r="H45" t="inlineStr">
        <is>
          <t>ONLINE</t>
        </is>
      </c>
      <c r="I45" t="inlineStr">
        <is>
          <t>DELIVERED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O2</t>
        </is>
      </c>
      <c r="N45" t="inlineStr">
        <is>
          <t>36</t>
        </is>
      </c>
      <c r="O45" t="n">
        <v>229</v>
      </c>
      <c r="P45" t="n">
        <v>3.5</v>
      </c>
      <c r="Q45" t="n">
        <v>0</v>
      </c>
      <c r="R45" t="n">
        <v>68.7</v>
      </c>
      <c r="S45" t="n">
        <v>0</v>
      </c>
      <c r="T45" t="n">
        <v>0</v>
      </c>
      <c r="U45" t="n">
        <v>0</v>
      </c>
      <c r="V45" t="n">
        <v>8.19</v>
      </c>
      <c r="W45" t="n">
        <v>171.99</v>
      </c>
      <c r="X45" t="n">
        <v>163.8</v>
      </c>
      <c r="Y45" t="n">
        <v>19</v>
      </c>
      <c r="Z45" t="n">
        <v>31.12</v>
      </c>
      <c r="AA45" t="n">
        <v>3.16</v>
      </c>
      <c r="AB45" t="n">
        <v>34.28</v>
      </c>
      <c r="AC45" t="n">
        <v>6.17</v>
      </c>
      <c r="AD45" t="n">
        <v>0</v>
      </c>
      <c r="AE45" t="n">
        <v>163.8</v>
      </c>
      <c r="AF45" t="n">
        <v>0</v>
      </c>
      <c r="AG45" t="n">
        <v>0</v>
      </c>
      <c r="AH45" t="n">
        <v>0.16</v>
      </c>
      <c r="AI45" t="n">
        <v>8.199999999999999</v>
      </c>
      <c r="AJ45" t="n">
        <v>-0.01</v>
      </c>
      <c r="AK45" t="n">
        <v>14.53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48.81</v>
      </c>
      <c r="AV45" t="n">
        <v>0</v>
      </c>
      <c r="AW45" t="n">
        <v>123.18</v>
      </c>
      <c r="AX45" t="inlineStr">
        <is>
          <t>settled</t>
        </is>
      </c>
      <c r="AY45" t="inlineStr">
        <is>
          <t>NA</t>
        </is>
      </c>
      <c r="AZ45" t="inlineStr">
        <is>
          <t>NA</t>
        </is>
      </c>
      <c r="BA45" t="n">
        <v>0</v>
      </c>
      <c r="BB45" t="inlineStr">
        <is>
          <t>40efdc526c0489e53e238e3b8d44abe3d2b1dff87401f92850b9cc04f4203b46</t>
        </is>
      </c>
    </row>
    <row r="46">
      <c r="A46" t="inlineStr">
        <is>
          <t>1076</t>
        </is>
      </c>
      <c r="B46" t="inlineStr">
        <is>
          <t>7608258526</t>
        </is>
      </c>
      <c r="C46" t="inlineStr">
        <is>
          <t>2025-12-23 01:14:19</t>
        </is>
      </c>
      <c r="D46" t="inlineStr">
        <is>
          <t>52</t>
        </is>
      </c>
      <c r="E46" t="inlineStr">
        <is>
          <t>Sha Sha - Shandaar Shawarma</t>
        </is>
      </c>
      <c r="F46" t="inlineStr">
        <is>
          <t>18557902</t>
        </is>
      </c>
      <c r="G46" t="inlineStr">
        <is>
          <t>30% off upto ₹75 (2025-06-25 - 2031-01-01)</t>
        </is>
      </c>
      <c r="H46" t="inlineStr">
        <is>
          <t>ONLINE</t>
        </is>
      </c>
      <c r="I46" t="inlineStr">
        <is>
          <t>DELIVERED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O2</t>
        </is>
      </c>
      <c r="N46" t="inlineStr">
        <is>
          <t>36</t>
        </is>
      </c>
      <c r="O46" t="n">
        <v>229</v>
      </c>
      <c r="P46" t="n">
        <v>3.5</v>
      </c>
      <c r="Q46" t="n">
        <v>0</v>
      </c>
      <c r="R46" t="n">
        <v>68.7</v>
      </c>
      <c r="S46" t="n">
        <v>0</v>
      </c>
      <c r="T46" t="n">
        <v>0</v>
      </c>
      <c r="U46" t="n">
        <v>0</v>
      </c>
      <c r="V46" t="n">
        <v>8.19</v>
      </c>
      <c r="W46" t="n">
        <v>171.99</v>
      </c>
      <c r="X46" t="n">
        <v>163.8</v>
      </c>
      <c r="Y46" t="n">
        <v>19</v>
      </c>
      <c r="Z46" t="n">
        <v>31.12</v>
      </c>
      <c r="AA46" t="n">
        <v>3.16</v>
      </c>
      <c r="AB46" t="n">
        <v>34.28</v>
      </c>
      <c r="AC46" t="n">
        <v>6.17</v>
      </c>
      <c r="AD46" t="n">
        <v>0</v>
      </c>
      <c r="AE46" t="n">
        <v>163.8</v>
      </c>
      <c r="AF46" t="n">
        <v>0</v>
      </c>
      <c r="AG46" t="n">
        <v>0</v>
      </c>
      <c r="AH46" t="n">
        <v>0.16</v>
      </c>
      <c r="AI46" t="n">
        <v>8.199999999999999</v>
      </c>
      <c r="AJ46" t="n">
        <v>-0.01</v>
      </c>
      <c r="AK46" t="n">
        <v>14.53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48.81</v>
      </c>
      <c r="AV46" t="n">
        <v>0</v>
      </c>
      <c r="AW46" t="n">
        <v>123.18</v>
      </c>
      <c r="AX46" t="inlineStr">
        <is>
          <t>settled</t>
        </is>
      </c>
      <c r="AY46" t="inlineStr">
        <is>
          <t>NA</t>
        </is>
      </c>
      <c r="AZ46" t="inlineStr">
        <is>
          <t>NA</t>
        </is>
      </c>
      <c r="BA46" t="n">
        <v>0</v>
      </c>
      <c r="BB46" t="inlineStr">
        <is>
          <t>cc2115f57ee2a71a9490d7e061d0700b69a42779ed5bc8ef7076718b595b0cd7</t>
        </is>
      </c>
    </row>
    <row r="47">
      <c r="A47" t="inlineStr">
        <is>
          <t>1077</t>
        </is>
      </c>
      <c r="B47" t="inlineStr">
        <is>
          <t>7609146204</t>
        </is>
      </c>
      <c r="C47" t="inlineStr">
        <is>
          <t>2025-12-23 02:16:14</t>
        </is>
      </c>
      <c r="D47" t="inlineStr">
        <is>
          <t>52</t>
        </is>
      </c>
      <c r="E47" t="inlineStr">
        <is>
          <t>Sha Sha - Shandaar Shawarma</t>
        </is>
      </c>
      <c r="F47" t="inlineStr">
        <is>
          <t>18557902</t>
        </is>
      </c>
      <c r="G47" t="inlineStr">
        <is>
          <t>30% off upto ₹75 (2025-06-25 - 2031-01-01)</t>
        </is>
      </c>
      <c r="H47" t="inlineStr">
        <is>
          <t>ONLINE</t>
        </is>
      </c>
      <c r="I47" t="inlineStr">
        <is>
          <t>DELIVERED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O2</t>
        </is>
      </c>
      <c r="N47" t="inlineStr">
        <is>
          <t>36</t>
        </is>
      </c>
      <c r="O47" t="n">
        <v>219</v>
      </c>
      <c r="P47" t="n">
        <v>3.5</v>
      </c>
      <c r="Q47" t="n">
        <v>0</v>
      </c>
      <c r="R47" t="n">
        <v>65.7</v>
      </c>
      <c r="S47" t="n">
        <v>0</v>
      </c>
      <c r="T47" t="n">
        <v>0</v>
      </c>
      <c r="U47" t="n">
        <v>0</v>
      </c>
      <c r="V47" t="n">
        <v>7.84</v>
      </c>
      <c r="W47" t="n">
        <v>164.64</v>
      </c>
      <c r="X47" t="n">
        <v>156.8</v>
      </c>
      <c r="Y47" t="n">
        <v>19</v>
      </c>
      <c r="Z47" t="n">
        <v>29.79</v>
      </c>
      <c r="AA47" t="n">
        <v>3.03</v>
      </c>
      <c r="AB47" t="n">
        <v>32.82</v>
      </c>
      <c r="AC47" t="n">
        <v>5.91</v>
      </c>
      <c r="AD47" t="n">
        <v>0</v>
      </c>
      <c r="AE47" t="n">
        <v>156.8</v>
      </c>
      <c r="AF47" t="n">
        <v>0</v>
      </c>
      <c r="AG47" t="n">
        <v>0</v>
      </c>
      <c r="AH47" t="n">
        <v>0.16</v>
      </c>
      <c r="AI47" t="n">
        <v>7.85</v>
      </c>
      <c r="AJ47" t="n">
        <v>-0.01</v>
      </c>
      <c r="AK47" t="n">
        <v>13.92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46.74</v>
      </c>
      <c r="AV47" t="n">
        <v>0</v>
      </c>
      <c r="AW47" t="n">
        <v>117.9</v>
      </c>
      <c r="AX47" t="inlineStr">
        <is>
          <t>settled</t>
        </is>
      </c>
      <c r="AY47" t="inlineStr">
        <is>
          <t>NA</t>
        </is>
      </c>
      <c r="AZ47" t="inlineStr">
        <is>
          <t>NA</t>
        </is>
      </c>
      <c r="BA47" t="n">
        <v>0</v>
      </c>
      <c r="BB47" t="inlineStr">
        <is>
          <t>1ea0b377a269fc96d3207de2a36a646079e1752951715dc1a80d15c90abe2140</t>
        </is>
      </c>
    </row>
    <row r="48">
      <c r="A48" t="inlineStr">
        <is>
          <t>1078</t>
        </is>
      </c>
      <c r="B48" t="inlineStr">
        <is>
          <t>7598147876</t>
        </is>
      </c>
      <c r="C48" t="inlineStr">
        <is>
          <t>2025-12-23 02:23:41</t>
        </is>
      </c>
      <c r="D48" t="inlineStr">
        <is>
          <t>52</t>
        </is>
      </c>
      <c r="E48" t="inlineStr">
        <is>
          <t>Sha Sha - Shandaar Shawarma</t>
        </is>
      </c>
      <c r="F48" t="inlineStr">
        <is>
          <t>18557902</t>
        </is>
      </c>
      <c r="G48" t="inlineStr">
        <is>
          <t>30% off upto ₹75 (2025-06-25 - 2031-01-01)</t>
        </is>
      </c>
      <c r="H48" t="inlineStr">
        <is>
          <t>ONLINE</t>
        </is>
      </c>
      <c r="I48" t="inlineStr">
        <is>
          <t>DELIVERED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O2</t>
        </is>
      </c>
      <c r="N48" t="inlineStr">
        <is>
          <t>36</t>
        </is>
      </c>
      <c r="O48" t="n">
        <v>229</v>
      </c>
      <c r="P48" t="n">
        <v>3.5</v>
      </c>
      <c r="Q48" t="n">
        <v>0</v>
      </c>
      <c r="R48" t="n">
        <v>68.7</v>
      </c>
      <c r="S48" t="n">
        <v>0</v>
      </c>
      <c r="T48" t="n">
        <v>0</v>
      </c>
      <c r="U48" t="n">
        <v>0</v>
      </c>
      <c r="V48" t="n">
        <v>8.19</v>
      </c>
      <c r="W48" t="n">
        <v>171.99</v>
      </c>
      <c r="X48" t="n">
        <v>163.8</v>
      </c>
      <c r="Y48" t="n">
        <v>19</v>
      </c>
      <c r="Z48" t="n">
        <v>31.12</v>
      </c>
      <c r="AA48" t="n">
        <v>3.16</v>
      </c>
      <c r="AB48" t="n">
        <v>34.28</v>
      </c>
      <c r="AC48" t="n">
        <v>6.17</v>
      </c>
      <c r="AD48" t="n">
        <v>0</v>
      </c>
      <c r="AE48" t="n">
        <v>163.8</v>
      </c>
      <c r="AF48" t="n">
        <v>0</v>
      </c>
      <c r="AG48" t="n">
        <v>0</v>
      </c>
      <c r="AH48" t="n">
        <v>0.16</v>
      </c>
      <c r="AI48" t="n">
        <v>8.199999999999999</v>
      </c>
      <c r="AJ48" t="n">
        <v>-0.01</v>
      </c>
      <c r="AK48" t="n">
        <v>14.53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48.81</v>
      </c>
      <c r="AV48" t="n">
        <v>0</v>
      </c>
      <c r="AW48" t="n">
        <v>123.18</v>
      </c>
      <c r="AX48" t="inlineStr">
        <is>
          <t>settled</t>
        </is>
      </c>
      <c r="AY48" t="inlineStr">
        <is>
          <t>NA</t>
        </is>
      </c>
      <c r="AZ48" t="inlineStr">
        <is>
          <t>NA</t>
        </is>
      </c>
      <c r="BA48" t="n">
        <v>0</v>
      </c>
      <c r="BB48" t="inlineStr">
        <is>
          <t>409b2c3390da88a7d98688b2d0bdaa2fce22d599ec60d25180322258c2516ae8</t>
        </is>
      </c>
    </row>
    <row r="49">
      <c r="A49" t="inlineStr">
        <is>
          <t>1079</t>
        </is>
      </c>
      <c r="B49" t="inlineStr">
        <is>
          <t>7604352729</t>
        </is>
      </c>
      <c r="C49" t="inlineStr">
        <is>
          <t>2025-12-23 02:25:31</t>
        </is>
      </c>
      <c r="D49" t="inlineStr">
        <is>
          <t>52</t>
        </is>
      </c>
      <c r="E49" t="inlineStr">
        <is>
          <t>Sha Sha - Shandaar Shawarma</t>
        </is>
      </c>
      <c r="F49" t="inlineStr">
        <is>
          <t>18557902</t>
        </is>
      </c>
      <c r="G49" t="inlineStr">
        <is>
          <t>30% off upto ₹75 (2025-06-25 - 2031-01-01)</t>
        </is>
      </c>
      <c r="H49" t="inlineStr">
        <is>
          <t>ONLINE</t>
        </is>
      </c>
      <c r="I49" t="inlineStr">
        <is>
          <t>DELIVERED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O2</t>
        </is>
      </c>
      <c r="N49" t="inlineStr">
        <is>
          <t>36</t>
        </is>
      </c>
      <c r="O49" t="n">
        <v>229</v>
      </c>
      <c r="P49" t="n">
        <v>3.5</v>
      </c>
      <c r="Q49" t="n">
        <v>0</v>
      </c>
      <c r="R49" t="n">
        <v>68.7</v>
      </c>
      <c r="S49" t="n">
        <v>0</v>
      </c>
      <c r="T49" t="n">
        <v>0</v>
      </c>
      <c r="U49" t="n">
        <v>0</v>
      </c>
      <c r="V49" t="n">
        <v>8.19</v>
      </c>
      <c r="W49" t="n">
        <v>171.99</v>
      </c>
      <c r="X49" t="n">
        <v>163.8</v>
      </c>
      <c r="Y49" t="n">
        <v>19</v>
      </c>
      <c r="Z49" t="n">
        <v>31.12</v>
      </c>
      <c r="AA49" t="n">
        <v>3.16</v>
      </c>
      <c r="AB49" t="n">
        <v>34.28</v>
      </c>
      <c r="AC49" t="n">
        <v>6.17</v>
      </c>
      <c r="AD49" t="n">
        <v>0</v>
      </c>
      <c r="AE49" t="n">
        <v>163.8</v>
      </c>
      <c r="AF49" t="n">
        <v>0</v>
      </c>
      <c r="AG49" t="n">
        <v>0</v>
      </c>
      <c r="AH49" t="n">
        <v>0.16</v>
      </c>
      <c r="AI49" t="n">
        <v>8.199999999999999</v>
      </c>
      <c r="AJ49" t="n">
        <v>-0.01</v>
      </c>
      <c r="AK49" t="n">
        <v>14.53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48.81</v>
      </c>
      <c r="AV49" t="n">
        <v>0</v>
      </c>
      <c r="AW49" t="n">
        <v>123.18</v>
      </c>
      <c r="AX49" t="inlineStr">
        <is>
          <t>settled</t>
        </is>
      </c>
      <c r="AY49" t="inlineStr">
        <is>
          <t>NA</t>
        </is>
      </c>
      <c r="AZ49" t="inlineStr">
        <is>
          <t>NA</t>
        </is>
      </c>
      <c r="BA49" t="n">
        <v>0</v>
      </c>
      <c r="BB49" t="inlineStr">
        <is>
          <t>19f1c7091801e3afef97ea88529ab950f6e48076acbccb3cc26fde549a9c860f</t>
        </is>
      </c>
    </row>
    <row r="50">
      <c r="A50" t="inlineStr">
        <is>
          <t>1080</t>
        </is>
      </c>
      <c r="B50" t="inlineStr">
        <is>
          <t>7611457316</t>
        </is>
      </c>
      <c r="C50" t="inlineStr">
        <is>
          <t>2025-12-23 03:16:12</t>
        </is>
      </c>
      <c r="D50" t="inlineStr">
        <is>
          <t>52</t>
        </is>
      </c>
      <c r="E50" t="inlineStr">
        <is>
          <t>Sha Sha - Shandaar Shawarma</t>
        </is>
      </c>
      <c r="F50" t="inlineStr">
        <is>
          <t>18557902</t>
        </is>
      </c>
      <c r="G50" t="inlineStr">
        <is>
          <t>30% off upto ₹75 (2025-06-25 - 2031-01-01)</t>
        </is>
      </c>
      <c r="H50" t="inlineStr">
        <is>
          <t>ONLINE</t>
        </is>
      </c>
      <c r="I50" t="inlineStr">
        <is>
          <t>DELIVERED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O2</t>
        </is>
      </c>
      <c r="N50" t="inlineStr">
        <is>
          <t>36</t>
        </is>
      </c>
      <c r="O50" t="n">
        <v>338</v>
      </c>
      <c r="P50" t="n">
        <v>3.5</v>
      </c>
      <c r="Q50" t="n">
        <v>0</v>
      </c>
      <c r="R50" t="n">
        <v>75</v>
      </c>
      <c r="S50" t="n">
        <v>0</v>
      </c>
      <c r="T50" t="n">
        <v>0</v>
      </c>
      <c r="U50" t="n">
        <v>0</v>
      </c>
      <c r="V50" t="n">
        <v>13.33</v>
      </c>
      <c r="W50" t="n">
        <v>279.83</v>
      </c>
      <c r="X50" t="n">
        <v>266.5</v>
      </c>
      <c r="Y50" t="n">
        <v>19</v>
      </c>
      <c r="Z50" t="n">
        <v>50.64</v>
      </c>
      <c r="AA50" t="n">
        <v>5.15</v>
      </c>
      <c r="AB50" t="n">
        <v>55.79</v>
      </c>
      <c r="AC50" t="n">
        <v>10.05</v>
      </c>
      <c r="AD50" t="n">
        <v>0</v>
      </c>
      <c r="AE50" t="n">
        <v>266.5</v>
      </c>
      <c r="AF50" t="n">
        <v>0</v>
      </c>
      <c r="AG50" t="n">
        <v>0</v>
      </c>
      <c r="AH50" t="n">
        <v>0.27</v>
      </c>
      <c r="AI50" t="n">
        <v>13.33</v>
      </c>
      <c r="AJ50" t="n">
        <v>0</v>
      </c>
      <c r="AK50" t="n">
        <v>23.65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79.44</v>
      </c>
      <c r="AV50" t="n">
        <v>0</v>
      </c>
      <c r="AW50" t="n">
        <v>200.39</v>
      </c>
      <c r="AX50" t="inlineStr">
        <is>
          <t>settled</t>
        </is>
      </c>
      <c r="AY50" t="inlineStr">
        <is>
          <t>NA</t>
        </is>
      </c>
      <c r="AZ50" t="inlineStr">
        <is>
          <t>NA</t>
        </is>
      </c>
      <c r="BA50" t="n">
        <v>0</v>
      </c>
      <c r="BB50" t="inlineStr">
        <is>
          <t>5a4152e7640e85cce3714ee026d54b97b622f52be4a354a0a91e419ba9540499</t>
        </is>
      </c>
    </row>
    <row r="51">
      <c r="A51" t="inlineStr">
        <is>
          <t>1081</t>
        </is>
      </c>
      <c r="B51" t="inlineStr">
        <is>
          <t>7594832931</t>
        </is>
      </c>
      <c r="C51" t="inlineStr">
        <is>
          <t>2025-12-23 03:29:10</t>
        </is>
      </c>
      <c r="D51" t="inlineStr">
        <is>
          <t>52</t>
        </is>
      </c>
      <c r="E51" t="inlineStr">
        <is>
          <t>Sha Sha - Shandaar Shawarma</t>
        </is>
      </c>
      <c r="F51" t="inlineStr">
        <is>
          <t>18557902</t>
        </is>
      </c>
      <c r="G51" t="inlineStr">
        <is>
          <t>30% off upto ₹75 (2025-06-25 - 2031-01-01)</t>
        </is>
      </c>
      <c r="H51" t="inlineStr">
        <is>
          <t>ONLINE</t>
        </is>
      </c>
      <c r="I51" t="inlineStr">
        <is>
          <t>DELIVERED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O2</t>
        </is>
      </c>
      <c r="N51" t="inlineStr">
        <is>
          <t>36</t>
        </is>
      </c>
      <c r="O51" t="n">
        <v>229</v>
      </c>
      <c r="P51" t="n">
        <v>3.5</v>
      </c>
      <c r="Q51" t="n">
        <v>0</v>
      </c>
      <c r="R51" t="n">
        <v>68.7</v>
      </c>
      <c r="S51" t="n">
        <v>0</v>
      </c>
      <c r="T51" t="n">
        <v>0</v>
      </c>
      <c r="U51" t="n">
        <v>0</v>
      </c>
      <c r="V51" t="n">
        <v>8.19</v>
      </c>
      <c r="W51" t="n">
        <v>171.99</v>
      </c>
      <c r="X51" t="n">
        <v>163.8</v>
      </c>
      <c r="Y51" t="n">
        <v>19</v>
      </c>
      <c r="Z51" t="n">
        <v>31.12</v>
      </c>
      <c r="AA51" t="n">
        <v>3.16</v>
      </c>
      <c r="AB51" t="n">
        <v>34.28</v>
      </c>
      <c r="AC51" t="n">
        <v>6.17</v>
      </c>
      <c r="AD51" t="n">
        <v>0</v>
      </c>
      <c r="AE51" t="n">
        <v>163.8</v>
      </c>
      <c r="AF51" t="n">
        <v>0</v>
      </c>
      <c r="AG51" t="n">
        <v>0</v>
      </c>
      <c r="AH51" t="n">
        <v>0.16</v>
      </c>
      <c r="AI51" t="n">
        <v>8.199999999999999</v>
      </c>
      <c r="AJ51" t="n">
        <v>-0.01</v>
      </c>
      <c r="AK51" t="n">
        <v>14.53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48.81</v>
      </c>
      <c r="AV51" t="n">
        <v>0</v>
      </c>
      <c r="AW51" t="n">
        <v>123.18</v>
      </c>
      <c r="AX51" t="inlineStr">
        <is>
          <t>settled</t>
        </is>
      </c>
      <c r="AY51" t="inlineStr">
        <is>
          <t>NA</t>
        </is>
      </c>
      <c r="AZ51" t="inlineStr">
        <is>
          <t>NA</t>
        </is>
      </c>
      <c r="BA51" t="n">
        <v>0</v>
      </c>
      <c r="BB51" t="inlineStr">
        <is>
          <t>8a08d07c3c07227d351ba9766af040ff16b2ca0ba3c2aa5b1c633551ef256c7f</t>
        </is>
      </c>
    </row>
    <row r="52">
      <c r="A52" t="inlineStr">
        <is>
          <t>1082</t>
        </is>
      </c>
      <c r="B52" t="inlineStr">
        <is>
          <t>7610673296</t>
        </is>
      </c>
      <c r="C52" t="inlineStr">
        <is>
          <t>2025-12-23 04:06:49</t>
        </is>
      </c>
      <c r="D52" t="inlineStr">
        <is>
          <t>52</t>
        </is>
      </c>
      <c r="E52" t="inlineStr">
        <is>
          <t>Sha Sha - Shandaar Shawarma</t>
        </is>
      </c>
      <c r="F52" t="inlineStr">
        <is>
          <t>18557902</t>
        </is>
      </c>
      <c r="G52" t="inlineStr">
        <is>
          <t>30% off upto ₹75 (2025-06-25 - 2031-01-01)</t>
        </is>
      </c>
      <c r="H52" t="inlineStr">
        <is>
          <t>ONLINE</t>
        </is>
      </c>
      <c r="I52" t="inlineStr">
        <is>
          <t>DELIVERED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O2</t>
        </is>
      </c>
      <c r="N52" t="inlineStr">
        <is>
          <t>36</t>
        </is>
      </c>
      <c r="O52" t="n">
        <v>268</v>
      </c>
      <c r="P52" t="n">
        <v>3.5</v>
      </c>
      <c r="Q52" t="n">
        <v>0</v>
      </c>
      <c r="R52" t="n">
        <v>75</v>
      </c>
      <c r="S52" t="n">
        <v>0</v>
      </c>
      <c r="T52" t="n">
        <v>0</v>
      </c>
      <c r="U52" t="n">
        <v>0</v>
      </c>
      <c r="V52" t="n">
        <v>9.83</v>
      </c>
      <c r="W52" t="n">
        <v>206.33</v>
      </c>
      <c r="X52" t="n">
        <v>196.5</v>
      </c>
      <c r="Y52" t="n">
        <v>19</v>
      </c>
      <c r="Z52" t="n">
        <v>37.34</v>
      </c>
      <c r="AA52" t="n">
        <v>3.8</v>
      </c>
      <c r="AB52" t="n">
        <v>41.14</v>
      </c>
      <c r="AC52" t="n">
        <v>7.4</v>
      </c>
      <c r="AD52" t="n">
        <v>0</v>
      </c>
      <c r="AE52" t="n">
        <v>196.5</v>
      </c>
      <c r="AF52" t="n">
        <v>0</v>
      </c>
      <c r="AG52" t="n">
        <v>0</v>
      </c>
      <c r="AH52" t="n">
        <v>0.2</v>
      </c>
      <c r="AI52" t="n">
        <v>9.83</v>
      </c>
      <c r="AJ52" t="n">
        <v>0</v>
      </c>
      <c r="AK52" t="n">
        <v>17.43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58.57</v>
      </c>
      <c r="AV52" t="n">
        <v>0</v>
      </c>
      <c r="AW52" t="n">
        <v>147.76</v>
      </c>
      <c r="AX52" t="inlineStr">
        <is>
          <t>settled</t>
        </is>
      </c>
      <c r="AY52" t="inlineStr">
        <is>
          <t>NA</t>
        </is>
      </c>
      <c r="AZ52" t="inlineStr">
        <is>
          <t>NA</t>
        </is>
      </c>
      <c r="BA52" t="n">
        <v>0</v>
      </c>
      <c r="BB52" t="inlineStr">
        <is>
          <t>3d6a6f9443a2b85f74aab1f61b4d16da3f4a12ee74331e3111349faeda62cb60</t>
        </is>
      </c>
    </row>
    <row r="53">
      <c r="A53" t="inlineStr">
        <is>
          <t>1083</t>
        </is>
      </c>
      <c r="B53" t="inlineStr">
        <is>
          <t>7608639473</t>
        </is>
      </c>
      <c r="C53" t="inlineStr">
        <is>
          <t>2025-12-23 04:07:49</t>
        </is>
      </c>
      <c r="D53" t="inlineStr">
        <is>
          <t>52</t>
        </is>
      </c>
      <c r="E53" t="inlineStr">
        <is>
          <t>Sha Sha - Shandaar Shawarma</t>
        </is>
      </c>
      <c r="F53" t="inlineStr">
        <is>
          <t>18557902</t>
        </is>
      </c>
      <c r="G53" t="inlineStr">
        <is>
          <t>30% off upto ₹75 (2025-06-25 - 2031-01-01)</t>
        </is>
      </c>
      <c r="H53" t="inlineStr">
        <is>
          <t>ONLINE</t>
        </is>
      </c>
      <c r="I53" t="inlineStr">
        <is>
          <t>DELIVERED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O2</t>
        </is>
      </c>
      <c r="N53" t="inlineStr">
        <is>
          <t>36</t>
        </is>
      </c>
      <c r="O53" t="n">
        <v>229</v>
      </c>
      <c r="P53" t="n">
        <v>3.5</v>
      </c>
      <c r="Q53" t="n">
        <v>0</v>
      </c>
      <c r="R53" t="n">
        <v>68.7</v>
      </c>
      <c r="S53" t="n">
        <v>0</v>
      </c>
      <c r="T53" t="n">
        <v>0</v>
      </c>
      <c r="U53" t="n">
        <v>0</v>
      </c>
      <c r="V53" t="n">
        <v>8.19</v>
      </c>
      <c r="W53" t="n">
        <v>171.99</v>
      </c>
      <c r="X53" t="n">
        <v>163.8</v>
      </c>
      <c r="Y53" t="n">
        <v>19</v>
      </c>
      <c r="Z53" t="n">
        <v>31.12</v>
      </c>
      <c r="AA53" t="n">
        <v>3.16</v>
      </c>
      <c r="AB53" t="n">
        <v>34.28</v>
      </c>
      <c r="AC53" t="n">
        <v>6.17</v>
      </c>
      <c r="AD53" t="n">
        <v>0</v>
      </c>
      <c r="AE53" t="n">
        <v>163.8</v>
      </c>
      <c r="AF53" t="n">
        <v>0</v>
      </c>
      <c r="AG53" t="n">
        <v>0</v>
      </c>
      <c r="AH53" t="n">
        <v>0.16</v>
      </c>
      <c r="AI53" t="n">
        <v>8.199999999999999</v>
      </c>
      <c r="AJ53" t="n">
        <v>-0.01</v>
      </c>
      <c r="AK53" t="n">
        <v>14.53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48.81</v>
      </c>
      <c r="AV53" t="n">
        <v>0</v>
      </c>
      <c r="AW53" t="n">
        <v>123.18</v>
      </c>
      <c r="AX53" t="inlineStr">
        <is>
          <t>settled</t>
        </is>
      </c>
      <c r="AY53" t="inlineStr">
        <is>
          <t>NA</t>
        </is>
      </c>
      <c r="AZ53" t="inlineStr">
        <is>
          <t>NA</t>
        </is>
      </c>
      <c r="BA53" t="n">
        <v>0</v>
      </c>
      <c r="BB53" t="inlineStr">
        <is>
          <t>2b2fdecdb0bd897f632c07479607dbd5f7edea7eadbfa7f82ab53b5ac38f7e7a</t>
        </is>
      </c>
    </row>
    <row r="54">
      <c r="A54" t="inlineStr">
        <is>
          <t>1084</t>
        </is>
      </c>
      <c r="B54" t="inlineStr">
        <is>
          <t>7602759908</t>
        </is>
      </c>
      <c r="C54" t="inlineStr">
        <is>
          <t>2025-12-23 04:10:26</t>
        </is>
      </c>
      <c r="D54" t="inlineStr">
        <is>
          <t>52</t>
        </is>
      </c>
      <c r="E54" t="inlineStr">
        <is>
          <t>Sha Sha - Shandaar Shawarma</t>
        </is>
      </c>
      <c r="F54" t="inlineStr">
        <is>
          <t>18557902</t>
        </is>
      </c>
      <c r="G54" t="inlineStr">
        <is>
          <t>30% off upto ₹75 (2025-06-25 - 2031-01-01)</t>
        </is>
      </c>
      <c r="H54" t="inlineStr">
        <is>
          <t>ONLINE</t>
        </is>
      </c>
      <c r="I54" t="inlineStr">
        <is>
          <t>DELIVERED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O2</t>
        </is>
      </c>
      <c r="N54" t="inlineStr">
        <is>
          <t>36</t>
        </is>
      </c>
      <c r="O54" t="n">
        <v>438</v>
      </c>
      <c r="P54" t="n">
        <v>3.5</v>
      </c>
      <c r="Q54" t="n">
        <v>0</v>
      </c>
      <c r="R54" t="n">
        <v>75</v>
      </c>
      <c r="S54" t="n">
        <v>0</v>
      </c>
      <c r="T54" t="n">
        <v>0</v>
      </c>
      <c r="U54" t="n">
        <v>0</v>
      </c>
      <c r="V54" t="n">
        <v>18.33</v>
      </c>
      <c r="W54" t="n">
        <v>384.83</v>
      </c>
      <c r="X54" t="n">
        <v>366.5</v>
      </c>
      <c r="Y54" t="n">
        <v>19</v>
      </c>
      <c r="Z54" t="n">
        <v>69.64</v>
      </c>
      <c r="AA54" t="n">
        <v>7.08</v>
      </c>
      <c r="AB54" t="n">
        <v>76.72</v>
      </c>
      <c r="AC54" t="n">
        <v>13.81</v>
      </c>
      <c r="AD54" t="n">
        <v>0</v>
      </c>
      <c r="AE54" t="n">
        <v>366.5</v>
      </c>
      <c r="AF54" t="n">
        <v>0</v>
      </c>
      <c r="AG54" t="n">
        <v>0</v>
      </c>
      <c r="AH54" t="n">
        <v>0.37</v>
      </c>
      <c r="AI54" t="n">
        <v>18.33</v>
      </c>
      <c r="AJ54" t="n">
        <v>0</v>
      </c>
      <c r="AK54" t="n">
        <v>32.51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109.23</v>
      </c>
      <c r="AV54" t="n">
        <v>0</v>
      </c>
      <c r="AW54" t="n">
        <v>275.6</v>
      </c>
      <c r="AX54" t="inlineStr">
        <is>
          <t>settled</t>
        </is>
      </c>
      <c r="AY54" t="inlineStr">
        <is>
          <t>NA</t>
        </is>
      </c>
      <c r="AZ54" t="inlineStr">
        <is>
          <t>NA</t>
        </is>
      </c>
      <c r="BA54" t="n">
        <v>0</v>
      </c>
      <c r="BB54" t="inlineStr">
        <is>
          <t>9e606fea52c3e1bb81ae2fd6399abbbb6b7b7a026f1906c5bf4af1a2e600969f</t>
        </is>
      </c>
    </row>
    <row r="55">
      <c r="A55" t="inlineStr">
        <is>
          <t>1085</t>
        </is>
      </c>
      <c r="B55" t="inlineStr">
        <is>
          <t>7605984257</t>
        </is>
      </c>
      <c r="C55" t="inlineStr">
        <is>
          <t>2025-12-23 09:28:41</t>
        </is>
      </c>
      <c r="D55" t="inlineStr">
        <is>
          <t>52</t>
        </is>
      </c>
      <c r="E55" t="inlineStr">
        <is>
          <t>Sha Sha - Shandaar Shawarma</t>
        </is>
      </c>
      <c r="F55" t="inlineStr">
        <is>
          <t>18557902</t>
        </is>
      </c>
      <c r="G55" t="inlineStr">
        <is>
          <t>30% off upto ₹75 (2025-06-25 - 2031-01-01)</t>
        </is>
      </c>
      <c r="H55" t="inlineStr">
        <is>
          <t>ONLINE</t>
        </is>
      </c>
      <c r="I55" t="inlineStr">
        <is>
          <t>DELIVERED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O2</t>
        </is>
      </c>
      <c r="N55" t="inlineStr">
        <is>
          <t>36</t>
        </is>
      </c>
      <c r="O55" t="n">
        <v>667</v>
      </c>
      <c r="P55" t="n">
        <v>3.5</v>
      </c>
      <c r="Q55" t="n">
        <v>0</v>
      </c>
      <c r="R55" t="n">
        <v>75</v>
      </c>
      <c r="S55" t="n">
        <v>0</v>
      </c>
      <c r="T55" t="n">
        <v>0</v>
      </c>
      <c r="U55" t="n">
        <v>0</v>
      </c>
      <c r="V55" t="n">
        <v>29.78</v>
      </c>
      <c r="W55" t="n">
        <v>625.28</v>
      </c>
      <c r="X55" t="n">
        <v>595.5</v>
      </c>
      <c r="Y55" t="n">
        <v>19</v>
      </c>
      <c r="Z55" t="n">
        <v>113.14</v>
      </c>
      <c r="AA55" t="n">
        <v>11.51</v>
      </c>
      <c r="AB55" t="n">
        <v>124.65</v>
      </c>
      <c r="AC55" t="n">
        <v>22.44</v>
      </c>
      <c r="AD55" t="n">
        <v>0</v>
      </c>
      <c r="AE55" t="n">
        <v>595.5</v>
      </c>
      <c r="AF55" t="n">
        <v>0</v>
      </c>
      <c r="AG55" t="n">
        <v>0</v>
      </c>
      <c r="AH55" t="n">
        <v>0.6</v>
      </c>
      <c r="AI55" t="n">
        <v>29.78</v>
      </c>
      <c r="AJ55" t="n">
        <v>0</v>
      </c>
      <c r="AK55" t="n">
        <v>52.82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177.47</v>
      </c>
      <c r="AV55" t="n">
        <v>0</v>
      </c>
      <c r="AW55" t="n">
        <v>447.81</v>
      </c>
      <c r="AX55" t="inlineStr">
        <is>
          <t>settled</t>
        </is>
      </c>
      <c r="AY55" t="inlineStr">
        <is>
          <t>NA</t>
        </is>
      </c>
      <c r="AZ55" t="inlineStr">
        <is>
          <t>NA</t>
        </is>
      </c>
      <c r="BA55" t="n">
        <v>0</v>
      </c>
      <c r="BB55" t="inlineStr">
        <is>
          <t>122d05f021be3e9b423ae4d5a8e7794748be18354ff244e16c765e77206fb60f</t>
        </is>
      </c>
    </row>
    <row r="56">
      <c r="A56" t="inlineStr">
        <is>
          <t>1086</t>
        </is>
      </c>
      <c r="B56" t="inlineStr">
        <is>
          <t>7590460132</t>
        </is>
      </c>
      <c r="C56" t="inlineStr">
        <is>
          <t>2025-12-23 13:00:51</t>
        </is>
      </c>
      <c r="D56" t="inlineStr">
        <is>
          <t>52</t>
        </is>
      </c>
      <c r="E56" t="inlineStr">
        <is>
          <t>Sha Sha - Shandaar Shawarma</t>
        </is>
      </c>
      <c r="F56" t="inlineStr">
        <is>
          <t>18557902</t>
        </is>
      </c>
      <c r="G56" t="inlineStr">
        <is>
          <t>30% off upto ₹75 (2025-06-25 - 2031-01-01)</t>
        </is>
      </c>
      <c r="H56" t="inlineStr">
        <is>
          <t>ONLINE</t>
        </is>
      </c>
      <c r="I56" t="inlineStr">
        <is>
          <t>DELIVERED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O2</t>
        </is>
      </c>
      <c r="N56" t="inlineStr">
        <is>
          <t>36</t>
        </is>
      </c>
      <c r="O56" t="n">
        <v>229</v>
      </c>
      <c r="P56" t="n">
        <v>3.5</v>
      </c>
      <c r="Q56" t="n">
        <v>0</v>
      </c>
      <c r="R56" t="n">
        <v>68.7</v>
      </c>
      <c r="S56" t="n">
        <v>0</v>
      </c>
      <c r="T56" t="n">
        <v>0</v>
      </c>
      <c r="U56" t="n">
        <v>0</v>
      </c>
      <c r="V56" t="n">
        <v>8.19</v>
      </c>
      <c r="W56" t="n">
        <v>171.99</v>
      </c>
      <c r="X56" t="n">
        <v>163.8</v>
      </c>
      <c r="Y56" t="n">
        <v>19</v>
      </c>
      <c r="Z56" t="n">
        <v>31.12</v>
      </c>
      <c r="AA56" t="n">
        <v>3.16</v>
      </c>
      <c r="AB56" t="n">
        <v>34.28</v>
      </c>
      <c r="AC56" t="n">
        <v>6.17</v>
      </c>
      <c r="AD56" t="n">
        <v>0</v>
      </c>
      <c r="AE56" t="n">
        <v>163.8</v>
      </c>
      <c r="AF56" t="n">
        <v>0</v>
      </c>
      <c r="AG56" t="n">
        <v>0</v>
      </c>
      <c r="AH56" t="n">
        <v>0.16</v>
      </c>
      <c r="AI56" t="n">
        <v>8.199999999999999</v>
      </c>
      <c r="AJ56" t="n">
        <v>-0.01</v>
      </c>
      <c r="AK56" t="n">
        <v>14.53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48.81</v>
      </c>
      <c r="AV56" t="n">
        <v>0</v>
      </c>
      <c r="AW56" t="n">
        <v>123.18</v>
      </c>
      <c r="AX56" t="inlineStr">
        <is>
          <t>settled</t>
        </is>
      </c>
      <c r="AY56" t="inlineStr">
        <is>
          <t>NA</t>
        </is>
      </c>
      <c r="AZ56" t="inlineStr">
        <is>
          <t>NA</t>
        </is>
      </c>
      <c r="BA56" t="n">
        <v>0</v>
      </c>
      <c r="BB56" t="inlineStr">
        <is>
          <t>806d9514095c97b4839eaf899b131ad4602e744a913dd410aab364ef38f1c0cf</t>
        </is>
      </c>
    </row>
    <row r="57">
      <c r="A57" t="inlineStr">
        <is>
          <t>1087</t>
        </is>
      </c>
      <c r="B57" t="inlineStr">
        <is>
          <t>7611457080</t>
        </is>
      </c>
      <c r="C57" t="inlineStr">
        <is>
          <t>2025-12-23 13:39:14</t>
        </is>
      </c>
      <c r="D57" t="inlineStr">
        <is>
          <t>52</t>
        </is>
      </c>
      <c r="E57" t="inlineStr">
        <is>
          <t>Sha Sha - Shandaar Shawarma</t>
        </is>
      </c>
      <c r="F57" t="inlineStr">
        <is>
          <t>18557902</t>
        </is>
      </c>
      <c r="G57" t="inlineStr">
        <is>
          <t>30% off upto ₹75 (2025-06-25 - 2031-01-01)</t>
        </is>
      </c>
      <c r="H57" t="inlineStr">
        <is>
          <t>ONLINE</t>
        </is>
      </c>
      <c r="I57" t="inlineStr">
        <is>
          <t>DELIVERED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O2</t>
        </is>
      </c>
      <c r="N57" t="inlineStr">
        <is>
          <t>36</t>
        </is>
      </c>
      <c r="O57" t="n">
        <v>229</v>
      </c>
      <c r="P57" t="n">
        <v>3.5</v>
      </c>
      <c r="Q57" t="n">
        <v>0</v>
      </c>
      <c r="R57" t="n">
        <v>68.7</v>
      </c>
      <c r="S57" t="n">
        <v>0</v>
      </c>
      <c r="T57" t="n">
        <v>0</v>
      </c>
      <c r="U57" t="n">
        <v>0</v>
      </c>
      <c r="V57" t="n">
        <v>8.19</v>
      </c>
      <c r="W57" t="n">
        <v>171.99</v>
      </c>
      <c r="X57" t="n">
        <v>163.8</v>
      </c>
      <c r="Y57" t="n">
        <v>19</v>
      </c>
      <c r="Z57" t="n">
        <v>31.12</v>
      </c>
      <c r="AA57" t="n">
        <v>3.16</v>
      </c>
      <c r="AB57" t="n">
        <v>34.28</v>
      </c>
      <c r="AC57" t="n">
        <v>6.17</v>
      </c>
      <c r="AD57" t="n">
        <v>0</v>
      </c>
      <c r="AE57" t="n">
        <v>163.8</v>
      </c>
      <c r="AF57" t="n">
        <v>0</v>
      </c>
      <c r="AG57" t="n">
        <v>0</v>
      </c>
      <c r="AH57" t="n">
        <v>0.16</v>
      </c>
      <c r="AI57" t="n">
        <v>8.199999999999999</v>
      </c>
      <c r="AJ57" t="n">
        <v>-0.01</v>
      </c>
      <c r="AK57" t="n">
        <v>14.53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48.81</v>
      </c>
      <c r="AV57" t="n">
        <v>0</v>
      </c>
      <c r="AW57" t="n">
        <v>123.18</v>
      </c>
      <c r="AX57" t="inlineStr">
        <is>
          <t>settled</t>
        </is>
      </c>
      <c r="AY57" t="inlineStr">
        <is>
          <t>NA</t>
        </is>
      </c>
      <c r="AZ57" t="inlineStr">
        <is>
          <t>NA</t>
        </is>
      </c>
      <c r="BA57" t="n">
        <v>0</v>
      </c>
      <c r="BB57" t="inlineStr">
        <is>
          <t>98f33eaac14626402edcc2101a4d5af56c5bab3bea03feadc91c8714ae1ae7fe</t>
        </is>
      </c>
    </row>
    <row r="58">
      <c r="A58" t="inlineStr">
        <is>
          <t>1088</t>
        </is>
      </c>
      <c r="B58" t="inlineStr">
        <is>
          <t>7605971869</t>
        </is>
      </c>
      <c r="C58" t="inlineStr">
        <is>
          <t>2025-12-23 17:54:56</t>
        </is>
      </c>
      <c r="D58" t="inlineStr">
        <is>
          <t>52</t>
        </is>
      </c>
      <c r="E58" t="inlineStr">
        <is>
          <t>Sha Sha - Shandaar Shawarma</t>
        </is>
      </c>
      <c r="F58" t="inlineStr">
        <is>
          <t>18557902</t>
        </is>
      </c>
      <c r="G58" t="inlineStr">
        <is>
          <t>30% off upto ₹75 (2025-06-25 - 2031-01-01)</t>
        </is>
      </c>
      <c r="H58" t="inlineStr">
        <is>
          <t>ONLINE</t>
        </is>
      </c>
      <c r="I58" t="inlineStr">
        <is>
          <t>DELIVERED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O2</t>
        </is>
      </c>
      <c r="N58" t="inlineStr">
        <is>
          <t>36</t>
        </is>
      </c>
      <c r="O58" t="n">
        <v>229</v>
      </c>
      <c r="P58" t="n">
        <v>3.5</v>
      </c>
      <c r="Q58" t="n">
        <v>0</v>
      </c>
      <c r="R58" t="n">
        <v>68.7</v>
      </c>
      <c r="S58" t="n">
        <v>0</v>
      </c>
      <c r="T58" t="n">
        <v>0</v>
      </c>
      <c r="U58" t="n">
        <v>0</v>
      </c>
      <c r="V58" t="n">
        <v>8.19</v>
      </c>
      <c r="W58" t="n">
        <v>171.99</v>
      </c>
      <c r="X58" t="n">
        <v>163.8</v>
      </c>
      <c r="Y58" t="n">
        <v>19</v>
      </c>
      <c r="Z58" t="n">
        <v>31.12</v>
      </c>
      <c r="AA58" t="n">
        <v>3.16</v>
      </c>
      <c r="AB58" t="n">
        <v>34.28</v>
      </c>
      <c r="AC58" t="n">
        <v>6.17</v>
      </c>
      <c r="AD58" t="n">
        <v>0</v>
      </c>
      <c r="AE58" t="n">
        <v>163.8</v>
      </c>
      <c r="AF58" t="n">
        <v>0</v>
      </c>
      <c r="AG58" t="n">
        <v>0</v>
      </c>
      <c r="AH58" t="n">
        <v>0.16</v>
      </c>
      <c r="AI58" t="n">
        <v>8.199999999999999</v>
      </c>
      <c r="AJ58" t="n">
        <v>-0.01</v>
      </c>
      <c r="AK58" t="n">
        <v>14.53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48.81</v>
      </c>
      <c r="AV58" t="n">
        <v>0</v>
      </c>
      <c r="AW58" t="n">
        <v>123.18</v>
      </c>
      <c r="AX58" t="inlineStr">
        <is>
          <t>settled</t>
        </is>
      </c>
      <c r="AY58" t="inlineStr">
        <is>
          <t>NA</t>
        </is>
      </c>
      <c r="AZ58" t="inlineStr">
        <is>
          <t>NA</t>
        </is>
      </c>
      <c r="BA58" t="n">
        <v>0</v>
      </c>
      <c r="BB58" t="inlineStr">
        <is>
          <t>68cc18821cdc58900fdfc9cefdb931deaa992d5145eee30eb13b66f93c73a0d2</t>
        </is>
      </c>
    </row>
    <row r="59">
      <c r="A59" t="inlineStr">
        <is>
          <t>1089</t>
        </is>
      </c>
      <c r="B59" t="inlineStr">
        <is>
          <t>7612951192</t>
        </is>
      </c>
      <c r="C59" t="inlineStr">
        <is>
          <t>2025-12-23 18:10:48</t>
        </is>
      </c>
      <c r="D59" t="inlineStr">
        <is>
          <t>52</t>
        </is>
      </c>
      <c r="E59" t="inlineStr">
        <is>
          <t>Sha Sha - Shandaar Shawarma</t>
        </is>
      </c>
      <c r="F59" t="inlineStr">
        <is>
          <t>18557902</t>
        </is>
      </c>
      <c r="G59" t="inlineStr">
        <is>
          <t>30% off upto ₹75 (2025-06-25 - 2031-01-01)</t>
        </is>
      </c>
      <c r="H59" t="inlineStr">
        <is>
          <t>ONLINE</t>
        </is>
      </c>
      <c r="I59" t="inlineStr">
        <is>
          <t>DELIVERED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O2</t>
        </is>
      </c>
      <c r="N59" t="inlineStr">
        <is>
          <t>36</t>
        </is>
      </c>
      <c r="O59" t="n">
        <v>458</v>
      </c>
      <c r="P59" t="n">
        <v>3.5</v>
      </c>
      <c r="Q59" t="n">
        <v>0</v>
      </c>
      <c r="R59" t="n">
        <v>75</v>
      </c>
      <c r="S59" t="n">
        <v>0</v>
      </c>
      <c r="T59" t="n">
        <v>0</v>
      </c>
      <c r="U59" t="n">
        <v>0</v>
      </c>
      <c r="V59" t="n">
        <v>19.33</v>
      </c>
      <c r="W59" t="n">
        <v>405.83</v>
      </c>
      <c r="X59" t="n">
        <v>386.5</v>
      </c>
      <c r="Y59" t="n">
        <v>19</v>
      </c>
      <c r="Z59" t="n">
        <v>73.44</v>
      </c>
      <c r="AA59" t="n">
        <v>7.47</v>
      </c>
      <c r="AB59" t="n">
        <v>80.91</v>
      </c>
      <c r="AC59" t="n">
        <v>14.56</v>
      </c>
      <c r="AD59" t="n">
        <v>0</v>
      </c>
      <c r="AE59" t="n">
        <v>386.5</v>
      </c>
      <c r="AF59" t="n">
        <v>0</v>
      </c>
      <c r="AG59" t="n">
        <v>0</v>
      </c>
      <c r="AH59" t="n">
        <v>0.39</v>
      </c>
      <c r="AI59" t="n">
        <v>19.33</v>
      </c>
      <c r="AJ59" t="n">
        <v>0</v>
      </c>
      <c r="AK59" t="n">
        <v>34.28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115.19</v>
      </c>
      <c r="AV59" t="n">
        <v>0</v>
      </c>
      <c r="AW59" t="n">
        <v>290.64</v>
      </c>
      <c r="AX59" t="inlineStr">
        <is>
          <t>settled</t>
        </is>
      </c>
      <c r="AY59" t="inlineStr">
        <is>
          <t>NA</t>
        </is>
      </c>
      <c r="AZ59" t="inlineStr">
        <is>
          <t>NA</t>
        </is>
      </c>
      <c r="BA59" t="n">
        <v>0</v>
      </c>
      <c r="BB59" t="inlineStr">
        <is>
          <t>5ca2a1d28c78026a5a128241ed7eb6b63f65e742895049145054a842fd60fd52</t>
        </is>
      </c>
    </row>
    <row r="60">
      <c r="A60" t="inlineStr">
        <is>
          <t>1090</t>
        </is>
      </c>
      <c r="B60" t="inlineStr">
        <is>
          <t>7612713038</t>
        </is>
      </c>
      <c r="C60" t="inlineStr">
        <is>
          <t>2025-12-23 18:11:08</t>
        </is>
      </c>
      <c r="D60" t="inlineStr">
        <is>
          <t>52</t>
        </is>
      </c>
      <c r="E60" t="inlineStr">
        <is>
          <t>Sha Sha - Shandaar Shawarma</t>
        </is>
      </c>
      <c r="F60" t="inlineStr">
        <is>
          <t>18557902</t>
        </is>
      </c>
      <c r="G60" t="inlineStr">
        <is>
          <t>30% off upto ₹75 (2025-06-25 - 2031-01-01)</t>
        </is>
      </c>
      <c r="H60" t="inlineStr">
        <is>
          <t>ONLINE</t>
        </is>
      </c>
      <c r="I60" t="inlineStr">
        <is>
          <t>DELIVERED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O2</t>
        </is>
      </c>
      <c r="N60" t="inlineStr">
        <is>
          <t>36</t>
        </is>
      </c>
      <c r="O60" t="n">
        <v>229</v>
      </c>
      <c r="P60" t="n">
        <v>3.5</v>
      </c>
      <c r="Q60" t="n">
        <v>0</v>
      </c>
      <c r="R60" t="n">
        <v>68.7</v>
      </c>
      <c r="S60" t="n">
        <v>0</v>
      </c>
      <c r="T60" t="n">
        <v>0</v>
      </c>
      <c r="U60" t="n">
        <v>0</v>
      </c>
      <c r="V60" t="n">
        <v>8.19</v>
      </c>
      <c r="W60" t="n">
        <v>171.99</v>
      </c>
      <c r="X60" t="n">
        <v>163.8</v>
      </c>
      <c r="Y60" t="n">
        <v>19</v>
      </c>
      <c r="Z60" t="n">
        <v>31.12</v>
      </c>
      <c r="AA60" t="n">
        <v>3.16</v>
      </c>
      <c r="AB60" t="n">
        <v>34.28</v>
      </c>
      <c r="AC60" t="n">
        <v>6.17</v>
      </c>
      <c r="AD60" t="n">
        <v>0</v>
      </c>
      <c r="AE60" t="n">
        <v>163.8</v>
      </c>
      <c r="AF60" t="n">
        <v>0</v>
      </c>
      <c r="AG60" t="n">
        <v>0</v>
      </c>
      <c r="AH60" t="n">
        <v>0.16</v>
      </c>
      <c r="AI60" t="n">
        <v>8.199999999999999</v>
      </c>
      <c r="AJ60" t="n">
        <v>-0.01</v>
      </c>
      <c r="AK60" t="n">
        <v>14.53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48.81</v>
      </c>
      <c r="AV60" t="n">
        <v>0</v>
      </c>
      <c r="AW60" t="n">
        <v>123.18</v>
      </c>
      <c r="AX60" t="inlineStr">
        <is>
          <t>settled</t>
        </is>
      </c>
      <c r="AY60" t="inlineStr">
        <is>
          <t>NA</t>
        </is>
      </c>
      <c r="AZ60" t="inlineStr">
        <is>
          <t>NA</t>
        </is>
      </c>
      <c r="BA60" t="n">
        <v>0</v>
      </c>
      <c r="BB60" t="inlineStr">
        <is>
          <t>45cbb8beabcc5654ccf145913ca017662ede10ab8d3f5b130b56e3468aaaa89c</t>
        </is>
      </c>
    </row>
    <row r="61">
      <c r="A61" t="inlineStr">
        <is>
          <t>1091</t>
        </is>
      </c>
      <c r="B61" t="inlineStr">
        <is>
          <t>7612581851</t>
        </is>
      </c>
      <c r="C61" t="inlineStr">
        <is>
          <t>2025-12-23 18:39:43</t>
        </is>
      </c>
      <c r="D61" t="inlineStr">
        <is>
          <t>52</t>
        </is>
      </c>
      <c r="E61" t="inlineStr">
        <is>
          <t>Sha Sha - Shandaar Shawarma</t>
        </is>
      </c>
      <c r="F61" t="inlineStr">
        <is>
          <t>18557902</t>
        </is>
      </c>
      <c r="G61" t="inlineStr">
        <is>
          <t>30% off upto ₹75 (2025-06-25 - 2031-01-01)</t>
        </is>
      </c>
      <c r="H61" t="inlineStr">
        <is>
          <t>ONLINE</t>
        </is>
      </c>
      <c r="I61" t="inlineStr">
        <is>
          <t>DELIVERED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O2</t>
        </is>
      </c>
      <c r="N61" t="inlineStr">
        <is>
          <t>36</t>
        </is>
      </c>
      <c r="O61" t="n">
        <v>219</v>
      </c>
      <c r="P61" t="n">
        <v>3.5</v>
      </c>
      <c r="Q61" t="n">
        <v>0</v>
      </c>
      <c r="R61" t="n">
        <v>65.7</v>
      </c>
      <c r="S61" t="n">
        <v>0</v>
      </c>
      <c r="T61" t="n">
        <v>0</v>
      </c>
      <c r="U61" t="n">
        <v>0</v>
      </c>
      <c r="V61" t="n">
        <v>7.84</v>
      </c>
      <c r="W61" t="n">
        <v>164.64</v>
      </c>
      <c r="X61" t="n">
        <v>156.8</v>
      </c>
      <c r="Y61" t="n">
        <v>19</v>
      </c>
      <c r="Z61" t="n">
        <v>29.79</v>
      </c>
      <c r="AA61" t="n">
        <v>3.03</v>
      </c>
      <c r="AB61" t="n">
        <v>32.82</v>
      </c>
      <c r="AC61" t="n">
        <v>5.91</v>
      </c>
      <c r="AD61" t="n">
        <v>0</v>
      </c>
      <c r="AE61" t="n">
        <v>156.8</v>
      </c>
      <c r="AF61" t="n">
        <v>0</v>
      </c>
      <c r="AG61" t="n">
        <v>0</v>
      </c>
      <c r="AH61" t="n">
        <v>0.16</v>
      </c>
      <c r="AI61" t="n">
        <v>7.85</v>
      </c>
      <c r="AJ61" t="n">
        <v>-0.01</v>
      </c>
      <c r="AK61" t="n">
        <v>13.92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46.74</v>
      </c>
      <c r="AV61" t="n">
        <v>0</v>
      </c>
      <c r="AW61" t="n">
        <v>117.9</v>
      </c>
      <c r="AX61" t="inlineStr">
        <is>
          <t>settled</t>
        </is>
      </c>
      <c r="AY61" t="inlineStr">
        <is>
          <t>NA</t>
        </is>
      </c>
      <c r="AZ61" t="inlineStr">
        <is>
          <t>NA</t>
        </is>
      </c>
      <c r="BA61" t="n">
        <v>0</v>
      </c>
      <c r="BB61" t="inlineStr">
        <is>
          <t>e66a22f37b7dc8e517334acdef146ef412143a9d151285492717c2a0512bff38</t>
        </is>
      </c>
    </row>
    <row r="62">
      <c r="A62" t="inlineStr">
        <is>
          <t>1092</t>
        </is>
      </c>
      <c r="B62" t="inlineStr">
        <is>
          <t>7600441743</t>
        </is>
      </c>
      <c r="C62" t="inlineStr">
        <is>
          <t>2025-12-23 18:49:21</t>
        </is>
      </c>
      <c r="D62" t="inlineStr">
        <is>
          <t>52</t>
        </is>
      </c>
      <c r="E62" t="inlineStr">
        <is>
          <t>Sha Sha - Shandaar Shawarma</t>
        </is>
      </c>
      <c r="F62" t="inlineStr">
        <is>
          <t>18557902</t>
        </is>
      </c>
      <c r="G62" t="inlineStr">
        <is>
          <t>30% off upto ₹75 (2025-06-25 - 2031-01-01)</t>
        </is>
      </c>
      <c r="H62" t="inlineStr">
        <is>
          <t>ONLINE</t>
        </is>
      </c>
      <c r="I62" t="inlineStr">
        <is>
          <t>DELIVERED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O2</t>
        </is>
      </c>
      <c r="N62" t="inlineStr">
        <is>
          <t>36</t>
        </is>
      </c>
      <c r="O62" t="n">
        <v>229</v>
      </c>
      <c r="P62" t="n">
        <v>3.5</v>
      </c>
      <c r="Q62" t="n">
        <v>0</v>
      </c>
      <c r="R62" t="n">
        <v>68.7</v>
      </c>
      <c r="S62" t="n">
        <v>0</v>
      </c>
      <c r="T62" t="n">
        <v>0</v>
      </c>
      <c r="U62" t="n">
        <v>0</v>
      </c>
      <c r="V62" t="n">
        <v>8.19</v>
      </c>
      <c r="W62" t="n">
        <v>171.99</v>
      </c>
      <c r="X62" t="n">
        <v>163.8</v>
      </c>
      <c r="Y62" t="n">
        <v>19</v>
      </c>
      <c r="Z62" t="n">
        <v>31.12</v>
      </c>
      <c r="AA62" t="n">
        <v>3.16</v>
      </c>
      <c r="AB62" t="n">
        <v>34.28</v>
      </c>
      <c r="AC62" t="n">
        <v>6.17</v>
      </c>
      <c r="AD62" t="n">
        <v>0</v>
      </c>
      <c r="AE62" t="n">
        <v>163.8</v>
      </c>
      <c r="AF62" t="n">
        <v>0</v>
      </c>
      <c r="AG62" t="n">
        <v>0</v>
      </c>
      <c r="AH62" t="n">
        <v>0.16</v>
      </c>
      <c r="AI62" t="n">
        <v>8.199999999999999</v>
      </c>
      <c r="AJ62" t="n">
        <v>-0.01</v>
      </c>
      <c r="AK62" t="n">
        <v>14.53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48.81</v>
      </c>
      <c r="AV62" t="n">
        <v>0</v>
      </c>
      <c r="AW62" t="n">
        <v>123.18</v>
      </c>
      <c r="AX62" t="inlineStr">
        <is>
          <t>settled</t>
        </is>
      </c>
      <c r="AY62" t="inlineStr">
        <is>
          <t>NA</t>
        </is>
      </c>
      <c r="AZ62" t="inlineStr">
        <is>
          <t>NA</t>
        </is>
      </c>
      <c r="BA62" t="n">
        <v>0</v>
      </c>
      <c r="BB62" t="inlineStr">
        <is>
          <t>676c740b5d87e83453f9fb7a0922af4fc47faf81ab4aa2e3d9d826dc57ebb87c</t>
        </is>
      </c>
    </row>
    <row r="63">
      <c r="A63" t="inlineStr">
        <is>
          <t>1093</t>
        </is>
      </c>
      <c r="B63" t="inlineStr">
        <is>
          <t>7604233414</t>
        </is>
      </c>
      <c r="C63" t="inlineStr">
        <is>
          <t>2025-12-23 18:58:00</t>
        </is>
      </c>
      <c r="D63" t="inlineStr">
        <is>
          <t>52</t>
        </is>
      </c>
      <c r="E63" t="inlineStr">
        <is>
          <t>Sha Sha - Shandaar Shawarma</t>
        </is>
      </c>
      <c r="F63" t="inlineStr">
        <is>
          <t>18557902</t>
        </is>
      </c>
      <c r="G63" t="inlineStr">
        <is>
          <t>30% off upto ₹75 (2025-06-25 - 2031-01-01)</t>
        </is>
      </c>
      <c r="H63" t="inlineStr">
        <is>
          <t>ONLINE</t>
        </is>
      </c>
      <c r="I63" t="inlineStr">
        <is>
          <t>DELIVERED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O2</t>
        </is>
      </c>
      <c r="N63" t="inlineStr">
        <is>
          <t>36</t>
        </is>
      </c>
      <c r="O63" t="n">
        <v>229</v>
      </c>
      <c r="P63" t="n">
        <v>3.5</v>
      </c>
      <c r="Q63" t="n">
        <v>0</v>
      </c>
      <c r="R63" t="n">
        <v>68.7</v>
      </c>
      <c r="S63" t="n">
        <v>0</v>
      </c>
      <c r="T63" t="n">
        <v>0</v>
      </c>
      <c r="U63" t="n">
        <v>0</v>
      </c>
      <c r="V63" t="n">
        <v>8.19</v>
      </c>
      <c r="W63" t="n">
        <v>171.99</v>
      </c>
      <c r="X63" t="n">
        <v>163.8</v>
      </c>
      <c r="Y63" t="n">
        <v>19</v>
      </c>
      <c r="Z63" t="n">
        <v>31.12</v>
      </c>
      <c r="AA63" t="n">
        <v>3.16</v>
      </c>
      <c r="AB63" t="n">
        <v>34.28</v>
      </c>
      <c r="AC63" t="n">
        <v>6.17</v>
      </c>
      <c r="AD63" t="n">
        <v>0</v>
      </c>
      <c r="AE63" t="n">
        <v>163.8</v>
      </c>
      <c r="AF63" t="n">
        <v>0</v>
      </c>
      <c r="AG63" t="n">
        <v>0</v>
      </c>
      <c r="AH63" t="n">
        <v>0.16</v>
      </c>
      <c r="AI63" t="n">
        <v>8.199999999999999</v>
      </c>
      <c r="AJ63" t="n">
        <v>-0.01</v>
      </c>
      <c r="AK63" t="n">
        <v>14.53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48.81</v>
      </c>
      <c r="AV63" t="n">
        <v>0</v>
      </c>
      <c r="AW63" t="n">
        <v>123.18</v>
      </c>
      <c r="AX63" t="inlineStr">
        <is>
          <t>settled</t>
        </is>
      </c>
      <c r="AY63" t="inlineStr">
        <is>
          <t>NA</t>
        </is>
      </c>
      <c r="AZ63" t="inlineStr">
        <is>
          <t>NA</t>
        </is>
      </c>
      <c r="BA63" t="n">
        <v>0</v>
      </c>
      <c r="BB63" t="inlineStr">
        <is>
          <t>022681d3f434025d3e1be1fdc02ba6b0877a0be79db7ec249b6e3ab4420116a6</t>
        </is>
      </c>
    </row>
    <row r="64">
      <c r="A64" t="inlineStr">
        <is>
          <t>1094</t>
        </is>
      </c>
      <c r="B64" t="inlineStr">
        <is>
          <t>7613297657</t>
        </is>
      </c>
      <c r="C64" t="inlineStr">
        <is>
          <t>2025-12-23 19:01:35</t>
        </is>
      </c>
      <c r="D64" t="inlineStr">
        <is>
          <t>52</t>
        </is>
      </c>
      <c r="E64" t="inlineStr">
        <is>
          <t>Sha Sha - Shandaar Shawarma</t>
        </is>
      </c>
      <c r="F64" t="inlineStr">
        <is>
          <t>18557902</t>
        </is>
      </c>
      <c r="G64" t="inlineStr">
        <is>
          <t>30% off upto ₹75 (2025-06-25 - 2031-01-01)</t>
        </is>
      </c>
      <c r="H64" t="inlineStr">
        <is>
          <t>ONLINE</t>
        </is>
      </c>
      <c r="I64" t="inlineStr">
        <is>
          <t>DELIVERED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O2</t>
        </is>
      </c>
      <c r="N64" t="inlineStr">
        <is>
          <t>36</t>
        </is>
      </c>
      <c r="O64" t="n">
        <v>458</v>
      </c>
      <c r="P64" t="n">
        <v>3.5</v>
      </c>
      <c r="Q64" t="n">
        <v>0</v>
      </c>
      <c r="R64" t="n">
        <v>75</v>
      </c>
      <c r="S64" t="n">
        <v>0</v>
      </c>
      <c r="T64" t="n">
        <v>0</v>
      </c>
      <c r="U64" t="n">
        <v>0</v>
      </c>
      <c r="V64" t="n">
        <v>19.33</v>
      </c>
      <c r="W64" t="n">
        <v>405.83</v>
      </c>
      <c r="X64" t="n">
        <v>386.5</v>
      </c>
      <c r="Y64" t="n">
        <v>19</v>
      </c>
      <c r="Z64" t="n">
        <v>73.44</v>
      </c>
      <c r="AA64" t="n">
        <v>7.47</v>
      </c>
      <c r="AB64" t="n">
        <v>80.91</v>
      </c>
      <c r="AC64" t="n">
        <v>14.56</v>
      </c>
      <c r="AD64" t="n">
        <v>0</v>
      </c>
      <c r="AE64" t="n">
        <v>386.5</v>
      </c>
      <c r="AF64" t="n">
        <v>0</v>
      </c>
      <c r="AG64" t="n">
        <v>0</v>
      </c>
      <c r="AH64" t="n">
        <v>0.39</v>
      </c>
      <c r="AI64" t="n">
        <v>19.33</v>
      </c>
      <c r="AJ64" t="n">
        <v>0</v>
      </c>
      <c r="AK64" t="n">
        <v>34.28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115.19</v>
      </c>
      <c r="AV64" t="n">
        <v>0</v>
      </c>
      <c r="AW64" t="n">
        <v>290.64</v>
      </c>
      <c r="AX64" t="inlineStr">
        <is>
          <t>settled</t>
        </is>
      </c>
      <c r="AY64" t="inlineStr">
        <is>
          <t>NA</t>
        </is>
      </c>
      <c r="AZ64" t="inlineStr">
        <is>
          <t>NA</t>
        </is>
      </c>
      <c r="BA64" t="n">
        <v>0</v>
      </c>
      <c r="BB64" t="inlineStr">
        <is>
          <t>2858144919aad75bdb8e2caedd2ca445f4bc5f4a44739bf3fbd779b9c34fc1ff</t>
        </is>
      </c>
    </row>
    <row r="65">
      <c r="A65" t="inlineStr">
        <is>
          <t>1095</t>
        </is>
      </c>
      <c r="B65" t="inlineStr">
        <is>
          <t>7612770142</t>
        </is>
      </c>
      <c r="C65" t="inlineStr">
        <is>
          <t>2025-12-23 19:21:13</t>
        </is>
      </c>
      <c r="D65" t="inlineStr">
        <is>
          <t>52</t>
        </is>
      </c>
      <c r="E65" t="inlineStr">
        <is>
          <t>Sha Sha - Shandaar Shawarma</t>
        </is>
      </c>
      <c r="F65" t="inlineStr">
        <is>
          <t>18557902</t>
        </is>
      </c>
      <c r="G65" t="inlineStr">
        <is>
          <t>30% off upto ₹75 (2025-06-25 - 2031-01-01)</t>
        </is>
      </c>
      <c r="H65" t="inlineStr">
        <is>
          <t>ONLINE</t>
        </is>
      </c>
      <c r="I65" t="inlineStr">
        <is>
          <t>DELIVERED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O2</t>
        </is>
      </c>
      <c r="N65" t="inlineStr">
        <is>
          <t>36</t>
        </is>
      </c>
      <c r="O65" t="n">
        <v>448</v>
      </c>
      <c r="P65" t="n">
        <v>3.5</v>
      </c>
      <c r="Q65" t="n">
        <v>0</v>
      </c>
      <c r="R65" t="n">
        <v>75</v>
      </c>
      <c r="S65" t="n">
        <v>0</v>
      </c>
      <c r="T65" t="n">
        <v>0</v>
      </c>
      <c r="U65" t="n">
        <v>0</v>
      </c>
      <c r="V65" t="n">
        <v>18.83</v>
      </c>
      <c r="W65" t="n">
        <v>395.33</v>
      </c>
      <c r="X65" t="n">
        <v>376.5</v>
      </c>
      <c r="Y65" t="n">
        <v>19</v>
      </c>
      <c r="Z65" t="n">
        <v>71.54000000000001</v>
      </c>
      <c r="AA65" t="n">
        <v>7.27</v>
      </c>
      <c r="AB65" t="n">
        <v>78.81</v>
      </c>
      <c r="AC65" t="n">
        <v>14.19</v>
      </c>
      <c r="AD65" t="n">
        <v>0</v>
      </c>
      <c r="AE65" t="n">
        <v>376.5</v>
      </c>
      <c r="AF65" t="n">
        <v>0</v>
      </c>
      <c r="AG65" t="n">
        <v>0</v>
      </c>
      <c r="AH65" t="n">
        <v>0.38</v>
      </c>
      <c r="AI65" t="n">
        <v>18.83</v>
      </c>
      <c r="AJ65" t="n">
        <v>0</v>
      </c>
      <c r="AK65" t="n">
        <v>33.4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112.21</v>
      </c>
      <c r="AV65" t="n">
        <v>0</v>
      </c>
      <c r="AW65" t="n">
        <v>283.12</v>
      </c>
      <c r="AX65" t="inlineStr">
        <is>
          <t>settled</t>
        </is>
      </c>
      <c r="AY65" t="inlineStr">
        <is>
          <t>NA</t>
        </is>
      </c>
      <c r="AZ65" t="inlineStr">
        <is>
          <t>NA</t>
        </is>
      </c>
      <c r="BA65" t="n">
        <v>0</v>
      </c>
      <c r="BB65" t="inlineStr">
        <is>
          <t>da95d0914c095c1f6225950eba7ba56e408f7fde6f2a0080219fa8baa710539b</t>
        </is>
      </c>
    </row>
    <row r="66">
      <c r="A66" t="inlineStr">
        <is>
          <t>1096</t>
        </is>
      </c>
      <c r="B66" t="inlineStr">
        <is>
          <t>7606648251</t>
        </is>
      </c>
      <c r="C66" t="inlineStr">
        <is>
          <t>2025-12-23 19:24:02</t>
        </is>
      </c>
      <c r="D66" t="inlineStr">
        <is>
          <t>52</t>
        </is>
      </c>
      <c r="E66" t="inlineStr">
        <is>
          <t>Sha Sha - Shandaar Shawarma</t>
        </is>
      </c>
      <c r="F66" t="inlineStr">
        <is>
          <t>18557902</t>
        </is>
      </c>
      <c r="G66" t="inlineStr">
        <is>
          <t>30% off upto ₹75 (2025-06-25 - 2031-01-01)</t>
        </is>
      </c>
      <c r="H66" t="inlineStr">
        <is>
          <t>ONLINE</t>
        </is>
      </c>
      <c r="I66" t="inlineStr">
        <is>
          <t>DELIVERED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O2</t>
        </is>
      </c>
      <c r="N66" t="inlineStr">
        <is>
          <t>36</t>
        </is>
      </c>
      <c r="O66" t="n">
        <v>497</v>
      </c>
      <c r="P66" t="n">
        <v>3.5</v>
      </c>
      <c r="Q66" t="n">
        <v>0</v>
      </c>
      <c r="R66" t="n">
        <v>75</v>
      </c>
      <c r="S66" t="n">
        <v>0</v>
      </c>
      <c r="T66" t="n">
        <v>0</v>
      </c>
      <c r="U66" t="n">
        <v>0</v>
      </c>
      <c r="V66" t="n">
        <v>21.28</v>
      </c>
      <c r="W66" t="n">
        <v>446.78</v>
      </c>
      <c r="X66" t="n">
        <v>425.5</v>
      </c>
      <c r="Y66" t="n">
        <v>19</v>
      </c>
      <c r="Z66" t="n">
        <v>80.84</v>
      </c>
      <c r="AA66" t="n">
        <v>8.220000000000001</v>
      </c>
      <c r="AB66" t="n">
        <v>89.06</v>
      </c>
      <c r="AC66" t="n">
        <v>16.03</v>
      </c>
      <c r="AD66" t="n">
        <v>0</v>
      </c>
      <c r="AE66" t="n">
        <v>425.5</v>
      </c>
      <c r="AF66" t="n">
        <v>0</v>
      </c>
      <c r="AG66" t="n">
        <v>0</v>
      </c>
      <c r="AH66" t="n">
        <v>0.43</v>
      </c>
      <c r="AI66" t="n">
        <v>21.28</v>
      </c>
      <c r="AJ66" t="n">
        <v>0</v>
      </c>
      <c r="AK66" t="n">
        <v>37.74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126.8</v>
      </c>
      <c r="AV66" t="n">
        <v>0</v>
      </c>
      <c r="AW66" t="n">
        <v>319.98</v>
      </c>
      <c r="AX66" t="inlineStr">
        <is>
          <t>settled</t>
        </is>
      </c>
      <c r="AY66" t="inlineStr">
        <is>
          <t>NA</t>
        </is>
      </c>
      <c r="AZ66" t="inlineStr">
        <is>
          <t>NA</t>
        </is>
      </c>
      <c r="BA66" t="n">
        <v>0</v>
      </c>
      <c r="BB66" t="inlineStr">
        <is>
          <t>17fc0f3fcf9f9dda63f6052d81c0955bfa275fb631590258e7bb8786698cada5</t>
        </is>
      </c>
    </row>
    <row r="67">
      <c r="A67" t="inlineStr">
        <is>
          <t>1097</t>
        </is>
      </c>
      <c r="B67" t="inlineStr">
        <is>
          <t>7613379736</t>
        </is>
      </c>
      <c r="C67" t="inlineStr">
        <is>
          <t>2025-12-23 19:38:48</t>
        </is>
      </c>
      <c r="D67" t="inlineStr">
        <is>
          <t>52</t>
        </is>
      </c>
      <c r="E67" t="inlineStr">
        <is>
          <t>Sha Sha - Shandaar Shawarma</t>
        </is>
      </c>
      <c r="F67" t="inlineStr">
        <is>
          <t>18557902</t>
        </is>
      </c>
      <c r="G67" t="inlineStr">
        <is>
          <t>30% off upto ₹75 (2025-06-25 - 2031-01-01)</t>
        </is>
      </c>
      <c r="H67" t="inlineStr">
        <is>
          <t>ONLINE</t>
        </is>
      </c>
      <c r="I67" t="inlineStr">
        <is>
          <t>DELIVERED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O2</t>
        </is>
      </c>
      <c r="N67" t="inlineStr">
        <is>
          <t>36</t>
        </is>
      </c>
      <c r="O67" t="n">
        <v>458</v>
      </c>
      <c r="P67" t="n">
        <v>3.5</v>
      </c>
      <c r="Q67" t="n">
        <v>0</v>
      </c>
      <c r="R67" t="n">
        <v>75</v>
      </c>
      <c r="S67" t="n">
        <v>0</v>
      </c>
      <c r="T67" t="n">
        <v>0</v>
      </c>
      <c r="U67" t="n">
        <v>0</v>
      </c>
      <c r="V67" t="n">
        <v>19.33</v>
      </c>
      <c r="W67" t="n">
        <v>405.83</v>
      </c>
      <c r="X67" t="n">
        <v>386.5</v>
      </c>
      <c r="Y67" t="n">
        <v>19</v>
      </c>
      <c r="Z67" t="n">
        <v>73.44</v>
      </c>
      <c r="AA67" t="n">
        <v>7.47</v>
      </c>
      <c r="AB67" t="n">
        <v>80.91</v>
      </c>
      <c r="AC67" t="n">
        <v>14.56</v>
      </c>
      <c r="AD67" t="n">
        <v>0</v>
      </c>
      <c r="AE67" t="n">
        <v>386.5</v>
      </c>
      <c r="AF67" t="n">
        <v>0</v>
      </c>
      <c r="AG67" t="n">
        <v>0</v>
      </c>
      <c r="AH67" t="n">
        <v>0.39</v>
      </c>
      <c r="AI67" t="n">
        <v>19.33</v>
      </c>
      <c r="AJ67" t="n">
        <v>0</v>
      </c>
      <c r="AK67" t="n">
        <v>34.28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115.19</v>
      </c>
      <c r="AV67" t="n">
        <v>0</v>
      </c>
      <c r="AW67" t="n">
        <v>290.64</v>
      </c>
      <c r="AX67" t="inlineStr">
        <is>
          <t>settled</t>
        </is>
      </c>
      <c r="AY67" t="inlineStr">
        <is>
          <t>NA</t>
        </is>
      </c>
      <c r="AZ67" t="inlineStr">
        <is>
          <t>NA</t>
        </is>
      </c>
      <c r="BA67" t="n">
        <v>0</v>
      </c>
      <c r="BB67" t="inlineStr">
        <is>
          <t>40d8d2ce9c797ad7bf369f3c4440b93018f8e64ede5ba6067e46796b8b963cc6</t>
        </is>
      </c>
    </row>
    <row r="68">
      <c r="A68" t="inlineStr">
        <is>
          <t>1098</t>
        </is>
      </c>
      <c r="B68" t="inlineStr">
        <is>
          <t>7606716170</t>
        </is>
      </c>
      <c r="C68" t="inlineStr">
        <is>
          <t>2025-12-23 20:03:50</t>
        </is>
      </c>
      <c r="D68" t="inlineStr">
        <is>
          <t>52</t>
        </is>
      </c>
      <c r="E68" t="inlineStr">
        <is>
          <t>Sha Sha - Shandaar Shawarma</t>
        </is>
      </c>
      <c r="F68" t="inlineStr">
        <is>
          <t>18557902</t>
        </is>
      </c>
      <c r="G68" t="inlineStr">
        <is>
          <t>30% off upto ₹75 (2025-06-25 - 2031-01-01)</t>
        </is>
      </c>
      <c r="H68" t="inlineStr">
        <is>
          <t>ONLINE</t>
        </is>
      </c>
      <c r="I68" t="inlineStr">
        <is>
          <t>DELIVERED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O2</t>
        </is>
      </c>
      <c r="N68" t="inlineStr">
        <is>
          <t>36</t>
        </is>
      </c>
      <c r="O68" t="n">
        <v>229</v>
      </c>
      <c r="P68" t="n">
        <v>3.5</v>
      </c>
      <c r="Q68" t="n">
        <v>0</v>
      </c>
      <c r="R68" t="n">
        <v>68.7</v>
      </c>
      <c r="S68" t="n">
        <v>0</v>
      </c>
      <c r="T68" t="n">
        <v>0</v>
      </c>
      <c r="U68" t="n">
        <v>0</v>
      </c>
      <c r="V68" t="n">
        <v>8.19</v>
      </c>
      <c r="W68" t="n">
        <v>171.99</v>
      </c>
      <c r="X68" t="n">
        <v>163.8</v>
      </c>
      <c r="Y68" t="n">
        <v>19</v>
      </c>
      <c r="Z68" t="n">
        <v>31.12</v>
      </c>
      <c r="AA68" t="n">
        <v>3.16</v>
      </c>
      <c r="AB68" t="n">
        <v>34.28</v>
      </c>
      <c r="AC68" t="n">
        <v>6.17</v>
      </c>
      <c r="AD68" t="n">
        <v>0</v>
      </c>
      <c r="AE68" t="n">
        <v>163.8</v>
      </c>
      <c r="AF68" t="n">
        <v>0</v>
      </c>
      <c r="AG68" t="n">
        <v>0</v>
      </c>
      <c r="AH68" t="n">
        <v>0.16</v>
      </c>
      <c r="AI68" t="n">
        <v>8.199999999999999</v>
      </c>
      <c r="AJ68" t="n">
        <v>-0.01</v>
      </c>
      <c r="AK68" t="n">
        <v>14.53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48.81</v>
      </c>
      <c r="AV68" t="n">
        <v>0</v>
      </c>
      <c r="AW68" t="n">
        <v>123.18</v>
      </c>
      <c r="AX68" t="inlineStr">
        <is>
          <t>settled</t>
        </is>
      </c>
      <c r="AY68" t="inlineStr">
        <is>
          <t>NA</t>
        </is>
      </c>
      <c r="AZ68" t="inlineStr">
        <is>
          <t>NA</t>
        </is>
      </c>
      <c r="BA68" t="n">
        <v>0</v>
      </c>
      <c r="BB68" t="inlineStr">
        <is>
          <t>1dc5a81b26ed4d6dde3a243ac20f2296fc3d082294a5ea52f68b42f517fe2c53</t>
        </is>
      </c>
    </row>
    <row r="69">
      <c r="A69" t="inlineStr">
        <is>
          <t>1099</t>
        </is>
      </c>
      <c r="B69" t="inlineStr">
        <is>
          <t>7607854053</t>
        </is>
      </c>
      <c r="C69" t="inlineStr">
        <is>
          <t>2025-12-23 20:57:35</t>
        </is>
      </c>
      <c r="D69" t="inlineStr">
        <is>
          <t>52</t>
        </is>
      </c>
      <c r="E69" t="inlineStr">
        <is>
          <t>Sha Sha - Shandaar Shawarma</t>
        </is>
      </c>
      <c r="F69" t="inlineStr">
        <is>
          <t>18557902</t>
        </is>
      </c>
      <c r="G69" t="inlineStr">
        <is>
          <t>NA</t>
        </is>
      </c>
      <c r="H69" t="inlineStr">
        <is>
          <t>ONLINE</t>
        </is>
      </c>
      <c r="I69" t="inlineStr">
        <is>
          <t>DELIVERED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O2</t>
        </is>
      </c>
      <c r="N69" t="inlineStr">
        <is>
          <t>36</t>
        </is>
      </c>
      <c r="O69" t="n">
        <v>345</v>
      </c>
      <c r="P69" t="n">
        <v>3.5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17.43</v>
      </c>
      <c r="W69" t="n">
        <v>365.93</v>
      </c>
      <c r="X69" t="n">
        <v>348.5</v>
      </c>
      <c r="Y69" t="n">
        <v>19</v>
      </c>
      <c r="Z69" t="n">
        <v>66.22</v>
      </c>
      <c r="AA69" t="n">
        <v>6.73</v>
      </c>
      <c r="AB69" t="n">
        <v>72.95</v>
      </c>
      <c r="AC69" t="n">
        <v>13.13</v>
      </c>
      <c r="AD69" t="n">
        <v>0</v>
      </c>
      <c r="AE69" t="n">
        <v>348.5</v>
      </c>
      <c r="AF69" t="n">
        <v>0</v>
      </c>
      <c r="AG69" t="n">
        <v>0</v>
      </c>
      <c r="AH69" t="n">
        <v>0.35</v>
      </c>
      <c r="AI69" t="n">
        <v>17.43</v>
      </c>
      <c r="AJ69" t="n">
        <v>0</v>
      </c>
      <c r="AK69" t="n">
        <v>30.91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103.86</v>
      </c>
      <c r="AV69" t="n">
        <v>0</v>
      </c>
      <c r="AW69" t="n">
        <v>262.07</v>
      </c>
      <c r="AX69" t="inlineStr">
        <is>
          <t>settled</t>
        </is>
      </c>
      <c r="AY69" t="inlineStr">
        <is>
          <t>NA</t>
        </is>
      </c>
      <c r="AZ69" t="inlineStr">
        <is>
          <t>NA</t>
        </is>
      </c>
      <c r="BA69" t="n">
        <v>0</v>
      </c>
      <c r="BB69" t="inlineStr">
        <is>
          <t>3bd0f569f2401057434ced49a1f22499e7df375faf34ac1ffeb561fbeaac57e1</t>
        </is>
      </c>
    </row>
    <row r="70">
      <c r="A70" t="inlineStr">
        <is>
          <t>1100</t>
        </is>
      </c>
      <c r="B70" t="inlineStr">
        <is>
          <t>7603420397</t>
        </is>
      </c>
      <c r="C70" t="inlineStr">
        <is>
          <t>2025-12-23 21:02:18</t>
        </is>
      </c>
      <c r="D70" t="inlineStr">
        <is>
          <t>52</t>
        </is>
      </c>
      <c r="E70" t="inlineStr">
        <is>
          <t>Sha Sha - Shandaar Shawarma</t>
        </is>
      </c>
      <c r="F70" t="inlineStr">
        <is>
          <t>18557902</t>
        </is>
      </c>
      <c r="G70" t="inlineStr">
        <is>
          <t>30% off upto ₹75 (2025-06-25 - 2031-01-01)</t>
        </is>
      </c>
      <c r="H70" t="inlineStr">
        <is>
          <t>ONLINE</t>
        </is>
      </c>
      <c r="I70" t="inlineStr">
        <is>
          <t>DELIVERED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O2</t>
        </is>
      </c>
      <c r="N70" t="inlineStr">
        <is>
          <t>36</t>
        </is>
      </c>
      <c r="O70" t="n">
        <v>438</v>
      </c>
      <c r="P70" t="n">
        <v>3.5</v>
      </c>
      <c r="Q70" t="n">
        <v>0</v>
      </c>
      <c r="R70" t="n">
        <v>75</v>
      </c>
      <c r="S70" t="n">
        <v>0</v>
      </c>
      <c r="T70" t="n">
        <v>0</v>
      </c>
      <c r="U70" t="n">
        <v>0</v>
      </c>
      <c r="V70" t="n">
        <v>18.33</v>
      </c>
      <c r="W70" t="n">
        <v>384.83</v>
      </c>
      <c r="X70" t="n">
        <v>366.5</v>
      </c>
      <c r="Y70" t="n">
        <v>19</v>
      </c>
      <c r="Z70" t="n">
        <v>69.64</v>
      </c>
      <c r="AA70" t="n">
        <v>7.08</v>
      </c>
      <c r="AB70" t="n">
        <v>76.72</v>
      </c>
      <c r="AC70" t="n">
        <v>13.81</v>
      </c>
      <c r="AD70" t="n">
        <v>0</v>
      </c>
      <c r="AE70" t="n">
        <v>366.5</v>
      </c>
      <c r="AF70" t="n">
        <v>0</v>
      </c>
      <c r="AG70" t="n">
        <v>0</v>
      </c>
      <c r="AH70" t="n">
        <v>0.37</v>
      </c>
      <c r="AI70" t="n">
        <v>18.33</v>
      </c>
      <c r="AJ70" t="n">
        <v>0</v>
      </c>
      <c r="AK70" t="n">
        <v>32.51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109.23</v>
      </c>
      <c r="AV70" t="n">
        <v>0</v>
      </c>
      <c r="AW70" t="n">
        <v>275.6</v>
      </c>
      <c r="AX70" t="inlineStr">
        <is>
          <t>settled</t>
        </is>
      </c>
      <c r="AY70" t="inlineStr">
        <is>
          <t>NA</t>
        </is>
      </c>
      <c r="AZ70" t="inlineStr">
        <is>
          <t>NA</t>
        </is>
      </c>
      <c r="BA70" t="n">
        <v>0</v>
      </c>
      <c r="BB70" t="inlineStr">
        <is>
          <t>dd220e47b7286523ef3cbc8d821f92d6e4b83808f5c25bf98cb0bc643ac88909</t>
        </is>
      </c>
    </row>
    <row r="71">
      <c r="A71" t="inlineStr">
        <is>
          <t>1101</t>
        </is>
      </c>
      <c r="B71" t="inlineStr">
        <is>
          <t>7610303002</t>
        </is>
      </c>
      <c r="C71" t="inlineStr">
        <is>
          <t>2025-12-23 21:03:53</t>
        </is>
      </c>
      <c r="D71" t="inlineStr">
        <is>
          <t>52</t>
        </is>
      </c>
      <c r="E71" t="inlineStr">
        <is>
          <t>Sha Sha - Shandaar Shawarma</t>
        </is>
      </c>
      <c r="F71" t="inlineStr">
        <is>
          <t>18557902</t>
        </is>
      </c>
      <c r="G71" t="inlineStr">
        <is>
          <t>NA</t>
        </is>
      </c>
      <c r="H71" t="inlineStr">
        <is>
          <t>ONLINE</t>
        </is>
      </c>
      <c r="I71" t="inlineStr">
        <is>
          <t>DELIVERED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O2</t>
        </is>
      </c>
      <c r="N71" t="inlineStr">
        <is>
          <t>36</t>
        </is>
      </c>
      <c r="O71" t="n">
        <v>219</v>
      </c>
      <c r="P71" t="n">
        <v>3.5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11.13</v>
      </c>
      <c r="W71" t="n">
        <v>233.63</v>
      </c>
      <c r="X71" t="n">
        <v>222.5</v>
      </c>
      <c r="Y71" t="n">
        <v>19</v>
      </c>
      <c r="Z71" t="n">
        <v>42.28</v>
      </c>
      <c r="AA71" t="n">
        <v>4.3</v>
      </c>
      <c r="AB71" t="n">
        <v>46.58</v>
      </c>
      <c r="AC71" t="n">
        <v>8.380000000000001</v>
      </c>
      <c r="AD71" t="n">
        <v>0</v>
      </c>
      <c r="AE71" t="n">
        <v>222.5</v>
      </c>
      <c r="AF71" t="n">
        <v>0</v>
      </c>
      <c r="AG71" t="n">
        <v>0</v>
      </c>
      <c r="AH71" t="n">
        <v>0.22</v>
      </c>
      <c r="AI71" t="n">
        <v>11.13</v>
      </c>
      <c r="AJ71" t="n">
        <v>0</v>
      </c>
      <c r="AK71" t="n">
        <v>19.73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66.31</v>
      </c>
      <c r="AV71" t="n">
        <v>0</v>
      </c>
      <c r="AW71" t="n">
        <v>167.32</v>
      </c>
      <c r="AX71" t="inlineStr">
        <is>
          <t>settled</t>
        </is>
      </c>
      <c r="AY71" t="inlineStr">
        <is>
          <t>NA</t>
        </is>
      </c>
      <c r="AZ71" t="inlineStr">
        <is>
          <t>NA</t>
        </is>
      </c>
      <c r="BA71" t="n">
        <v>0</v>
      </c>
      <c r="BB71" t="inlineStr">
        <is>
          <t>bc8bdd9af5775642f8bfc0275c191e669d6fa0f4387da8c2aa002368471f548b</t>
        </is>
      </c>
    </row>
    <row r="72">
      <c r="A72" t="inlineStr">
        <is>
          <t>1102</t>
        </is>
      </c>
      <c r="B72" t="inlineStr">
        <is>
          <t>7604943866</t>
        </is>
      </c>
      <c r="C72" t="inlineStr">
        <is>
          <t>2025-12-23 21:15:33</t>
        </is>
      </c>
      <c r="D72" t="inlineStr">
        <is>
          <t>52</t>
        </is>
      </c>
      <c r="E72" t="inlineStr">
        <is>
          <t>Sha Sha - Shandaar Shawarma</t>
        </is>
      </c>
      <c r="F72" t="inlineStr">
        <is>
          <t>18557902</t>
        </is>
      </c>
      <c r="G72" t="inlineStr">
        <is>
          <t>30% off upto ₹75 (2025-06-25 - 2031-01-01)</t>
        </is>
      </c>
      <c r="H72" t="inlineStr">
        <is>
          <t>ONLINE</t>
        </is>
      </c>
      <c r="I72" t="inlineStr">
        <is>
          <t>DELIVERED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O2</t>
        </is>
      </c>
      <c r="N72" t="inlineStr">
        <is>
          <t>36</t>
        </is>
      </c>
      <c r="O72" t="n">
        <v>567</v>
      </c>
      <c r="P72" t="n">
        <v>3.5</v>
      </c>
      <c r="Q72" t="n">
        <v>0</v>
      </c>
      <c r="R72" t="n">
        <v>75</v>
      </c>
      <c r="S72" t="n">
        <v>0</v>
      </c>
      <c r="T72" t="n">
        <v>0</v>
      </c>
      <c r="U72" t="n">
        <v>0</v>
      </c>
      <c r="V72" t="n">
        <v>24.78</v>
      </c>
      <c r="W72" t="n">
        <v>520.28</v>
      </c>
      <c r="X72" t="n">
        <v>495.5</v>
      </c>
      <c r="Y72" t="n">
        <v>19</v>
      </c>
      <c r="Z72" t="n">
        <v>94.14</v>
      </c>
      <c r="AA72" t="n">
        <v>9.57</v>
      </c>
      <c r="AB72" t="n">
        <v>103.71</v>
      </c>
      <c r="AC72" t="n">
        <v>18.67</v>
      </c>
      <c r="AD72" t="n">
        <v>0</v>
      </c>
      <c r="AE72" t="n">
        <v>495.5</v>
      </c>
      <c r="AF72" t="n">
        <v>0</v>
      </c>
      <c r="AG72" t="n">
        <v>0</v>
      </c>
      <c r="AH72" t="n">
        <v>0.5</v>
      </c>
      <c r="AI72" t="n">
        <v>24.78</v>
      </c>
      <c r="AJ72" t="n">
        <v>0</v>
      </c>
      <c r="AK72" t="n">
        <v>43.95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147.66</v>
      </c>
      <c r="AV72" t="n">
        <v>0</v>
      </c>
      <c r="AW72" t="n">
        <v>372.62</v>
      </c>
      <c r="AX72" t="inlineStr">
        <is>
          <t>settled</t>
        </is>
      </c>
      <c r="AY72" t="inlineStr">
        <is>
          <t>NA</t>
        </is>
      </c>
      <c r="AZ72" t="inlineStr">
        <is>
          <t>NA</t>
        </is>
      </c>
      <c r="BA72" t="n">
        <v>0</v>
      </c>
      <c r="BB72" t="inlineStr">
        <is>
          <t>e8656422f66ba215c66b642f2e6967d7ed508d05cc139a342482c18577c06581</t>
        </is>
      </c>
    </row>
    <row r="73">
      <c r="A73" t="inlineStr">
        <is>
          <t>1103</t>
        </is>
      </c>
      <c r="B73" t="inlineStr">
        <is>
          <t>7611385644</t>
        </is>
      </c>
      <c r="C73" t="inlineStr">
        <is>
          <t>2025-12-23 22:09:35</t>
        </is>
      </c>
      <c r="D73" t="inlineStr">
        <is>
          <t>52</t>
        </is>
      </c>
      <c r="E73" t="inlineStr">
        <is>
          <t>Sha Sha - Shandaar Shawarma</t>
        </is>
      </c>
      <c r="F73" t="inlineStr">
        <is>
          <t>18557902</t>
        </is>
      </c>
      <c r="G73" t="inlineStr">
        <is>
          <t>30% off upto ₹75 (2025-06-25 - 2031-01-01)</t>
        </is>
      </c>
      <c r="H73" t="inlineStr">
        <is>
          <t>ONLINE</t>
        </is>
      </c>
      <c r="I73" t="inlineStr">
        <is>
          <t>DELIVERED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O2</t>
        </is>
      </c>
      <c r="N73" t="inlineStr">
        <is>
          <t>36</t>
        </is>
      </c>
      <c r="O73" t="n">
        <v>438</v>
      </c>
      <c r="P73" t="n">
        <v>3.5</v>
      </c>
      <c r="Q73" t="n">
        <v>0</v>
      </c>
      <c r="R73" t="n">
        <v>75</v>
      </c>
      <c r="S73" t="n">
        <v>0</v>
      </c>
      <c r="T73" t="n">
        <v>0</v>
      </c>
      <c r="U73" t="n">
        <v>0</v>
      </c>
      <c r="V73" t="n">
        <v>18.33</v>
      </c>
      <c r="W73" t="n">
        <v>384.83</v>
      </c>
      <c r="X73" t="n">
        <v>366.5</v>
      </c>
      <c r="Y73" t="n">
        <v>19</v>
      </c>
      <c r="Z73" t="n">
        <v>69.64</v>
      </c>
      <c r="AA73" t="n">
        <v>7.08</v>
      </c>
      <c r="AB73" t="n">
        <v>76.72</v>
      </c>
      <c r="AC73" t="n">
        <v>13.81</v>
      </c>
      <c r="AD73" t="n">
        <v>0</v>
      </c>
      <c r="AE73" t="n">
        <v>366.5</v>
      </c>
      <c r="AF73" t="n">
        <v>0</v>
      </c>
      <c r="AG73" t="n">
        <v>0</v>
      </c>
      <c r="AH73" t="n">
        <v>0.37</v>
      </c>
      <c r="AI73" t="n">
        <v>18.33</v>
      </c>
      <c r="AJ73" t="n">
        <v>0</v>
      </c>
      <c r="AK73" t="n">
        <v>32.51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109.23</v>
      </c>
      <c r="AV73" t="n">
        <v>0</v>
      </c>
      <c r="AW73" t="n">
        <v>275.6</v>
      </c>
      <c r="AX73" t="inlineStr">
        <is>
          <t>settled</t>
        </is>
      </c>
      <c r="AY73" t="inlineStr">
        <is>
          <t>NA</t>
        </is>
      </c>
      <c r="AZ73" t="inlineStr">
        <is>
          <t>NA</t>
        </is>
      </c>
      <c r="BA73" t="n">
        <v>0</v>
      </c>
      <c r="BB73" t="inlineStr">
        <is>
          <t>cf4f1cf45ee5c757cdfd0849d9bc090dfa23a6e7a7ba4330ae9e3d9f91f2abd4</t>
        </is>
      </c>
    </row>
    <row r="74">
      <c r="A74" t="inlineStr">
        <is>
          <t>1104</t>
        </is>
      </c>
      <c r="B74" t="inlineStr">
        <is>
          <t>7608404301</t>
        </is>
      </c>
      <c r="C74" t="inlineStr">
        <is>
          <t>2025-12-23 22:15:41</t>
        </is>
      </c>
      <c r="D74" t="inlineStr">
        <is>
          <t>52</t>
        </is>
      </c>
      <c r="E74" t="inlineStr">
        <is>
          <t>Sha Sha - Shandaar Shawarma</t>
        </is>
      </c>
      <c r="F74" t="inlineStr">
        <is>
          <t>18557902</t>
        </is>
      </c>
      <c r="G74" t="inlineStr">
        <is>
          <t>30% off upto ₹75 (2025-06-25 - 2031-01-01)</t>
        </is>
      </c>
      <c r="H74" t="inlineStr">
        <is>
          <t>ONLINE</t>
        </is>
      </c>
      <c r="I74" t="inlineStr">
        <is>
          <t>DELIVERED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O2</t>
        </is>
      </c>
      <c r="N74" t="inlineStr">
        <is>
          <t>36</t>
        </is>
      </c>
      <c r="O74" t="n">
        <v>229</v>
      </c>
      <c r="P74" t="n">
        <v>3.5</v>
      </c>
      <c r="Q74" t="n">
        <v>0</v>
      </c>
      <c r="R74" t="n">
        <v>68.7</v>
      </c>
      <c r="S74" t="n">
        <v>0</v>
      </c>
      <c r="T74" t="n">
        <v>0</v>
      </c>
      <c r="U74" t="n">
        <v>0</v>
      </c>
      <c r="V74" t="n">
        <v>8.19</v>
      </c>
      <c r="W74" t="n">
        <v>171.99</v>
      </c>
      <c r="X74" t="n">
        <v>163.8</v>
      </c>
      <c r="Y74" t="n">
        <v>19</v>
      </c>
      <c r="Z74" t="n">
        <v>31.12</v>
      </c>
      <c r="AA74" t="n">
        <v>3.16</v>
      </c>
      <c r="AB74" t="n">
        <v>34.28</v>
      </c>
      <c r="AC74" t="n">
        <v>6.17</v>
      </c>
      <c r="AD74" t="n">
        <v>0</v>
      </c>
      <c r="AE74" t="n">
        <v>163.8</v>
      </c>
      <c r="AF74" t="n">
        <v>0</v>
      </c>
      <c r="AG74" t="n">
        <v>0</v>
      </c>
      <c r="AH74" t="n">
        <v>0.16</v>
      </c>
      <c r="AI74" t="n">
        <v>8.199999999999999</v>
      </c>
      <c r="AJ74" t="n">
        <v>-0.01</v>
      </c>
      <c r="AK74" t="n">
        <v>14.53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48.81</v>
      </c>
      <c r="AV74" t="n">
        <v>0</v>
      </c>
      <c r="AW74" t="n">
        <v>123.18</v>
      </c>
      <c r="AX74" t="inlineStr">
        <is>
          <t>settled</t>
        </is>
      </c>
      <c r="AY74" t="inlineStr">
        <is>
          <t>NA</t>
        </is>
      </c>
      <c r="AZ74" t="inlineStr">
        <is>
          <t>NA</t>
        </is>
      </c>
      <c r="BA74" t="n">
        <v>0</v>
      </c>
      <c r="BB74" t="inlineStr">
        <is>
          <t>1cffb8aadfcbeabb4e1e3e8a71fd44fd3cf28ff0e8129c3889f6a5014a287fd4</t>
        </is>
      </c>
    </row>
    <row r="75">
      <c r="A75" t="inlineStr">
        <is>
          <t>1105</t>
        </is>
      </c>
      <c r="B75" t="inlineStr">
        <is>
          <t>7612517839</t>
        </is>
      </c>
      <c r="C75" t="inlineStr">
        <is>
          <t>2025-12-23 22:26:42</t>
        </is>
      </c>
      <c r="D75" t="inlineStr">
        <is>
          <t>52</t>
        </is>
      </c>
      <c r="E75" t="inlineStr">
        <is>
          <t>Sha Sha - Shandaar Shawarma</t>
        </is>
      </c>
      <c r="F75" t="inlineStr">
        <is>
          <t>18557902</t>
        </is>
      </c>
      <c r="G75" t="inlineStr">
        <is>
          <t>30% off upto ₹75 (2025-06-25 - 2031-01-01)</t>
        </is>
      </c>
      <c r="H75" t="inlineStr">
        <is>
          <t>ONLINE</t>
        </is>
      </c>
      <c r="I75" t="inlineStr">
        <is>
          <t>DELIVERED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O2</t>
        </is>
      </c>
      <c r="N75" t="inlineStr">
        <is>
          <t>36</t>
        </is>
      </c>
      <c r="O75" t="n">
        <v>229</v>
      </c>
      <c r="P75" t="n">
        <v>3.5</v>
      </c>
      <c r="Q75" t="n">
        <v>0</v>
      </c>
      <c r="R75" t="n">
        <v>68.7</v>
      </c>
      <c r="S75" t="n">
        <v>0</v>
      </c>
      <c r="T75" t="n">
        <v>0</v>
      </c>
      <c r="U75" t="n">
        <v>0</v>
      </c>
      <c r="V75" t="n">
        <v>8.19</v>
      </c>
      <c r="W75" t="n">
        <v>171.99</v>
      </c>
      <c r="X75" t="n">
        <v>163.8</v>
      </c>
      <c r="Y75" t="n">
        <v>19</v>
      </c>
      <c r="Z75" t="n">
        <v>31.12</v>
      </c>
      <c r="AA75" t="n">
        <v>3.16</v>
      </c>
      <c r="AB75" t="n">
        <v>34.28</v>
      </c>
      <c r="AC75" t="n">
        <v>6.17</v>
      </c>
      <c r="AD75" t="n">
        <v>0</v>
      </c>
      <c r="AE75" t="n">
        <v>163.8</v>
      </c>
      <c r="AF75" t="n">
        <v>0</v>
      </c>
      <c r="AG75" t="n">
        <v>0</v>
      </c>
      <c r="AH75" t="n">
        <v>0.16</v>
      </c>
      <c r="AI75" t="n">
        <v>8.199999999999999</v>
      </c>
      <c r="AJ75" t="n">
        <v>-0.01</v>
      </c>
      <c r="AK75" t="n">
        <v>14.53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48.81</v>
      </c>
      <c r="AV75" t="n">
        <v>0</v>
      </c>
      <c r="AW75" t="n">
        <v>123.18</v>
      </c>
      <c r="AX75" t="inlineStr">
        <is>
          <t>settled</t>
        </is>
      </c>
      <c r="AY75" t="inlineStr">
        <is>
          <t>NA</t>
        </is>
      </c>
      <c r="AZ75" t="inlineStr">
        <is>
          <t>NA</t>
        </is>
      </c>
      <c r="BA75" t="n">
        <v>0</v>
      </c>
      <c r="BB75" t="inlineStr">
        <is>
          <t>28f96e7002d004e3e98f62d50fc586b96201c953e4fd0723b58d406f4d31980b</t>
        </is>
      </c>
    </row>
    <row r="76">
      <c r="A76" t="inlineStr">
        <is>
          <t>1106</t>
        </is>
      </c>
      <c r="B76" t="inlineStr">
        <is>
          <t>7610295241</t>
        </is>
      </c>
      <c r="C76" t="inlineStr">
        <is>
          <t>2025-12-23 22:30:36</t>
        </is>
      </c>
      <c r="D76" t="inlineStr">
        <is>
          <t>52</t>
        </is>
      </c>
      <c r="E76" t="inlineStr">
        <is>
          <t>Sha Sha - Shandaar Shawarma</t>
        </is>
      </c>
      <c r="F76" t="inlineStr">
        <is>
          <t>18557902</t>
        </is>
      </c>
      <c r="G76" t="inlineStr">
        <is>
          <t>30% off upto ₹75 (2025-06-25 - 2031-01-01)</t>
        </is>
      </c>
      <c r="H76" t="inlineStr">
        <is>
          <t>ONLINE</t>
        </is>
      </c>
      <c r="I76" t="inlineStr">
        <is>
          <t>DELIVERED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O2</t>
        </is>
      </c>
      <c r="N76" t="inlineStr">
        <is>
          <t>36</t>
        </is>
      </c>
      <c r="O76" t="n">
        <v>229</v>
      </c>
      <c r="P76" t="n">
        <v>3.5</v>
      </c>
      <c r="Q76" t="n">
        <v>0</v>
      </c>
      <c r="R76" t="n">
        <v>68.7</v>
      </c>
      <c r="S76" t="n">
        <v>0</v>
      </c>
      <c r="T76" t="n">
        <v>0</v>
      </c>
      <c r="U76" t="n">
        <v>0</v>
      </c>
      <c r="V76" t="n">
        <v>8.19</v>
      </c>
      <c r="W76" t="n">
        <v>171.99</v>
      </c>
      <c r="X76" t="n">
        <v>163.8</v>
      </c>
      <c r="Y76" t="n">
        <v>19</v>
      </c>
      <c r="Z76" t="n">
        <v>31.12</v>
      </c>
      <c r="AA76" t="n">
        <v>3.16</v>
      </c>
      <c r="AB76" t="n">
        <v>34.28</v>
      </c>
      <c r="AC76" t="n">
        <v>6.17</v>
      </c>
      <c r="AD76" t="n">
        <v>0</v>
      </c>
      <c r="AE76" t="n">
        <v>163.8</v>
      </c>
      <c r="AF76" t="n">
        <v>0</v>
      </c>
      <c r="AG76" t="n">
        <v>0</v>
      </c>
      <c r="AH76" t="n">
        <v>0.16</v>
      </c>
      <c r="AI76" t="n">
        <v>8.199999999999999</v>
      </c>
      <c r="AJ76" t="n">
        <v>-0.01</v>
      </c>
      <c r="AK76" t="n">
        <v>14.53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48.81</v>
      </c>
      <c r="AV76" t="n">
        <v>0</v>
      </c>
      <c r="AW76" t="n">
        <v>123.18</v>
      </c>
      <c r="AX76" t="inlineStr">
        <is>
          <t>settled</t>
        </is>
      </c>
      <c r="AY76" t="inlineStr">
        <is>
          <t>NA</t>
        </is>
      </c>
      <c r="AZ76" t="inlineStr">
        <is>
          <t>NA</t>
        </is>
      </c>
      <c r="BA76" t="n">
        <v>0</v>
      </c>
      <c r="BB76" t="inlineStr">
        <is>
          <t>6b9b6fc385e93fde7a5ac2af82dc53b1ca1c4277bac7b22b8b0e8d8398318a85</t>
        </is>
      </c>
    </row>
    <row r="77">
      <c r="A77" t="inlineStr">
        <is>
          <t>1107</t>
        </is>
      </c>
      <c r="B77" t="inlineStr">
        <is>
          <t>7614705381</t>
        </is>
      </c>
      <c r="C77" t="inlineStr">
        <is>
          <t>2025-12-23 23:18:27</t>
        </is>
      </c>
      <c r="D77" t="inlineStr">
        <is>
          <t>52</t>
        </is>
      </c>
      <c r="E77" t="inlineStr">
        <is>
          <t>Sha Sha - Shandaar Shawarma</t>
        </is>
      </c>
      <c r="F77" t="inlineStr">
        <is>
          <t>18557902</t>
        </is>
      </c>
      <c r="G77" t="inlineStr">
        <is>
          <t>30% off upto ₹75 (2025-06-25 - 2031-01-01)</t>
        </is>
      </c>
      <c r="H77" t="inlineStr">
        <is>
          <t>ONLINE</t>
        </is>
      </c>
      <c r="I77" t="inlineStr">
        <is>
          <t>DELIVERED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O2</t>
        </is>
      </c>
      <c r="N77" t="inlineStr">
        <is>
          <t>36</t>
        </is>
      </c>
      <c r="O77" t="n">
        <v>258</v>
      </c>
      <c r="P77" t="n">
        <v>3.5</v>
      </c>
      <c r="Q77" t="n">
        <v>0</v>
      </c>
      <c r="R77" t="n">
        <v>75</v>
      </c>
      <c r="S77" t="n">
        <v>0</v>
      </c>
      <c r="T77" t="n">
        <v>0</v>
      </c>
      <c r="U77" t="n">
        <v>0</v>
      </c>
      <c r="V77" t="n">
        <v>9.33</v>
      </c>
      <c r="W77" t="n">
        <v>195.83</v>
      </c>
      <c r="X77" t="n">
        <v>186.5</v>
      </c>
      <c r="Y77" t="n">
        <v>19</v>
      </c>
      <c r="Z77" t="n">
        <v>35.44</v>
      </c>
      <c r="AA77" t="n">
        <v>3.6</v>
      </c>
      <c r="AB77" t="n">
        <v>39.04</v>
      </c>
      <c r="AC77" t="n">
        <v>7.03</v>
      </c>
      <c r="AD77" t="n">
        <v>0</v>
      </c>
      <c r="AE77" t="n">
        <v>186.5</v>
      </c>
      <c r="AF77" t="n">
        <v>0</v>
      </c>
      <c r="AG77" t="n">
        <v>0</v>
      </c>
      <c r="AH77" t="n">
        <v>0.19</v>
      </c>
      <c r="AI77" t="n">
        <v>9.33</v>
      </c>
      <c r="AJ77" t="n">
        <v>0</v>
      </c>
      <c r="AK77" t="n">
        <v>16.55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55.59</v>
      </c>
      <c r="AV77" t="n">
        <v>0</v>
      </c>
      <c r="AW77" t="n">
        <v>140.24</v>
      </c>
      <c r="AX77" t="inlineStr">
        <is>
          <t>settled</t>
        </is>
      </c>
      <c r="AY77" t="inlineStr">
        <is>
          <t>NA</t>
        </is>
      </c>
      <c r="AZ77" t="inlineStr">
        <is>
          <t>NA</t>
        </is>
      </c>
      <c r="BA77" t="n">
        <v>0</v>
      </c>
      <c r="BB77" t="inlineStr">
        <is>
          <t>cd1bced8edf79a897759c0460a37c1273b2a9cc7dfe365be25fa8fa42e260001</t>
        </is>
      </c>
    </row>
    <row r="78">
      <c r="A78" t="inlineStr">
        <is>
          <t>1108</t>
        </is>
      </c>
      <c r="B78" t="inlineStr">
        <is>
          <t>7610632709</t>
        </is>
      </c>
      <c r="C78" t="inlineStr">
        <is>
          <t>2025-12-23 23:36:53</t>
        </is>
      </c>
      <c r="D78" t="inlineStr">
        <is>
          <t>52</t>
        </is>
      </c>
      <c r="E78" t="inlineStr">
        <is>
          <t>Sha Sha - Shandaar Shawarma</t>
        </is>
      </c>
      <c r="F78" t="inlineStr">
        <is>
          <t>18557902</t>
        </is>
      </c>
      <c r="G78" t="inlineStr">
        <is>
          <t>30% off upto ₹75 (2025-06-25 - 2031-01-01)</t>
        </is>
      </c>
      <c r="H78" t="inlineStr">
        <is>
          <t>ONLINE</t>
        </is>
      </c>
      <c r="I78" t="inlineStr">
        <is>
          <t>DELIVERED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O2</t>
        </is>
      </c>
      <c r="N78" t="inlineStr">
        <is>
          <t>36</t>
        </is>
      </c>
      <c r="O78" t="n">
        <v>448</v>
      </c>
      <c r="P78" t="n">
        <v>3.5</v>
      </c>
      <c r="Q78" t="n">
        <v>0</v>
      </c>
      <c r="R78" t="n">
        <v>75</v>
      </c>
      <c r="S78" t="n">
        <v>0</v>
      </c>
      <c r="T78" t="n">
        <v>0</v>
      </c>
      <c r="U78" t="n">
        <v>0</v>
      </c>
      <c r="V78" t="n">
        <v>18.83</v>
      </c>
      <c r="W78" t="n">
        <v>395.33</v>
      </c>
      <c r="X78" t="n">
        <v>376.5</v>
      </c>
      <c r="Y78" t="n">
        <v>19</v>
      </c>
      <c r="Z78" t="n">
        <v>71.54000000000001</v>
      </c>
      <c r="AA78" t="n">
        <v>7.27</v>
      </c>
      <c r="AB78" t="n">
        <v>78.81</v>
      </c>
      <c r="AC78" t="n">
        <v>14.19</v>
      </c>
      <c r="AD78" t="n">
        <v>0</v>
      </c>
      <c r="AE78" t="n">
        <v>376.5</v>
      </c>
      <c r="AF78" t="n">
        <v>0</v>
      </c>
      <c r="AG78" t="n">
        <v>0</v>
      </c>
      <c r="AH78" t="n">
        <v>0.38</v>
      </c>
      <c r="AI78" t="n">
        <v>18.83</v>
      </c>
      <c r="AJ78" t="n">
        <v>0</v>
      </c>
      <c r="AK78" t="n">
        <v>33.4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112.21</v>
      </c>
      <c r="AV78" t="n">
        <v>0</v>
      </c>
      <c r="AW78" t="n">
        <v>283.12</v>
      </c>
      <c r="AX78" t="inlineStr">
        <is>
          <t>settled</t>
        </is>
      </c>
      <c r="AY78" t="inlineStr">
        <is>
          <t>NA</t>
        </is>
      </c>
      <c r="AZ78" t="inlineStr">
        <is>
          <t>NA</t>
        </is>
      </c>
      <c r="BA78" t="n">
        <v>0</v>
      </c>
      <c r="BB78" t="inlineStr">
        <is>
          <t>1073ae360ae4b566f85f8c2f55c724d84426a41d365ee88b51e38c2ab08d9ed0</t>
        </is>
      </c>
    </row>
    <row r="79">
      <c r="A79" t="inlineStr">
        <is>
          <t>1109</t>
        </is>
      </c>
      <c r="B79" t="inlineStr">
        <is>
          <t>7610173806</t>
        </is>
      </c>
      <c r="C79" t="inlineStr">
        <is>
          <t>2025-12-24 00:06:47</t>
        </is>
      </c>
      <c r="D79" t="inlineStr">
        <is>
          <t>52</t>
        </is>
      </c>
      <c r="E79" t="inlineStr">
        <is>
          <t>Sha Sha - Shandaar Shawarma</t>
        </is>
      </c>
      <c r="F79" t="inlineStr">
        <is>
          <t>18557902</t>
        </is>
      </c>
      <c r="G79" t="inlineStr">
        <is>
          <t>30% off upto ₹75 (2025-06-25 - 2031-01-01)</t>
        </is>
      </c>
      <c r="H79" t="inlineStr">
        <is>
          <t>ONLINE</t>
        </is>
      </c>
      <c r="I79" t="inlineStr">
        <is>
          <t>DELIVERED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O2</t>
        </is>
      </c>
      <c r="N79" t="inlineStr">
        <is>
          <t>36</t>
        </is>
      </c>
      <c r="O79" t="n">
        <v>219</v>
      </c>
      <c r="P79" t="n">
        <v>3.5</v>
      </c>
      <c r="Q79" t="n">
        <v>0</v>
      </c>
      <c r="R79" t="n">
        <v>65.7</v>
      </c>
      <c r="S79" t="n">
        <v>0</v>
      </c>
      <c r="T79" t="n">
        <v>0</v>
      </c>
      <c r="U79" t="n">
        <v>0</v>
      </c>
      <c r="V79" t="n">
        <v>7.84</v>
      </c>
      <c r="W79" t="n">
        <v>164.64</v>
      </c>
      <c r="X79" t="n">
        <v>156.8</v>
      </c>
      <c r="Y79" t="n">
        <v>19</v>
      </c>
      <c r="Z79" t="n">
        <v>29.79</v>
      </c>
      <c r="AA79" t="n">
        <v>3.03</v>
      </c>
      <c r="AB79" t="n">
        <v>32.82</v>
      </c>
      <c r="AC79" t="n">
        <v>5.91</v>
      </c>
      <c r="AD79" t="n">
        <v>0</v>
      </c>
      <c r="AE79" t="n">
        <v>156.8</v>
      </c>
      <c r="AF79" t="n">
        <v>0</v>
      </c>
      <c r="AG79" t="n">
        <v>0</v>
      </c>
      <c r="AH79" t="n">
        <v>0.16</v>
      </c>
      <c r="AI79" t="n">
        <v>7.85</v>
      </c>
      <c r="AJ79" t="n">
        <v>-0.01</v>
      </c>
      <c r="AK79" t="n">
        <v>13.92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46.74</v>
      </c>
      <c r="AV79" t="n">
        <v>0</v>
      </c>
      <c r="AW79" t="n">
        <v>117.9</v>
      </c>
      <c r="AX79" t="inlineStr">
        <is>
          <t>settled</t>
        </is>
      </c>
      <c r="AY79" t="inlineStr">
        <is>
          <t>NA</t>
        </is>
      </c>
      <c r="AZ79" t="inlineStr">
        <is>
          <t>NA</t>
        </is>
      </c>
      <c r="BA79" t="n">
        <v>0</v>
      </c>
      <c r="BB79" t="inlineStr">
        <is>
          <t>bfc2bf6ae13de40bd0da3820b47e074a6e7136d44cb2dcd41414a574726bfb74</t>
        </is>
      </c>
    </row>
    <row r="80">
      <c r="A80" t="inlineStr">
        <is>
          <t>1110</t>
        </is>
      </c>
      <c r="B80" t="inlineStr">
        <is>
          <t>7606480897</t>
        </is>
      </c>
      <c r="C80" t="inlineStr">
        <is>
          <t>2025-12-24 00:26:20</t>
        </is>
      </c>
      <c r="D80" t="inlineStr">
        <is>
          <t>52</t>
        </is>
      </c>
      <c r="E80" t="inlineStr">
        <is>
          <t>Sha Sha - Shandaar Shawarma</t>
        </is>
      </c>
      <c r="F80" t="inlineStr">
        <is>
          <t>18557902</t>
        </is>
      </c>
      <c r="G80" t="inlineStr">
        <is>
          <t>30% off upto ₹75 (2025-06-25 - 2031-01-01)</t>
        </is>
      </c>
      <c r="H80" t="inlineStr">
        <is>
          <t>ONLINE</t>
        </is>
      </c>
      <c r="I80" t="inlineStr">
        <is>
          <t>DELIVERED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O2</t>
        </is>
      </c>
      <c r="N80" t="inlineStr">
        <is>
          <t>36</t>
        </is>
      </c>
      <c r="O80" t="n">
        <v>229</v>
      </c>
      <c r="P80" t="n">
        <v>3.5</v>
      </c>
      <c r="Q80" t="n">
        <v>0</v>
      </c>
      <c r="R80" t="n">
        <v>68.7</v>
      </c>
      <c r="S80" t="n">
        <v>0</v>
      </c>
      <c r="T80" t="n">
        <v>0</v>
      </c>
      <c r="U80" t="n">
        <v>0</v>
      </c>
      <c r="V80" t="n">
        <v>8.19</v>
      </c>
      <c r="W80" t="n">
        <v>171.99</v>
      </c>
      <c r="X80" t="n">
        <v>163.8</v>
      </c>
      <c r="Y80" t="n">
        <v>19</v>
      </c>
      <c r="Z80" t="n">
        <v>31.12</v>
      </c>
      <c r="AA80" t="n">
        <v>3.16</v>
      </c>
      <c r="AB80" t="n">
        <v>34.28</v>
      </c>
      <c r="AC80" t="n">
        <v>6.17</v>
      </c>
      <c r="AD80" t="n">
        <v>0</v>
      </c>
      <c r="AE80" t="n">
        <v>163.8</v>
      </c>
      <c r="AF80" t="n">
        <v>0</v>
      </c>
      <c r="AG80" t="n">
        <v>0</v>
      </c>
      <c r="AH80" t="n">
        <v>0.16</v>
      </c>
      <c r="AI80" t="n">
        <v>8.199999999999999</v>
      </c>
      <c r="AJ80" t="n">
        <v>-0.01</v>
      </c>
      <c r="AK80" t="n">
        <v>14.53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48.81</v>
      </c>
      <c r="AV80" t="n">
        <v>0</v>
      </c>
      <c r="AW80" t="n">
        <v>123.18</v>
      </c>
      <c r="AX80" t="inlineStr">
        <is>
          <t>settled</t>
        </is>
      </c>
      <c r="AY80" t="inlineStr">
        <is>
          <t>NA</t>
        </is>
      </c>
      <c r="AZ80" t="inlineStr">
        <is>
          <t>NA</t>
        </is>
      </c>
      <c r="BA80" t="n">
        <v>0</v>
      </c>
      <c r="BB80" t="inlineStr">
        <is>
          <t>ce56cc7d06d55b38c3e270470e21e7e1526f822b22f21b254e03ce371f27eecc</t>
        </is>
      </c>
    </row>
    <row r="81">
      <c r="A81" t="inlineStr">
        <is>
          <t>1111</t>
        </is>
      </c>
      <c r="B81" t="inlineStr">
        <is>
          <t>7614969065</t>
        </is>
      </c>
      <c r="C81" t="inlineStr">
        <is>
          <t>2025-12-24 00:28:13</t>
        </is>
      </c>
      <c r="D81" t="inlineStr">
        <is>
          <t>52</t>
        </is>
      </c>
      <c r="E81" t="inlineStr">
        <is>
          <t>Sha Sha - Shandaar Shawarma</t>
        </is>
      </c>
      <c r="F81" t="inlineStr">
        <is>
          <t>18557902</t>
        </is>
      </c>
      <c r="G81" t="inlineStr">
        <is>
          <t>30% off upto ₹75 (2025-06-25 - 2031-01-01)</t>
        </is>
      </c>
      <c r="H81" t="inlineStr">
        <is>
          <t>ONLINE</t>
        </is>
      </c>
      <c r="I81" t="inlineStr">
        <is>
          <t>DELIVERED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O2</t>
        </is>
      </c>
      <c r="N81" t="inlineStr">
        <is>
          <t>36</t>
        </is>
      </c>
      <c r="O81" t="n">
        <v>229</v>
      </c>
      <c r="P81" t="n">
        <v>3.5</v>
      </c>
      <c r="Q81" t="n">
        <v>0</v>
      </c>
      <c r="R81" t="n">
        <v>68.7</v>
      </c>
      <c r="S81" t="n">
        <v>0</v>
      </c>
      <c r="T81" t="n">
        <v>0</v>
      </c>
      <c r="U81" t="n">
        <v>0</v>
      </c>
      <c r="V81" t="n">
        <v>8.19</v>
      </c>
      <c r="W81" t="n">
        <v>171.99</v>
      </c>
      <c r="X81" t="n">
        <v>163.8</v>
      </c>
      <c r="Y81" t="n">
        <v>19</v>
      </c>
      <c r="Z81" t="n">
        <v>31.12</v>
      </c>
      <c r="AA81" t="n">
        <v>3.16</v>
      </c>
      <c r="AB81" t="n">
        <v>34.28</v>
      </c>
      <c r="AC81" t="n">
        <v>6.17</v>
      </c>
      <c r="AD81" t="n">
        <v>0</v>
      </c>
      <c r="AE81" t="n">
        <v>163.8</v>
      </c>
      <c r="AF81" t="n">
        <v>0</v>
      </c>
      <c r="AG81" t="n">
        <v>0</v>
      </c>
      <c r="AH81" t="n">
        <v>0.16</v>
      </c>
      <c r="AI81" t="n">
        <v>8.199999999999999</v>
      </c>
      <c r="AJ81" t="n">
        <v>-0.01</v>
      </c>
      <c r="AK81" t="n">
        <v>14.53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48.81</v>
      </c>
      <c r="AV81" t="n">
        <v>0</v>
      </c>
      <c r="AW81" t="n">
        <v>123.18</v>
      </c>
      <c r="AX81" t="inlineStr">
        <is>
          <t>settled</t>
        </is>
      </c>
      <c r="AY81" t="inlineStr">
        <is>
          <t>NA</t>
        </is>
      </c>
      <c r="AZ81" t="inlineStr">
        <is>
          <t>NA</t>
        </is>
      </c>
      <c r="BA81" t="n">
        <v>0</v>
      </c>
      <c r="BB81" t="inlineStr">
        <is>
          <t>d8b4871f6fa1b83b873c5d548394b9fd245e6961b43e5925e0ac5424bffdbdf7</t>
        </is>
      </c>
    </row>
    <row r="82">
      <c r="A82" t="inlineStr">
        <is>
          <t>1112</t>
        </is>
      </c>
      <c r="B82" t="inlineStr">
        <is>
          <t>7614044259</t>
        </is>
      </c>
      <c r="C82" t="inlineStr">
        <is>
          <t>2025-12-24 00:42:45</t>
        </is>
      </c>
      <c r="D82" t="inlineStr">
        <is>
          <t>52</t>
        </is>
      </c>
      <c r="E82" t="inlineStr">
        <is>
          <t>Sha Sha - Shandaar Shawarma</t>
        </is>
      </c>
      <c r="F82" t="inlineStr">
        <is>
          <t>18557902</t>
        </is>
      </c>
      <c r="G82" t="inlineStr">
        <is>
          <t>30% off upto ₹75 (2025-06-25 - 2031-01-01)</t>
        </is>
      </c>
      <c r="H82" t="inlineStr">
        <is>
          <t>ONLINE</t>
        </is>
      </c>
      <c r="I82" t="inlineStr">
        <is>
          <t>DELIVERED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O2</t>
        </is>
      </c>
      <c r="N82" t="inlineStr">
        <is>
          <t>36</t>
        </is>
      </c>
      <c r="O82" t="n">
        <v>345</v>
      </c>
      <c r="P82" t="n">
        <v>3.5</v>
      </c>
      <c r="Q82" t="n">
        <v>0</v>
      </c>
      <c r="R82" t="n">
        <v>75</v>
      </c>
      <c r="S82" t="n">
        <v>0</v>
      </c>
      <c r="T82" t="n">
        <v>0</v>
      </c>
      <c r="U82" t="n">
        <v>0</v>
      </c>
      <c r="V82" t="n">
        <v>13.68</v>
      </c>
      <c r="W82" t="n">
        <v>287.18</v>
      </c>
      <c r="X82" t="n">
        <v>273.5</v>
      </c>
      <c r="Y82" t="n">
        <v>19</v>
      </c>
      <c r="Z82" t="n">
        <v>51.96</v>
      </c>
      <c r="AA82" t="n">
        <v>5.28</v>
      </c>
      <c r="AB82" t="n">
        <v>57.24</v>
      </c>
      <c r="AC82" t="n">
        <v>10.3</v>
      </c>
      <c r="AD82" t="n">
        <v>0</v>
      </c>
      <c r="AE82" t="n">
        <v>273.5</v>
      </c>
      <c r="AF82" t="n">
        <v>0</v>
      </c>
      <c r="AG82" t="n">
        <v>0</v>
      </c>
      <c r="AH82" t="n">
        <v>0.27</v>
      </c>
      <c r="AI82" t="n">
        <v>13.68</v>
      </c>
      <c r="AJ82" t="n">
        <v>0</v>
      </c>
      <c r="AK82" t="n">
        <v>24.25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81.48999999999999</v>
      </c>
      <c r="AV82" t="n">
        <v>0</v>
      </c>
      <c r="AW82" t="n">
        <v>205.69</v>
      </c>
      <c r="AX82" t="inlineStr">
        <is>
          <t>settled</t>
        </is>
      </c>
      <c r="AY82" t="inlineStr">
        <is>
          <t>NA</t>
        </is>
      </c>
      <c r="AZ82" t="inlineStr">
        <is>
          <t>NA</t>
        </is>
      </c>
      <c r="BA82" t="n">
        <v>0</v>
      </c>
      <c r="BB82" t="inlineStr">
        <is>
          <t>f82ea731e5343638a7a4bf1463767f4f4738da3c2e7f4e8ac1ea5b3b74b0fecc</t>
        </is>
      </c>
    </row>
    <row r="83">
      <c r="A83" t="inlineStr">
        <is>
          <t>1113</t>
        </is>
      </c>
      <c r="B83" t="inlineStr">
        <is>
          <t>7614678962</t>
        </is>
      </c>
      <c r="C83" t="inlineStr">
        <is>
          <t>2025-12-24 00:45:33</t>
        </is>
      </c>
      <c r="D83" t="inlineStr">
        <is>
          <t>52</t>
        </is>
      </c>
      <c r="E83" t="inlineStr">
        <is>
          <t>Sha Sha - Shandaar Shawarma</t>
        </is>
      </c>
      <c r="F83" t="inlineStr">
        <is>
          <t>18557902</t>
        </is>
      </c>
      <c r="G83" t="inlineStr">
        <is>
          <t>30% off upto ₹75 (2025-06-25 - 2031-01-01)</t>
        </is>
      </c>
      <c r="H83" t="inlineStr">
        <is>
          <t>ONLINE</t>
        </is>
      </c>
      <c r="I83" t="inlineStr">
        <is>
          <t>DELIVERED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O2</t>
        </is>
      </c>
      <c r="N83" t="inlineStr">
        <is>
          <t>36</t>
        </is>
      </c>
      <c r="O83" t="n">
        <v>355</v>
      </c>
      <c r="P83" t="n">
        <v>3.5</v>
      </c>
      <c r="Q83" t="n">
        <v>0</v>
      </c>
      <c r="R83" t="n">
        <v>75</v>
      </c>
      <c r="S83" t="n">
        <v>0</v>
      </c>
      <c r="T83" t="n">
        <v>0</v>
      </c>
      <c r="U83" t="n">
        <v>0</v>
      </c>
      <c r="V83" t="n">
        <v>14.18</v>
      </c>
      <c r="W83" t="n">
        <v>297.68</v>
      </c>
      <c r="X83" t="n">
        <v>283.5</v>
      </c>
      <c r="Y83" t="n">
        <v>19</v>
      </c>
      <c r="Z83" t="n">
        <v>53.86</v>
      </c>
      <c r="AA83" t="n">
        <v>5.48</v>
      </c>
      <c r="AB83" t="n">
        <v>59.34</v>
      </c>
      <c r="AC83" t="n">
        <v>10.68</v>
      </c>
      <c r="AD83" t="n">
        <v>0</v>
      </c>
      <c r="AE83" t="n">
        <v>283.5</v>
      </c>
      <c r="AF83" t="n">
        <v>0</v>
      </c>
      <c r="AG83" t="n">
        <v>0</v>
      </c>
      <c r="AH83" t="n">
        <v>0.28</v>
      </c>
      <c r="AI83" t="n">
        <v>14.18</v>
      </c>
      <c r="AJ83" t="n">
        <v>0</v>
      </c>
      <c r="AK83" t="n">
        <v>25.14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84.48</v>
      </c>
      <c r="AV83" t="n">
        <v>0</v>
      </c>
      <c r="AW83" t="n">
        <v>213.2</v>
      </c>
      <c r="AX83" t="inlineStr">
        <is>
          <t>settled</t>
        </is>
      </c>
      <c r="AY83" t="inlineStr">
        <is>
          <t>NA</t>
        </is>
      </c>
      <c r="AZ83" t="inlineStr">
        <is>
          <t>NA</t>
        </is>
      </c>
      <c r="BA83" t="n">
        <v>0</v>
      </c>
      <c r="BB83" t="inlineStr">
        <is>
          <t>6831eb7e8c43e09f507fa1ed33e5a7783d09ce77a9f7d5fa83da92c949df35f2</t>
        </is>
      </c>
    </row>
    <row r="84">
      <c r="A84" t="inlineStr">
        <is>
          <t>1114</t>
        </is>
      </c>
      <c r="B84" t="inlineStr">
        <is>
          <t>7613839409</t>
        </is>
      </c>
      <c r="C84" t="inlineStr">
        <is>
          <t>2025-12-24 00:53:19</t>
        </is>
      </c>
      <c r="D84" t="inlineStr">
        <is>
          <t>52</t>
        </is>
      </c>
      <c r="E84" t="inlineStr">
        <is>
          <t>Sha Sha - Shandaar Shawarma</t>
        </is>
      </c>
      <c r="F84" t="inlineStr">
        <is>
          <t>18557902</t>
        </is>
      </c>
      <c r="G84" t="inlineStr">
        <is>
          <t>30% off upto ₹75 (2025-06-25 - 2031-01-01)</t>
        </is>
      </c>
      <c r="H84" t="inlineStr">
        <is>
          <t>ONLINE</t>
        </is>
      </c>
      <c r="I84" t="inlineStr">
        <is>
          <t>DELIVERED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O2</t>
        </is>
      </c>
      <c r="N84" t="inlineStr">
        <is>
          <t>36</t>
        </is>
      </c>
      <c r="O84" t="n">
        <v>229</v>
      </c>
      <c r="P84" t="n">
        <v>3.5</v>
      </c>
      <c r="Q84" t="n">
        <v>0</v>
      </c>
      <c r="R84" t="n">
        <v>68.7</v>
      </c>
      <c r="S84" t="n">
        <v>0</v>
      </c>
      <c r="T84" t="n">
        <v>0</v>
      </c>
      <c r="U84" t="n">
        <v>0</v>
      </c>
      <c r="V84" t="n">
        <v>8.19</v>
      </c>
      <c r="W84" t="n">
        <v>171.99</v>
      </c>
      <c r="X84" t="n">
        <v>163.8</v>
      </c>
      <c r="Y84" t="n">
        <v>19</v>
      </c>
      <c r="Z84" t="n">
        <v>31.12</v>
      </c>
      <c r="AA84" t="n">
        <v>3.16</v>
      </c>
      <c r="AB84" t="n">
        <v>34.28</v>
      </c>
      <c r="AC84" t="n">
        <v>6.17</v>
      </c>
      <c r="AD84" t="n">
        <v>0</v>
      </c>
      <c r="AE84" t="n">
        <v>163.8</v>
      </c>
      <c r="AF84" t="n">
        <v>0</v>
      </c>
      <c r="AG84" t="n">
        <v>0</v>
      </c>
      <c r="AH84" t="n">
        <v>0.16</v>
      </c>
      <c r="AI84" t="n">
        <v>8.199999999999999</v>
      </c>
      <c r="AJ84" t="n">
        <v>-0.01</v>
      </c>
      <c r="AK84" t="n">
        <v>14.53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48.81</v>
      </c>
      <c r="AV84" t="n">
        <v>0</v>
      </c>
      <c r="AW84" t="n">
        <v>123.18</v>
      </c>
      <c r="AX84" t="inlineStr">
        <is>
          <t>settled</t>
        </is>
      </c>
      <c r="AY84" t="inlineStr">
        <is>
          <t>NA</t>
        </is>
      </c>
      <c r="AZ84" t="inlineStr">
        <is>
          <t>NA</t>
        </is>
      </c>
      <c r="BA84" t="n">
        <v>0</v>
      </c>
      <c r="BB84" t="inlineStr">
        <is>
          <t>ac959b86336b04b06bbbb58e74886ff52a964329cfc7eafa2e6b99e2490579d1</t>
        </is>
      </c>
    </row>
    <row r="85">
      <c r="A85" t="inlineStr">
        <is>
          <t>1115</t>
        </is>
      </c>
      <c r="B85" t="inlineStr">
        <is>
          <t>7613580328</t>
        </is>
      </c>
      <c r="C85" t="inlineStr">
        <is>
          <t>2025-12-24 01:26:31</t>
        </is>
      </c>
      <c r="D85" t="inlineStr">
        <is>
          <t>52</t>
        </is>
      </c>
      <c r="E85" t="inlineStr">
        <is>
          <t>Sha Sha - Shandaar Shawarma</t>
        </is>
      </c>
      <c r="F85" t="inlineStr">
        <is>
          <t>18557902</t>
        </is>
      </c>
      <c r="G85" t="inlineStr">
        <is>
          <t>30% off upto ₹75 (2025-06-25 - 2031-01-01)</t>
        </is>
      </c>
      <c r="H85" t="inlineStr">
        <is>
          <t>ONLINE</t>
        </is>
      </c>
      <c r="I85" t="inlineStr">
        <is>
          <t>DELIVERED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O2</t>
        </is>
      </c>
      <c r="N85" t="inlineStr">
        <is>
          <t>36</t>
        </is>
      </c>
      <c r="O85" t="n">
        <v>229</v>
      </c>
      <c r="P85" t="n">
        <v>3.5</v>
      </c>
      <c r="Q85" t="n">
        <v>0</v>
      </c>
      <c r="R85" t="n">
        <v>68.7</v>
      </c>
      <c r="S85" t="n">
        <v>0</v>
      </c>
      <c r="T85" t="n">
        <v>0</v>
      </c>
      <c r="U85" t="n">
        <v>0</v>
      </c>
      <c r="V85" t="n">
        <v>8.19</v>
      </c>
      <c r="W85" t="n">
        <v>171.99</v>
      </c>
      <c r="X85" t="n">
        <v>163.8</v>
      </c>
      <c r="Y85" t="n">
        <v>19</v>
      </c>
      <c r="Z85" t="n">
        <v>31.12</v>
      </c>
      <c r="AA85" t="n">
        <v>3.16</v>
      </c>
      <c r="AB85" t="n">
        <v>34.28</v>
      </c>
      <c r="AC85" t="n">
        <v>6.17</v>
      </c>
      <c r="AD85" t="n">
        <v>0</v>
      </c>
      <c r="AE85" t="n">
        <v>163.8</v>
      </c>
      <c r="AF85" t="n">
        <v>0</v>
      </c>
      <c r="AG85" t="n">
        <v>0</v>
      </c>
      <c r="AH85" t="n">
        <v>0.16</v>
      </c>
      <c r="AI85" t="n">
        <v>8.199999999999999</v>
      </c>
      <c r="AJ85" t="n">
        <v>-0.01</v>
      </c>
      <c r="AK85" t="n">
        <v>14.53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48.81</v>
      </c>
      <c r="AV85" t="n">
        <v>0</v>
      </c>
      <c r="AW85" t="n">
        <v>123.18</v>
      </c>
      <c r="AX85" t="inlineStr">
        <is>
          <t>settled</t>
        </is>
      </c>
      <c r="AY85" t="inlineStr">
        <is>
          <t>NA</t>
        </is>
      </c>
      <c r="AZ85" t="inlineStr">
        <is>
          <t>NA</t>
        </is>
      </c>
      <c r="BA85" t="n">
        <v>0</v>
      </c>
      <c r="BB85" t="inlineStr">
        <is>
          <t>cff83eb52d552201d1ec782709ad181bef39a5256e64deac8642cbf4431711d2</t>
        </is>
      </c>
    </row>
    <row r="86">
      <c r="A86" t="inlineStr">
        <is>
          <t>1116</t>
        </is>
      </c>
      <c r="B86" t="inlineStr">
        <is>
          <t>7613677580</t>
        </is>
      </c>
      <c r="C86" t="inlineStr">
        <is>
          <t>2025-12-24 01:31:43</t>
        </is>
      </c>
      <c r="D86" t="inlineStr">
        <is>
          <t>52</t>
        </is>
      </c>
      <c r="E86" t="inlineStr">
        <is>
          <t>Sha Sha - Shandaar Shawarma</t>
        </is>
      </c>
      <c r="F86" t="inlineStr">
        <is>
          <t>18557902</t>
        </is>
      </c>
      <c r="G86" t="inlineStr">
        <is>
          <t>30% off upto ₹75 (2025-06-25 - 2031-01-01)</t>
        </is>
      </c>
      <c r="H86" t="inlineStr">
        <is>
          <t>ONLINE</t>
        </is>
      </c>
      <c r="I86" t="inlineStr">
        <is>
          <t>DELIVERED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O2</t>
        </is>
      </c>
      <c r="N86" t="inlineStr">
        <is>
          <t>36</t>
        </is>
      </c>
      <c r="O86" t="n">
        <v>229</v>
      </c>
      <c r="P86" t="n">
        <v>3.5</v>
      </c>
      <c r="Q86" t="n">
        <v>0</v>
      </c>
      <c r="R86" t="n">
        <v>68.7</v>
      </c>
      <c r="S86" t="n">
        <v>0</v>
      </c>
      <c r="T86" t="n">
        <v>0</v>
      </c>
      <c r="U86" t="n">
        <v>0</v>
      </c>
      <c r="V86" t="n">
        <v>8.19</v>
      </c>
      <c r="W86" t="n">
        <v>171.99</v>
      </c>
      <c r="X86" t="n">
        <v>163.8</v>
      </c>
      <c r="Y86" t="n">
        <v>19</v>
      </c>
      <c r="Z86" t="n">
        <v>31.12</v>
      </c>
      <c r="AA86" t="n">
        <v>3.16</v>
      </c>
      <c r="AB86" t="n">
        <v>34.28</v>
      </c>
      <c r="AC86" t="n">
        <v>6.17</v>
      </c>
      <c r="AD86" t="n">
        <v>0</v>
      </c>
      <c r="AE86" t="n">
        <v>163.8</v>
      </c>
      <c r="AF86" t="n">
        <v>0</v>
      </c>
      <c r="AG86" t="n">
        <v>0</v>
      </c>
      <c r="AH86" t="n">
        <v>0.16</v>
      </c>
      <c r="AI86" t="n">
        <v>8.199999999999999</v>
      </c>
      <c r="AJ86" t="n">
        <v>-0.01</v>
      </c>
      <c r="AK86" t="n">
        <v>14.53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48.81</v>
      </c>
      <c r="AV86" t="n">
        <v>0</v>
      </c>
      <c r="AW86" t="n">
        <v>123.18</v>
      </c>
      <c r="AX86" t="inlineStr">
        <is>
          <t>settled</t>
        </is>
      </c>
      <c r="AY86" t="inlineStr">
        <is>
          <t>NA</t>
        </is>
      </c>
      <c r="AZ86" t="inlineStr">
        <is>
          <t>NA</t>
        </is>
      </c>
      <c r="BA86" t="n">
        <v>0</v>
      </c>
      <c r="BB86" t="inlineStr">
        <is>
          <t>87bdb3dba1ff489cf60468fc2a0374c785537e1d236ea2c570ac51f54053b524</t>
        </is>
      </c>
    </row>
    <row r="87">
      <c r="A87" t="inlineStr">
        <is>
          <t>1117</t>
        </is>
      </c>
      <c r="B87" t="inlineStr">
        <is>
          <t>7601598415</t>
        </is>
      </c>
      <c r="C87" t="inlineStr">
        <is>
          <t>2025-12-24 01:41:11</t>
        </is>
      </c>
      <c r="D87" t="inlineStr">
        <is>
          <t>52</t>
        </is>
      </c>
      <c r="E87" t="inlineStr">
        <is>
          <t>Sha Sha - Shandaar Shawarma</t>
        </is>
      </c>
      <c r="F87" t="inlineStr">
        <is>
          <t>18557902</t>
        </is>
      </c>
      <c r="G87" t="inlineStr">
        <is>
          <t>30% off upto ₹75 (2025-06-25 - 2031-01-01)</t>
        </is>
      </c>
      <c r="H87" t="inlineStr">
        <is>
          <t>ONLINE</t>
        </is>
      </c>
      <c r="I87" t="inlineStr">
        <is>
          <t>DELIVERED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O2</t>
        </is>
      </c>
      <c r="N87" t="inlineStr">
        <is>
          <t>36</t>
        </is>
      </c>
      <c r="O87" t="n">
        <v>458</v>
      </c>
      <c r="P87" t="n">
        <v>3.5</v>
      </c>
      <c r="Q87" t="n">
        <v>0</v>
      </c>
      <c r="R87" t="n">
        <v>75</v>
      </c>
      <c r="S87" t="n">
        <v>0</v>
      </c>
      <c r="T87" t="n">
        <v>0</v>
      </c>
      <c r="U87" t="n">
        <v>0</v>
      </c>
      <c r="V87" t="n">
        <v>19.33</v>
      </c>
      <c r="W87" t="n">
        <v>405.83</v>
      </c>
      <c r="X87" t="n">
        <v>386.5</v>
      </c>
      <c r="Y87" t="n">
        <v>19</v>
      </c>
      <c r="Z87" t="n">
        <v>73.44</v>
      </c>
      <c r="AA87" t="n">
        <v>7.47</v>
      </c>
      <c r="AB87" t="n">
        <v>80.91</v>
      </c>
      <c r="AC87" t="n">
        <v>14.56</v>
      </c>
      <c r="AD87" t="n">
        <v>0</v>
      </c>
      <c r="AE87" t="n">
        <v>386.5</v>
      </c>
      <c r="AF87" t="n">
        <v>0</v>
      </c>
      <c r="AG87" t="n">
        <v>0</v>
      </c>
      <c r="AH87" t="n">
        <v>0.39</v>
      </c>
      <c r="AI87" t="n">
        <v>19.33</v>
      </c>
      <c r="AJ87" t="n">
        <v>0</v>
      </c>
      <c r="AK87" t="n">
        <v>34.28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115.19</v>
      </c>
      <c r="AV87" t="n">
        <v>0</v>
      </c>
      <c r="AW87" t="n">
        <v>290.64</v>
      </c>
      <c r="AX87" t="inlineStr">
        <is>
          <t>settled</t>
        </is>
      </c>
      <c r="AY87" t="inlineStr">
        <is>
          <t>NA</t>
        </is>
      </c>
      <c r="AZ87" t="inlineStr">
        <is>
          <t>NA</t>
        </is>
      </c>
      <c r="BA87" t="n">
        <v>0</v>
      </c>
      <c r="BB87" t="inlineStr">
        <is>
          <t>50048b639f89d21e4d523106d98f32bf35dae4f7fa9b94ed66c531138c69bf52</t>
        </is>
      </c>
    </row>
    <row r="88">
      <c r="A88" t="inlineStr">
        <is>
          <t>1118</t>
        </is>
      </c>
      <c r="B88" t="inlineStr">
        <is>
          <t>7572969537</t>
        </is>
      </c>
      <c r="C88" t="inlineStr">
        <is>
          <t>2025-12-24 01:47:01</t>
        </is>
      </c>
      <c r="D88" t="inlineStr">
        <is>
          <t>52</t>
        </is>
      </c>
      <c r="E88" t="inlineStr">
        <is>
          <t>Sha Sha - Shandaar Shawarma</t>
        </is>
      </c>
      <c r="F88" t="inlineStr">
        <is>
          <t>18557902</t>
        </is>
      </c>
      <c r="G88" t="inlineStr">
        <is>
          <t>30% off upto ₹75 (2025-06-25 - 2031-01-01)</t>
        </is>
      </c>
      <c r="H88" t="inlineStr">
        <is>
          <t>ONLINE</t>
        </is>
      </c>
      <c r="I88" t="inlineStr">
        <is>
          <t>DELIVERED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O2</t>
        </is>
      </c>
      <c r="N88" t="inlineStr">
        <is>
          <t>36</t>
        </is>
      </c>
      <c r="O88" t="n">
        <v>219</v>
      </c>
      <c r="P88" t="n">
        <v>3.5</v>
      </c>
      <c r="Q88" t="n">
        <v>0</v>
      </c>
      <c r="R88" t="n">
        <v>65.7</v>
      </c>
      <c r="S88" t="n">
        <v>0</v>
      </c>
      <c r="T88" t="n">
        <v>0</v>
      </c>
      <c r="U88" t="n">
        <v>0</v>
      </c>
      <c r="V88" t="n">
        <v>7.84</v>
      </c>
      <c r="W88" t="n">
        <v>164.64</v>
      </c>
      <c r="X88" t="n">
        <v>156.8</v>
      </c>
      <c r="Y88" t="n">
        <v>19</v>
      </c>
      <c r="Z88" t="n">
        <v>29.79</v>
      </c>
      <c r="AA88" t="n">
        <v>3.03</v>
      </c>
      <c r="AB88" t="n">
        <v>32.82</v>
      </c>
      <c r="AC88" t="n">
        <v>5.91</v>
      </c>
      <c r="AD88" t="n">
        <v>0</v>
      </c>
      <c r="AE88" t="n">
        <v>156.8</v>
      </c>
      <c r="AF88" t="n">
        <v>0</v>
      </c>
      <c r="AG88" t="n">
        <v>0</v>
      </c>
      <c r="AH88" t="n">
        <v>0.16</v>
      </c>
      <c r="AI88" t="n">
        <v>7.85</v>
      </c>
      <c r="AJ88" t="n">
        <v>-0.01</v>
      </c>
      <c r="AK88" t="n">
        <v>13.92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46.74</v>
      </c>
      <c r="AV88" t="n">
        <v>0</v>
      </c>
      <c r="AW88" t="n">
        <v>117.9</v>
      </c>
      <c r="AX88" t="inlineStr">
        <is>
          <t>settled</t>
        </is>
      </c>
      <c r="AY88" t="inlineStr">
        <is>
          <t>NA</t>
        </is>
      </c>
      <c r="AZ88" t="inlineStr">
        <is>
          <t>NA</t>
        </is>
      </c>
      <c r="BA88" t="n">
        <v>0</v>
      </c>
      <c r="BB88" t="inlineStr">
        <is>
          <t>789f4cc04c2ea16446d65dcfbbbc1858ae7bb90468106cae9108314e4ddf99cc</t>
        </is>
      </c>
    </row>
    <row r="89">
      <c r="A89" t="inlineStr">
        <is>
          <t>1119</t>
        </is>
      </c>
      <c r="B89" t="inlineStr">
        <is>
          <t>7614272105</t>
        </is>
      </c>
      <c r="C89" t="inlineStr">
        <is>
          <t>2025-12-24 02:01:50</t>
        </is>
      </c>
      <c r="D89" t="inlineStr">
        <is>
          <t>52</t>
        </is>
      </c>
      <c r="E89" t="inlineStr">
        <is>
          <t>Sha Sha - Shandaar Shawarma</t>
        </is>
      </c>
      <c r="F89" t="inlineStr">
        <is>
          <t>18557902</t>
        </is>
      </c>
      <c r="G89" t="inlineStr">
        <is>
          <t>NA</t>
        </is>
      </c>
      <c r="H89" t="inlineStr">
        <is>
          <t>ONLINE</t>
        </is>
      </c>
      <c r="I89" t="inlineStr">
        <is>
          <t>DELIVERED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O2</t>
        </is>
      </c>
      <c r="N89" t="inlineStr">
        <is>
          <t>36</t>
        </is>
      </c>
      <c r="O89" t="n">
        <v>239</v>
      </c>
      <c r="P89" t="n">
        <v>3.5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12.13</v>
      </c>
      <c r="W89" t="n">
        <v>254.63</v>
      </c>
      <c r="X89" t="n">
        <v>242.5</v>
      </c>
      <c r="Y89" t="n">
        <v>19</v>
      </c>
      <c r="Z89" t="n">
        <v>46.08</v>
      </c>
      <c r="AA89" t="n">
        <v>4.69</v>
      </c>
      <c r="AB89" t="n">
        <v>50.77</v>
      </c>
      <c r="AC89" t="n">
        <v>9.130000000000001</v>
      </c>
      <c r="AD89" t="n">
        <v>0</v>
      </c>
      <c r="AE89" t="n">
        <v>242.5</v>
      </c>
      <c r="AF89" t="n">
        <v>0</v>
      </c>
      <c r="AG89" t="n">
        <v>0</v>
      </c>
      <c r="AH89" t="n">
        <v>0.24</v>
      </c>
      <c r="AI89" t="n">
        <v>12.13</v>
      </c>
      <c r="AJ89" t="n">
        <v>0</v>
      </c>
      <c r="AK89" t="n">
        <v>21.5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72.27</v>
      </c>
      <c r="AV89" t="n">
        <v>0</v>
      </c>
      <c r="AW89" t="n">
        <v>182.36</v>
      </c>
      <c r="AX89" t="inlineStr">
        <is>
          <t>settled</t>
        </is>
      </c>
      <c r="AY89" t="inlineStr">
        <is>
          <t>NA</t>
        </is>
      </c>
      <c r="AZ89" t="inlineStr">
        <is>
          <t>NA</t>
        </is>
      </c>
      <c r="BA89" t="n">
        <v>0</v>
      </c>
      <c r="BB89" t="inlineStr">
        <is>
          <t>171eca97a4bef782a6e8b6e13d95b22934512c4dc11f35985e20ac379d731819</t>
        </is>
      </c>
    </row>
    <row r="90">
      <c r="A90" t="inlineStr">
        <is>
          <t>1120</t>
        </is>
      </c>
      <c r="B90" t="inlineStr">
        <is>
          <t>7611318055</t>
        </is>
      </c>
      <c r="C90" t="inlineStr">
        <is>
          <t>2025-12-24 02:10:52</t>
        </is>
      </c>
      <c r="D90" t="inlineStr">
        <is>
          <t>52</t>
        </is>
      </c>
      <c r="E90" t="inlineStr">
        <is>
          <t>Sha Sha - Shandaar Shawarma</t>
        </is>
      </c>
      <c r="F90" t="inlineStr">
        <is>
          <t>18557902</t>
        </is>
      </c>
      <c r="G90" t="inlineStr">
        <is>
          <t>30% off upto ₹75 (2025-06-25 - 2031-01-01)</t>
        </is>
      </c>
      <c r="H90" t="inlineStr">
        <is>
          <t>ONLINE</t>
        </is>
      </c>
      <c r="I90" t="inlineStr">
        <is>
          <t>DELIVERED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O2</t>
        </is>
      </c>
      <c r="N90" t="inlineStr">
        <is>
          <t>36</t>
        </is>
      </c>
      <c r="O90" t="n">
        <v>229</v>
      </c>
      <c r="P90" t="n">
        <v>3.5</v>
      </c>
      <c r="Q90" t="n">
        <v>0</v>
      </c>
      <c r="R90" t="n">
        <v>68.7</v>
      </c>
      <c r="S90" t="n">
        <v>0</v>
      </c>
      <c r="T90" t="n">
        <v>0</v>
      </c>
      <c r="U90" t="n">
        <v>0</v>
      </c>
      <c r="V90" t="n">
        <v>8.19</v>
      </c>
      <c r="W90" t="n">
        <v>171.99</v>
      </c>
      <c r="X90" t="n">
        <v>163.8</v>
      </c>
      <c r="Y90" t="n">
        <v>19</v>
      </c>
      <c r="Z90" t="n">
        <v>31.12</v>
      </c>
      <c r="AA90" t="n">
        <v>3.16</v>
      </c>
      <c r="AB90" t="n">
        <v>34.28</v>
      </c>
      <c r="AC90" t="n">
        <v>6.17</v>
      </c>
      <c r="AD90" t="n">
        <v>0</v>
      </c>
      <c r="AE90" t="n">
        <v>163.8</v>
      </c>
      <c r="AF90" t="n">
        <v>0</v>
      </c>
      <c r="AG90" t="n">
        <v>0</v>
      </c>
      <c r="AH90" t="n">
        <v>0.16</v>
      </c>
      <c r="AI90" t="n">
        <v>8.199999999999999</v>
      </c>
      <c r="AJ90" t="n">
        <v>-0.01</v>
      </c>
      <c r="AK90" t="n">
        <v>14.53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48.81</v>
      </c>
      <c r="AV90" t="n">
        <v>0</v>
      </c>
      <c r="AW90" t="n">
        <v>123.18</v>
      </c>
      <c r="AX90" t="inlineStr">
        <is>
          <t>settled</t>
        </is>
      </c>
      <c r="AY90" t="inlineStr">
        <is>
          <t>NA</t>
        </is>
      </c>
      <c r="AZ90" t="inlineStr">
        <is>
          <t>NA</t>
        </is>
      </c>
      <c r="BA90" t="n">
        <v>0</v>
      </c>
      <c r="BB90" t="inlineStr">
        <is>
          <t>57496806c1e37f8eedbb40382d4de0234e1edc899759cd03d519736abfd5330a</t>
        </is>
      </c>
    </row>
    <row r="91">
      <c r="A91" t="inlineStr">
        <is>
          <t>1121</t>
        </is>
      </c>
      <c r="B91" t="inlineStr">
        <is>
          <t>7613500589</t>
        </is>
      </c>
      <c r="C91" t="inlineStr">
        <is>
          <t>2025-12-24 02:12:07</t>
        </is>
      </c>
      <c r="D91" t="inlineStr">
        <is>
          <t>52</t>
        </is>
      </c>
      <c r="E91" t="inlineStr">
        <is>
          <t>Sha Sha - Shandaar Shawarma</t>
        </is>
      </c>
      <c r="F91" t="inlineStr">
        <is>
          <t>18557902</t>
        </is>
      </c>
      <c r="G91" t="inlineStr">
        <is>
          <t>30% off upto ₹75 (2025-06-25 - 2031-01-01)</t>
        </is>
      </c>
      <c r="H91" t="inlineStr">
        <is>
          <t>ONLINE</t>
        </is>
      </c>
      <c r="I91" t="inlineStr">
        <is>
          <t>DELIVERED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O2</t>
        </is>
      </c>
      <c r="N91" t="inlineStr">
        <is>
          <t>36</t>
        </is>
      </c>
      <c r="O91" t="n">
        <v>229</v>
      </c>
      <c r="P91" t="n">
        <v>3.5</v>
      </c>
      <c r="Q91" t="n">
        <v>0</v>
      </c>
      <c r="R91" t="n">
        <v>68.7</v>
      </c>
      <c r="S91" t="n">
        <v>0</v>
      </c>
      <c r="T91" t="n">
        <v>0</v>
      </c>
      <c r="U91" t="n">
        <v>0</v>
      </c>
      <c r="V91" t="n">
        <v>8.19</v>
      </c>
      <c r="W91" t="n">
        <v>171.99</v>
      </c>
      <c r="X91" t="n">
        <v>163.8</v>
      </c>
      <c r="Y91" t="n">
        <v>19</v>
      </c>
      <c r="Z91" t="n">
        <v>31.12</v>
      </c>
      <c r="AA91" t="n">
        <v>3.16</v>
      </c>
      <c r="AB91" t="n">
        <v>34.28</v>
      </c>
      <c r="AC91" t="n">
        <v>6.17</v>
      </c>
      <c r="AD91" t="n">
        <v>0</v>
      </c>
      <c r="AE91" t="n">
        <v>163.8</v>
      </c>
      <c r="AF91" t="n">
        <v>0</v>
      </c>
      <c r="AG91" t="n">
        <v>0</v>
      </c>
      <c r="AH91" t="n">
        <v>0.16</v>
      </c>
      <c r="AI91" t="n">
        <v>8.199999999999999</v>
      </c>
      <c r="AJ91" t="n">
        <v>-0.01</v>
      </c>
      <c r="AK91" t="n">
        <v>14.53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48.81</v>
      </c>
      <c r="AV91" t="n">
        <v>0</v>
      </c>
      <c r="AW91" t="n">
        <v>123.18</v>
      </c>
      <c r="AX91" t="inlineStr">
        <is>
          <t>settled</t>
        </is>
      </c>
      <c r="AY91" t="inlineStr">
        <is>
          <t>NA</t>
        </is>
      </c>
      <c r="AZ91" t="inlineStr">
        <is>
          <t>NA</t>
        </is>
      </c>
      <c r="BA91" t="n">
        <v>0</v>
      </c>
      <c r="BB91" t="inlineStr">
        <is>
          <t>ad0751e835a24edae61fda3fd5ccdfc98a43fab47e97ff3f51c0d40c7e98a733</t>
        </is>
      </c>
    </row>
    <row r="92">
      <c r="A92" t="inlineStr">
        <is>
          <t>1122</t>
        </is>
      </c>
      <c r="B92" t="inlineStr">
        <is>
          <t>7603972336</t>
        </is>
      </c>
      <c r="C92" t="inlineStr">
        <is>
          <t>2025-12-24 02:15:45</t>
        </is>
      </c>
      <c r="D92" t="inlineStr">
        <is>
          <t>52</t>
        </is>
      </c>
      <c r="E92" t="inlineStr">
        <is>
          <t>Sha Sha - Shandaar Shawarma</t>
        </is>
      </c>
      <c r="F92" t="inlineStr">
        <is>
          <t>18557902</t>
        </is>
      </c>
      <c r="G92" t="inlineStr">
        <is>
          <t>30% off upto ₹75 (2025-06-25 - 2031-01-01)</t>
        </is>
      </c>
      <c r="H92" t="inlineStr">
        <is>
          <t>ONLINE</t>
        </is>
      </c>
      <c r="I92" t="inlineStr">
        <is>
          <t>DELIVERED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O2</t>
        </is>
      </c>
      <c r="N92" t="inlineStr">
        <is>
          <t>36</t>
        </is>
      </c>
      <c r="O92" t="n">
        <v>229</v>
      </c>
      <c r="P92" t="n">
        <v>3.5</v>
      </c>
      <c r="Q92" t="n">
        <v>0</v>
      </c>
      <c r="R92" t="n">
        <v>68.7</v>
      </c>
      <c r="S92" t="n">
        <v>0</v>
      </c>
      <c r="T92" t="n">
        <v>0</v>
      </c>
      <c r="U92" t="n">
        <v>0</v>
      </c>
      <c r="V92" t="n">
        <v>8.19</v>
      </c>
      <c r="W92" t="n">
        <v>171.99</v>
      </c>
      <c r="X92" t="n">
        <v>163.8</v>
      </c>
      <c r="Y92" t="n">
        <v>19</v>
      </c>
      <c r="Z92" t="n">
        <v>31.12</v>
      </c>
      <c r="AA92" t="n">
        <v>3.16</v>
      </c>
      <c r="AB92" t="n">
        <v>34.28</v>
      </c>
      <c r="AC92" t="n">
        <v>6.17</v>
      </c>
      <c r="AD92" t="n">
        <v>0</v>
      </c>
      <c r="AE92" t="n">
        <v>163.8</v>
      </c>
      <c r="AF92" t="n">
        <v>0</v>
      </c>
      <c r="AG92" t="n">
        <v>0</v>
      </c>
      <c r="AH92" t="n">
        <v>0.16</v>
      </c>
      <c r="AI92" t="n">
        <v>8.199999999999999</v>
      </c>
      <c r="AJ92" t="n">
        <v>-0.01</v>
      </c>
      <c r="AK92" t="n">
        <v>14.53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48.81</v>
      </c>
      <c r="AV92" t="n">
        <v>0</v>
      </c>
      <c r="AW92" t="n">
        <v>123.18</v>
      </c>
      <c r="AX92" t="inlineStr">
        <is>
          <t>settled</t>
        </is>
      </c>
      <c r="AY92" t="inlineStr">
        <is>
          <t>NA</t>
        </is>
      </c>
      <c r="AZ92" t="inlineStr">
        <is>
          <t>NA</t>
        </is>
      </c>
      <c r="BA92" t="n">
        <v>0</v>
      </c>
      <c r="BB92" t="inlineStr">
        <is>
          <t>4fc3b1d0fc0bfb7f5fb21b3ad00f8d68cf82da49f793b724c4d9b9cad27fd4a3</t>
        </is>
      </c>
    </row>
    <row r="93">
      <c r="A93" t="inlineStr">
        <is>
          <t>1123</t>
        </is>
      </c>
      <c r="B93" t="inlineStr">
        <is>
          <t>7614778000</t>
        </is>
      </c>
      <c r="C93" t="inlineStr">
        <is>
          <t>2025-12-24 02:18:18</t>
        </is>
      </c>
      <c r="D93" t="inlineStr">
        <is>
          <t>52</t>
        </is>
      </c>
      <c r="E93" t="inlineStr">
        <is>
          <t>Sha Sha - Shandaar Shawarma</t>
        </is>
      </c>
      <c r="F93" t="inlineStr">
        <is>
          <t>18557902</t>
        </is>
      </c>
      <c r="G93" t="inlineStr">
        <is>
          <t>30% off upto ₹75 (2025-06-25 - 2031-01-01)</t>
        </is>
      </c>
      <c r="H93" t="inlineStr">
        <is>
          <t>ONLINE</t>
        </is>
      </c>
      <c r="I93" t="inlineStr">
        <is>
          <t>DELIVERED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O2</t>
        </is>
      </c>
      <c r="N93" t="inlineStr">
        <is>
          <t>36</t>
        </is>
      </c>
      <c r="O93" t="n">
        <v>219</v>
      </c>
      <c r="P93" t="n">
        <v>3.5</v>
      </c>
      <c r="Q93" t="n">
        <v>0</v>
      </c>
      <c r="R93" t="n">
        <v>65.7</v>
      </c>
      <c r="S93" t="n">
        <v>0</v>
      </c>
      <c r="T93" t="n">
        <v>0</v>
      </c>
      <c r="U93" t="n">
        <v>0</v>
      </c>
      <c r="V93" t="n">
        <v>7.84</v>
      </c>
      <c r="W93" t="n">
        <v>164.64</v>
      </c>
      <c r="X93" t="n">
        <v>156.8</v>
      </c>
      <c r="Y93" t="n">
        <v>19</v>
      </c>
      <c r="Z93" t="n">
        <v>29.79</v>
      </c>
      <c r="AA93" t="n">
        <v>3.03</v>
      </c>
      <c r="AB93" t="n">
        <v>32.82</v>
      </c>
      <c r="AC93" t="n">
        <v>5.91</v>
      </c>
      <c r="AD93" t="n">
        <v>0</v>
      </c>
      <c r="AE93" t="n">
        <v>156.8</v>
      </c>
      <c r="AF93" t="n">
        <v>0</v>
      </c>
      <c r="AG93" t="n">
        <v>0</v>
      </c>
      <c r="AH93" t="n">
        <v>0.16</v>
      </c>
      <c r="AI93" t="n">
        <v>7.85</v>
      </c>
      <c r="AJ93" t="n">
        <v>-0.01</v>
      </c>
      <c r="AK93" t="n">
        <v>13.92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46.74</v>
      </c>
      <c r="AV93" t="n">
        <v>0</v>
      </c>
      <c r="AW93" t="n">
        <v>117.9</v>
      </c>
      <c r="AX93" t="inlineStr">
        <is>
          <t>settled</t>
        </is>
      </c>
      <c r="AY93" t="inlineStr">
        <is>
          <t>NA</t>
        </is>
      </c>
      <c r="AZ93" t="inlineStr">
        <is>
          <t>NA</t>
        </is>
      </c>
      <c r="BA93" t="n">
        <v>0</v>
      </c>
      <c r="BB93" t="inlineStr">
        <is>
          <t>4fca2ec57d8ed1589c858b823ae6864d487a9ecb476064b919cc80188e494dea</t>
        </is>
      </c>
    </row>
    <row r="94">
      <c r="A94" t="inlineStr">
        <is>
          <t>1124</t>
        </is>
      </c>
      <c r="B94" t="inlineStr">
        <is>
          <t>7612405355</t>
        </is>
      </c>
      <c r="C94" t="inlineStr">
        <is>
          <t>2025-12-24 02:31:06</t>
        </is>
      </c>
      <c r="D94" t="inlineStr">
        <is>
          <t>52</t>
        </is>
      </c>
      <c r="E94" t="inlineStr">
        <is>
          <t>Sha Sha - Shandaar Shawarma</t>
        </is>
      </c>
      <c r="F94" t="inlineStr">
        <is>
          <t>18557902</t>
        </is>
      </c>
      <c r="G94" t="inlineStr">
        <is>
          <t>30% off upto ₹75 (2025-06-25 - 2031-01-01)</t>
        </is>
      </c>
      <c r="H94" t="inlineStr">
        <is>
          <t>ONLINE</t>
        </is>
      </c>
      <c r="I94" t="inlineStr">
        <is>
          <t>DELIVERED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O2</t>
        </is>
      </c>
      <c r="N94" t="inlineStr">
        <is>
          <t>36</t>
        </is>
      </c>
      <c r="O94" t="n">
        <v>239</v>
      </c>
      <c r="P94" t="n">
        <v>3.5</v>
      </c>
      <c r="Q94" t="n">
        <v>0</v>
      </c>
      <c r="R94" t="n">
        <v>71.7</v>
      </c>
      <c r="S94" t="n">
        <v>0</v>
      </c>
      <c r="T94" t="n">
        <v>0</v>
      </c>
      <c r="U94" t="n">
        <v>0</v>
      </c>
      <c r="V94" t="n">
        <v>8.539999999999999</v>
      </c>
      <c r="W94" t="n">
        <v>179.34</v>
      </c>
      <c r="X94" t="n">
        <v>170.8</v>
      </c>
      <c r="Y94" t="n">
        <v>19</v>
      </c>
      <c r="Z94" t="n">
        <v>32.45</v>
      </c>
      <c r="AA94" t="n">
        <v>3.3</v>
      </c>
      <c r="AB94" t="n">
        <v>35.75</v>
      </c>
      <c r="AC94" t="n">
        <v>6.43</v>
      </c>
      <c r="AD94" t="n">
        <v>0</v>
      </c>
      <c r="AE94" t="n">
        <v>170.8</v>
      </c>
      <c r="AF94" t="n">
        <v>0</v>
      </c>
      <c r="AG94" t="n">
        <v>0</v>
      </c>
      <c r="AH94" t="n">
        <v>0.17</v>
      </c>
      <c r="AI94" t="n">
        <v>8.550000000000001</v>
      </c>
      <c r="AJ94" t="n">
        <v>-0.01</v>
      </c>
      <c r="AK94" t="n">
        <v>15.15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50.9</v>
      </c>
      <c r="AV94" t="n">
        <v>0</v>
      </c>
      <c r="AW94" t="n">
        <v>128.44</v>
      </c>
      <c r="AX94" t="inlineStr">
        <is>
          <t>settled</t>
        </is>
      </c>
      <c r="AY94" t="inlineStr">
        <is>
          <t>NA</t>
        </is>
      </c>
      <c r="AZ94" t="inlineStr">
        <is>
          <t>NA</t>
        </is>
      </c>
      <c r="BA94" t="n">
        <v>0</v>
      </c>
      <c r="BB94" t="inlineStr">
        <is>
          <t>edd85396c1257abf71e66198c703722b47e07c8082a9051ecf58e7426f300b58</t>
        </is>
      </c>
    </row>
    <row r="95">
      <c r="A95" t="inlineStr">
        <is>
          <t>1125</t>
        </is>
      </c>
      <c r="B95" t="inlineStr">
        <is>
          <t>7609847391</t>
        </is>
      </c>
      <c r="C95" t="inlineStr">
        <is>
          <t>2025-12-24 02:34:19</t>
        </is>
      </c>
      <c r="D95" t="inlineStr">
        <is>
          <t>52</t>
        </is>
      </c>
      <c r="E95" t="inlineStr">
        <is>
          <t>Sha Sha - Shandaar Shawarma</t>
        </is>
      </c>
      <c r="F95" t="inlineStr">
        <is>
          <t>18557902</t>
        </is>
      </c>
      <c r="G95" t="inlineStr">
        <is>
          <t>NA</t>
        </is>
      </c>
      <c r="H95" t="inlineStr">
        <is>
          <t>ONLINE</t>
        </is>
      </c>
      <c r="I95" t="inlineStr">
        <is>
          <t>DELIVERED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O2</t>
        </is>
      </c>
      <c r="N95" t="inlineStr">
        <is>
          <t>36</t>
        </is>
      </c>
      <c r="O95" t="n">
        <v>229</v>
      </c>
      <c r="P95" t="n">
        <v>3.5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11.63</v>
      </c>
      <c r="W95" t="n">
        <v>244.13</v>
      </c>
      <c r="X95" t="n">
        <v>232.5</v>
      </c>
      <c r="Y95" t="n">
        <v>19</v>
      </c>
      <c r="Z95" t="n">
        <v>44.18</v>
      </c>
      <c r="AA95" t="n">
        <v>4.49</v>
      </c>
      <c r="AB95" t="n">
        <v>48.67</v>
      </c>
      <c r="AC95" t="n">
        <v>8.76</v>
      </c>
      <c r="AD95" t="n">
        <v>0</v>
      </c>
      <c r="AE95" t="n">
        <v>232.5</v>
      </c>
      <c r="AF95" t="n">
        <v>0</v>
      </c>
      <c r="AG95" t="n">
        <v>0</v>
      </c>
      <c r="AH95" t="n">
        <v>0.23</v>
      </c>
      <c r="AI95" t="n">
        <v>11.63</v>
      </c>
      <c r="AJ95" t="n">
        <v>0</v>
      </c>
      <c r="AK95" t="n">
        <v>20.62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69.29000000000001</v>
      </c>
      <c r="AV95" t="n">
        <v>0</v>
      </c>
      <c r="AW95" t="n">
        <v>174.84</v>
      </c>
      <c r="AX95" t="inlineStr">
        <is>
          <t>settled</t>
        </is>
      </c>
      <c r="AY95" t="inlineStr">
        <is>
          <t>NA</t>
        </is>
      </c>
      <c r="AZ95" t="inlineStr">
        <is>
          <t>NA</t>
        </is>
      </c>
      <c r="BA95" t="n">
        <v>0</v>
      </c>
      <c r="BB95" t="inlineStr">
        <is>
          <t>0c7c732002a48b831aa86e253e07f2c8ae7caedda981b6dac3d98b5449554b05</t>
        </is>
      </c>
    </row>
    <row r="96">
      <c r="A96" t="inlineStr">
        <is>
          <t>1126</t>
        </is>
      </c>
      <c r="B96" t="inlineStr">
        <is>
          <t>7604201152</t>
        </is>
      </c>
      <c r="C96" t="inlineStr">
        <is>
          <t>2025-12-24 02:35:24</t>
        </is>
      </c>
      <c r="D96" t="inlineStr">
        <is>
          <t>52</t>
        </is>
      </c>
      <c r="E96" t="inlineStr">
        <is>
          <t>Sha Sha - Shandaar Shawarma</t>
        </is>
      </c>
      <c r="F96" t="inlineStr">
        <is>
          <t>18557902</t>
        </is>
      </c>
      <c r="G96" t="inlineStr">
        <is>
          <t>NA</t>
        </is>
      </c>
      <c r="H96" t="inlineStr">
        <is>
          <t>ONLINE</t>
        </is>
      </c>
      <c r="I96" t="inlineStr">
        <is>
          <t>DELIVERED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O2</t>
        </is>
      </c>
      <c r="N96" t="inlineStr">
        <is>
          <t>36</t>
        </is>
      </c>
      <c r="O96" t="n">
        <v>239</v>
      </c>
      <c r="P96" t="n">
        <v>3.5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12.13</v>
      </c>
      <c r="W96" t="n">
        <v>254.63</v>
      </c>
      <c r="X96" t="n">
        <v>242.5</v>
      </c>
      <c r="Y96" t="n">
        <v>19</v>
      </c>
      <c r="Z96" t="n">
        <v>46.08</v>
      </c>
      <c r="AA96" t="n">
        <v>4.69</v>
      </c>
      <c r="AB96" t="n">
        <v>50.77</v>
      </c>
      <c r="AC96" t="n">
        <v>9.130000000000001</v>
      </c>
      <c r="AD96" t="n">
        <v>0</v>
      </c>
      <c r="AE96" t="n">
        <v>242.5</v>
      </c>
      <c r="AF96" t="n">
        <v>0</v>
      </c>
      <c r="AG96" t="n">
        <v>0</v>
      </c>
      <c r="AH96" t="n">
        <v>0.24</v>
      </c>
      <c r="AI96" t="n">
        <v>12.13</v>
      </c>
      <c r="AJ96" t="n">
        <v>0</v>
      </c>
      <c r="AK96" t="n">
        <v>21.5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72.27</v>
      </c>
      <c r="AV96" t="n">
        <v>0</v>
      </c>
      <c r="AW96" t="n">
        <v>182.36</v>
      </c>
      <c r="AX96" t="inlineStr">
        <is>
          <t>settled</t>
        </is>
      </c>
      <c r="AY96" t="inlineStr">
        <is>
          <t>NA</t>
        </is>
      </c>
      <c r="AZ96" t="inlineStr">
        <is>
          <t>NA</t>
        </is>
      </c>
      <c r="BA96" t="n">
        <v>0</v>
      </c>
      <c r="BB96" t="inlineStr">
        <is>
          <t>564d2701f19a35903dcb046446441106017fc091f2bc2c78905b1525ce07af99</t>
        </is>
      </c>
    </row>
    <row r="97">
      <c r="A97" t="inlineStr">
        <is>
          <t>1127</t>
        </is>
      </c>
      <c r="B97" t="inlineStr">
        <is>
          <t>7614805870</t>
        </is>
      </c>
      <c r="C97" t="inlineStr">
        <is>
          <t>2025-12-24 02:53:57</t>
        </is>
      </c>
      <c r="D97" t="inlineStr">
        <is>
          <t>52</t>
        </is>
      </c>
      <c r="E97" t="inlineStr">
        <is>
          <t>Sha Sha - Shandaar Shawarma</t>
        </is>
      </c>
      <c r="F97" t="inlineStr">
        <is>
          <t>18557902</t>
        </is>
      </c>
      <c r="G97" t="inlineStr">
        <is>
          <t>30% off upto ₹75 (2025-06-25 - 2031-01-01)</t>
        </is>
      </c>
      <c r="H97" t="inlineStr">
        <is>
          <t>ONLINE</t>
        </is>
      </c>
      <c r="I97" t="inlineStr">
        <is>
          <t>DELIVERED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O2</t>
        </is>
      </c>
      <c r="N97" t="inlineStr">
        <is>
          <t>36</t>
        </is>
      </c>
      <c r="O97" t="n">
        <v>258</v>
      </c>
      <c r="P97" t="n">
        <v>3.5</v>
      </c>
      <c r="Q97" t="n">
        <v>0</v>
      </c>
      <c r="R97" t="n">
        <v>75</v>
      </c>
      <c r="S97" t="n">
        <v>0</v>
      </c>
      <c r="T97" t="n">
        <v>0</v>
      </c>
      <c r="U97" t="n">
        <v>0</v>
      </c>
      <c r="V97" t="n">
        <v>9.33</v>
      </c>
      <c r="W97" t="n">
        <v>195.83</v>
      </c>
      <c r="X97" t="n">
        <v>186.5</v>
      </c>
      <c r="Y97" t="n">
        <v>19</v>
      </c>
      <c r="Z97" t="n">
        <v>35.44</v>
      </c>
      <c r="AA97" t="n">
        <v>3.6</v>
      </c>
      <c r="AB97" t="n">
        <v>39.04</v>
      </c>
      <c r="AC97" t="n">
        <v>7.03</v>
      </c>
      <c r="AD97" t="n">
        <v>0</v>
      </c>
      <c r="AE97" t="n">
        <v>186.5</v>
      </c>
      <c r="AF97" t="n">
        <v>0</v>
      </c>
      <c r="AG97" t="n">
        <v>0</v>
      </c>
      <c r="AH97" t="n">
        <v>0.19</v>
      </c>
      <c r="AI97" t="n">
        <v>9.33</v>
      </c>
      <c r="AJ97" t="n">
        <v>0</v>
      </c>
      <c r="AK97" t="n">
        <v>16.55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55.59</v>
      </c>
      <c r="AV97" t="n">
        <v>0</v>
      </c>
      <c r="AW97" t="n">
        <v>140.24</v>
      </c>
      <c r="AX97" t="inlineStr">
        <is>
          <t>settled</t>
        </is>
      </c>
      <c r="AY97" t="inlineStr">
        <is>
          <t>NA</t>
        </is>
      </c>
      <c r="AZ97" t="inlineStr">
        <is>
          <t>NA</t>
        </is>
      </c>
      <c r="BA97" t="n">
        <v>0</v>
      </c>
      <c r="BB97" t="inlineStr">
        <is>
          <t>3259863d6cdc2c85de8240658abd472941cd8ab32b37046b58f38681e64ff5bd</t>
        </is>
      </c>
    </row>
    <row r="98">
      <c r="A98" t="inlineStr">
        <is>
          <t>1128</t>
        </is>
      </c>
      <c r="B98" t="inlineStr">
        <is>
          <t>7612886881</t>
        </is>
      </c>
      <c r="C98" t="inlineStr">
        <is>
          <t>2025-12-24 02:57:50</t>
        </is>
      </c>
      <c r="D98" t="inlineStr">
        <is>
          <t>52</t>
        </is>
      </c>
      <c r="E98" t="inlineStr">
        <is>
          <t>Sha Sha - Shandaar Shawarma</t>
        </is>
      </c>
      <c r="F98" t="inlineStr">
        <is>
          <t>18557902</t>
        </is>
      </c>
      <c r="G98" t="inlineStr">
        <is>
          <t>NA</t>
        </is>
      </c>
      <c r="H98" t="inlineStr">
        <is>
          <t>ONLINE</t>
        </is>
      </c>
      <c r="I98" t="inlineStr">
        <is>
          <t>DELIVERED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O2</t>
        </is>
      </c>
      <c r="N98" t="inlineStr">
        <is>
          <t>36</t>
        </is>
      </c>
      <c r="O98" t="n">
        <v>219</v>
      </c>
      <c r="P98" t="n">
        <v>3.5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11.13</v>
      </c>
      <c r="W98" t="n">
        <v>233.63</v>
      </c>
      <c r="X98" t="n">
        <v>222.5</v>
      </c>
      <c r="Y98" t="n">
        <v>19</v>
      </c>
      <c r="Z98" t="n">
        <v>42.28</v>
      </c>
      <c r="AA98" t="n">
        <v>4.3</v>
      </c>
      <c r="AB98" t="n">
        <v>46.58</v>
      </c>
      <c r="AC98" t="n">
        <v>8.380000000000001</v>
      </c>
      <c r="AD98" t="n">
        <v>0</v>
      </c>
      <c r="AE98" t="n">
        <v>222.5</v>
      </c>
      <c r="AF98" t="n">
        <v>0</v>
      </c>
      <c r="AG98" t="n">
        <v>0</v>
      </c>
      <c r="AH98" t="n">
        <v>0.22</v>
      </c>
      <c r="AI98" t="n">
        <v>11.13</v>
      </c>
      <c r="AJ98" t="n">
        <v>0</v>
      </c>
      <c r="AK98" t="n">
        <v>19.73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66.31</v>
      </c>
      <c r="AV98" t="n">
        <v>0</v>
      </c>
      <c r="AW98" t="n">
        <v>167.32</v>
      </c>
      <c r="AX98" t="inlineStr">
        <is>
          <t>settled</t>
        </is>
      </c>
      <c r="AY98" t="inlineStr">
        <is>
          <t>NA</t>
        </is>
      </c>
      <c r="AZ98" t="inlineStr">
        <is>
          <t>NA</t>
        </is>
      </c>
      <c r="BA98" t="n">
        <v>0</v>
      </c>
      <c r="BB98" t="inlineStr">
        <is>
          <t>52cc3099e9ef8d3a18f8208e7a1ac496645f59d56aec02e9979ede957c7fb2d9</t>
        </is>
      </c>
    </row>
    <row r="99">
      <c r="A99" t="inlineStr">
        <is>
          <t>1129</t>
        </is>
      </c>
      <c r="B99" t="inlineStr">
        <is>
          <t>7609334689</t>
        </is>
      </c>
      <c r="C99" t="inlineStr">
        <is>
          <t>2025-12-24 03:07:55</t>
        </is>
      </c>
      <c r="D99" t="inlineStr">
        <is>
          <t>52</t>
        </is>
      </c>
      <c r="E99" t="inlineStr">
        <is>
          <t>Sha Sha - Shandaar Shawarma</t>
        </is>
      </c>
      <c r="F99" t="inlineStr">
        <is>
          <t>18557902</t>
        </is>
      </c>
      <c r="G99" t="inlineStr">
        <is>
          <t>30% off upto ₹75 (2025-06-25 - 2031-01-01)</t>
        </is>
      </c>
      <c r="H99" t="inlineStr">
        <is>
          <t>ONLINE</t>
        </is>
      </c>
      <c r="I99" t="inlineStr">
        <is>
          <t>DELIVERED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O2</t>
        </is>
      </c>
      <c r="N99" t="inlineStr">
        <is>
          <t>36</t>
        </is>
      </c>
      <c r="O99" t="n">
        <v>229</v>
      </c>
      <c r="P99" t="n">
        <v>3.5</v>
      </c>
      <c r="Q99" t="n">
        <v>0</v>
      </c>
      <c r="R99" t="n">
        <v>68.7</v>
      </c>
      <c r="S99" t="n">
        <v>0</v>
      </c>
      <c r="T99" t="n">
        <v>0</v>
      </c>
      <c r="U99" t="n">
        <v>0</v>
      </c>
      <c r="V99" t="n">
        <v>8.19</v>
      </c>
      <c r="W99" t="n">
        <v>171.99</v>
      </c>
      <c r="X99" t="n">
        <v>163.8</v>
      </c>
      <c r="Y99" t="n">
        <v>19</v>
      </c>
      <c r="Z99" t="n">
        <v>31.12</v>
      </c>
      <c r="AA99" t="n">
        <v>3.16</v>
      </c>
      <c r="AB99" t="n">
        <v>34.28</v>
      </c>
      <c r="AC99" t="n">
        <v>6.17</v>
      </c>
      <c r="AD99" t="n">
        <v>0</v>
      </c>
      <c r="AE99" t="n">
        <v>163.8</v>
      </c>
      <c r="AF99" t="n">
        <v>0</v>
      </c>
      <c r="AG99" t="n">
        <v>0</v>
      </c>
      <c r="AH99" t="n">
        <v>0.16</v>
      </c>
      <c r="AI99" t="n">
        <v>8.199999999999999</v>
      </c>
      <c r="AJ99" t="n">
        <v>-0.01</v>
      </c>
      <c r="AK99" t="n">
        <v>14.53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48.81</v>
      </c>
      <c r="AV99" t="n">
        <v>0</v>
      </c>
      <c r="AW99" t="n">
        <v>123.18</v>
      </c>
      <c r="AX99" t="inlineStr">
        <is>
          <t>settled</t>
        </is>
      </c>
      <c r="AY99" t="inlineStr">
        <is>
          <t>NA</t>
        </is>
      </c>
      <c r="AZ99" t="inlineStr">
        <is>
          <t>NA</t>
        </is>
      </c>
      <c r="BA99" t="n">
        <v>0</v>
      </c>
      <c r="BB99" t="inlineStr">
        <is>
          <t>b2894de3124b35a3e56dd84ab51c27a43f6d6f51ee3f80348d3d0b93b36ef626</t>
        </is>
      </c>
    </row>
    <row r="100">
      <c r="A100" t="inlineStr">
        <is>
          <t>1130</t>
        </is>
      </c>
      <c r="B100" t="inlineStr">
        <is>
          <t>7607365129</t>
        </is>
      </c>
      <c r="C100" t="inlineStr">
        <is>
          <t>2025-12-24 03:14:23</t>
        </is>
      </c>
      <c r="D100" t="inlineStr">
        <is>
          <t>52</t>
        </is>
      </c>
      <c r="E100" t="inlineStr">
        <is>
          <t>Sha Sha - Shandaar Shawarma</t>
        </is>
      </c>
      <c r="F100" t="inlineStr">
        <is>
          <t>18557902</t>
        </is>
      </c>
      <c r="G100" t="inlineStr">
        <is>
          <t>30% off upto ₹75 (2025-06-25 - 2031-01-01)</t>
        </is>
      </c>
      <c r="H100" t="inlineStr">
        <is>
          <t>ONLINE</t>
        </is>
      </c>
      <c r="I100" t="inlineStr">
        <is>
          <t>DELIVERED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O2</t>
        </is>
      </c>
      <c r="N100" t="inlineStr">
        <is>
          <t>36</t>
        </is>
      </c>
      <c r="O100" t="n">
        <v>268</v>
      </c>
      <c r="P100" t="n">
        <v>3.5</v>
      </c>
      <c r="Q100" t="n">
        <v>0</v>
      </c>
      <c r="R100" t="n">
        <v>75</v>
      </c>
      <c r="S100" t="n">
        <v>0</v>
      </c>
      <c r="T100" t="n">
        <v>0</v>
      </c>
      <c r="U100" t="n">
        <v>0</v>
      </c>
      <c r="V100" t="n">
        <v>9.83</v>
      </c>
      <c r="W100" t="n">
        <v>206.33</v>
      </c>
      <c r="X100" t="n">
        <v>196.5</v>
      </c>
      <c r="Y100" t="n">
        <v>19</v>
      </c>
      <c r="Z100" t="n">
        <v>37.34</v>
      </c>
      <c r="AA100" t="n">
        <v>3.8</v>
      </c>
      <c r="AB100" t="n">
        <v>41.14</v>
      </c>
      <c r="AC100" t="n">
        <v>7.4</v>
      </c>
      <c r="AD100" t="n">
        <v>0</v>
      </c>
      <c r="AE100" t="n">
        <v>196.5</v>
      </c>
      <c r="AF100" t="n">
        <v>0</v>
      </c>
      <c r="AG100" t="n">
        <v>0</v>
      </c>
      <c r="AH100" t="n">
        <v>0.2</v>
      </c>
      <c r="AI100" t="n">
        <v>9.83</v>
      </c>
      <c r="AJ100" t="n">
        <v>0</v>
      </c>
      <c r="AK100" t="n">
        <v>17.43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58.57</v>
      </c>
      <c r="AV100" t="n">
        <v>0</v>
      </c>
      <c r="AW100" t="n">
        <v>147.76</v>
      </c>
      <c r="AX100" t="inlineStr">
        <is>
          <t>settled</t>
        </is>
      </c>
      <c r="AY100" t="inlineStr">
        <is>
          <t>NA</t>
        </is>
      </c>
      <c r="AZ100" t="inlineStr">
        <is>
          <t>NA</t>
        </is>
      </c>
      <c r="BA100" t="n">
        <v>0</v>
      </c>
      <c r="BB100" t="inlineStr">
        <is>
          <t>11e29a4c6cffcef9b7f466d60a20dbe6715718d0c3871cf8107995eab2e264c3</t>
        </is>
      </c>
    </row>
    <row r="101">
      <c r="A101" t="inlineStr">
        <is>
          <t>1131</t>
        </is>
      </c>
      <c r="B101" t="inlineStr">
        <is>
          <t>7611492062</t>
        </is>
      </c>
      <c r="C101" t="inlineStr">
        <is>
          <t>2025-12-24 03:14:28</t>
        </is>
      </c>
      <c r="D101" t="inlineStr">
        <is>
          <t>52</t>
        </is>
      </c>
      <c r="E101" t="inlineStr">
        <is>
          <t>Sha Sha - Shandaar Shawarma</t>
        </is>
      </c>
      <c r="F101" t="inlineStr">
        <is>
          <t>18557902</t>
        </is>
      </c>
      <c r="G101" t="inlineStr">
        <is>
          <t>30% off upto ₹75 (2025-06-25 - 2031-01-01)</t>
        </is>
      </c>
      <c r="H101" t="inlineStr">
        <is>
          <t>ONLINE</t>
        </is>
      </c>
      <c r="I101" t="inlineStr">
        <is>
          <t>DELIVERED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O2</t>
        </is>
      </c>
      <c r="N101" t="inlineStr">
        <is>
          <t>36</t>
        </is>
      </c>
      <c r="O101" t="n">
        <v>229</v>
      </c>
      <c r="P101" t="n">
        <v>3.5</v>
      </c>
      <c r="Q101" t="n">
        <v>0</v>
      </c>
      <c r="R101" t="n">
        <v>68.7</v>
      </c>
      <c r="S101" t="n">
        <v>0</v>
      </c>
      <c r="T101" t="n">
        <v>0</v>
      </c>
      <c r="U101" t="n">
        <v>0</v>
      </c>
      <c r="V101" t="n">
        <v>8.19</v>
      </c>
      <c r="W101" t="n">
        <v>171.99</v>
      </c>
      <c r="X101" t="n">
        <v>163.8</v>
      </c>
      <c r="Y101" t="n">
        <v>19</v>
      </c>
      <c r="Z101" t="n">
        <v>31.12</v>
      </c>
      <c r="AA101" t="n">
        <v>3.16</v>
      </c>
      <c r="AB101" t="n">
        <v>34.28</v>
      </c>
      <c r="AC101" t="n">
        <v>6.17</v>
      </c>
      <c r="AD101" t="n">
        <v>0</v>
      </c>
      <c r="AE101" t="n">
        <v>163.8</v>
      </c>
      <c r="AF101" t="n">
        <v>0</v>
      </c>
      <c r="AG101" t="n">
        <v>0</v>
      </c>
      <c r="AH101" t="n">
        <v>0.16</v>
      </c>
      <c r="AI101" t="n">
        <v>8.199999999999999</v>
      </c>
      <c r="AJ101" t="n">
        <v>-0.01</v>
      </c>
      <c r="AK101" t="n">
        <v>14.53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48.81</v>
      </c>
      <c r="AV101" t="n">
        <v>0</v>
      </c>
      <c r="AW101" t="n">
        <v>123.18</v>
      </c>
      <c r="AX101" t="inlineStr">
        <is>
          <t>settled</t>
        </is>
      </c>
      <c r="AY101" t="inlineStr">
        <is>
          <t>NA</t>
        </is>
      </c>
      <c r="AZ101" t="inlineStr">
        <is>
          <t>NA</t>
        </is>
      </c>
      <c r="BA101" t="n">
        <v>0</v>
      </c>
      <c r="BB101" t="inlineStr">
        <is>
          <t>9cddbb565eb3733871cadcda746d280df6ed55d1d60704c6da9661a29a7c12ac</t>
        </is>
      </c>
    </row>
    <row r="102">
      <c r="A102" t="inlineStr">
        <is>
          <t>1132</t>
        </is>
      </c>
      <c r="B102" t="inlineStr">
        <is>
          <t>7613478104</t>
        </is>
      </c>
      <c r="C102" t="inlineStr">
        <is>
          <t>2025-12-24 03:15:01</t>
        </is>
      </c>
      <c r="D102" t="inlineStr">
        <is>
          <t>52</t>
        </is>
      </c>
      <c r="E102" t="inlineStr">
        <is>
          <t>Sha Sha - Shandaar Shawarma</t>
        </is>
      </c>
      <c r="F102" t="inlineStr">
        <is>
          <t>18557902</t>
        </is>
      </c>
      <c r="G102" t="inlineStr">
        <is>
          <t>NA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O2</t>
        </is>
      </c>
      <c r="N102" t="inlineStr">
        <is>
          <t>36</t>
        </is>
      </c>
      <c r="O102" t="n">
        <v>219</v>
      </c>
      <c r="P102" t="n">
        <v>3.5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11.13</v>
      </c>
      <c r="W102" t="n">
        <v>233.63</v>
      </c>
      <c r="X102" t="n">
        <v>222.5</v>
      </c>
      <c r="Y102" t="n">
        <v>19</v>
      </c>
      <c r="Z102" t="n">
        <v>42.28</v>
      </c>
      <c r="AA102" t="n">
        <v>4.3</v>
      </c>
      <c r="AB102" t="n">
        <v>46.58</v>
      </c>
      <c r="AC102" t="n">
        <v>8.380000000000001</v>
      </c>
      <c r="AD102" t="n">
        <v>0</v>
      </c>
      <c r="AE102" t="n">
        <v>222.5</v>
      </c>
      <c r="AF102" t="n">
        <v>0</v>
      </c>
      <c r="AG102" t="n">
        <v>0</v>
      </c>
      <c r="AH102" t="n">
        <v>0.22</v>
      </c>
      <c r="AI102" t="n">
        <v>11.13</v>
      </c>
      <c r="AJ102" t="n">
        <v>0</v>
      </c>
      <c r="AK102" t="n">
        <v>19.73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66.31</v>
      </c>
      <c r="AV102" t="n">
        <v>0</v>
      </c>
      <c r="AW102" t="n">
        <v>167.32</v>
      </c>
      <c r="AX102" t="inlineStr">
        <is>
          <t>settled</t>
        </is>
      </c>
      <c r="AY102" t="inlineStr">
        <is>
          <t>NA</t>
        </is>
      </c>
      <c r="AZ102" t="inlineStr">
        <is>
          <t>NA</t>
        </is>
      </c>
      <c r="BA102" t="n">
        <v>0</v>
      </c>
      <c r="BB102" t="inlineStr">
        <is>
          <t>c4b3f9d7cb96d1713d37cc47c90206fc9346307b38e7240f712aaadd6dd8c2be</t>
        </is>
      </c>
    </row>
    <row r="103">
      <c r="A103" t="inlineStr">
        <is>
          <t>1133</t>
        </is>
      </c>
      <c r="B103" t="inlineStr">
        <is>
          <t>7615024093</t>
        </is>
      </c>
      <c r="C103" t="inlineStr">
        <is>
          <t>2025-12-24 03:47:29</t>
        </is>
      </c>
      <c r="D103" t="inlineStr">
        <is>
          <t>52</t>
        </is>
      </c>
      <c r="E103" t="inlineStr">
        <is>
          <t>Sha Sha - Shandaar Shawarma</t>
        </is>
      </c>
      <c r="F103" t="inlineStr">
        <is>
          <t>18557902</t>
        </is>
      </c>
      <c r="G103" t="inlineStr">
        <is>
          <t>30% off upto ₹75 (2025-06-25 - 2031-01-01)</t>
        </is>
      </c>
      <c r="H103" t="inlineStr">
        <is>
          <t>ONLINE</t>
        </is>
      </c>
      <c r="I103" t="inlineStr">
        <is>
          <t>DELIVERED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O2</t>
        </is>
      </c>
      <c r="N103" t="inlineStr">
        <is>
          <t>36</t>
        </is>
      </c>
      <c r="O103" t="n">
        <v>229</v>
      </c>
      <c r="P103" t="n">
        <v>3.5</v>
      </c>
      <c r="Q103" t="n">
        <v>0</v>
      </c>
      <c r="R103" t="n">
        <v>68.7</v>
      </c>
      <c r="S103" t="n">
        <v>0</v>
      </c>
      <c r="T103" t="n">
        <v>0</v>
      </c>
      <c r="U103" t="n">
        <v>0</v>
      </c>
      <c r="V103" t="n">
        <v>8.19</v>
      </c>
      <c r="W103" t="n">
        <v>171.99</v>
      </c>
      <c r="X103" t="n">
        <v>163.8</v>
      </c>
      <c r="Y103" t="n">
        <v>19</v>
      </c>
      <c r="Z103" t="n">
        <v>31.12</v>
      </c>
      <c r="AA103" t="n">
        <v>3.16</v>
      </c>
      <c r="AB103" t="n">
        <v>34.28</v>
      </c>
      <c r="AC103" t="n">
        <v>6.17</v>
      </c>
      <c r="AD103" t="n">
        <v>0</v>
      </c>
      <c r="AE103" t="n">
        <v>163.8</v>
      </c>
      <c r="AF103" t="n">
        <v>0</v>
      </c>
      <c r="AG103" t="n">
        <v>0</v>
      </c>
      <c r="AH103" t="n">
        <v>0.16</v>
      </c>
      <c r="AI103" t="n">
        <v>8.199999999999999</v>
      </c>
      <c r="AJ103" t="n">
        <v>-0.01</v>
      </c>
      <c r="AK103" t="n">
        <v>14.53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48.81</v>
      </c>
      <c r="AV103" t="n">
        <v>0</v>
      </c>
      <c r="AW103" t="n">
        <v>123.18</v>
      </c>
      <c r="AX103" t="inlineStr">
        <is>
          <t>settled</t>
        </is>
      </c>
      <c r="AY103" t="inlineStr">
        <is>
          <t>NA</t>
        </is>
      </c>
      <c r="AZ103" t="inlineStr">
        <is>
          <t>NA</t>
        </is>
      </c>
      <c r="BA103" t="n">
        <v>0</v>
      </c>
      <c r="BB103" t="inlineStr">
        <is>
          <t>13a40c111ffb5de6ea3845a28a25840a0d144f45533d4c4500f1f08606c08367</t>
        </is>
      </c>
    </row>
    <row r="104">
      <c r="A104" t="inlineStr">
        <is>
          <t>1134</t>
        </is>
      </c>
      <c r="B104" t="inlineStr">
        <is>
          <t>7609939617</t>
        </is>
      </c>
      <c r="C104" t="inlineStr">
        <is>
          <t>2025-12-24 03:47:50</t>
        </is>
      </c>
      <c r="D104" t="inlineStr">
        <is>
          <t>52</t>
        </is>
      </c>
      <c r="E104" t="inlineStr">
        <is>
          <t>Sha Sha - Shandaar Shawarma</t>
        </is>
      </c>
      <c r="F104" t="inlineStr">
        <is>
          <t>18557902</t>
        </is>
      </c>
      <c r="G104" t="inlineStr">
        <is>
          <t>30% off upto ₹75 (2025-06-25 - 2031-01-01)</t>
        </is>
      </c>
      <c r="H104" t="inlineStr">
        <is>
          <t>ONLINE</t>
        </is>
      </c>
      <c r="I104" t="inlineStr">
        <is>
          <t>DELIVERED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O2</t>
        </is>
      </c>
      <c r="N104" t="inlineStr">
        <is>
          <t>36</t>
        </is>
      </c>
      <c r="O104" t="n">
        <v>229</v>
      </c>
      <c r="P104" t="n">
        <v>3.5</v>
      </c>
      <c r="Q104" t="n">
        <v>0</v>
      </c>
      <c r="R104" t="n">
        <v>68.7</v>
      </c>
      <c r="S104" t="n">
        <v>0</v>
      </c>
      <c r="T104" t="n">
        <v>0</v>
      </c>
      <c r="U104" t="n">
        <v>0</v>
      </c>
      <c r="V104" t="n">
        <v>8.19</v>
      </c>
      <c r="W104" t="n">
        <v>171.99</v>
      </c>
      <c r="X104" t="n">
        <v>163.8</v>
      </c>
      <c r="Y104" t="n">
        <v>19</v>
      </c>
      <c r="Z104" t="n">
        <v>31.12</v>
      </c>
      <c r="AA104" t="n">
        <v>3.16</v>
      </c>
      <c r="AB104" t="n">
        <v>34.28</v>
      </c>
      <c r="AC104" t="n">
        <v>6.17</v>
      </c>
      <c r="AD104" t="n">
        <v>0</v>
      </c>
      <c r="AE104" t="n">
        <v>163.8</v>
      </c>
      <c r="AF104" t="n">
        <v>0</v>
      </c>
      <c r="AG104" t="n">
        <v>0</v>
      </c>
      <c r="AH104" t="n">
        <v>0.16</v>
      </c>
      <c r="AI104" t="n">
        <v>8.199999999999999</v>
      </c>
      <c r="AJ104" t="n">
        <v>-0.01</v>
      </c>
      <c r="AK104" t="n">
        <v>14.53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48.81</v>
      </c>
      <c r="AV104" t="n">
        <v>0</v>
      </c>
      <c r="AW104" t="n">
        <v>123.18</v>
      </c>
      <c r="AX104" t="inlineStr">
        <is>
          <t>settled</t>
        </is>
      </c>
      <c r="AY104" t="inlineStr">
        <is>
          <t>NA</t>
        </is>
      </c>
      <c r="AZ104" t="inlineStr">
        <is>
          <t>NA</t>
        </is>
      </c>
      <c r="BA104" t="n">
        <v>0</v>
      </c>
      <c r="BB104" t="inlineStr">
        <is>
          <t>f858c31248220e0a6f6042d96060232914300b570eb5b8477c703282696dbe3f</t>
        </is>
      </c>
    </row>
    <row r="105">
      <c r="A105" t="inlineStr">
        <is>
          <t>1135</t>
        </is>
      </c>
      <c r="B105" t="inlineStr">
        <is>
          <t>7612536126</t>
        </is>
      </c>
      <c r="C105" t="inlineStr">
        <is>
          <t>2025-12-24 04:11:19</t>
        </is>
      </c>
      <c r="D105" t="inlineStr">
        <is>
          <t>52</t>
        </is>
      </c>
      <c r="E105" t="inlineStr">
        <is>
          <t>Sha Sha - Shandaar Shawarma</t>
        </is>
      </c>
      <c r="F105" t="inlineStr">
        <is>
          <t>18557902</t>
        </is>
      </c>
      <c r="G105" t="inlineStr">
        <is>
          <t>30% off upto ₹75 (2025-06-25 - 2031-01-01)</t>
        </is>
      </c>
      <c r="H105" t="inlineStr">
        <is>
          <t>ONLINE</t>
        </is>
      </c>
      <c r="I105" t="inlineStr">
        <is>
          <t>DELIVERED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O2</t>
        </is>
      </c>
      <c r="N105" t="inlineStr">
        <is>
          <t>36</t>
        </is>
      </c>
      <c r="O105" t="n">
        <v>737</v>
      </c>
      <c r="P105" t="n">
        <v>3.5</v>
      </c>
      <c r="Q105" t="n">
        <v>0</v>
      </c>
      <c r="R105" t="n">
        <v>75</v>
      </c>
      <c r="S105" t="n">
        <v>0</v>
      </c>
      <c r="T105" t="n">
        <v>0</v>
      </c>
      <c r="U105" t="n">
        <v>0</v>
      </c>
      <c r="V105" t="n">
        <v>33.28</v>
      </c>
      <c r="W105" t="n">
        <v>698.78</v>
      </c>
      <c r="X105" t="n">
        <v>665.5</v>
      </c>
      <c r="Y105" t="n">
        <v>19</v>
      </c>
      <c r="Z105" t="n">
        <v>126.44</v>
      </c>
      <c r="AA105" t="n">
        <v>12.86</v>
      </c>
      <c r="AB105" t="n">
        <v>139.3</v>
      </c>
      <c r="AC105" t="n">
        <v>25.07</v>
      </c>
      <c r="AD105" t="n">
        <v>0</v>
      </c>
      <c r="AE105" t="n">
        <v>665.5</v>
      </c>
      <c r="AF105" t="n">
        <v>0</v>
      </c>
      <c r="AG105" t="n">
        <v>0</v>
      </c>
      <c r="AH105" t="n">
        <v>0.67</v>
      </c>
      <c r="AI105" t="n">
        <v>33.28</v>
      </c>
      <c r="AJ105" t="n">
        <v>0</v>
      </c>
      <c r="AK105" t="n">
        <v>59.02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198.32</v>
      </c>
      <c r="AV105" t="n">
        <v>0</v>
      </c>
      <c r="AW105" t="n">
        <v>500.46</v>
      </c>
      <c r="AX105" t="inlineStr">
        <is>
          <t>settled</t>
        </is>
      </c>
      <c r="AY105" t="inlineStr">
        <is>
          <t>NA</t>
        </is>
      </c>
      <c r="AZ105" t="inlineStr">
        <is>
          <t>NA</t>
        </is>
      </c>
      <c r="BA105" t="n">
        <v>0</v>
      </c>
      <c r="BB105" t="inlineStr">
        <is>
          <t>274814409032aa2c5de5d1f0628f99510ce154f70171cb744116b10d0f59bdc7</t>
        </is>
      </c>
    </row>
    <row r="106">
      <c r="A106" t="inlineStr">
        <is>
          <t>1136</t>
        </is>
      </c>
      <c r="B106" t="inlineStr">
        <is>
          <t>7605533544</t>
        </is>
      </c>
      <c r="C106" t="inlineStr">
        <is>
          <t>2025-12-24 11:45:02</t>
        </is>
      </c>
      <c r="D106" t="inlineStr">
        <is>
          <t>52</t>
        </is>
      </c>
      <c r="E106" t="inlineStr">
        <is>
          <t>Sha Sha - Shandaar Shawarma</t>
        </is>
      </c>
      <c r="F106" t="inlineStr">
        <is>
          <t>18557902</t>
        </is>
      </c>
      <c r="G106" t="inlineStr">
        <is>
          <t>NA</t>
        </is>
      </c>
      <c r="H106" t="inlineStr">
        <is>
          <t>ONLINE</t>
        </is>
      </c>
      <c r="I106" t="inlineStr">
        <is>
          <t>DELIVERED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O2</t>
        </is>
      </c>
      <c r="N106" t="inlineStr">
        <is>
          <t>36</t>
        </is>
      </c>
      <c r="O106" t="n">
        <v>219</v>
      </c>
      <c r="P106" t="n">
        <v>3.5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11.13</v>
      </c>
      <c r="W106" t="n">
        <v>233.63</v>
      </c>
      <c r="X106" t="n">
        <v>222.5</v>
      </c>
      <c r="Y106" t="n">
        <v>19</v>
      </c>
      <c r="Z106" t="n">
        <v>42.28</v>
      </c>
      <c r="AA106" t="n">
        <v>4.3</v>
      </c>
      <c r="AB106" t="n">
        <v>46.58</v>
      </c>
      <c r="AC106" t="n">
        <v>8.380000000000001</v>
      </c>
      <c r="AD106" t="n">
        <v>0</v>
      </c>
      <c r="AE106" t="n">
        <v>222.5</v>
      </c>
      <c r="AF106" t="n">
        <v>0</v>
      </c>
      <c r="AG106" t="n">
        <v>0</v>
      </c>
      <c r="AH106" t="n">
        <v>0.22</v>
      </c>
      <c r="AI106" t="n">
        <v>11.13</v>
      </c>
      <c r="AJ106" t="n">
        <v>0</v>
      </c>
      <c r="AK106" t="n">
        <v>19.73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66.31</v>
      </c>
      <c r="AV106" t="n">
        <v>0</v>
      </c>
      <c r="AW106" t="n">
        <v>167.32</v>
      </c>
      <c r="AX106" t="inlineStr">
        <is>
          <t>settled</t>
        </is>
      </c>
      <c r="AY106" t="inlineStr">
        <is>
          <t>NA</t>
        </is>
      </c>
      <c r="AZ106" t="inlineStr">
        <is>
          <t>NA</t>
        </is>
      </c>
      <c r="BA106" t="n">
        <v>0</v>
      </c>
      <c r="BB106" t="inlineStr">
        <is>
          <t>821d3fa2ff0419ef4bd2ced3ada48e6ed9c0e8bef2c854994d49f32f3335276f</t>
        </is>
      </c>
    </row>
    <row r="107">
      <c r="A107" t="inlineStr">
        <is>
          <t>1137</t>
        </is>
      </c>
      <c r="B107" t="inlineStr">
        <is>
          <t>7613380185</t>
        </is>
      </c>
      <c r="C107" t="inlineStr">
        <is>
          <t>2025-12-24 12:30:01</t>
        </is>
      </c>
      <c r="D107" t="inlineStr">
        <is>
          <t>52</t>
        </is>
      </c>
      <c r="E107" t="inlineStr">
        <is>
          <t>Sha Sha - Shandaar Shawarma</t>
        </is>
      </c>
      <c r="F107" t="inlineStr">
        <is>
          <t>18557902</t>
        </is>
      </c>
      <c r="G107" t="inlineStr">
        <is>
          <t>30% off upto ₹75 (2025-06-25 - 2031-01-01)</t>
        </is>
      </c>
      <c r="H107" t="inlineStr">
        <is>
          <t>ONLINE</t>
        </is>
      </c>
      <c r="I107" t="inlineStr">
        <is>
          <t>DELIVERED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O2</t>
        </is>
      </c>
      <c r="N107" t="inlineStr">
        <is>
          <t>36</t>
        </is>
      </c>
      <c r="O107" t="n">
        <v>345</v>
      </c>
      <c r="P107" t="n">
        <v>3.5</v>
      </c>
      <c r="Q107" t="n">
        <v>0</v>
      </c>
      <c r="R107" t="n">
        <v>75</v>
      </c>
      <c r="S107" t="n">
        <v>0</v>
      </c>
      <c r="T107" t="n">
        <v>0</v>
      </c>
      <c r="U107" t="n">
        <v>0</v>
      </c>
      <c r="V107" t="n">
        <v>13.68</v>
      </c>
      <c r="W107" t="n">
        <v>287.18</v>
      </c>
      <c r="X107" t="n">
        <v>273.5</v>
      </c>
      <c r="Y107" t="n">
        <v>19</v>
      </c>
      <c r="Z107" t="n">
        <v>51.96</v>
      </c>
      <c r="AA107" t="n">
        <v>5.28</v>
      </c>
      <c r="AB107" t="n">
        <v>57.24</v>
      </c>
      <c r="AC107" t="n">
        <v>10.3</v>
      </c>
      <c r="AD107" t="n">
        <v>0</v>
      </c>
      <c r="AE107" t="n">
        <v>273.5</v>
      </c>
      <c r="AF107" t="n">
        <v>0</v>
      </c>
      <c r="AG107" t="n">
        <v>0</v>
      </c>
      <c r="AH107" t="n">
        <v>0.27</v>
      </c>
      <c r="AI107" t="n">
        <v>13.68</v>
      </c>
      <c r="AJ107" t="n">
        <v>0</v>
      </c>
      <c r="AK107" t="n">
        <v>24.25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81.48999999999999</v>
      </c>
      <c r="AV107" t="n">
        <v>0</v>
      </c>
      <c r="AW107" t="n">
        <v>205.69</v>
      </c>
      <c r="AX107" t="inlineStr">
        <is>
          <t>settled</t>
        </is>
      </c>
      <c r="AY107" t="inlineStr">
        <is>
          <t>NA</t>
        </is>
      </c>
      <c r="AZ107" t="inlineStr">
        <is>
          <t>NA</t>
        </is>
      </c>
      <c r="BA107" t="n">
        <v>0</v>
      </c>
      <c r="BB107" t="inlineStr">
        <is>
          <t>03d6e8c0784a6cb0e0b24ff411dda7238bbd6d3deb47a495ad3454d70fa6cbf5</t>
        </is>
      </c>
    </row>
    <row r="108">
      <c r="A108" t="inlineStr">
        <is>
          <t>1138</t>
        </is>
      </c>
      <c r="B108" t="inlineStr">
        <is>
          <t>7615052595</t>
        </is>
      </c>
      <c r="C108" t="inlineStr">
        <is>
          <t>2025-12-24 13:49:09</t>
        </is>
      </c>
      <c r="D108" t="inlineStr">
        <is>
          <t>52</t>
        </is>
      </c>
      <c r="E108" t="inlineStr">
        <is>
          <t>Sha Sha - Shandaar Shawarma</t>
        </is>
      </c>
      <c r="F108" t="inlineStr">
        <is>
          <t>18557902</t>
        </is>
      </c>
      <c r="G108" t="inlineStr">
        <is>
          <t>NA</t>
        </is>
      </c>
      <c r="H108" t="inlineStr">
        <is>
          <t>ONLINE</t>
        </is>
      </c>
      <c r="I108" t="inlineStr">
        <is>
          <t>DELIVERED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O2</t>
        </is>
      </c>
      <c r="N108" t="inlineStr">
        <is>
          <t>36</t>
        </is>
      </c>
      <c r="O108" t="n">
        <v>229</v>
      </c>
      <c r="P108" t="n">
        <v>3.5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11.63</v>
      </c>
      <c r="W108" t="n">
        <v>244.13</v>
      </c>
      <c r="X108" t="n">
        <v>232.5</v>
      </c>
      <c r="Y108" t="n">
        <v>19</v>
      </c>
      <c r="Z108" t="n">
        <v>44.18</v>
      </c>
      <c r="AA108" t="n">
        <v>4.49</v>
      </c>
      <c r="AB108" t="n">
        <v>48.67</v>
      </c>
      <c r="AC108" t="n">
        <v>8.76</v>
      </c>
      <c r="AD108" t="n">
        <v>0</v>
      </c>
      <c r="AE108" t="n">
        <v>232.5</v>
      </c>
      <c r="AF108" t="n">
        <v>0</v>
      </c>
      <c r="AG108" t="n">
        <v>0</v>
      </c>
      <c r="AH108" t="n">
        <v>0.23</v>
      </c>
      <c r="AI108" t="n">
        <v>11.63</v>
      </c>
      <c r="AJ108" t="n">
        <v>0</v>
      </c>
      <c r="AK108" t="n">
        <v>20.62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69.29000000000001</v>
      </c>
      <c r="AV108" t="n">
        <v>0</v>
      </c>
      <c r="AW108" t="n">
        <v>174.84</v>
      </c>
      <c r="AX108" t="inlineStr">
        <is>
          <t>settled</t>
        </is>
      </c>
      <c r="AY108" t="inlineStr">
        <is>
          <t>NA</t>
        </is>
      </c>
      <c r="AZ108" t="inlineStr">
        <is>
          <t>NA</t>
        </is>
      </c>
      <c r="BA108" t="n">
        <v>0</v>
      </c>
      <c r="BB108" t="inlineStr">
        <is>
          <t>79c4ca746424d7dc6b50a22b29bf09d581b50b35c2ebb0ef6c4813d3cb7158bb</t>
        </is>
      </c>
    </row>
    <row r="109">
      <c r="A109" t="inlineStr">
        <is>
          <t>1139</t>
        </is>
      </c>
      <c r="B109" t="inlineStr">
        <is>
          <t>7614512829</t>
        </is>
      </c>
      <c r="C109" t="inlineStr">
        <is>
          <t>2025-12-24 13:52:35</t>
        </is>
      </c>
      <c r="D109" t="inlineStr">
        <is>
          <t>52</t>
        </is>
      </c>
      <c r="E109" t="inlineStr">
        <is>
          <t>Sha Sha - Shandaar Shawarma</t>
        </is>
      </c>
      <c r="F109" t="inlineStr">
        <is>
          <t>18557902</t>
        </is>
      </c>
      <c r="G109" t="inlineStr">
        <is>
          <t>NA</t>
        </is>
      </c>
      <c r="H109" t="inlineStr">
        <is>
          <t>ONLINE</t>
        </is>
      </c>
      <c r="I109" t="inlineStr">
        <is>
          <t>DELIVERED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O2</t>
        </is>
      </c>
      <c r="N109" t="inlineStr">
        <is>
          <t>36</t>
        </is>
      </c>
      <c r="O109" t="n">
        <v>229</v>
      </c>
      <c r="P109" t="n">
        <v>3.5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11.63</v>
      </c>
      <c r="W109" t="n">
        <v>244.13</v>
      </c>
      <c r="X109" t="n">
        <v>232.5</v>
      </c>
      <c r="Y109" t="n">
        <v>19</v>
      </c>
      <c r="Z109" t="n">
        <v>44.18</v>
      </c>
      <c r="AA109" t="n">
        <v>4.49</v>
      </c>
      <c r="AB109" t="n">
        <v>48.67</v>
      </c>
      <c r="AC109" t="n">
        <v>8.76</v>
      </c>
      <c r="AD109" t="n">
        <v>0</v>
      </c>
      <c r="AE109" t="n">
        <v>232.5</v>
      </c>
      <c r="AF109" t="n">
        <v>0</v>
      </c>
      <c r="AG109" t="n">
        <v>0</v>
      </c>
      <c r="AH109" t="n">
        <v>0.23</v>
      </c>
      <c r="AI109" t="n">
        <v>11.63</v>
      </c>
      <c r="AJ109" t="n">
        <v>0</v>
      </c>
      <c r="AK109" t="n">
        <v>20.62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69.29000000000001</v>
      </c>
      <c r="AV109" t="n">
        <v>0</v>
      </c>
      <c r="AW109" t="n">
        <v>174.84</v>
      </c>
      <c r="AX109" t="inlineStr">
        <is>
          <t>settled</t>
        </is>
      </c>
      <c r="AY109" t="inlineStr">
        <is>
          <t>NA</t>
        </is>
      </c>
      <c r="AZ109" t="inlineStr">
        <is>
          <t>NA</t>
        </is>
      </c>
      <c r="BA109" t="n">
        <v>0</v>
      </c>
      <c r="BB109" t="inlineStr">
        <is>
          <t>ce30843ac5a14c965f71a3f8a377d19b56fbba17abbaf492af6e9953fd20cb1c</t>
        </is>
      </c>
    </row>
    <row r="110">
      <c r="A110" t="inlineStr">
        <is>
          <t>1140</t>
        </is>
      </c>
      <c r="B110" t="inlineStr">
        <is>
          <t>7610721811</t>
        </is>
      </c>
      <c r="C110" t="inlineStr">
        <is>
          <t>2025-12-24 15:57:05</t>
        </is>
      </c>
      <c r="D110" t="inlineStr">
        <is>
          <t>52</t>
        </is>
      </c>
      <c r="E110" t="inlineStr">
        <is>
          <t>Sha Sha - Shandaar Shawarma</t>
        </is>
      </c>
      <c r="F110" t="inlineStr">
        <is>
          <t>18557902</t>
        </is>
      </c>
      <c r="G110" t="inlineStr">
        <is>
          <t>NA</t>
        </is>
      </c>
      <c r="H110" t="inlineStr">
        <is>
          <t>ONLINE</t>
        </is>
      </c>
      <c r="I110" t="inlineStr">
        <is>
          <t>DELIVERED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O2</t>
        </is>
      </c>
      <c r="N110" t="inlineStr">
        <is>
          <t>36</t>
        </is>
      </c>
      <c r="O110" t="n">
        <v>229</v>
      </c>
      <c r="P110" t="n">
        <v>3.5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11.63</v>
      </c>
      <c r="W110" t="n">
        <v>244.13</v>
      </c>
      <c r="X110" t="n">
        <v>232.5</v>
      </c>
      <c r="Y110" t="n">
        <v>19</v>
      </c>
      <c r="Z110" t="n">
        <v>44.18</v>
      </c>
      <c r="AA110" t="n">
        <v>4.49</v>
      </c>
      <c r="AB110" t="n">
        <v>48.67</v>
      </c>
      <c r="AC110" t="n">
        <v>8.76</v>
      </c>
      <c r="AD110" t="n">
        <v>0</v>
      </c>
      <c r="AE110" t="n">
        <v>232.5</v>
      </c>
      <c r="AF110" t="n">
        <v>0</v>
      </c>
      <c r="AG110" t="n">
        <v>0</v>
      </c>
      <c r="AH110" t="n">
        <v>0.23</v>
      </c>
      <c r="AI110" t="n">
        <v>11.63</v>
      </c>
      <c r="AJ110" t="n">
        <v>0</v>
      </c>
      <c r="AK110" t="n">
        <v>20.62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69.29000000000001</v>
      </c>
      <c r="AV110" t="n">
        <v>0</v>
      </c>
      <c r="AW110" t="n">
        <v>174.84</v>
      </c>
      <c r="AX110" t="inlineStr">
        <is>
          <t>settled</t>
        </is>
      </c>
      <c r="AY110" t="inlineStr">
        <is>
          <t>NA</t>
        </is>
      </c>
      <c r="AZ110" t="inlineStr">
        <is>
          <t>NA</t>
        </is>
      </c>
      <c r="BA110" t="n">
        <v>0</v>
      </c>
      <c r="BB110" t="inlineStr">
        <is>
          <t>4936c76a067688699fab132649b650a9c920e36f7a140c8f315a4402c7f3b71f</t>
        </is>
      </c>
    </row>
    <row r="111">
      <c r="A111" t="inlineStr">
        <is>
          <t>1141</t>
        </is>
      </c>
      <c r="B111" t="inlineStr">
        <is>
          <t>7612296418</t>
        </is>
      </c>
      <c r="C111" t="inlineStr">
        <is>
          <t>2025-12-24 18:52:01</t>
        </is>
      </c>
      <c r="D111" t="inlineStr">
        <is>
          <t>52</t>
        </is>
      </c>
      <c r="E111" t="inlineStr">
        <is>
          <t>Sha Sha - Shandaar Shawarma</t>
        </is>
      </c>
      <c r="F111" t="inlineStr">
        <is>
          <t>18557902</t>
        </is>
      </c>
      <c r="G111" t="inlineStr">
        <is>
          <t>30% off upto ₹75 (2025-06-25 - 2031-01-01)</t>
        </is>
      </c>
      <c r="H111" t="inlineStr">
        <is>
          <t>ONLINE</t>
        </is>
      </c>
      <c r="I111" t="inlineStr">
        <is>
          <t>DELIVERED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O2</t>
        </is>
      </c>
      <c r="N111" t="inlineStr">
        <is>
          <t>36</t>
        </is>
      </c>
      <c r="O111" t="n">
        <v>229</v>
      </c>
      <c r="P111" t="n">
        <v>3.5</v>
      </c>
      <c r="Q111" t="n">
        <v>0</v>
      </c>
      <c r="R111" t="n">
        <v>68.7</v>
      </c>
      <c r="S111" t="n">
        <v>0</v>
      </c>
      <c r="T111" t="n">
        <v>0</v>
      </c>
      <c r="U111" t="n">
        <v>0</v>
      </c>
      <c r="V111" t="n">
        <v>8.19</v>
      </c>
      <c r="W111" t="n">
        <v>171.99</v>
      </c>
      <c r="X111" t="n">
        <v>163.8</v>
      </c>
      <c r="Y111" t="n">
        <v>19</v>
      </c>
      <c r="Z111" t="n">
        <v>31.12</v>
      </c>
      <c r="AA111" t="n">
        <v>3.16</v>
      </c>
      <c r="AB111" t="n">
        <v>34.28</v>
      </c>
      <c r="AC111" t="n">
        <v>6.17</v>
      </c>
      <c r="AD111" t="n">
        <v>0</v>
      </c>
      <c r="AE111" t="n">
        <v>163.8</v>
      </c>
      <c r="AF111" t="n">
        <v>0</v>
      </c>
      <c r="AG111" t="n">
        <v>0</v>
      </c>
      <c r="AH111" t="n">
        <v>0.16</v>
      </c>
      <c r="AI111" t="n">
        <v>8.199999999999999</v>
      </c>
      <c r="AJ111" t="n">
        <v>-0.01</v>
      </c>
      <c r="AK111" t="n">
        <v>14.53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48.81</v>
      </c>
      <c r="AV111" t="n">
        <v>0</v>
      </c>
      <c r="AW111" t="n">
        <v>123.18</v>
      </c>
      <c r="AX111" t="inlineStr">
        <is>
          <t>settled</t>
        </is>
      </c>
      <c r="AY111" t="inlineStr">
        <is>
          <t>NA</t>
        </is>
      </c>
      <c r="AZ111" t="inlineStr">
        <is>
          <t>NA</t>
        </is>
      </c>
      <c r="BA111" t="n">
        <v>0</v>
      </c>
      <c r="BB111" t="inlineStr">
        <is>
          <t>9f44bea053711c87fb184d1d6eb6462cf6e6c073998c9d44bf34af733aefd394</t>
        </is>
      </c>
    </row>
    <row r="112">
      <c r="A112" t="inlineStr">
        <is>
          <t>1142</t>
        </is>
      </c>
      <c r="B112" t="inlineStr">
        <is>
          <t>7616068872</t>
        </is>
      </c>
      <c r="C112" t="inlineStr">
        <is>
          <t>2025-12-24 19:01:24</t>
        </is>
      </c>
      <c r="D112" t="inlineStr">
        <is>
          <t>52</t>
        </is>
      </c>
      <c r="E112" t="inlineStr">
        <is>
          <t>Sha Sha - Shandaar Shawarma</t>
        </is>
      </c>
      <c r="F112" t="inlineStr">
        <is>
          <t>18557902</t>
        </is>
      </c>
      <c r="G112" t="inlineStr">
        <is>
          <t>NA</t>
        </is>
      </c>
      <c r="H112" t="inlineStr">
        <is>
          <t>ONLINE</t>
        </is>
      </c>
      <c r="I112" t="inlineStr">
        <is>
          <t>DELIVERED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O2</t>
        </is>
      </c>
      <c r="N112" t="inlineStr">
        <is>
          <t>36</t>
        </is>
      </c>
      <c r="O112" t="n">
        <v>229</v>
      </c>
      <c r="P112" t="n">
        <v>3.5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11.63</v>
      </c>
      <c r="W112" t="n">
        <v>244.13</v>
      </c>
      <c r="X112" t="n">
        <v>232.5</v>
      </c>
      <c r="Y112" t="n">
        <v>19</v>
      </c>
      <c r="Z112" t="n">
        <v>44.18</v>
      </c>
      <c r="AA112" t="n">
        <v>4.49</v>
      </c>
      <c r="AB112" t="n">
        <v>48.67</v>
      </c>
      <c r="AC112" t="n">
        <v>8.76</v>
      </c>
      <c r="AD112" t="n">
        <v>0</v>
      </c>
      <c r="AE112" t="n">
        <v>232.5</v>
      </c>
      <c r="AF112" t="n">
        <v>0</v>
      </c>
      <c r="AG112" t="n">
        <v>0</v>
      </c>
      <c r="AH112" t="n">
        <v>0.23</v>
      </c>
      <c r="AI112" t="n">
        <v>11.63</v>
      </c>
      <c r="AJ112" t="n">
        <v>0</v>
      </c>
      <c r="AK112" t="n">
        <v>20.62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69.29000000000001</v>
      </c>
      <c r="AV112" t="n">
        <v>0</v>
      </c>
      <c r="AW112" t="n">
        <v>174.84</v>
      </c>
      <c r="AX112" t="inlineStr">
        <is>
          <t>settled</t>
        </is>
      </c>
      <c r="AY112" t="inlineStr">
        <is>
          <t>NA</t>
        </is>
      </c>
      <c r="AZ112" t="inlineStr">
        <is>
          <t>NA</t>
        </is>
      </c>
      <c r="BA112" t="n">
        <v>0</v>
      </c>
      <c r="BB112" t="inlineStr">
        <is>
          <t>df4dec4077a226b1dd7b92df9c67f5a60ca21c19002a2dfdeb6afb9d1ed3a601</t>
        </is>
      </c>
    </row>
    <row r="113">
      <c r="A113" t="inlineStr">
        <is>
          <t>1143</t>
        </is>
      </c>
      <c r="B113" t="inlineStr">
        <is>
          <t>7615615342</t>
        </is>
      </c>
      <c r="C113" t="inlineStr">
        <is>
          <t>2025-12-24 19:01:45</t>
        </is>
      </c>
      <c r="D113" t="inlineStr">
        <is>
          <t>52</t>
        </is>
      </c>
      <c r="E113" t="inlineStr">
        <is>
          <t>Sha Sha - Shandaar Shawarma</t>
        </is>
      </c>
      <c r="F113" t="inlineStr">
        <is>
          <t>18557902</t>
        </is>
      </c>
      <c r="G113" t="inlineStr">
        <is>
          <t>30% off upto ₹75 (2025-06-25 - 2031-01-01)</t>
        </is>
      </c>
      <c r="H113" t="inlineStr">
        <is>
          <t>ONLINE</t>
        </is>
      </c>
      <c r="I113" t="inlineStr">
        <is>
          <t>DELIVERED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O2</t>
        </is>
      </c>
      <c r="N113" t="inlineStr">
        <is>
          <t>36</t>
        </is>
      </c>
      <c r="O113" t="n">
        <v>219</v>
      </c>
      <c r="P113" t="n">
        <v>3.5</v>
      </c>
      <c r="Q113" t="n">
        <v>0</v>
      </c>
      <c r="R113" t="n">
        <v>65.7</v>
      </c>
      <c r="S113" t="n">
        <v>0</v>
      </c>
      <c r="T113" t="n">
        <v>0</v>
      </c>
      <c r="U113" t="n">
        <v>0</v>
      </c>
      <c r="V113" t="n">
        <v>7.84</v>
      </c>
      <c r="W113" t="n">
        <v>164.64</v>
      </c>
      <c r="X113" t="n">
        <v>156.8</v>
      </c>
      <c r="Y113" t="n">
        <v>19</v>
      </c>
      <c r="Z113" t="n">
        <v>29.79</v>
      </c>
      <c r="AA113" t="n">
        <v>3.03</v>
      </c>
      <c r="AB113" t="n">
        <v>32.82</v>
      </c>
      <c r="AC113" t="n">
        <v>5.91</v>
      </c>
      <c r="AD113" t="n">
        <v>0</v>
      </c>
      <c r="AE113" t="n">
        <v>156.8</v>
      </c>
      <c r="AF113" t="n">
        <v>0</v>
      </c>
      <c r="AG113" t="n">
        <v>0</v>
      </c>
      <c r="AH113" t="n">
        <v>0.16</v>
      </c>
      <c r="AI113" t="n">
        <v>7.85</v>
      </c>
      <c r="AJ113" t="n">
        <v>-0.01</v>
      </c>
      <c r="AK113" t="n">
        <v>13.92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46.74</v>
      </c>
      <c r="AV113" t="n">
        <v>0</v>
      </c>
      <c r="AW113" t="n">
        <v>117.9</v>
      </c>
      <c r="AX113" t="inlineStr">
        <is>
          <t>settled</t>
        </is>
      </c>
      <c r="AY113" t="inlineStr">
        <is>
          <t>NA</t>
        </is>
      </c>
      <c r="AZ113" t="inlineStr">
        <is>
          <t>NA</t>
        </is>
      </c>
      <c r="BA113" t="n">
        <v>0</v>
      </c>
      <c r="BB113" t="inlineStr">
        <is>
          <t>43f9ee580dc3ebbd4203ae7fd0f2ccf19f99e2d9bb3a378aae9296b3c05f30a2</t>
        </is>
      </c>
    </row>
    <row r="114">
      <c r="A114" t="inlineStr">
        <is>
          <t>1144</t>
        </is>
      </c>
      <c r="B114" t="inlineStr">
        <is>
          <t>7591558407</t>
        </is>
      </c>
      <c r="C114" t="inlineStr">
        <is>
          <t>2025-12-24 19:05:27</t>
        </is>
      </c>
      <c r="D114" t="inlineStr">
        <is>
          <t>52</t>
        </is>
      </c>
      <c r="E114" t="inlineStr">
        <is>
          <t>Sha Sha - Shandaar Shawarma</t>
        </is>
      </c>
      <c r="F114" t="inlineStr">
        <is>
          <t>18557902</t>
        </is>
      </c>
      <c r="G114" t="inlineStr">
        <is>
          <t>30% off upto ₹75 (2025-06-25 - 2031-01-01)</t>
        </is>
      </c>
      <c r="H114" t="inlineStr">
        <is>
          <t>ONLINE</t>
        </is>
      </c>
      <c r="I114" t="inlineStr">
        <is>
          <t>DELIVERED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O2</t>
        </is>
      </c>
      <c r="N114" t="inlineStr">
        <is>
          <t>36</t>
        </is>
      </c>
      <c r="O114" t="n">
        <v>229</v>
      </c>
      <c r="P114" t="n">
        <v>3.5</v>
      </c>
      <c r="Q114" t="n">
        <v>0</v>
      </c>
      <c r="R114" t="n">
        <v>68.7</v>
      </c>
      <c r="S114" t="n">
        <v>0</v>
      </c>
      <c r="T114" t="n">
        <v>0</v>
      </c>
      <c r="U114" t="n">
        <v>0</v>
      </c>
      <c r="V114" t="n">
        <v>8.19</v>
      </c>
      <c r="W114" t="n">
        <v>171.99</v>
      </c>
      <c r="X114" t="n">
        <v>163.8</v>
      </c>
      <c r="Y114" t="n">
        <v>19</v>
      </c>
      <c r="Z114" t="n">
        <v>31.12</v>
      </c>
      <c r="AA114" t="n">
        <v>3.16</v>
      </c>
      <c r="AB114" t="n">
        <v>34.28</v>
      </c>
      <c r="AC114" t="n">
        <v>6.17</v>
      </c>
      <c r="AD114" t="n">
        <v>0</v>
      </c>
      <c r="AE114" t="n">
        <v>163.8</v>
      </c>
      <c r="AF114" t="n">
        <v>0</v>
      </c>
      <c r="AG114" t="n">
        <v>0</v>
      </c>
      <c r="AH114" t="n">
        <v>0.16</v>
      </c>
      <c r="AI114" t="n">
        <v>8.199999999999999</v>
      </c>
      <c r="AJ114" t="n">
        <v>-0.01</v>
      </c>
      <c r="AK114" t="n">
        <v>14.53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48.81</v>
      </c>
      <c r="AV114" t="n">
        <v>0</v>
      </c>
      <c r="AW114" t="n">
        <v>123.18</v>
      </c>
      <c r="AX114" t="inlineStr">
        <is>
          <t>settled</t>
        </is>
      </c>
      <c r="AY114" t="inlineStr">
        <is>
          <t>NA</t>
        </is>
      </c>
      <c r="AZ114" t="inlineStr">
        <is>
          <t>NA</t>
        </is>
      </c>
      <c r="BA114" t="n">
        <v>0</v>
      </c>
      <c r="BB114" t="inlineStr">
        <is>
          <t>4359fa8803c32f170e7af9928bc9454cf3044a9f9045f0dee20936b28e8ffbfa</t>
        </is>
      </c>
    </row>
    <row r="115">
      <c r="A115" t="inlineStr">
        <is>
          <t>1145</t>
        </is>
      </c>
      <c r="B115" t="inlineStr">
        <is>
          <t>7616167350</t>
        </is>
      </c>
      <c r="C115" t="inlineStr">
        <is>
          <t>2025-12-24 19:20:46</t>
        </is>
      </c>
      <c r="D115" t="inlineStr">
        <is>
          <t>52</t>
        </is>
      </c>
      <c r="E115" t="inlineStr">
        <is>
          <t>Sha Sha - Shandaar Shawarma</t>
        </is>
      </c>
      <c r="F115" t="inlineStr">
        <is>
          <t>18557902</t>
        </is>
      </c>
      <c r="G115" t="inlineStr">
        <is>
          <t>30% off upto ₹75 (2025-06-25 - 2031-01-01)</t>
        </is>
      </c>
      <c r="H115" t="inlineStr">
        <is>
          <t>ONLINE</t>
        </is>
      </c>
      <c r="I115" t="inlineStr">
        <is>
          <t>DELIVERED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O2</t>
        </is>
      </c>
      <c r="N115" t="inlineStr">
        <is>
          <t>36</t>
        </is>
      </c>
      <c r="O115" t="n">
        <v>229</v>
      </c>
      <c r="P115" t="n">
        <v>3.5</v>
      </c>
      <c r="Q115" t="n">
        <v>0</v>
      </c>
      <c r="R115" t="n">
        <v>68.7</v>
      </c>
      <c r="S115" t="n">
        <v>0</v>
      </c>
      <c r="T115" t="n">
        <v>0</v>
      </c>
      <c r="U115" t="n">
        <v>0</v>
      </c>
      <c r="V115" t="n">
        <v>8.19</v>
      </c>
      <c r="W115" t="n">
        <v>171.99</v>
      </c>
      <c r="X115" t="n">
        <v>163.8</v>
      </c>
      <c r="Y115" t="n">
        <v>19</v>
      </c>
      <c r="Z115" t="n">
        <v>31.12</v>
      </c>
      <c r="AA115" t="n">
        <v>3.16</v>
      </c>
      <c r="AB115" t="n">
        <v>34.28</v>
      </c>
      <c r="AC115" t="n">
        <v>6.17</v>
      </c>
      <c r="AD115" t="n">
        <v>0</v>
      </c>
      <c r="AE115" t="n">
        <v>163.8</v>
      </c>
      <c r="AF115" t="n">
        <v>0</v>
      </c>
      <c r="AG115" t="n">
        <v>0</v>
      </c>
      <c r="AH115" t="n">
        <v>0.16</v>
      </c>
      <c r="AI115" t="n">
        <v>8.199999999999999</v>
      </c>
      <c r="AJ115" t="n">
        <v>-0.01</v>
      </c>
      <c r="AK115" t="n">
        <v>14.53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48.81</v>
      </c>
      <c r="AV115" t="n">
        <v>0</v>
      </c>
      <c r="AW115" t="n">
        <v>123.18</v>
      </c>
      <c r="AX115" t="inlineStr">
        <is>
          <t>settled</t>
        </is>
      </c>
      <c r="AY115" t="inlineStr">
        <is>
          <t>NA</t>
        </is>
      </c>
      <c r="AZ115" t="inlineStr">
        <is>
          <t>NA</t>
        </is>
      </c>
      <c r="BA115" t="n">
        <v>0</v>
      </c>
      <c r="BB115" t="inlineStr">
        <is>
          <t>b5d15023e542054fc9bf1922c897a423d93e3567392ccccceaa7f99147e8a298</t>
        </is>
      </c>
    </row>
    <row r="116">
      <c r="A116" t="inlineStr">
        <is>
          <t>1146</t>
        </is>
      </c>
      <c r="B116" t="inlineStr">
        <is>
          <t>7615528743</t>
        </is>
      </c>
      <c r="C116" t="inlineStr">
        <is>
          <t>2025-12-24 19:47:59</t>
        </is>
      </c>
      <c r="D116" t="inlineStr">
        <is>
          <t>52</t>
        </is>
      </c>
      <c r="E116" t="inlineStr">
        <is>
          <t>Sha Sha - Shandaar Shawarma</t>
        </is>
      </c>
      <c r="F116" t="inlineStr">
        <is>
          <t>18557902</t>
        </is>
      </c>
      <c r="G116" t="inlineStr">
        <is>
          <t>30% off upto ₹75 (2025-06-25 - 2031-01-01)</t>
        </is>
      </c>
      <c r="H116" t="inlineStr">
        <is>
          <t>ONLINE</t>
        </is>
      </c>
      <c r="I116" t="inlineStr">
        <is>
          <t>DELIVERED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O2</t>
        </is>
      </c>
      <c r="N116" t="inlineStr">
        <is>
          <t>36</t>
        </is>
      </c>
      <c r="O116" t="n">
        <v>219</v>
      </c>
      <c r="P116" t="n">
        <v>3.5</v>
      </c>
      <c r="Q116" t="n">
        <v>0</v>
      </c>
      <c r="R116" t="n">
        <v>65.7</v>
      </c>
      <c r="S116" t="n">
        <v>0</v>
      </c>
      <c r="T116" t="n">
        <v>0</v>
      </c>
      <c r="U116" t="n">
        <v>0</v>
      </c>
      <c r="V116" t="n">
        <v>7.84</v>
      </c>
      <c r="W116" t="n">
        <v>164.64</v>
      </c>
      <c r="X116" t="n">
        <v>156.8</v>
      </c>
      <c r="Y116" t="n">
        <v>19</v>
      </c>
      <c r="Z116" t="n">
        <v>29.79</v>
      </c>
      <c r="AA116" t="n">
        <v>3.03</v>
      </c>
      <c r="AB116" t="n">
        <v>32.82</v>
      </c>
      <c r="AC116" t="n">
        <v>5.91</v>
      </c>
      <c r="AD116" t="n">
        <v>0</v>
      </c>
      <c r="AE116" t="n">
        <v>156.8</v>
      </c>
      <c r="AF116" t="n">
        <v>0</v>
      </c>
      <c r="AG116" t="n">
        <v>0</v>
      </c>
      <c r="AH116" t="n">
        <v>0.16</v>
      </c>
      <c r="AI116" t="n">
        <v>7.85</v>
      </c>
      <c r="AJ116" t="n">
        <v>-0.01</v>
      </c>
      <c r="AK116" t="n">
        <v>13.92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46.74</v>
      </c>
      <c r="AV116" t="n">
        <v>0</v>
      </c>
      <c r="AW116" t="n">
        <v>117.9</v>
      </c>
      <c r="AX116" t="inlineStr">
        <is>
          <t>settled</t>
        </is>
      </c>
      <c r="AY116" t="inlineStr">
        <is>
          <t>NA</t>
        </is>
      </c>
      <c r="AZ116" t="inlineStr">
        <is>
          <t>NA</t>
        </is>
      </c>
      <c r="BA116" t="n">
        <v>0</v>
      </c>
      <c r="BB116" t="inlineStr">
        <is>
          <t>c1e1bca5b3d162444e820696d9f4a5769ea93960b0ae2e79808d48444e1be276</t>
        </is>
      </c>
    </row>
    <row r="117">
      <c r="A117" t="inlineStr">
        <is>
          <t>1147</t>
        </is>
      </c>
      <c r="B117" t="inlineStr">
        <is>
          <t>7614190793</t>
        </is>
      </c>
      <c r="C117" t="inlineStr">
        <is>
          <t>2025-12-24 19:55:45</t>
        </is>
      </c>
      <c r="D117" t="inlineStr">
        <is>
          <t>52</t>
        </is>
      </c>
      <c r="E117" t="inlineStr">
        <is>
          <t>Sha Sha - Shandaar Shawarma</t>
        </is>
      </c>
      <c r="F117" t="inlineStr">
        <is>
          <t>18557902</t>
        </is>
      </c>
      <c r="G117" t="inlineStr">
        <is>
          <t>30% off upto ₹75 (2025-06-25 - 2031-01-01)</t>
        </is>
      </c>
      <c r="H117" t="inlineStr">
        <is>
          <t>ONLINE</t>
        </is>
      </c>
      <c r="I117" t="inlineStr">
        <is>
          <t>DELIVERED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O2</t>
        </is>
      </c>
      <c r="N117" t="inlineStr">
        <is>
          <t>36</t>
        </is>
      </c>
      <c r="O117" t="n">
        <v>229</v>
      </c>
      <c r="P117" t="n">
        <v>3.5</v>
      </c>
      <c r="Q117" t="n">
        <v>0</v>
      </c>
      <c r="R117" t="n">
        <v>68.7</v>
      </c>
      <c r="S117" t="n">
        <v>0</v>
      </c>
      <c r="T117" t="n">
        <v>0</v>
      </c>
      <c r="U117" t="n">
        <v>0</v>
      </c>
      <c r="V117" t="n">
        <v>8.19</v>
      </c>
      <c r="W117" t="n">
        <v>171.99</v>
      </c>
      <c r="X117" t="n">
        <v>163.8</v>
      </c>
      <c r="Y117" t="n">
        <v>19</v>
      </c>
      <c r="Z117" t="n">
        <v>31.12</v>
      </c>
      <c r="AA117" t="n">
        <v>3.16</v>
      </c>
      <c r="AB117" t="n">
        <v>34.28</v>
      </c>
      <c r="AC117" t="n">
        <v>6.17</v>
      </c>
      <c r="AD117" t="n">
        <v>0</v>
      </c>
      <c r="AE117" t="n">
        <v>163.8</v>
      </c>
      <c r="AF117" t="n">
        <v>0</v>
      </c>
      <c r="AG117" t="n">
        <v>0</v>
      </c>
      <c r="AH117" t="n">
        <v>0.16</v>
      </c>
      <c r="AI117" t="n">
        <v>8.199999999999999</v>
      </c>
      <c r="AJ117" t="n">
        <v>-0.01</v>
      </c>
      <c r="AK117" t="n">
        <v>14.53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48.81</v>
      </c>
      <c r="AV117" t="n">
        <v>0</v>
      </c>
      <c r="AW117" t="n">
        <v>123.18</v>
      </c>
      <c r="AX117" t="inlineStr">
        <is>
          <t>settled</t>
        </is>
      </c>
      <c r="AY117" t="inlineStr">
        <is>
          <t>NA</t>
        </is>
      </c>
      <c r="AZ117" t="inlineStr">
        <is>
          <t>NA</t>
        </is>
      </c>
      <c r="BA117" t="n">
        <v>0</v>
      </c>
      <c r="BB117" t="inlineStr">
        <is>
          <t>5f8494cf19c395326ad295b3b7a7e644eaa9766a4b9077d3a79b5e885e440af8</t>
        </is>
      </c>
    </row>
    <row r="118">
      <c r="A118" t="inlineStr">
        <is>
          <t>1148</t>
        </is>
      </c>
      <c r="B118" t="inlineStr">
        <is>
          <t>7614327579</t>
        </is>
      </c>
      <c r="C118" t="inlineStr">
        <is>
          <t>2025-12-24 19:55:46</t>
        </is>
      </c>
      <c r="D118" t="inlineStr">
        <is>
          <t>52</t>
        </is>
      </c>
      <c r="E118" t="inlineStr">
        <is>
          <t>Sha Sha - Shandaar Shawarma</t>
        </is>
      </c>
      <c r="F118" t="inlineStr">
        <is>
          <t>18557902</t>
        </is>
      </c>
      <c r="G118" t="inlineStr">
        <is>
          <t>30% off upto ₹75 (2025-06-25 - 2031-01-01)</t>
        </is>
      </c>
      <c r="H118" t="inlineStr">
        <is>
          <t>ONLINE</t>
        </is>
      </c>
      <c r="I118" t="inlineStr">
        <is>
          <t>DELIVERED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O2</t>
        </is>
      </c>
      <c r="N118" t="inlineStr">
        <is>
          <t>36</t>
        </is>
      </c>
      <c r="O118" t="n">
        <v>229</v>
      </c>
      <c r="P118" t="n">
        <v>3.5</v>
      </c>
      <c r="Q118" t="n">
        <v>0</v>
      </c>
      <c r="R118" t="n">
        <v>68.7</v>
      </c>
      <c r="S118" t="n">
        <v>0</v>
      </c>
      <c r="T118" t="n">
        <v>0</v>
      </c>
      <c r="U118" t="n">
        <v>0</v>
      </c>
      <c r="V118" t="n">
        <v>8.19</v>
      </c>
      <c r="W118" t="n">
        <v>171.99</v>
      </c>
      <c r="X118" t="n">
        <v>163.8</v>
      </c>
      <c r="Y118" t="n">
        <v>19</v>
      </c>
      <c r="Z118" t="n">
        <v>31.12</v>
      </c>
      <c r="AA118" t="n">
        <v>3.16</v>
      </c>
      <c r="AB118" t="n">
        <v>34.28</v>
      </c>
      <c r="AC118" t="n">
        <v>6.17</v>
      </c>
      <c r="AD118" t="n">
        <v>0</v>
      </c>
      <c r="AE118" t="n">
        <v>163.8</v>
      </c>
      <c r="AF118" t="n">
        <v>0</v>
      </c>
      <c r="AG118" t="n">
        <v>0</v>
      </c>
      <c r="AH118" t="n">
        <v>0.16</v>
      </c>
      <c r="AI118" t="n">
        <v>8.199999999999999</v>
      </c>
      <c r="AJ118" t="n">
        <v>-0.01</v>
      </c>
      <c r="AK118" t="n">
        <v>14.53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48.81</v>
      </c>
      <c r="AV118" t="n">
        <v>0</v>
      </c>
      <c r="AW118" t="n">
        <v>123.18</v>
      </c>
      <c r="AX118" t="inlineStr">
        <is>
          <t>settled</t>
        </is>
      </c>
      <c r="AY118" t="inlineStr">
        <is>
          <t>NA</t>
        </is>
      </c>
      <c r="AZ118" t="inlineStr">
        <is>
          <t>NA</t>
        </is>
      </c>
      <c r="BA118" t="n">
        <v>0</v>
      </c>
      <c r="BB118" t="inlineStr">
        <is>
          <t>1cffb8aadfcbeabb4e1e3e8a71fd44fd3cf28ff0e8129c3889f6a5014a287fd4</t>
        </is>
      </c>
    </row>
    <row r="119">
      <c r="A119" t="inlineStr">
        <is>
          <t>1149</t>
        </is>
      </c>
      <c r="B119" t="inlineStr">
        <is>
          <t>7611627320</t>
        </is>
      </c>
      <c r="C119" t="inlineStr">
        <is>
          <t>2025-12-24 20:00:40</t>
        </is>
      </c>
      <c r="D119" t="inlineStr">
        <is>
          <t>52</t>
        </is>
      </c>
      <c r="E119" t="inlineStr">
        <is>
          <t>Sha Sha - Shandaar Shawarma</t>
        </is>
      </c>
      <c r="F119" t="inlineStr">
        <is>
          <t>18557902</t>
        </is>
      </c>
      <c r="G119" t="inlineStr">
        <is>
          <t>30% off upto ₹75 (2025-06-25 - 2031-01-01)</t>
        </is>
      </c>
      <c r="H119" t="inlineStr">
        <is>
          <t>ONLINE</t>
        </is>
      </c>
      <c r="I119" t="inlineStr">
        <is>
          <t>DELIVERED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O2</t>
        </is>
      </c>
      <c r="N119" t="inlineStr">
        <is>
          <t>36</t>
        </is>
      </c>
      <c r="O119" t="n">
        <v>677</v>
      </c>
      <c r="P119" t="n">
        <v>3.5</v>
      </c>
      <c r="Q119" t="n">
        <v>0</v>
      </c>
      <c r="R119" t="n">
        <v>75</v>
      </c>
      <c r="S119" t="n">
        <v>0</v>
      </c>
      <c r="T119" t="n">
        <v>0</v>
      </c>
      <c r="U119" t="n">
        <v>0</v>
      </c>
      <c r="V119" t="n">
        <v>30.28</v>
      </c>
      <c r="W119" t="n">
        <v>635.78</v>
      </c>
      <c r="X119" t="n">
        <v>605.5</v>
      </c>
      <c r="Y119" t="n">
        <v>19</v>
      </c>
      <c r="Z119" t="n">
        <v>115.04</v>
      </c>
      <c r="AA119" t="n">
        <v>11.7</v>
      </c>
      <c r="AB119" t="n">
        <v>126.74</v>
      </c>
      <c r="AC119" t="n">
        <v>22.82</v>
      </c>
      <c r="AD119" t="n">
        <v>0</v>
      </c>
      <c r="AE119" t="n">
        <v>605.5</v>
      </c>
      <c r="AF119" t="n">
        <v>0</v>
      </c>
      <c r="AG119" t="n">
        <v>0</v>
      </c>
      <c r="AH119" t="n">
        <v>0.61</v>
      </c>
      <c r="AI119" t="n">
        <v>30.28</v>
      </c>
      <c r="AJ119" t="n">
        <v>0</v>
      </c>
      <c r="AK119" t="n">
        <v>53.71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180.45</v>
      </c>
      <c r="AV119" t="n">
        <v>0</v>
      </c>
      <c r="AW119" t="n">
        <v>455.33</v>
      </c>
      <c r="AX119" t="inlineStr">
        <is>
          <t>settled</t>
        </is>
      </c>
      <c r="AY119" t="inlineStr">
        <is>
          <t>NA</t>
        </is>
      </c>
      <c r="AZ119" t="inlineStr">
        <is>
          <t>NA</t>
        </is>
      </c>
      <c r="BA119" t="n">
        <v>0</v>
      </c>
      <c r="BB119" t="inlineStr">
        <is>
          <t>9df888b3b1670d37dada665143b49e3edbd4f3e3ccd6e11b1db9ecb5fe6280c0</t>
        </is>
      </c>
    </row>
    <row r="120">
      <c r="A120" t="inlineStr">
        <is>
          <t>1150</t>
        </is>
      </c>
      <c r="B120" t="inlineStr">
        <is>
          <t>7611856932</t>
        </is>
      </c>
      <c r="C120" t="inlineStr">
        <is>
          <t>2025-12-24 20:06:46</t>
        </is>
      </c>
      <c r="D120" t="inlineStr">
        <is>
          <t>52</t>
        </is>
      </c>
      <c r="E120" t="inlineStr">
        <is>
          <t>Sha Sha - Shandaar Shawarma</t>
        </is>
      </c>
      <c r="F120" t="inlineStr">
        <is>
          <t>18557902</t>
        </is>
      </c>
      <c r="G120" t="inlineStr">
        <is>
          <t>30% off upto ₹75 (2025-06-25 - 2031-01-01)</t>
        </is>
      </c>
      <c r="H120" t="inlineStr">
        <is>
          <t>ONLINE</t>
        </is>
      </c>
      <c r="I120" t="inlineStr">
        <is>
          <t>DELIVERED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O2</t>
        </is>
      </c>
      <c r="N120" t="inlineStr">
        <is>
          <t>36</t>
        </is>
      </c>
      <c r="O120" t="n">
        <v>219</v>
      </c>
      <c r="P120" t="n">
        <v>3.5</v>
      </c>
      <c r="Q120" t="n">
        <v>0</v>
      </c>
      <c r="R120" t="n">
        <v>65.7</v>
      </c>
      <c r="S120" t="n">
        <v>0</v>
      </c>
      <c r="T120" t="n">
        <v>0</v>
      </c>
      <c r="U120" t="n">
        <v>0</v>
      </c>
      <c r="V120" t="n">
        <v>7.84</v>
      </c>
      <c r="W120" t="n">
        <v>164.64</v>
      </c>
      <c r="X120" t="n">
        <v>156.8</v>
      </c>
      <c r="Y120" t="n">
        <v>19</v>
      </c>
      <c r="Z120" t="n">
        <v>29.79</v>
      </c>
      <c r="AA120" t="n">
        <v>3.03</v>
      </c>
      <c r="AB120" t="n">
        <v>32.82</v>
      </c>
      <c r="AC120" t="n">
        <v>5.91</v>
      </c>
      <c r="AD120" t="n">
        <v>0</v>
      </c>
      <c r="AE120" t="n">
        <v>156.8</v>
      </c>
      <c r="AF120" t="n">
        <v>0</v>
      </c>
      <c r="AG120" t="n">
        <v>0</v>
      </c>
      <c r="AH120" t="n">
        <v>0.16</v>
      </c>
      <c r="AI120" t="n">
        <v>7.85</v>
      </c>
      <c r="AJ120" t="n">
        <v>-0.01</v>
      </c>
      <c r="AK120" t="n">
        <v>13.92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46.74</v>
      </c>
      <c r="AV120" t="n">
        <v>0</v>
      </c>
      <c r="AW120" t="n">
        <v>117.9</v>
      </c>
      <c r="AX120" t="inlineStr">
        <is>
          <t>settled</t>
        </is>
      </c>
      <c r="AY120" t="inlineStr">
        <is>
          <t>NA</t>
        </is>
      </c>
      <c r="AZ120" t="inlineStr">
        <is>
          <t>NA</t>
        </is>
      </c>
      <c r="BA120" t="n">
        <v>0</v>
      </c>
      <c r="BB120" t="inlineStr">
        <is>
          <t>933b68f815dc4944d030c6d80a0ac6ab938d7f2cf49bde6a68666fafe46e1b80</t>
        </is>
      </c>
    </row>
    <row r="121">
      <c r="A121" t="inlineStr">
        <is>
          <t>1151</t>
        </is>
      </c>
      <c r="B121" t="inlineStr">
        <is>
          <t>7612234366</t>
        </is>
      </c>
      <c r="C121" t="inlineStr">
        <is>
          <t>2025-12-24 20:28:42</t>
        </is>
      </c>
      <c r="D121" t="inlineStr">
        <is>
          <t>52</t>
        </is>
      </c>
      <c r="E121" t="inlineStr">
        <is>
          <t>Sha Sha - Shandaar Shawarma</t>
        </is>
      </c>
      <c r="F121" t="inlineStr">
        <is>
          <t>18557902</t>
        </is>
      </c>
      <c r="G121" t="inlineStr">
        <is>
          <t>30% off upto ₹75 (2025-06-25 - 2031-01-01)</t>
        </is>
      </c>
      <c r="H121" t="inlineStr">
        <is>
          <t>ONLINE</t>
        </is>
      </c>
      <c r="I121" t="inlineStr">
        <is>
          <t>DELIVERED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O2</t>
        </is>
      </c>
      <c r="N121" t="inlineStr">
        <is>
          <t>36</t>
        </is>
      </c>
      <c r="O121" t="n">
        <v>229</v>
      </c>
      <c r="P121" t="n">
        <v>3.5</v>
      </c>
      <c r="Q121" t="n">
        <v>0</v>
      </c>
      <c r="R121" t="n">
        <v>68.7</v>
      </c>
      <c r="S121" t="n">
        <v>0</v>
      </c>
      <c r="T121" t="n">
        <v>0</v>
      </c>
      <c r="U121" t="n">
        <v>0</v>
      </c>
      <c r="V121" t="n">
        <v>8.19</v>
      </c>
      <c r="W121" t="n">
        <v>171.99</v>
      </c>
      <c r="X121" t="n">
        <v>163.8</v>
      </c>
      <c r="Y121" t="n">
        <v>19</v>
      </c>
      <c r="Z121" t="n">
        <v>31.12</v>
      </c>
      <c r="AA121" t="n">
        <v>3.16</v>
      </c>
      <c r="AB121" t="n">
        <v>34.28</v>
      </c>
      <c r="AC121" t="n">
        <v>6.17</v>
      </c>
      <c r="AD121" t="n">
        <v>0</v>
      </c>
      <c r="AE121" t="n">
        <v>163.8</v>
      </c>
      <c r="AF121" t="n">
        <v>0</v>
      </c>
      <c r="AG121" t="n">
        <v>0</v>
      </c>
      <c r="AH121" t="n">
        <v>0.16</v>
      </c>
      <c r="AI121" t="n">
        <v>8.199999999999999</v>
      </c>
      <c r="AJ121" t="n">
        <v>-0.01</v>
      </c>
      <c r="AK121" t="n">
        <v>14.53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48.81</v>
      </c>
      <c r="AV121" t="n">
        <v>0</v>
      </c>
      <c r="AW121" t="n">
        <v>123.18</v>
      </c>
      <c r="AX121" t="inlineStr">
        <is>
          <t>settled</t>
        </is>
      </c>
      <c r="AY121" t="inlineStr">
        <is>
          <t>NA</t>
        </is>
      </c>
      <c r="AZ121" t="inlineStr">
        <is>
          <t>NA</t>
        </is>
      </c>
      <c r="BA121" t="n">
        <v>0</v>
      </c>
      <c r="BB121" t="inlineStr">
        <is>
          <t>c39c018ebb45a3ff376339a26bd0c3bb7b826b26c6dce07094c9ed751fd37e12</t>
        </is>
      </c>
    </row>
    <row r="122">
      <c r="A122" t="inlineStr">
        <is>
          <t>1152</t>
        </is>
      </c>
      <c r="B122" t="inlineStr">
        <is>
          <t>7607594271</t>
        </is>
      </c>
      <c r="C122" t="inlineStr">
        <is>
          <t>2025-12-24 20:32:46</t>
        </is>
      </c>
      <c r="D122" t="inlineStr">
        <is>
          <t>52</t>
        </is>
      </c>
      <c r="E122" t="inlineStr">
        <is>
          <t>Sha Sha - Shandaar Shawarma</t>
        </is>
      </c>
      <c r="F122" t="inlineStr">
        <is>
          <t>18557902</t>
        </is>
      </c>
      <c r="G122" t="inlineStr">
        <is>
          <t>30% off upto ₹75 (2025-06-25 - 2031-01-01)</t>
        </is>
      </c>
      <c r="H122" t="inlineStr">
        <is>
          <t>ONLINE</t>
        </is>
      </c>
      <c r="I122" t="inlineStr">
        <is>
          <t>DELIVERED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O2</t>
        </is>
      </c>
      <c r="N122" t="inlineStr">
        <is>
          <t>36</t>
        </is>
      </c>
      <c r="O122" t="n">
        <v>229</v>
      </c>
      <c r="P122" t="n">
        <v>3.5</v>
      </c>
      <c r="Q122" t="n">
        <v>0</v>
      </c>
      <c r="R122" t="n">
        <v>68.7</v>
      </c>
      <c r="S122" t="n">
        <v>0</v>
      </c>
      <c r="T122" t="n">
        <v>0</v>
      </c>
      <c r="U122" t="n">
        <v>0</v>
      </c>
      <c r="V122" t="n">
        <v>8.19</v>
      </c>
      <c r="W122" t="n">
        <v>171.99</v>
      </c>
      <c r="X122" t="n">
        <v>163.8</v>
      </c>
      <c r="Y122" t="n">
        <v>19</v>
      </c>
      <c r="Z122" t="n">
        <v>31.12</v>
      </c>
      <c r="AA122" t="n">
        <v>3.16</v>
      </c>
      <c r="AB122" t="n">
        <v>34.28</v>
      </c>
      <c r="AC122" t="n">
        <v>6.17</v>
      </c>
      <c r="AD122" t="n">
        <v>0</v>
      </c>
      <c r="AE122" t="n">
        <v>163.8</v>
      </c>
      <c r="AF122" t="n">
        <v>0</v>
      </c>
      <c r="AG122" t="n">
        <v>0</v>
      </c>
      <c r="AH122" t="n">
        <v>0.16</v>
      </c>
      <c r="AI122" t="n">
        <v>8.199999999999999</v>
      </c>
      <c r="AJ122" t="n">
        <v>-0.01</v>
      </c>
      <c r="AK122" t="n">
        <v>14.53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48.81</v>
      </c>
      <c r="AV122" t="n">
        <v>0</v>
      </c>
      <c r="AW122" t="n">
        <v>123.18</v>
      </c>
      <c r="AX122" t="inlineStr">
        <is>
          <t>settled</t>
        </is>
      </c>
      <c r="AY122" t="inlineStr">
        <is>
          <t>NA</t>
        </is>
      </c>
      <c r="AZ122" t="inlineStr">
        <is>
          <t>NA</t>
        </is>
      </c>
      <c r="BA122" t="n">
        <v>0</v>
      </c>
      <c r="BB122" t="inlineStr">
        <is>
          <t>957c8eaea33a6d4c66283b3b88a3a953134003448bc2f899d1819e02087b4c01</t>
        </is>
      </c>
    </row>
    <row r="123">
      <c r="A123" t="inlineStr">
        <is>
          <t>1153</t>
        </is>
      </c>
      <c r="B123" t="inlineStr">
        <is>
          <t>7608030708</t>
        </is>
      </c>
      <c r="C123" t="inlineStr">
        <is>
          <t>2025-12-24 20:42:32</t>
        </is>
      </c>
      <c r="D123" t="inlineStr">
        <is>
          <t>52</t>
        </is>
      </c>
      <c r="E123" t="inlineStr">
        <is>
          <t>Sha Sha - Shandaar Shawarma</t>
        </is>
      </c>
      <c r="F123" t="inlineStr">
        <is>
          <t>18557902</t>
        </is>
      </c>
      <c r="G123" t="inlineStr">
        <is>
          <t>30% off upto ₹75 (2025-06-25 - 2031-01-01)</t>
        </is>
      </c>
      <c r="H123" t="inlineStr">
        <is>
          <t>ONLINE</t>
        </is>
      </c>
      <c r="I123" t="inlineStr">
        <is>
          <t>DELIVERED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O2</t>
        </is>
      </c>
      <c r="N123" t="inlineStr">
        <is>
          <t>36</t>
        </is>
      </c>
      <c r="O123" t="n">
        <v>229</v>
      </c>
      <c r="P123" t="n">
        <v>3.5</v>
      </c>
      <c r="Q123" t="n">
        <v>0</v>
      </c>
      <c r="R123" t="n">
        <v>68.7</v>
      </c>
      <c r="S123" t="n">
        <v>0</v>
      </c>
      <c r="T123" t="n">
        <v>0</v>
      </c>
      <c r="U123" t="n">
        <v>0</v>
      </c>
      <c r="V123" t="n">
        <v>8.19</v>
      </c>
      <c r="W123" t="n">
        <v>171.99</v>
      </c>
      <c r="X123" t="n">
        <v>163.8</v>
      </c>
      <c r="Y123" t="n">
        <v>19</v>
      </c>
      <c r="Z123" t="n">
        <v>31.12</v>
      </c>
      <c r="AA123" t="n">
        <v>3.16</v>
      </c>
      <c r="AB123" t="n">
        <v>34.28</v>
      </c>
      <c r="AC123" t="n">
        <v>6.17</v>
      </c>
      <c r="AD123" t="n">
        <v>0</v>
      </c>
      <c r="AE123" t="n">
        <v>163.8</v>
      </c>
      <c r="AF123" t="n">
        <v>0</v>
      </c>
      <c r="AG123" t="n">
        <v>0</v>
      </c>
      <c r="AH123" t="n">
        <v>0.16</v>
      </c>
      <c r="AI123" t="n">
        <v>8.199999999999999</v>
      </c>
      <c r="AJ123" t="n">
        <v>-0.01</v>
      </c>
      <c r="AK123" t="n">
        <v>14.53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48.81</v>
      </c>
      <c r="AV123" t="n">
        <v>0</v>
      </c>
      <c r="AW123" t="n">
        <v>123.18</v>
      </c>
      <c r="AX123" t="inlineStr">
        <is>
          <t>settled</t>
        </is>
      </c>
      <c r="AY123" t="inlineStr">
        <is>
          <t>NA</t>
        </is>
      </c>
      <c r="AZ123" t="inlineStr">
        <is>
          <t>NA</t>
        </is>
      </c>
      <c r="BA123" t="n">
        <v>0</v>
      </c>
      <c r="BB123" t="inlineStr">
        <is>
          <t>5bbf14df8938f95d3b7c17a99beb70d7782f65008db9840edde8a35ba5e8e65f</t>
        </is>
      </c>
    </row>
    <row r="124">
      <c r="A124" t="inlineStr">
        <is>
          <t>1154</t>
        </is>
      </c>
      <c r="B124" t="inlineStr">
        <is>
          <t>7613625863</t>
        </is>
      </c>
      <c r="C124" t="inlineStr">
        <is>
          <t>2025-12-24 21:10:42</t>
        </is>
      </c>
      <c r="D124" t="inlineStr">
        <is>
          <t>52</t>
        </is>
      </c>
      <c r="E124" t="inlineStr">
        <is>
          <t>Sha Sha - Shandaar Shawarma</t>
        </is>
      </c>
      <c r="F124" t="inlineStr">
        <is>
          <t>18557902</t>
        </is>
      </c>
      <c r="G124" t="inlineStr">
        <is>
          <t>30% off upto ₹75 (2025-06-25 - 2031-01-01)</t>
        </is>
      </c>
      <c r="H124" t="inlineStr">
        <is>
          <t>ONLINE</t>
        </is>
      </c>
      <c r="I124" t="inlineStr">
        <is>
          <t>DELIVERED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O2</t>
        </is>
      </c>
      <c r="N124" t="inlineStr">
        <is>
          <t>36</t>
        </is>
      </c>
      <c r="O124" t="n">
        <v>916</v>
      </c>
      <c r="P124" t="n">
        <v>3.5</v>
      </c>
      <c r="Q124" t="n">
        <v>0</v>
      </c>
      <c r="R124" t="n">
        <v>75</v>
      </c>
      <c r="S124" t="n">
        <v>0</v>
      </c>
      <c r="T124" t="n">
        <v>0</v>
      </c>
      <c r="U124" t="n">
        <v>0</v>
      </c>
      <c r="V124" t="n">
        <v>42.23</v>
      </c>
      <c r="W124" t="n">
        <v>886.73</v>
      </c>
      <c r="X124" t="n">
        <v>844.5</v>
      </c>
      <c r="Y124" t="n">
        <v>19</v>
      </c>
      <c r="Z124" t="n">
        <v>160.46</v>
      </c>
      <c r="AA124" t="n">
        <v>16.32</v>
      </c>
      <c r="AB124" t="n">
        <v>176.78</v>
      </c>
      <c r="AC124" t="n">
        <v>31.82</v>
      </c>
      <c r="AD124" t="n">
        <v>0</v>
      </c>
      <c r="AE124" t="n">
        <v>844.5</v>
      </c>
      <c r="AF124" t="n">
        <v>0</v>
      </c>
      <c r="AG124" t="n">
        <v>0</v>
      </c>
      <c r="AH124" t="n">
        <v>0.84</v>
      </c>
      <c r="AI124" t="n">
        <v>42.23</v>
      </c>
      <c r="AJ124" t="n">
        <v>0</v>
      </c>
      <c r="AK124" t="n">
        <v>74.89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251.67</v>
      </c>
      <c r="AV124" t="n">
        <v>0</v>
      </c>
      <c r="AW124" t="n">
        <v>635.0599999999999</v>
      </c>
      <c r="AX124" t="inlineStr">
        <is>
          <t>settled</t>
        </is>
      </c>
      <c r="AY124" t="inlineStr">
        <is>
          <t>NA</t>
        </is>
      </c>
      <c r="AZ124" t="inlineStr">
        <is>
          <t>NA</t>
        </is>
      </c>
      <c r="BA124" t="n">
        <v>0</v>
      </c>
      <c r="BB124" t="inlineStr">
        <is>
          <t>cc79db6c37db8ccc17d05c93060cf9429bd2bd5fbe80f9d2962e20f854f2223c</t>
        </is>
      </c>
    </row>
    <row r="125">
      <c r="A125" t="inlineStr">
        <is>
          <t>1155</t>
        </is>
      </c>
      <c r="B125" t="inlineStr">
        <is>
          <t>7615462748</t>
        </is>
      </c>
      <c r="C125" t="inlineStr">
        <is>
          <t>2025-12-24 21:15:41</t>
        </is>
      </c>
      <c r="D125" t="inlineStr">
        <is>
          <t>52</t>
        </is>
      </c>
      <c r="E125" t="inlineStr">
        <is>
          <t>Sha Sha - Shandaar Shawarma</t>
        </is>
      </c>
      <c r="F125" t="inlineStr">
        <is>
          <t>18557902</t>
        </is>
      </c>
      <c r="G125" t="inlineStr">
        <is>
          <t>30% off upto ₹75 (2025-06-25 - 2031-01-01)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O2</t>
        </is>
      </c>
      <c r="N125" t="inlineStr">
        <is>
          <t>36</t>
        </is>
      </c>
      <c r="O125" t="n">
        <v>229</v>
      </c>
      <c r="P125" t="n">
        <v>3.5</v>
      </c>
      <c r="Q125" t="n">
        <v>0</v>
      </c>
      <c r="R125" t="n">
        <v>68.7</v>
      </c>
      <c r="S125" t="n">
        <v>0</v>
      </c>
      <c r="T125" t="n">
        <v>0</v>
      </c>
      <c r="U125" t="n">
        <v>0</v>
      </c>
      <c r="V125" t="n">
        <v>8.19</v>
      </c>
      <c r="W125" t="n">
        <v>171.99</v>
      </c>
      <c r="X125" t="n">
        <v>163.8</v>
      </c>
      <c r="Y125" t="n">
        <v>19</v>
      </c>
      <c r="Z125" t="n">
        <v>31.12</v>
      </c>
      <c r="AA125" t="n">
        <v>3.16</v>
      </c>
      <c r="AB125" t="n">
        <v>34.28</v>
      </c>
      <c r="AC125" t="n">
        <v>6.17</v>
      </c>
      <c r="AD125" t="n">
        <v>0</v>
      </c>
      <c r="AE125" t="n">
        <v>163.8</v>
      </c>
      <c r="AF125" t="n">
        <v>0</v>
      </c>
      <c r="AG125" t="n">
        <v>0</v>
      </c>
      <c r="AH125" t="n">
        <v>0.16</v>
      </c>
      <c r="AI125" t="n">
        <v>8.199999999999999</v>
      </c>
      <c r="AJ125" t="n">
        <v>-0.01</v>
      </c>
      <c r="AK125" t="n">
        <v>14.53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48.81</v>
      </c>
      <c r="AV125" t="n">
        <v>0</v>
      </c>
      <c r="AW125" t="n">
        <v>123.18</v>
      </c>
      <c r="AX125" t="inlineStr">
        <is>
          <t>settled</t>
        </is>
      </c>
      <c r="AY125" t="inlineStr">
        <is>
          <t>NA</t>
        </is>
      </c>
      <c r="AZ125" t="inlineStr">
        <is>
          <t>NA</t>
        </is>
      </c>
      <c r="BA125" t="n">
        <v>0</v>
      </c>
      <c r="BB125" t="inlineStr">
        <is>
          <t>d4163c78a184a238123a0b5926894cf3c6b567ec869731de4f1717d5fa771972</t>
        </is>
      </c>
    </row>
    <row r="126">
      <c r="A126" t="inlineStr">
        <is>
          <t>1156</t>
        </is>
      </c>
      <c r="B126" t="inlineStr">
        <is>
          <t>7614981898</t>
        </is>
      </c>
      <c r="C126" t="inlineStr">
        <is>
          <t>2025-12-24 21:31:33</t>
        </is>
      </c>
      <c r="D126" t="inlineStr">
        <is>
          <t>52</t>
        </is>
      </c>
      <c r="E126" t="inlineStr">
        <is>
          <t>Sha Sha - Shandaar Shawarma</t>
        </is>
      </c>
      <c r="F126" t="inlineStr">
        <is>
          <t>18557902</t>
        </is>
      </c>
      <c r="G126" t="inlineStr">
        <is>
          <t>30% off upto ₹75 (2025-06-25 - 2031-01-01)</t>
        </is>
      </c>
      <c r="H126" t="inlineStr">
        <is>
          <t>ONLINE</t>
        </is>
      </c>
      <c r="I126" t="inlineStr">
        <is>
          <t>DELIVERED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O2</t>
        </is>
      </c>
      <c r="N126" t="inlineStr">
        <is>
          <t>36</t>
        </is>
      </c>
      <c r="O126" t="n">
        <v>448</v>
      </c>
      <c r="P126" t="n">
        <v>3.5</v>
      </c>
      <c r="Q126" t="n">
        <v>0</v>
      </c>
      <c r="R126" t="n">
        <v>75</v>
      </c>
      <c r="S126" t="n">
        <v>0</v>
      </c>
      <c r="T126" t="n">
        <v>0</v>
      </c>
      <c r="U126" t="n">
        <v>0</v>
      </c>
      <c r="V126" t="n">
        <v>18.83</v>
      </c>
      <c r="W126" t="n">
        <v>395.33</v>
      </c>
      <c r="X126" t="n">
        <v>376.5</v>
      </c>
      <c r="Y126" t="n">
        <v>19</v>
      </c>
      <c r="Z126" t="n">
        <v>71.54000000000001</v>
      </c>
      <c r="AA126" t="n">
        <v>7.27</v>
      </c>
      <c r="AB126" t="n">
        <v>78.81</v>
      </c>
      <c r="AC126" t="n">
        <v>14.19</v>
      </c>
      <c r="AD126" t="n">
        <v>0</v>
      </c>
      <c r="AE126" t="n">
        <v>376.5</v>
      </c>
      <c r="AF126" t="n">
        <v>0</v>
      </c>
      <c r="AG126" t="n">
        <v>0</v>
      </c>
      <c r="AH126" t="n">
        <v>0.38</v>
      </c>
      <c r="AI126" t="n">
        <v>18.83</v>
      </c>
      <c r="AJ126" t="n">
        <v>0</v>
      </c>
      <c r="AK126" t="n">
        <v>33.4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112.21</v>
      </c>
      <c r="AV126" t="n">
        <v>0</v>
      </c>
      <c r="AW126" t="n">
        <v>283.12</v>
      </c>
      <c r="AX126" t="inlineStr">
        <is>
          <t>settled</t>
        </is>
      </c>
      <c r="AY126" t="inlineStr">
        <is>
          <t>NA</t>
        </is>
      </c>
      <c r="AZ126" t="inlineStr">
        <is>
          <t>NA</t>
        </is>
      </c>
      <c r="BA126" t="n">
        <v>0</v>
      </c>
      <c r="BB126" t="inlineStr">
        <is>
          <t>794a71d4a9a77bc29ef9d7ee5b32c508006ec36d2420d531f91e2b699a4c6e40</t>
        </is>
      </c>
    </row>
    <row r="127">
      <c r="A127" t="inlineStr">
        <is>
          <t>1157</t>
        </is>
      </c>
      <c r="B127" t="inlineStr">
        <is>
          <t>7614875580</t>
        </is>
      </c>
      <c r="C127" t="inlineStr">
        <is>
          <t>2025-12-24 21:49:53</t>
        </is>
      </c>
      <c r="D127" t="inlineStr">
        <is>
          <t>52</t>
        </is>
      </c>
      <c r="E127" t="inlineStr">
        <is>
          <t>Sha Sha - Shandaar Shawarma</t>
        </is>
      </c>
      <c r="F127" t="inlineStr">
        <is>
          <t>18557902</t>
        </is>
      </c>
      <c r="G127" t="inlineStr">
        <is>
          <t>30% off upto ₹75 (2025-06-25 - 2031-01-01)</t>
        </is>
      </c>
      <c r="H127" t="inlineStr">
        <is>
          <t>ONLINE</t>
        </is>
      </c>
      <c r="I127" t="inlineStr">
        <is>
          <t>DELIVERED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O2</t>
        </is>
      </c>
      <c r="N127" t="inlineStr">
        <is>
          <t>36</t>
        </is>
      </c>
      <c r="O127" t="n">
        <v>448</v>
      </c>
      <c r="P127" t="n">
        <v>3.5</v>
      </c>
      <c r="Q127" t="n">
        <v>0</v>
      </c>
      <c r="R127" t="n">
        <v>75</v>
      </c>
      <c r="S127" t="n">
        <v>0</v>
      </c>
      <c r="T127" t="n">
        <v>0</v>
      </c>
      <c r="U127" t="n">
        <v>0</v>
      </c>
      <c r="V127" t="n">
        <v>18.83</v>
      </c>
      <c r="W127" t="n">
        <v>395.33</v>
      </c>
      <c r="X127" t="n">
        <v>376.5</v>
      </c>
      <c r="Y127" t="n">
        <v>19</v>
      </c>
      <c r="Z127" t="n">
        <v>71.54000000000001</v>
      </c>
      <c r="AA127" t="n">
        <v>7.27</v>
      </c>
      <c r="AB127" t="n">
        <v>78.81</v>
      </c>
      <c r="AC127" t="n">
        <v>14.19</v>
      </c>
      <c r="AD127" t="n">
        <v>0</v>
      </c>
      <c r="AE127" t="n">
        <v>376.5</v>
      </c>
      <c r="AF127" t="n">
        <v>0</v>
      </c>
      <c r="AG127" t="n">
        <v>0</v>
      </c>
      <c r="AH127" t="n">
        <v>0.38</v>
      </c>
      <c r="AI127" t="n">
        <v>18.83</v>
      </c>
      <c r="AJ127" t="n">
        <v>0</v>
      </c>
      <c r="AK127" t="n">
        <v>33.4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112.21</v>
      </c>
      <c r="AV127" t="n">
        <v>0</v>
      </c>
      <c r="AW127" t="n">
        <v>283.12</v>
      </c>
      <c r="AX127" t="inlineStr">
        <is>
          <t>settled</t>
        </is>
      </c>
      <c r="AY127" t="inlineStr">
        <is>
          <t>NA</t>
        </is>
      </c>
      <c r="AZ127" t="inlineStr">
        <is>
          <t>NA</t>
        </is>
      </c>
      <c r="BA127" t="n">
        <v>0</v>
      </c>
      <c r="BB127" t="inlineStr">
        <is>
          <t>645d3a4863b1ce8dd574e19ec00c8d484288c610815d40cc587ab5b69c466514</t>
        </is>
      </c>
    </row>
    <row r="128">
      <c r="A128" t="inlineStr">
        <is>
          <t>1158</t>
        </is>
      </c>
      <c r="B128" t="inlineStr">
        <is>
          <t>7617666451</t>
        </is>
      </c>
      <c r="C128" t="inlineStr">
        <is>
          <t>2025-12-24 21:51:24</t>
        </is>
      </c>
      <c r="D128" t="inlineStr">
        <is>
          <t>52</t>
        </is>
      </c>
      <c r="E128" t="inlineStr">
        <is>
          <t>Sha Sha - Shandaar Shawarma</t>
        </is>
      </c>
      <c r="F128" t="inlineStr">
        <is>
          <t>18557902</t>
        </is>
      </c>
      <c r="G128" t="inlineStr">
        <is>
          <t>30% off upto ₹75 (2025-06-25 - 2031-01-01)</t>
        </is>
      </c>
      <c r="H128" t="inlineStr">
        <is>
          <t>ONLINE</t>
        </is>
      </c>
      <c r="I128" t="inlineStr">
        <is>
          <t>DELIVERED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O2</t>
        </is>
      </c>
      <c r="N128" t="inlineStr">
        <is>
          <t>36</t>
        </is>
      </c>
      <c r="O128" t="n">
        <v>229</v>
      </c>
      <c r="P128" t="n">
        <v>3.5</v>
      </c>
      <c r="Q128" t="n">
        <v>0</v>
      </c>
      <c r="R128" t="n">
        <v>68.7</v>
      </c>
      <c r="S128" t="n">
        <v>0</v>
      </c>
      <c r="T128" t="n">
        <v>0</v>
      </c>
      <c r="U128" t="n">
        <v>0</v>
      </c>
      <c r="V128" t="n">
        <v>8.19</v>
      </c>
      <c r="W128" t="n">
        <v>171.99</v>
      </c>
      <c r="X128" t="n">
        <v>163.8</v>
      </c>
      <c r="Y128" t="n">
        <v>19</v>
      </c>
      <c r="Z128" t="n">
        <v>31.12</v>
      </c>
      <c r="AA128" t="n">
        <v>3.16</v>
      </c>
      <c r="AB128" t="n">
        <v>34.28</v>
      </c>
      <c r="AC128" t="n">
        <v>6.17</v>
      </c>
      <c r="AD128" t="n">
        <v>0</v>
      </c>
      <c r="AE128" t="n">
        <v>163.8</v>
      </c>
      <c r="AF128" t="n">
        <v>0</v>
      </c>
      <c r="AG128" t="n">
        <v>0</v>
      </c>
      <c r="AH128" t="n">
        <v>0.16</v>
      </c>
      <c r="AI128" t="n">
        <v>8.199999999999999</v>
      </c>
      <c r="AJ128" t="n">
        <v>-0.01</v>
      </c>
      <c r="AK128" t="n">
        <v>14.53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48.81</v>
      </c>
      <c r="AV128" t="n">
        <v>0</v>
      </c>
      <c r="AW128" t="n">
        <v>123.18</v>
      </c>
      <c r="AX128" t="inlineStr">
        <is>
          <t>settled</t>
        </is>
      </c>
      <c r="AY128" t="inlineStr">
        <is>
          <t>NA</t>
        </is>
      </c>
      <c r="AZ128" t="inlineStr">
        <is>
          <t>NA</t>
        </is>
      </c>
      <c r="BA128" t="n">
        <v>0</v>
      </c>
      <c r="BB128" t="inlineStr">
        <is>
          <t>cc2115f57ee2a71a9490d7e061d0700b69a42779ed5bc8ef7076718b595b0cd7</t>
        </is>
      </c>
    </row>
    <row r="129">
      <c r="A129" t="inlineStr">
        <is>
          <t>1159</t>
        </is>
      </c>
      <c r="B129" t="inlineStr">
        <is>
          <t>7612919966</t>
        </is>
      </c>
      <c r="C129" t="inlineStr">
        <is>
          <t>2025-12-24 22:15:58</t>
        </is>
      </c>
      <c r="D129" t="inlineStr">
        <is>
          <t>52</t>
        </is>
      </c>
      <c r="E129" t="inlineStr">
        <is>
          <t>Sha Sha - Shandaar Shawarma</t>
        </is>
      </c>
      <c r="F129" t="inlineStr">
        <is>
          <t>18557902</t>
        </is>
      </c>
      <c r="G129" t="inlineStr">
        <is>
          <t>30% off upto ₹75 (2025-06-25 - 2031-01-01)</t>
        </is>
      </c>
      <c r="H129" t="inlineStr">
        <is>
          <t>ONLINE</t>
        </is>
      </c>
      <c r="I129" t="inlineStr">
        <is>
          <t>DELIVERED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O2</t>
        </is>
      </c>
      <c r="N129" t="inlineStr">
        <is>
          <t>36</t>
        </is>
      </c>
      <c r="O129" t="n">
        <v>229</v>
      </c>
      <c r="P129" t="n">
        <v>3.5</v>
      </c>
      <c r="Q129" t="n">
        <v>0</v>
      </c>
      <c r="R129" t="n">
        <v>68.7</v>
      </c>
      <c r="S129" t="n">
        <v>0</v>
      </c>
      <c r="T129" t="n">
        <v>0</v>
      </c>
      <c r="U129" t="n">
        <v>0</v>
      </c>
      <c r="V129" t="n">
        <v>8.19</v>
      </c>
      <c r="W129" t="n">
        <v>171.99</v>
      </c>
      <c r="X129" t="n">
        <v>163.8</v>
      </c>
      <c r="Y129" t="n">
        <v>19</v>
      </c>
      <c r="Z129" t="n">
        <v>31.12</v>
      </c>
      <c r="AA129" t="n">
        <v>3.16</v>
      </c>
      <c r="AB129" t="n">
        <v>34.28</v>
      </c>
      <c r="AC129" t="n">
        <v>6.17</v>
      </c>
      <c r="AD129" t="n">
        <v>0</v>
      </c>
      <c r="AE129" t="n">
        <v>163.8</v>
      </c>
      <c r="AF129" t="n">
        <v>0</v>
      </c>
      <c r="AG129" t="n">
        <v>0</v>
      </c>
      <c r="AH129" t="n">
        <v>0.16</v>
      </c>
      <c r="AI129" t="n">
        <v>8.199999999999999</v>
      </c>
      <c r="AJ129" t="n">
        <v>-0.01</v>
      </c>
      <c r="AK129" t="n">
        <v>14.53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48.81</v>
      </c>
      <c r="AV129" t="n">
        <v>0</v>
      </c>
      <c r="AW129" t="n">
        <v>123.18</v>
      </c>
      <c r="AX129" t="inlineStr">
        <is>
          <t>settled</t>
        </is>
      </c>
      <c r="AY129" t="inlineStr">
        <is>
          <t>NA</t>
        </is>
      </c>
      <c r="AZ129" t="inlineStr">
        <is>
          <t>NA</t>
        </is>
      </c>
      <c r="BA129" t="n">
        <v>0</v>
      </c>
      <c r="BB129" t="inlineStr">
        <is>
          <t>5e0f99924e225bb8a2ccde71970f7abe97f6901b0f7a25dd45d9893051f5889d</t>
        </is>
      </c>
    </row>
    <row r="130">
      <c r="A130" t="inlineStr">
        <is>
          <t>1160</t>
        </is>
      </c>
      <c r="B130" t="inlineStr">
        <is>
          <t>7617707284</t>
        </is>
      </c>
      <c r="C130" t="inlineStr">
        <is>
          <t>2025-12-24 22:28:42</t>
        </is>
      </c>
      <c r="D130" t="inlineStr">
        <is>
          <t>52</t>
        </is>
      </c>
      <c r="E130" t="inlineStr">
        <is>
          <t>Sha Sha - Shandaar Shawarma</t>
        </is>
      </c>
      <c r="F130" t="inlineStr">
        <is>
          <t>18557902</t>
        </is>
      </c>
      <c r="G130" t="inlineStr">
        <is>
          <t>30% off upto ₹75 (2025-06-25 - 2031-01-01)</t>
        </is>
      </c>
      <c r="H130" t="inlineStr">
        <is>
          <t>ONLINE</t>
        </is>
      </c>
      <c r="I130" t="inlineStr">
        <is>
          <t>DELIVERED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O2</t>
        </is>
      </c>
      <c r="N130" t="inlineStr">
        <is>
          <t>36</t>
        </is>
      </c>
      <c r="O130" t="n">
        <v>229</v>
      </c>
      <c r="P130" t="n">
        <v>3.5</v>
      </c>
      <c r="Q130" t="n">
        <v>0</v>
      </c>
      <c r="R130" t="n">
        <v>68.7</v>
      </c>
      <c r="S130" t="n">
        <v>0</v>
      </c>
      <c r="T130" t="n">
        <v>0</v>
      </c>
      <c r="U130" t="n">
        <v>0</v>
      </c>
      <c r="V130" t="n">
        <v>8.19</v>
      </c>
      <c r="W130" t="n">
        <v>171.99</v>
      </c>
      <c r="X130" t="n">
        <v>163.8</v>
      </c>
      <c r="Y130" t="n">
        <v>19</v>
      </c>
      <c r="Z130" t="n">
        <v>31.12</v>
      </c>
      <c r="AA130" t="n">
        <v>3.16</v>
      </c>
      <c r="AB130" t="n">
        <v>34.28</v>
      </c>
      <c r="AC130" t="n">
        <v>6.17</v>
      </c>
      <c r="AD130" t="n">
        <v>0</v>
      </c>
      <c r="AE130" t="n">
        <v>163.8</v>
      </c>
      <c r="AF130" t="n">
        <v>0</v>
      </c>
      <c r="AG130" t="n">
        <v>0</v>
      </c>
      <c r="AH130" t="n">
        <v>0.16</v>
      </c>
      <c r="AI130" t="n">
        <v>8.199999999999999</v>
      </c>
      <c r="AJ130" t="n">
        <v>-0.01</v>
      </c>
      <c r="AK130" t="n">
        <v>14.53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48.81</v>
      </c>
      <c r="AV130" t="n">
        <v>0</v>
      </c>
      <c r="AW130" t="n">
        <v>123.18</v>
      </c>
      <c r="AX130" t="inlineStr">
        <is>
          <t>settled</t>
        </is>
      </c>
      <c r="AY130" t="inlineStr">
        <is>
          <t>NA</t>
        </is>
      </c>
      <c r="AZ130" t="inlineStr">
        <is>
          <t>NA</t>
        </is>
      </c>
      <c r="BA130" t="n">
        <v>0</v>
      </c>
      <c r="BB130" t="inlineStr">
        <is>
          <t>58f8d8ec07ebdaaa54efe075ea1b16c735ec7556a538297bcc7838df0cfda1f0</t>
        </is>
      </c>
    </row>
    <row r="131">
      <c r="A131" t="inlineStr">
        <is>
          <t>1161</t>
        </is>
      </c>
      <c r="B131" t="inlineStr">
        <is>
          <t>7611991275</t>
        </is>
      </c>
      <c r="C131" t="inlineStr">
        <is>
          <t>2025-12-24 22:43:31</t>
        </is>
      </c>
      <c r="D131" t="inlineStr">
        <is>
          <t>52</t>
        </is>
      </c>
      <c r="E131" t="inlineStr">
        <is>
          <t>Sha Sha - Shandaar Shawarma</t>
        </is>
      </c>
      <c r="F131" t="inlineStr">
        <is>
          <t>18557902</t>
        </is>
      </c>
      <c r="G131" t="inlineStr">
        <is>
          <t>30% off upto ₹75 (2025-06-25 - 2031-01-01)</t>
        </is>
      </c>
      <c r="H131" t="inlineStr">
        <is>
          <t>ONLINE</t>
        </is>
      </c>
      <c r="I131" t="inlineStr">
        <is>
          <t>DELIVERED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O2</t>
        </is>
      </c>
      <c r="N131" t="inlineStr">
        <is>
          <t>36</t>
        </is>
      </c>
      <c r="O131" t="n">
        <v>229</v>
      </c>
      <c r="P131" t="n">
        <v>3.5</v>
      </c>
      <c r="Q131" t="n">
        <v>0</v>
      </c>
      <c r="R131" t="n">
        <v>68.7</v>
      </c>
      <c r="S131" t="n">
        <v>0</v>
      </c>
      <c r="T131" t="n">
        <v>0</v>
      </c>
      <c r="U131" t="n">
        <v>0</v>
      </c>
      <c r="V131" t="n">
        <v>8.19</v>
      </c>
      <c r="W131" t="n">
        <v>171.99</v>
      </c>
      <c r="X131" t="n">
        <v>163.8</v>
      </c>
      <c r="Y131" t="n">
        <v>19</v>
      </c>
      <c r="Z131" t="n">
        <v>31.12</v>
      </c>
      <c r="AA131" t="n">
        <v>3.16</v>
      </c>
      <c r="AB131" t="n">
        <v>34.28</v>
      </c>
      <c r="AC131" t="n">
        <v>6.17</v>
      </c>
      <c r="AD131" t="n">
        <v>0</v>
      </c>
      <c r="AE131" t="n">
        <v>163.8</v>
      </c>
      <c r="AF131" t="n">
        <v>0</v>
      </c>
      <c r="AG131" t="n">
        <v>0</v>
      </c>
      <c r="AH131" t="n">
        <v>0.16</v>
      </c>
      <c r="AI131" t="n">
        <v>8.199999999999999</v>
      </c>
      <c r="AJ131" t="n">
        <v>-0.01</v>
      </c>
      <c r="AK131" t="n">
        <v>14.53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48.81</v>
      </c>
      <c r="AV131" t="n">
        <v>0</v>
      </c>
      <c r="AW131" t="n">
        <v>123.18</v>
      </c>
      <c r="AX131" t="inlineStr">
        <is>
          <t>settled</t>
        </is>
      </c>
      <c r="AY131" t="inlineStr">
        <is>
          <t>NA</t>
        </is>
      </c>
      <c r="AZ131" t="inlineStr">
        <is>
          <t>NA</t>
        </is>
      </c>
      <c r="BA131" t="n">
        <v>0</v>
      </c>
      <c r="BB131" t="inlineStr">
        <is>
          <t>91f0d45ac38338f9193e55fd71a0024048c9bc91539daf7e6c99e145ea54ab0d</t>
        </is>
      </c>
    </row>
    <row r="132">
      <c r="A132" t="inlineStr">
        <is>
          <t>1162</t>
        </is>
      </c>
      <c r="B132" t="inlineStr">
        <is>
          <t>7615516731</t>
        </is>
      </c>
      <c r="C132" t="inlineStr">
        <is>
          <t>2025-12-24 23:46:35</t>
        </is>
      </c>
      <c r="D132" t="inlineStr">
        <is>
          <t>52</t>
        </is>
      </c>
      <c r="E132" t="inlineStr">
        <is>
          <t>Sha Sha - Shandaar Shawarma</t>
        </is>
      </c>
      <c r="F132" t="inlineStr">
        <is>
          <t>18557902</t>
        </is>
      </c>
      <c r="G132" t="inlineStr">
        <is>
          <t>30% off upto ₹75 (2025-06-25 - 2031-01-01)</t>
        </is>
      </c>
      <c r="H132" t="inlineStr">
        <is>
          <t>ONLINE</t>
        </is>
      </c>
      <c r="I132" t="inlineStr">
        <is>
          <t>DELIVERED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O2</t>
        </is>
      </c>
      <c r="N132" t="inlineStr">
        <is>
          <t>36</t>
        </is>
      </c>
      <c r="O132" t="n">
        <v>229</v>
      </c>
      <c r="P132" t="n">
        <v>3.5</v>
      </c>
      <c r="Q132" t="n">
        <v>0</v>
      </c>
      <c r="R132" t="n">
        <v>68.7</v>
      </c>
      <c r="S132" t="n">
        <v>0</v>
      </c>
      <c r="T132" t="n">
        <v>0</v>
      </c>
      <c r="U132" t="n">
        <v>0</v>
      </c>
      <c r="V132" t="n">
        <v>8.19</v>
      </c>
      <c r="W132" t="n">
        <v>171.99</v>
      </c>
      <c r="X132" t="n">
        <v>163.8</v>
      </c>
      <c r="Y132" t="n">
        <v>19</v>
      </c>
      <c r="Z132" t="n">
        <v>31.12</v>
      </c>
      <c r="AA132" t="n">
        <v>3.16</v>
      </c>
      <c r="AB132" t="n">
        <v>34.28</v>
      </c>
      <c r="AC132" t="n">
        <v>6.17</v>
      </c>
      <c r="AD132" t="n">
        <v>0</v>
      </c>
      <c r="AE132" t="n">
        <v>163.8</v>
      </c>
      <c r="AF132" t="n">
        <v>0</v>
      </c>
      <c r="AG132" t="n">
        <v>0</v>
      </c>
      <c r="AH132" t="n">
        <v>0.16</v>
      </c>
      <c r="AI132" t="n">
        <v>8.199999999999999</v>
      </c>
      <c r="AJ132" t="n">
        <v>-0.01</v>
      </c>
      <c r="AK132" t="n">
        <v>14.53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48.81</v>
      </c>
      <c r="AV132" t="n">
        <v>0</v>
      </c>
      <c r="AW132" t="n">
        <v>123.18</v>
      </c>
      <c r="AX132" t="inlineStr">
        <is>
          <t>settled</t>
        </is>
      </c>
      <c r="AY132" t="inlineStr">
        <is>
          <t>NA</t>
        </is>
      </c>
      <c r="AZ132" t="inlineStr">
        <is>
          <t>NA</t>
        </is>
      </c>
      <c r="BA132" t="n">
        <v>0</v>
      </c>
      <c r="BB132" t="inlineStr">
        <is>
          <t>77cbc5429e50dfcc04fcba635b02095ba99a586065dbeaa1d299ba166cd12b31</t>
        </is>
      </c>
    </row>
    <row r="133">
      <c r="A133" t="inlineStr">
        <is>
          <t>1163</t>
        </is>
      </c>
      <c r="B133" t="inlineStr">
        <is>
          <t>7616913636</t>
        </is>
      </c>
      <c r="C133" t="inlineStr">
        <is>
          <t>2025-12-24 23:50:36</t>
        </is>
      </c>
      <c r="D133" t="inlineStr">
        <is>
          <t>52</t>
        </is>
      </c>
      <c r="E133" t="inlineStr">
        <is>
          <t>Sha Sha - Shandaar Shawarma</t>
        </is>
      </c>
      <c r="F133" t="inlineStr">
        <is>
          <t>18557902</t>
        </is>
      </c>
      <c r="G133" t="inlineStr">
        <is>
          <t>30% off upto ₹75 (2025-06-25 - 2031-01-01)</t>
        </is>
      </c>
      <c r="H133" t="inlineStr">
        <is>
          <t>ONLINE</t>
        </is>
      </c>
      <c r="I133" t="inlineStr">
        <is>
          <t>DELIVERED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O2</t>
        </is>
      </c>
      <c r="N133" t="inlineStr">
        <is>
          <t>36</t>
        </is>
      </c>
      <c r="O133" t="n">
        <v>229</v>
      </c>
      <c r="P133" t="n">
        <v>3.5</v>
      </c>
      <c r="Q133" t="n">
        <v>0</v>
      </c>
      <c r="R133" t="n">
        <v>68.7</v>
      </c>
      <c r="S133" t="n">
        <v>0</v>
      </c>
      <c r="T133" t="n">
        <v>0</v>
      </c>
      <c r="U133" t="n">
        <v>0</v>
      </c>
      <c r="V133" t="n">
        <v>8.19</v>
      </c>
      <c r="W133" t="n">
        <v>171.99</v>
      </c>
      <c r="X133" t="n">
        <v>163.8</v>
      </c>
      <c r="Y133" t="n">
        <v>19</v>
      </c>
      <c r="Z133" t="n">
        <v>31.12</v>
      </c>
      <c r="AA133" t="n">
        <v>3.16</v>
      </c>
      <c r="AB133" t="n">
        <v>34.28</v>
      </c>
      <c r="AC133" t="n">
        <v>6.17</v>
      </c>
      <c r="AD133" t="n">
        <v>0</v>
      </c>
      <c r="AE133" t="n">
        <v>163.8</v>
      </c>
      <c r="AF133" t="n">
        <v>0</v>
      </c>
      <c r="AG133" t="n">
        <v>0</v>
      </c>
      <c r="AH133" t="n">
        <v>0.16</v>
      </c>
      <c r="AI133" t="n">
        <v>8.199999999999999</v>
      </c>
      <c r="AJ133" t="n">
        <v>-0.01</v>
      </c>
      <c r="AK133" t="n">
        <v>14.53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48.81</v>
      </c>
      <c r="AV133" t="n">
        <v>0</v>
      </c>
      <c r="AW133" t="n">
        <v>123.18</v>
      </c>
      <c r="AX133" t="inlineStr">
        <is>
          <t>settled</t>
        </is>
      </c>
      <c r="AY133" t="inlineStr">
        <is>
          <t>NA</t>
        </is>
      </c>
      <c r="AZ133" t="inlineStr">
        <is>
          <t>NA</t>
        </is>
      </c>
      <c r="BA133" t="n">
        <v>0</v>
      </c>
      <c r="BB133" t="inlineStr">
        <is>
          <t>9e6d81c74896b250fddc74f79a08d4c3d88c75c197e0f396d8e3988c75b89f8b</t>
        </is>
      </c>
    </row>
    <row r="134">
      <c r="A134" t="inlineStr">
        <is>
          <t>1164</t>
        </is>
      </c>
      <c r="B134" t="inlineStr">
        <is>
          <t>7617628117</t>
        </is>
      </c>
      <c r="C134" t="inlineStr">
        <is>
          <t>2025-12-25 00:31:29</t>
        </is>
      </c>
      <c r="D134" t="inlineStr">
        <is>
          <t>52</t>
        </is>
      </c>
      <c r="E134" t="inlineStr">
        <is>
          <t>Sha Sha - Shandaar Shawarma</t>
        </is>
      </c>
      <c r="F134" t="inlineStr">
        <is>
          <t>18557902</t>
        </is>
      </c>
      <c r="G134" t="inlineStr">
        <is>
          <t>30% off upto ₹75 (2025-06-25 - 2031-01-01)</t>
        </is>
      </c>
      <c r="H134" t="inlineStr">
        <is>
          <t>ONLINE</t>
        </is>
      </c>
      <c r="I134" t="inlineStr">
        <is>
          <t>DELIVERED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O2</t>
        </is>
      </c>
      <c r="N134" t="inlineStr">
        <is>
          <t>36</t>
        </is>
      </c>
      <c r="O134" t="n">
        <v>229</v>
      </c>
      <c r="P134" t="n">
        <v>3.5</v>
      </c>
      <c r="Q134" t="n">
        <v>0</v>
      </c>
      <c r="R134" t="n">
        <v>68.7</v>
      </c>
      <c r="S134" t="n">
        <v>0</v>
      </c>
      <c r="T134" t="n">
        <v>0</v>
      </c>
      <c r="U134" t="n">
        <v>0</v>
      </c>
      <c r="V134" t="n">
        <v>8.19</v>
      </c>
      <c r="W134" t="n">
        <v>171.99</v>
      </c>
      <c r="X134" t="n">
        <v>163.8</v>
      </c>
      <c r="Y134" t="n">
        <v>19</v>
      </c>
      <c r="Z134" t="n">
        <v>31.12</v>
      </c>
      <c r="AA134" t="n">
        <v>3.16</v>
      </c>
      <c r="AB134" t="n">
        <v>34.28</v>
      </c>
      <c r="AC134" t="n">
        <v>6.17</v>
      </c>
      <c r="AD134" t="n">
        <v>0</v>
      </c>
      <c r="AE134" t="n">
        <v>163.8</v>
      </c>
      <c r="AF134" t="n">
        <v>0</v>
      </c>
      <c r="AG134" t="n">
        <v>0</v>
      </c>
      <c r="AH134" t="n">
        <v>0.16</v>
      </c>
      <c r="AI134" t="n">
        <v>8.199999999999999</v>
      </c>
      <c r="AJ134" t="n">
        <v>-0.01</v>
      </c>
      <c r="AK134" t="n">
        <v>14.53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48.81</v>
      </c>
      <c r="AV134" t="n">
        <v>0</v>
      </c>
      <c r="AW134" t="n">
        <v>123.18</v>
      </c>
      <c r="AX134" t="inlineStr">
        <is>
          <t>settled</t>
        </is>
      </c>
      <c r="AY134" t="inlineStr">
        <is>
          <t>NA</t>
        </is>
      </c>
      <c r="AZ134" t="inlineStr">
        <is>
          <t>NA</t>
        </is>
      </c>
      <c r="BA134" t="n">
        <v>0</v>
      </c>
      <c r="BB134" t="inlineStr">
        <is>
          <t>aa56a03ee1ba53177b7ff901d1ea7d7ebe87f55f4a345bd5e71f24ebd7ced7e1</t>
        </is>
      </c>
    </row>
    <row r="135">
      <c r="A135" t="inlineStr">
        <is>
          <t>1165</t>
        </is>
      </c>
      <c r="B135" t="inlineStr">
        <is>
          <t>7617218224</t>
        </is>
      </c>
      <c r="C135" t="inlineStr">
        <is>
          <t>2025-12-25 00:31:44</t>
        </is>
      </c>
      <c r="D135" t="inlineStr">
        <is>
          <t>52</t>
        </is>
      </c>
      <c r="E135" t="inlineStr">
        <is>
          <t>Sha Sha - Shandaar Shawarma</t>
        </is>
      </c>
      <c r="F135" t="inlineStr">
        <is>
          <t>18557902</t>
        </is>
      </c>
      <c r="G135" t="inlineStr">
        <is>
          <t>30% off upto ₹75 (2025-06-25 - 2031-01-01)</t>
        </is>
      </c>
      <c r="H135" t="inlineStr">
        <is>
          <t>ONLINE</t>
        </is>
      </c>
      <c r="I135" t="inlineStr">
        <is>
          <t>DELIVERED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O2</t>
        </is>
      </c>
      <c r="N135" t="inlineStr">
        <is>
          <t>36</t>
        </is>
      </c>
      <c r="O135" t="n">
        <v>258</v>
      </c>
      <c r="P135" t="n">
        <v>3.5</v>
      </c>
      <c r="Q135" t="n">
        <v>0</v>
      </c>
      <c r="R135" t="n">
        <v>75</v>
      </c>
      <c r="S135" t="n">
        <v>0</v>
      </c>
      <c r="T135" t="n">
        <v>0</v>
      </c>
      <c r="U135" t="n">
        <v>0</v>
      </c>
      <c r="V135" t="n">
        <v>9.33</v>
      </c>
      <c r="W135" t="n">
        <v>195.83</v>
      </c>
      <c r="X135" t="n">
        <v>186.5</v>
      </c>
      <c r="Y135" t="n">
        <v>19</v>
      </c>
      <c r="Z135" t="n">
        <v>35.44</v>
      </c>
      <c r="AA135" t="n">
        <v>3.6</v>
      </c>
      <c r="AB135" t="n">
        <v>39.04</v>
      </c>
      <c r="AC135" t="n">
        <v>7.03</v>
      </c>
      <c r="AD135" t="n">
        <v>0</v>
      </c>
      <c r="AE135" t="n">
        <v>186.5</v>
      </c>
      <c r="AF135" t="n">
        <v>0</v>
      </c>
      <c r="AG135" t="n">
        <v>0</v>
      </c>
      <c r="AH135" t="n">
        <v>0.19</v>
      </c>
      <c r="AI135" t="n">
        <v>9.33</v>
      </c>
      <c r="AJ135" t="n">
        <v>0</v>
      </c>
      <c r="AK135" t="n">
        <v>16.55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55.59</v>
      </c>
      <c r="AV135" t="n">
        <v>0</v>
      </c>
      <c r="AW135" t="n">
        <v>140.24</v>
      </c>
      <c r="AX135" t="inlineStr">
        <is>
          <t>settled</t>
        </is>
      </c>
      <c r="AY135" t="inlineStr">
        <is>
          <t>NA</t>
        </is>
      </c>
      <c r="AZ135" t="inlineStr">
        <is>
          <t>NA</t>
        </is>
      </c>
      <c r="BA135" t="n">
        <v>0</v>
      </c>
      <c r="BB135" t="inlineStr">
        <is>
          <t>7d885ca97a498bd7ed201e13dc1eec0e85f711d318d7e554573f32a46edc6763</t>
        </is>
      </c>
    </row>
    <row r="136">
      <c r="A136" t="inlineStr">
        <is>
          <t>1166</t>
        </is>
      </c>
      <c r="B136" t="inlineStr">
        <is>
          <t>7612281866</t>
        </is>
      </c>
      <c r="C136" t="inlineStr">
        <is>
          <t>2025-12-25 00:34:30</t>
        </is>
      </c>
      <c r="D136" t="inlineStr">
        <is>
          <t>52</t>
        </is>
      </c>
      <c r="E136" t="inlineStr">
        <is>
          <t>Sha Sha - Shandaar Shawarma</t>
        </is>
      </c>
      <c r="F136" t="inlineStr">
        <is>
          <t>18557902</t>
        </is>
      </c>
      <c r="G136" t="inlineStr">
        <is>
          <t>30% off upto ₹75 (2025-06-25 - 2031-01-01)</t>
        </is>
      </c>
      <c r="H136" t="inlineStr">
        <is>
          <t>ONLINE</t>
        </is>
      </c>
      <c r="I136" t="inlineStr">
        <is>
          <t>DELIVERED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O2</t>
        </is>
      </c>
      <c r="N136" t="inlineStr">
        <is>
          <t>36</t>
        </is>
      </c>
      <c r="O136" t="n">
        <v>229</v>
      </c>
      <c r="P136" t="n">
        <v>3.5</v>
      </c>
      <c r="Q136" t="n">
        <v>0</v>
      </c>
      <c r="R136" t="n">
        <v>68.7</v>
      </c>
      <c r="S136" t="n">
        <v>0</v>
      </c>
      <c r="T136" t="n">
        <v>0</v>
      </c>
      <c r="U136" t="n">
        <v>0</v>
      </c>
      <c r="V136" t="n">
        <v>8.19</v>
      </c>
      <c r="W136" t="n">
        <v>171.99</v>
      </c>
      <c r="X136" t="n">
        <v>163.8</v>
      </c>
      <c r="Y136" t="n">
        <v>19</v>
      </c>
      <c r="Z136" t="n">
        <v>31.12</v>
      </c>
      <c r="AA136" t="n">
        <v>3.16</v>
      </c>
      <c r="AB136" t="n">
        <v>34.28</v>
      </c>
      <c r="AC136" t="n">
        <v>6.17</v>
      </c>
      <c r="AD136" t="n">
        <v>0</v>
      </c>
      <c r="AE136" t="n">
        <v>163.8</v>
      </c>
      <c r="AF136" t="n">
        <v>0</v>
      </c>
      <c r="AG136" t="n">
        <v>0</v>
      </c>
      <c r="AH136" t="n">
        <v>0.16</v>
      </c>
      <c r="AI136" t="n">
        <v>8.199999999999999</v>
      </c>
      <c r="AJ136" t="n">
        <v>-0.01</v>
      </c>
      <c r="AK136" t="n">
        <v>14.53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48.81</v>
      </c>
      <c r="AV136" t="n">
        <v>0</v>
      </c>
      <c r="AW136" t="n">
        <v>123.18</v>
      </c>
      <c r="AX136" t="inlineStr">
        <is>
          <t>settled</t>
        </is>
      </c>
      <c r="AY136" t="inlineStr">
        <is>
          <t>NA</t>
        </is>
      </c>
      <c r="AZ136" t="inlineStr">
        <is>
          <t>NA</t>
        </is>
      </c>
      <c r="BA136" t="n">
        <v>0</v>
      </c>
      <c r="BB136" t="inlineStr">
        <is>
          <t>35b32c3b41665996891f2647b35526e61570c85d8d39a96dbb2193f07da6d66d</t>
        </is>
      </c>
    </row>
    <row r="137">
      <c r="A137" t="inlineStr">
        <is>
          <t>1167</t>
        </is>
      </c>
      <c r="B137" t="inlineStr">
        <is>
          <t>7601846070</t>
        </is>
      </c>
      <c r="C137" t="inlineStr">
        <is>
          <t>2025-12-25 00:36:45</t>
        </is>
      </c>
      <c r="D137" t="inlineStr">
        <is>
          <t>52</t>
        </is>
      </c>
      <c r="E137" t="inlineStr">
        <is>
          <t>Sha Sha - Shandaar Shawarma</t>
        </is>
      </c>
      <c r="F137" t="inlineStr">
        <is>
          <t>18557902</t>
        </is>
      </c>
      <c r="G137" t="inlineStr">
        <is>
          <t>30% off upto ₹75 (2025-06-25 - 2031-01-01)</t>
        </is>
      </c>
      <c r="H137" t="inlineStr">
        <is>
          <t>ONLINE</t>
        </is>
      </c>
      <c r="I137" t="inlineStr">
        <is>
          <t>DELIVERED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O2</t>
        </is>
      </c>
      <c r="N137" t="inlineStr">
        <is>
          <t>36</t>
        </is>
      </c>
      <c r="O137" t="n">
        <v>229</v>
      </c>
      <c r="P137" t="n">
        <v>3.5</v>
      </c>
      <c r="Q137" t="n">
        <v>0</v>
      </c>
      <c r="R137" t="n">
        <v>68.7</v>
      </c>
      <c r="S137" t="n">
        <v>0</v>
      </c>
      <c r="T137" t="n">
        <v>0</v>
      </c>
      <c r="U137" t="n">
        <v>0</v>
      </c>
      <c r="V137" t="n">
        <v>8.19</v>
      </c>
      <c r="W137" t="n">
        <v>171.99</v>
      </c>
      <c r="X137" t="n">
        <v>163.8</v>
      </c>
      <c r="Y137" t="n">
        <v>19</v>
      </c>
      <c r="Z137" t="n">
        <v>31.12</v>
      </c>
      <c r="AA137" t="n">
        <v>3.16</v>
      </c>
      <c r="AB137" t="n">
        <v>34.28</v>
      </c>
      <c r="AC137" t="n">
        <v>6.17</v>
      </c>
      <c r="AD137" t="n">
        <v>0</v>
      </c>
      <c r="AE137" t="n">
        <v>163.8</v>
      </c>
      <c r="AF137" t="n">
        <v>0</v>
      </c>
      <c r="AG137" t="n">
        <v>0</v>
      </c>
      <c r="AH137" t="n">
        <v>0.16</v>
      </c>
      <c r="AI137" t="n">
        <v>8.199999999999999</v>
      </c>
      <c r="AJ137" t="n">
        <v>-0.01</v>
      </c>
      <c r="AK137" t="n">
        <v>14.53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48.81</v>
      </c>
      <c r="AV137" t="n">
        <v>0</v>
      </c>
      <c r="AW137" t="n">
        <v>123.18</v>
      </c>
      <c r="AX137" t="inlineStr">
        <is>
          <t>settled</t>
        </is>
      </c>
      <c r="AY137" t="inlineStr">
        <is>
          <t>NA</t>
        </is>
      </c>
      <c r="AZ137" t="inlineStr">
        <is>
          <t>NA</t>
        </is>
      </c>
      <c r="BA137" t="n">
        <v>0</v>
      </c>
      <c r="BB137" t="inlineStr">
        <is>
          <t>a989b743466b1e4e3899f23a09e6636998865ede523f7f13fc579f02512e5acb</t>
        </is>
      </c>
    </row>
    <row r="138">
      <c r="A138" t="inlineStr">
        <is>
          <t>1168</t>
        </is>
      </c>
      <c r="B138" t="inlineStr">
        <is>
          <t>7609385932</t>
        </is>
      </c>
      <c r="C138" t="inlineStr">
        <is>
          <t>2025-12-25 00:44:24</t>
        </is>
      </c>
      <c r="D138" t="inlineStr">
        <is>
          <t>52</t>
        </is>
      </c>
      <c r="E138" t="inlineStr">
        <is>
          <t>Sha Sha - Shandaar Shawarma</t>
        </is>
      </c>
      <c r="F138" t="inlineStr">
        <is>
          <t>18557902</t>
        </is>
      </c>
      <c r="G138" t="inlineStr">
        <is>
          <t>30% off upto ₹75 (2025-06-25 - 2031-01-01)</t>
        </is>
      </c>
      <c r="H138" t="inlineStr">
        <is>
          <t>ONLINE</t>
        </is>
      </c>
      <c r="I138" t="inlineStr">
        <is>
          <t>DELIVERED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O2</t>
        </is>
      </c>
      <c r="N138" t="inlineStr">
        <is>
          <t>36</t>
        </is>
      </c>
      <c r="O138" t="n">
        <v>355</v>
      </c>
      <c r="P138" t="n">
        <v>3.5</v>
      </c>
      <c r="Q138" t="n">
        <v>0</v>
      </c>
      <c r="R138" t="n">
        <v>75</v>
      </c>
      <c r="S138" t="n">
        <v>0</v>
      </c>
      <c r="T138" t="n">
        <v>0</v>
      </c>
      <c r="U138" t="n">
        <v>0</v>
      </c>
      <c r="V138" t="n">
        <v>14.18</v>
      </c>
      <c r="W138" t="n">
        <v>297.68</v>
      </c>
      <c r="X138" t="n">
        <v>283.5</v>
      </c>
      <c r="Y138" t="n">
        <v>19</v>
      </c>
      <c r="Z138" t="n">
        <v>53.86</v>
      </c>
      <c r="AA138" t="n">
        <v>5.48</v>
      </c>
      <c r="AB138" t="n">
        <v>59.34</v>
      </c>
      <c r="AC138" t="n">
        <v>10.68</v>
      </c>
      <c r="AD138" t="n">
        <v>0</v>
      </c>
      <c r="AE138" t="n">
        <v>283.5</v>
      </c>
      <c r="AF138" t="n">
        <v>0</v>
      </c>
      <c r="AG138" t="n">
        <v>0</v>
      </c>
      <c r="AH138" t="n">
        <v>0.28</v>
      </c>
      <c r="AI138" t="n">
        <v>14.18</v>
      </c>
      <c r="AJ138" t="n">
        <v>0</v>
      </c>
      <c r="AK138" t="n">
        <v>25.14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84.48</v>
      </c>
      <c r="AV138" t="n">
        <v>0</v>
      </c>
      <c r="AW138" t="n">
        <v>213.2</v>
      </c>
      <c r="AX138" t="inlineStr">
        <is>
          <t>settled</t>
        </is>
      </c>
      <c r="AY138" t="inlineStr">
        <is>
          <t>NA</t>
        </is>
      </c>
      <c r="AZ138" t="inlineStr">
        <is>
          <t>NA</t>
        </is>
      </c>
      <c r="BA138" t="n">
        <v>0</v>
      </c>
      <c r="BB138" t="inlineStr">
        <is>
          <t>ff656596f61a8f8e788dccaf6dc0b3f2c2c9f38c01c681974f22fb9fbb565c10</t>
        </is>
      </c>
    </row>
    <row r="139">
      <c r="A139" t="inlineStr">
        <is>
          <t>1169</t>
        </is>
      </c>
      <c r="B139" t="inlineStr">
        <is>
          <t>7616636114</t>
        </is>
      </c>
      <c r="C139" t="inlineStr">
        <is>
          <t>2025-12-25 01:07:28</t>
        </is>
      </c>
      <c r="D139" t="inlineStr">
        <is>
          <t>52</t>
        </is>
      </c>
      <c r="E139" t="inlineStr">
        <is>
          <t>Sha Sha - Shandaar Shawarma</t>
        </is>
      </c>
      <c r="F139" t="inlineStr">
        <is>
          <t>18557902</t>
        </is>
      </c>
      <c r="G139" t="inlineStr">
        <is>
          <t>30% off upto ₹75 (2025-06-25 - 2031-01-01)</t>
        </is>
      </c>
      <c r="H139" t="inlineStr">
        <is>
          <t>ONLINE</t>
        </is>
      </c>
      <c r="I139" t="inlineStr">
        <is>
          <t>DELIVERED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O2</t>
        </is>
      </c>
      <c r="N139" t="inlineStr">
        <is>
          <t>36</t>
        </is>
      </c>
      <c r="O139" t="n">
        <v>229</v>
      </c>
      <c r="P139" t="n">
        <v>3.5</v>
      </c>
      <c r="Q139" t="n">
        <v>0</v>
      </c>
      <c r="R139" t="n">
        <v>68.7</v>
      </c>
      <c r="S139" t="n">
        <v>0</v>
      </c>
      <c r="T139" t="n">
        <v>0</v>
      </c>
      <c r="U139" t="n">
        <v>0</v>
      </c>
      <c r="V139" t="n">
        <v>8.19</v>
      </c>
      <c r="W139" t="n">
        <v>171.99</v>
      </c>
      <c r="X139" t="n">
        <v>163.8</v>
      </c>
      <c r="Y139" t="n">
        <v>19</v>
      </c>
      <c r="Z139" t="n">
        <v>31.12</v>
      </c>
      <c r="AA139" t="n">
        <v>3.16</v>
      </c>
      <c r="AB139" t="n">
        <v>34.28</v>
      </c>
      <c r="AC139" t="n">
        <v>6.17</v>
      </c>
      <c r="AD139" t="n">
        <v>0</v>
      </c>
      <c r="AE139" t="n">
        <v>163.8</v>
      </c>
      <c r="AF139" t="n">
        <v>0</v>
      </c>
      <c r="AG139" t="n">
        <v>0</v>
      </c>
      <c r="AH139" t="n">
        <v>0.16</v>
      </c>
      <c r="AI139" t="n">
        <v>8.199999999999999</v>
      </c>
      <c r="AJ139" t="n">
        <v>-0.01</v>
      </c>
      <c r="AK139" t="n">
        <v>14.53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48.81</v>
      </c>
      <c r="AV139" t="n">
        <v>0</v>
      </c>
      <c r="AW139" t="n">
        <v>123.18</v>
      </c>
      <c r="AX139" t="inlineStr">
        <is>
          <t>settled</t>
        </is>
      </c>
      <c r="AY139" t="inlineStr">
        <is>
          <t>NA</t>
        </is>
      </c>
      <c r="AZ139" t="inlineStr">
        <is>
          <t>NA</t>
        </is>
      </c>
      <c r="BA139" t="n">
        <v>0</v>
      </c>
      <c r="BB139" t="inlineStr">
        <is>
          <t>c683cdd744ab04e08c9f029e629f3c3fb5ad2f7f0863c3f73ac9d6bed298a02e</t>
        </is>
      </c>
    </row>
    <row r="140">
      <c r="A140" t="inlineStr">
        <is>
          <t>1170</t>
        </is>
      </c>
      <c r="B140" t="inlineStr">
        <is>
          <t>7613389848</t>
        </is>
      </c>
      <c r="C140" t="inlineStr">
        <is>
          <t>2025-12-25 01:19:33</t>
        </is>
      </c>
      <c r="D140" t="inlineStr">
        <is>
          <t>52</t>
        </is>
      </c>
      <c r="E140" t="inlineStr">
        <is>
          <t>Sha Sha - Shandaar Shawarma</t>
        </is>
      </c>
      <c r="F140" t="inlineStr">
        <is>
          <t>18557902</t>
        </is>
      </c>
      <c r="G140" t="inlineStr">
        <is>
          <t>30% off upto ₹75 (2025-06-25 - 2031-01-01)</t>
        </is>
      </c>
      <c r="H140" t="inlineStr">
        <is>
          <t>ONLINE</t>
        </is>
      </c>
      <c r="I140" t="inlineStr">
        <is>
          <t>DELIVERED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O2</t>
        </is>
      </c>
      <c r="N140" t="inlineStr">
        <is>
          <t>36</t>
        </is>
      </c>
      <c r="O140" t="n">
        <v>458</v>
      </c>
      <c r="P140" t="n">
        <v>3.5</v>
      </c>
      <c r="Q140" t="n">
        <v>0</v>
      </c>
      <c r="R140" t="n">
        <v>75</v>
      </c>
      <c r="S140" t="n">
        <v>0</v>
      </c>
      <c r="T140" t="n">
        <v>0</v>
      </c>
      <c r="U140" t="n">
        <v>0</v>
      </c>
      <c r="V140" t="n">
        <v>19.33</v>
      </c>
      <c r="W140" t="n">
        <v>405.83</v>
      </c>
      <c r="X140" t="n">
        <v>386.5</v>
      </c>
      <c r="Y140" t="n">
        <v>19</v>
      </c>
      <c r="Z140" t="n">
        <v>73.44</v>
      </c>
      <c r="AA140" t="n">
        <v>7.47</v>
      </c>
      <c r="AB140" t="n">
        <v>80.91</v>
      </c>
      <c r="AC140" t="n">
        <v>14.56</v>
      </c>
      <c r="AD140" t="n">
        <v>0</v>
      </c>
      <c r="AE140" t="n">
        <v>386.5</v>
      </c>
      <c r="AF140" t="n">
        <v>0</v>
      </c>
      <c r="AG140" t="n">
        <v>0</v>
      </c>
      <c r="AH140" t="n">
        <v>0.39</v>
      </c>
      <c r="AI140" t="n">
        <v>19.33</v>
      </c>
      <c r="AJ140" t="n">
        <v>0</v>
      </c>
      <c r="AK140" t="n">
        <v>34.28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115.19</v>
      </c>
      <c r="AV140" t="n">
        <v>0</v>
      </c>
      <c r="AW140" t="n">
        <v>290.64</v>
      </c>
      <c r="AX140" t="inlineStr">
        <is>
          <t>settled</t>
        </is>
      </c>
      <c r="AY140" t="inlineStr">
        <is>
          <t>NA</t>
        </is>
      </c>
      <c r="AZ140" t="inlineStr">
        <is>
          <t>NA</t>
        </is>
      </c>
      <c r="BA140" t="n">
        <v>0</v>
      </c>
      <c r="BB140" t="inlineStr">
        <is>
          <t>859ef19bc46bb357c8a67591651fa6caa0b3ffda28e3d25dfe21be502f2a47b7</t>
        </is>
      </c>
    </row>
    <row r="141">
      <c r="A141" t="inlineStr">
        <is>
          <t>1171</t>
        </is>
      </c>
      <c r="B141" t="inlineStr">
        <is>
          <t>7612870529</t>
        </is>
      </c>
      <c r="C141" t="inlineStr">
        <is>
          <t>2025-12-25 01:33:25</t>
        </is>
      </c>
      <c r="D141" t="inlineStr">
        <is>
          <t>52</t>
        </is>
      </c>
      <c r="E141" t="inlineStr">
        <is>
          <t>Sha Sha - Shandaar Shawarma</t>
        </is>
      </c>
      <c r="F141" t="inlineStr">
        <is>
          <t>18557902</t>
        </is>
      </c>
      <c r="G141" t="inlineStr">
        <is>
          <t>30% off upto ₹75 (2025-06-25 - 2031-01-01)</t>
        </is>
      </c>
      <c r="H141" t="inlineStr">
        <is>
          <t>ONLINE</t>
        </is>
      </c>
      <c r="I141" t="inlineStr">
        <is>
          <t>DELIVERED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O2</t>
        </is>
      </c>
      <c r="N141" t="inlineStr">
        <is>
          <t>36</t>
        </is>
      </c>
      <c r="O141" t="n">
        <v>368</v>
      </c>
      <c r="P141" t="n">
        <v>3.5</v>
      </c>
      <c r="Q141" t="n">
        <v>0</v>
      </c>
      <c r="R141" t="n">
        <v>75</v>
      </c>
      <c r="S141" t="n">
        <v>0</v>
      </c>
      <c r="T141" t="n">
        <v>0</v>
      </c>
      <c r="U141" t="n">
        <v>0</v>
      </c>
      <c r="V141" t="n">
        <v>14.83</v>
      </c>
      <c r="W141" t="n">
        <v>311.33</v>
      </c>
      <c r="X141" t="n">
        <v>296.5</v>
      </c>
      <c r="Y141" t="n">
        <v>19</v>
      </c>
      <c r="Z141" t="n">
        <v>56.34</v>
      </c>
      <c r="AA141" t="n">
        <v>5.73</v>
      </c>
      <c r="AB141" t="n">
        <v>62.07</v>
      </c>
      <c r="AC141" t="n">
        <v>11.17</v>
      </c>
      <c r="AD141" t="n">
        <v>0</v>
      </c>
      <c r="AE141" t="n">
        <v>296.5</v>
      </c>
      <c r="AF141" t="n">
        <v>0</v>
      </c>
      <c r="AG141" t="n">
        <v>0</v>
      </c>
      <c r="AH141" t="n">
        <v>0.3</v>
      </c>
      <c r="AI141" t="n">
        <v>14.83</v>
      </c>
      <c r="AJ141" t="n">
        <v>0</v>
      </c>
      <c r="AK141" t="n">
        <v>26.3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88.37</v>
      </c>
      <c r="AV141" t="n">
        <v>0</v>
      </c>
      <c r="AW141" t="n">
        <v>222.96</v>
      </c>
      <c r="AX141" t="inlineStr">
        <is>
          <t>settled</t>
        </is>
      </c>
      <c r="AY141" t="inlineStr">
        <is>
          <t>NA</t>
        </is>
      </c>
      <c r="AZ141" t="inlineStr">
        <is>
          <t>NA</t>
        </is>
      </c>
      <c r="BA141" t="n">
        <v>0</v>
      </c>
      <c r="BB141" t="inlineStr">
        <is>
          <t>a3f739e6f6e011ba2451ee22f04e9b5c71d9eb0ab16eef98496b97271d5666fe</t>
        </is>
      </c>
    </row>
    <row r="142">
      <c r="A142" t="inlineStr">
        <is>
          <t>1172</t>
        </is>
      </c>
      <c r="B142" t="inlineStr">
        <is>
          <t>7618197500</t>
        </is>
      </c>
      <c r="C142" t="inlineStr">
        <is>
          <t>2025-12-25 01:47:30</t>
        </is>
      </c>
      <c r="D142" t="inlineStr">
        <is>
          <t>52</t>
        </is>
      </c>
      <c r="E142" t="inlineStr">
        <is>
          <t>Sha Sha - Shandaar Shawarma</t>
        </is>
      </c>
      <c r="F142" t="inlineStr">
        <is>
          <t>18557902</t>
        </is>
      </c>
      <c r="G142" t="inlineStr">
        <is>
          <t>NA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O2</t>
        </is>
      </c>
      <c r="N142" t="inlineStr">
        <is>
          <t>36</t>
        </is>
      </c>
      <c r="O142" t="n">
        <v>229</v>
      </c>
      <c r="P142" t="n">
        <v>3.5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11.63</v>
      </c>
      <c r="W142" t="n">
        <v>244.13</v>
      </c>
      <c r="X142" t="n">
        <v>232.5</v>
      </c>
      <c r="Y142" t="n">
        <v>19</v>
      </c>
      <c r="Z142" t="n">
        <v>44.18</v>
      </c>
      <c r="AA142" t="n">
        <v>4.49</v>
      </c>
      <c r="AB142" t="n">
        <v>48.67</v>
      </c>
      <c r="AC142" t="n">
        <v>8.76</v>
      </c>
      <c r="AD142" t="n">
        <v>0</v>
      </c>
      <c r="AE142" t="n">
        <v>232.5</v>
      </c>
      <c r="AF142" t="n">
        <v>0</v>
      </c>
      <c r="AG142" t="n">
        <v>0</v>
      </c>
      <c r="AH142" t="n">
        <v>0.23</v>
      </c>
      <c r="AI142" t="n">
        <v>11.63</v>
      </c>
      <c r="AJ142" t="n">
        <v>0</v>
      </c>
      <c r="AK142" t="n">
        <v>20.62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69.29000000000001</v>
      </c>
      <c r="AV142" t="n">
        <v>0</v>
      </c>
      <c r="AW142" t="n">
        <v>174.84</v>
      </c>
      <c r="AX142" t="inlineStr">
        <is>
          <t>settled</t>
        </is>
      </c>
      <c r="AY142" t="inlineStr">
        <is>
          <t>NA</t>
        </is>
      </c>
      <c r="AZ142" t="inlineStr">
        <is>
          <t>NA</t>
        </is>
      </c>
      <c r="BA142" t="n">
        <v>0</v>
      </c>
      <c r="BB142" t="inlineStr">
        <is>
          <t>0b4e62c0535194b1f48fb68eca602a278b3d8d44e2ea9f26a24c9d1d361492d2</t>
        </is>
      </c>
    </row>
    <row r="143">
      <c r="A143" t="inlineStr">
        <is>
          <t>1173</t>
        </is>
      </c>
      <c r="B143" t="inlineStr">
        <is>
          <t>7615000984</t>
        </is>
      </c>
      <c r="C143" t="inlineStr">
        <is>
          <t>2025-12-25 02:01:43</t>
        </is>
      </c>
      <c r="D143" t="inlineStr">
        <is>
          <t>52</t>
        </is>
      </c>
      <c r="E143" t="inlineStr">
        <is>
          <t>Sha Sha - Shandaar Shawarma</t>
        </is>
      </c>
      <c r="F143" t="inlineStr">
        <is>
          <t>18557902</t>
        </is>
      </c>
      <c r="G143" t="inlineStr">
        <is>
          <t>30% off upto ₹75 (2025-06-25 - 2031-01-01)</t>
        </is>
      </c>
      <c r="H143" t="inlineStr">
        <is>
          <t>ONLINE</t>
        </is>
      </c>
      <c r="I143" t="inlineStr">
        <is>
          <t>DELIVERED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O2</t>
        </is>
      </c>
      <c r="N143" t="inlineStr">
        <is>
          <t>36</t>
        </is>
      </c>
      <c r="O143" t="n">
        <v>219</v>
      </c>
      <c r="P143" t="n">
        <v>3.5</v>
      </c>
      <c r="Q143" t="n">
        <v>0</v>
      </c>
      <c r="R143" t="n">
        <v>65.7</v>
      </c>
      <c r="S143" t="n">
        <v>0</v>
      </c>
      <c r="T143" t="n">
        <v>0</v>
      </c>
      <c r="U143" t="n">
        <v>0</v>
      </c>
      <c r="V143" t="n">
        <v>7.84</v>
      </c>
      <c r="W143" t="n">
        <v>164.64</v>
      </c>
      <c r="X143" t="n">
        <v>156.8</v>
      </c>
      <c r="Y143" t="n">
        <v>19</v>
      </c>
      <c r="Z143" t="n">
        <v>29.79</v>
      </c>
      <c r="AA143" t="n">
        <v>3.03</v>
      </c>
      <c r="AB143" t="n">
        <v>32.82</v>
      </c>
      <c r="AC143" t="n">
        <v>5.91</v>
      </c>
      <c r="AD143" t="n">
        <v>0</v>
      </c>
      <c r="AE143" t="n">
        <v>156.8</v>
      </c>
      <c r="AF143" t="n">
        <v>0</v>
      </c>
      <c r="AG143" t="n">
        <v>0</v>
      </c>
      <c r="AH143" t="n">
        <v>0.16</v>
      </c>
      <c r="AI143" t="n">
        <v>7.85</v>
      </c>
      <c r="AJ143" t="n">
        <v>-0.01</v>
      </c>
      <c r="AK143" t="n">
        <v>13.92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46.74</v>
      </c>
      <c r="AV143" t="n">
        <v>0</v>
      </c>
      <c r="AW143" t="n">
        <v>117.9</v>
      </c>
      <c r="AX143" t="inlineStr">
        <is>
          <t>settled</t>
        </is>
      </c>
      <c r="AY143" t="inlineStr">
        <is>
          <t>NA</t>
        </is>
      </c>
      <c r="AZ143" t="inlineStr">
        <is>
          <t>NA</t>
        </is>
      </c>
      <c r="BA143" t="n">
        <v>0</v>
      </c>
      <c r="BB143" t="inlineStr">
        <is>
          <t>b95396f0b61c7d22cade54e335dfad635d72055af8a0ce12559621cba4740a08</t>
        </is>
      </c>
    </row>
    <row r="144">
      <c r="A144" t="inlineStr">
        <is>
          <t>1174</t>
        </is>
      </c>
      <c r="B144" t="inlineStr">
        <is>
          <t>7614010211</t>
        </is>
      </c>
      <c r="C144" t="inlineStr">
        <is>
          <t>2025-12-25 02:44:37</t>
        </is>
      </c>
      <c r="D144" t="inlineStr">
        <is>
          <t>52</t>
        </is>
      </c>
      <c r="E144" t="inlineStr">
        <is>
          <t>Sha Sha - Shandaar Shawarma</t>
        </is>
      </c>
      <c r="F144" t="inlineStr">
        <is>
          <t>18557902</t>
        </is>
      </c>
      <c r="G144" t="inlineStr">
        <is>
          <t>30% off upto ₹75 (2025-06-25 - 2031-01-01)</t>
        </is>
      </c>
      <c r="H144" t="inlineStr">
        <is>
          <t>ONLINE</t>
        </is>
      </c>
      <c r="I144" t="inlineStr">
        <is>
          <t>DELIVERED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O2</t>
        </is>
      </c>
      <c r="N144" t="inlineStr">
        <is>
          <t>36</t>
        </is>
      </c>
      <c r="O144" t="n">
        <v>458</v>
      </c>
      <c r="P144" t="n">
        <v>3.5</v>
      </c>
      <c r="Q144" t="n">
        <v>0</v>
      </c>
      <c r="R144" t="n">
        <v>75</v>
      </c>
      <c r="S144" t="n">
        <v>0</v>
      </c>
      <c r="T144" t="n">
        <v>0</v>
      </c>
      <c r="U144" t="n">
        <v>0</v>
      </c>
      <c r="V144" t="n">
        <v>19.33</v>
      </c>
      <c r="W144" t="n">
        <v>405.83</v>
      </c>
      <c r="X144" t="n">
        <v>386.5</v>
      </c>
      <c r="Y144" t="n">
        <v>19</v>
      </c>
      <c r="Z144" t="n">
        <v>73.44</v>
      </c>
      <c r="AA144" t="n">
        <v>7.47</v>
      </c>
      <c r="AB144" t="n">
        <v>80.91</v>
      </c>
      <c r="AC144" t="n">
        <v>14.56</v>
      </c>
      <c r="AD144" t="n">
        <v>0</v>
      </c>
      <c r="AE144" t="n">
        <v>386.5</v>
      </c>
      <c r="AF144" t="n">
        <v>0</v>
      </c>
      <c r="AG144" t="n">
        <v>0</v>
      </c>
      <c r="AH144" t="n">
        <v>0.39</v>
      </c>
      <c r="AI144" t="n">
        <v>19.33</v>
      </c>
      <c r="AJ144" t="n">
        <v>0</v>
      </c>
      <c r="AK144" t="n">
        <v>34.28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115.19</v>
      </c>
      <c r="AV144" t="n">
        <v>0</v>
      </c>
      <c r="AW144" t="n">
        <v>290.64</v>
      </c>
      <c r="AX144" t="inlineStr">
        <is>
          <t>settled</t>
        </is>
      </c>
      <c r="AY144" t="inlineStr">
        <is>
          <t>NA</t>
        </is>
      </c>
      <c r="AZ144" t="inlineStr">
        <is>
          <t>NA</t>
        </is>
      </c>
      <c r="BA144" t="n">
        <v>0</v>
      </c>
      <c r="BB144" t="inlineStr">
        <is>
          <t>7794716628ba5f3d66751e6d3a34b3d6fab90b3b1a6dce5cddbe58eda4984b53</t>
        </is>
      </c>
    </row>
    <row r="145">
      <c r="A145" t="inlineStr">
        <is>
          <t>1175</t>
        </is>
      </c>
      <c r="B145" t="inlineStr">
        <is>
          <t>7616797917</t>
        </is>
      </c>
      <c r="C145" t="inlineStr">
        <is>
          <t>2025-12-25 02:57:08</t>
        </is>
      </c>
      <c r="D145" t="inlineStr">
        <is>
          <t>52</t>
        </is>
      </c>
      <c r="E145" t="inlineStr">
        <is>
          <t>Sha Sha - Shandaar Shawarma</t>
        </is>
      </c>
      <c r="F145" t="inlineStr">
        <is>
          <t>18557902</t>
        </is>
      </c>
      <c r="G145" t="inlineStr">
        <is>
          <t>30% off upto ₹75 (2025-06-25 - 2031-01-01)</t>
        </is>
      </c>
      <c r="H145" t="inlineStr">
        <is>
          <t>ONLINE</t>
        </is>
      </c>
      <c r="I145" t="inlineStr">
        <is>
          <t>DELIVERED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O2</t>
        </is>
      </c>
      <c r="N145" t="inlineStr">
        <is>
          <t>36</t>
        </is>
      </c>
      <c r="O145" t="n">
        <v>229</v>
      </c>
      <c r="P145" t="n">
        <v>3.5</v>
      </c>
      <c r="Q145" t="n">
        <v>0</v>
      </c>
      <c r="R145" t="n">
        <v>68.7</v>
      </c>
      <c r="S145" t="n">
        <v>0</v>
      </c>
      <c r="T145" t="n">
        <v>0</v>
      </c>
      <c r="U145" t="n">
        <v>0</v>
      </c>
      <c r="V145" t="n">
        <v>8.19</v>
      </c>
      <c r="W145" t="n">
        <v>171.99</v>
      </c>
      <c r="X145" t="n">
        <v>163.8</v>
      </c>
      <c r="Y145" t="n">
        <v>19</v>
      </c>
      <c r="Z145" t="n">
        <v>31.12</v>
      </c>
      <c r="AA145" t="n">
        <v>3.16</v>
      </c>
      <c r="AB145" t="n">
        <v>34.28</v>
      </c>
      <c r="AC145" t="n">
        <v>6.17</v>
      </c>
      <c r="AD145" t="n">
        <v>0</v>
      </c>
      <c r="AE145" t="n">
        <v>163.8</v>
      </c>
      <c r="AF145" t="n">
        <v>0</v>
      </c>
      <c r="AG145" t="n">
        <v>0</v>
      </c>
      <c r="AH145" t="n">
        <v>0.16</v>
      </c>
      <c r="AI145" t="n">
        <v>8.199999999999999</v>
      </c>
      <c r="AJ145" t="n">
        <v>-0.01</v>
      </c>
      <c r="AK145" t="n">
        <v>14.53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48.81</v>
      </c>
      <c r="AV145" t="n">
        <v>0</v>
      </c>
      <c r="AW145" t="n">
        <v>123.18</v>
      </c>
      <c r="AX145" t="inlineStr">
        <is>
          <t>settled</t>
        </is>
      </c>
      <c r="AY145" t="inlineStr">
        <is>
          <t>NA</t>
        </is>
      </c>
      <c r="AZ145" t="inlineStr">
        <is>
          <t>NA</t>
        </is>
      </c>
      <c r="BA145" t="n">
        <v>0</v>
      </c>
      <c r="BB145" t="inlineStr">
        <is>
          <t>1b80450f0dcddac88d4df5dd09e84eafe229586e4c85447bb74c880143d5321b</t>
        </is>
      </c>
    </row>
    <row r="146">
      <c r="A146" t="inlineStr">
        <is>
          <t>1176</t>
        </is>
      </c>
      <c r="B146" t="inlineStr">
        <is>
          <t>7614529025</t>
        </is>
      </c>
      <c r="C146" t="inlineStr">
        <is>
          <t>2025-12-25 03:01:42</t>
        </is>
      </c>
      <c r="D146" t="inlineStr">
        <is>
          <t>52</t>
        </is>
      </c>
      <c r="E146" t="inlineStr">
        <is>
          <t>Sha Sha - Shandaar Shawarma</t>
        </is>
      </c>
      <c r="F146" t="inlineStr">
        <is>
          <t>18557902</t>
        </is>
      </c>
      <c r="G146" t="inlineStr">
        <is>
          <t>30% off upto ₹75 (2025-06-25 - 2031-01-01)</t>
        </is>
      </c>
      <c r="H146" t="inlineStr">
        <is>
          <t>ONLINE</t>
        </is>
      </c>
      <c r="I146" t="inlineStr">
        <is>
          <t>DELIVERED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O2</t>
        </is>
      </c>
      <c r="N146" t="inlineStr">
        <is>
          <t>36</t>
        </is>
      </c>
      <c r="O146" t="n">
        <v>355</v>
      </c>
      <c r="P146" t="n">
        <v>3.5</v>
      </c>
      <c r="Q146" t="n">
        <v>0</v>
      </c>
      <c r="R146" t="n">
        <v>75</v>
      </c>
      <c r="S146" t="n">
        <v>0</v>
      </c>
      <c r="T146" t="n">
        <v>0</v>
      </c>
      <c r="U146" t="n">
        <v>0</v>
      </c>
      <c r="V146" t="n">
        <v>14.18</v>
      </c>
      <c r="W146" t="n">
        <v>297.68</v>
      </c>
      <c r="X146" t="n">
        <v>283.5</v>
      </c>
      <c r="Y146" t="n">
        <v>19</v>
      </c>
      <c r="Z146" t="n">
        <v>53.86</v>
      </c>
      <c r="AA146" t="n">
        <v>5.48</v>
      </c>
      <c r="AB146" t="n">
        <v>59.34</v>
      </c>
      <c r="AC146" t="n">
        <v>10.68</v>
      </c>
      <c r="AD146" t="n">
        <v>0</v>
      </c>
      <c r="AE146" t="n">
        <v>283.5</v>
      </c>
      <c r="AF146" t="n">
        <v>0</v>
      </c>
      <c r="AG146" t="n">
        <v>0</v>
      </c>
      <c r="AH146" t="n">
        <v>0.28</v>
      </c>
      <c r="AI146" t="n">
        <v>14.18</v>
      </c>
      <c r="AJ146" t="n">
        <v>0</v>
      </c>
      <c r="AK146" t="n">
        <v>25.14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84.48</v>
      </c>
      <c r="AV146" t="n">
        <v>0</v>
      </c>
      <c r="AW146" t="n">
        <v>213.2</v>
      </c>
      <c r="AX146" t="inlineStr">
        <is>
          <t>settled</t>
        </is>
      </c>
      <c r="AY146" t="inlineStr">
        <is>
          <t>NA</t>
        </is>
      </c>
      <c r="AZ146" t="inlineStr">
        <is>
          <t>NA</t>
        </is>
      </c>
      <c r="BA146" t="n">
        <v>0</v>
      </c>
      <c r="BB146" t="inlineStr">
        <is>
          <t>d319c035cb28ddf5d8700492e119e23c3673a75e1fb78bb9da9d7016ff5df470</t>
        </is>
      </c>
    </row>
    <row r="147">
      <c r="A147" t="inlineStr">
        <is>
          <t>1177</t>
        </is>
      </c>
      <c r="B147" t="inlineStr">
        <is>
          <t>7609111141</t>
        </is>
      </c>
      <c r="C147" t="inlineStr">
        <is>
          <t>2025-12-25 03:22:09</t>
        </is>
      </c>
      <c r="D147" t="inlineStr">
        <is>
          <t>52</t>
        </is>
      </c>
      <c r="E147" t="inlineStr">
        <is>
          <t>Sha Sha - Shandaar Shawarma</t>
        </is>
      </c>
      <c r="F147" t="inlineStr">
        <is>
          <t>18557902</t>
        </is>
      </c>
      <c r="G147" t="inlineStr">
        <is>
          <t>30% off upto ₹75 (2025-06-25 - 2031-01-01)</t>
        </is>
      </c>
      <c r="H147" t="inlineStr">
        <is>
          <t>ONLINE</t>
        </is>
      </c>
      <c r="I147" t="inlineStr">
        <is>
          <t>DELIVERED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O2</t>
        </is>
      </c>
      <c r="N147" t="inlineStr">
        <is>
          <t>36</t>
        </is>
      </c>
      <c r="O147" t="n">
        <v>219</v>
      </c>
      <c r="P147" t="n">
        <v>3.5</v>
      </c>
      <c r="Q147" t="n">
        <v>0</v>
      </c>
      <c r="R147" t="n">
        <v>65.7</v>
      </c>
      <c r="S147" t="n">
        <v>0</v>
      </c>
      <c r="T147" t="n">
        <v>0</v>
      </c>
      <c r="U147" t="n">
        <v>0</v>
      </c>
      <c r="V147" t="n">
        <v>7.84</v>
      </c>
      <c r="W147" t="n">
        <v>164.64</v>
      </c>
      <c r="X147" t="n">
        <v>156.8</v>
      </c>
      <c r="Y147" t="n">
        <v>19</v>
      </c>
      <c r="Z147" t="n">
        <v>29.79</v>
      </c>
      <c r="AA147" t="n">
        <v>3.03</v>
      </c>
      <c r="AB147" t="n">
        <v>32.82</v>
      </c>
      <c r="AC147" t="n">
        <v>5.91</v>
      </c>
      <c r="AD147" t="n">
        <v>0</v>
      </c>
      <c r="AE147" t="n">
        <v>156.8</v>
      </c>
      <c r="AF147" t="n">
        <v>0</v>
      </c>
      <c r="AG147" t="n">
        <v>0</v>
      </c>
      <c r="AH147" t="n">
        <v>0.16</v>
      </c>
      <c r="AI147" t="n">
        <v>7.85</v>
      </c>
      <c r="AJ147" t="n">
        <v>-0.01</v>
      </c>
      <c r="AK147" t="n">
        <v>13.92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46.74</v>
      </c>
      <c r="AV147" t="n">
        <v>0</v>
      </c>
      <c r="AW147" t="n">
        <v>117.9</v>
      </c>
      <c r="AX147" t="inlineStr">
        <is>
          <t>settled</t>
        </is>
      </c>
      <c r="AY147" t="inlineStr">
        <is>
          <t>NA</t>
        </is>
      </c>
      <c r="AZ147" t="inlineStr">
        <is>
          <t>NA</t>
        </is>
      </c>
      <c r="BA147" t="n">
        <v>0</v>
      </c>
      <c r="BB147" t="inlineStr">
        <is>
          <t>2f57980387dc0efbc54a42c3486ea8aafd2ac8ff68b0147c4facad24a14fd5a5</t>
        </is>
      </c>
    </row>
    <row r="148">
      <c r="A148" t="inlineStr">
        <is>
          <t>1178</t>
        </is>
      </c>
      <c r="B148" t="inlineStr">
        <is>
          <t>7617416681</t>
        </is>
      </c>
      <c r="C148" t="inlineStr">
        <is>
          <t>2025-12-25 03:31:48</t>
        </is>
      </c>
      <c r="D148" t="inlineStr">
        <is>
          <t>52</t>
        </is>
      </c>
      <c r="E148" t="inlineStr">
        <is>
          <t>Sha Sha - Shandaar Shawarma</t>
        </is>
      </c>
      <c r="F148" t="inlineStr">
        <is>
          <t>18557902</t>
        </is>
      </c>
      <c r="G148" t="inlineStr">
        <is>
          <t>30% off upto ₹75 (2025-06-25 - 2031-01-01)</t>
        </is>
      </c>
      <c r="H148" t="inlineStr">
        <is>
          <t>ONLINE</t>
        </is>
      </c>
      <c r="I148" t="inlineStr">
        <is>
          <t>DELIVERED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O2</t>
        </is>
      </c>
      <c r="N148" t="inlineStr">
        <is>
          <t>36</t>
        </is>
      </c>
      <c r="O148" t="n">
        <v>229</v>
      </c>
      <c r="P148" t="n">
        <v>3.5</v>
      </c>
      <c r="Q148" t="n">
        <v>0</v>
      </c>
      <c r="R148" t="n">
        <v>68.7</v>
      </c>
      <c r="S148" t="n">
        <v>0</v>
      </c>
      <c r="T148" t="n">
        <v>0</v>
      </c>
      <c r="U148" t="n">
        <v>0</v>
      </c>
      <c r="V148" t="n">
        <v>8.19</v>
      </c>
      <c r="W148" t="n">
        <v>171.99</v>
      </c>
      <c r="X148" t="n">
        <v>163.8</v>
      </c>
      <c r="Y148" t="n">
        <v>19</v>
      </c>
      <c r="Z148" t="n">
        <v>31.12</v>
      </c>
      <c r="AA148" t="n">
        <v>3.16</v>
      </c>
      <c r="AB148" t="n">
        <v>34.28</v>
      </c>
      <c r="AC148" t="n">
        <v>6.17</v>
      </c>
      <c r="AD148" t="n">
        <v>0</v>
      </c>
      <c r="AE148" t="n">
        <v>163.8</v>
      </c>
      <c r="AF148" t="n">
        <v>0</v>
      </c>
      <c r="AG148" t="n">
        <v>0</v>
      </c>
      <c r="AH148" t="n">
        <v>0.16</v>
      </c>
      <c r="AI148" t="n">
        <v>8.199999999999999</v>
      </c>
      <c r="AJ148" t="n">
        <v>-0.01</v>
      </c>
      <c r="AK148" t="n">
        <v>14.53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48.81</v>
      </c>
      <c r="AV148" t="n">
        <v>0</v>
      </c>
      <c r="AW148" t="n">
        <v>123.18</v>
      </c>
      <c r="AX148" t="inlineStr">
        <is>
          <t>settled</t>
        </is>
      </c>
      <c r="AY148" t="inlineStr">
        <is>
          <t>NA</t>
        </is>
      </c>
      <c r="AZ148" t="inlineStr">
        <is>
          <t>NA</t>
        </is>
      </c>
      <c r="BA148" t="n">
        <v>0</v>
      </c>
      <c r="BB148" t="inlineStr">
        <is>
          <t>8a08d07c3c07227d351ba9766af040ff16b2ca0ba3c2aa5b1c633551ef256c7f</t>
        </is>
      </c>
    </row>
    <row r="149">
      <c r="A149" t="inlineStr">
        <is>
          <t>1179</t>
        </is>
      </c>
      <c r="B149" t="inlineStr">
        <is>
          <t>7609471664</t>
        </is>
      </c>
      <c r="C149" t="inlineStr">
        <is>
          <t>2025-12-25 03:33:45</t>
        </is>
      </c>
      <c r="D149" t="inlineStr">
        <is>
          <t>52</t>
        </is>
      </c>
      <c r="E149" t="inlineStr">
        <is>
          <t>Sha Sha - Shandaar Shawarma</t>
        </is>
      </c>
      <c r="F149" t="inlineStr">
        <is>
          <t>18557902</t>
        </is>
      </c>
      <c r="G149" t="inlineStr">
        <is>
          <t>30% off upto ₹75 (2025-06-25 - 2031-01-01)</t>
        </is>
      </c>
      <c r="H149" t="inlineStr">
        <is>
          <t>ONLINE</t>
        </is>
      </c>
      <c r="I149" t="inlineStr">
        <is>
          <t>DELIVERED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O2</t>
        </is>
      </c>
      <c r="N149" t="inlineStr">
        <is>
          <t>36</t>
        </is>
      </c>
      <c r="O149" t="n">
        <v>458</v>
      </c>
      <c r="P149" t="n">
        <v>3.5</v>
      </c>
      <c r="Q149" t="n">
        <v>0</v>
      </c>
      <c r="R149" t="n">
        <v>75</v>
      </c>
      <c r="S149" t="n">
        <v>0</v>
      </c>
      <c r="T149" t="n">
        <v>0</v>
      </c>
      <c r="U149" t="n">
        <v>0</v>
      </c>
      <c r="V149" t="n">
        <v>19.33</v>
      </c>
      <c r="W149" t="n">
        <v>405.83</v>
      </c>
      <c r="X149" t="n">
        <v>386.5</v>
      </c>
      <c r="Y149" t="n">
        <v>19</v>
      </c>
      <c r="Z149" t="n">
        <v>73.44</v>
      </c>
      <c r="AA149" t="n">
        <v>7.47</v>
      </c>
      <c r="AB149" t="n">
        <v>80.91</v>
      </c>
      <c r="AC149" t="n">
        <v>14.56</v>
      </c>
      <c r="AD149" t="n">
        <v>0</v>
      </c>
      <c r="AE149" t="n">
        <v>386.5</v>
      </c>
      <c r="AF149" t="n">
        <v>0</v>
      </c>
      <c r="AG149" t="n">
        <v>0</v>
      </c>
      <c r="AH149" t="n">
        <v>0.39</v>
      </c>
      <c r="AI149" t="n">
        <v>19.33</v>
      </c>
      <c r="AJ149" t="n">
        <v>0</v>
      </c>
      <c r="AK149" t="n">
        <v>34.28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115.19</v>
      </c>
      <c r="AV149" t="n">
        <v>0</v>
      </c>
      <c r="AW149" t="n">
        <v>290.64</v>
      </c>
      <c r="AX149" t="inlineStr">
        <is>
          <t>settled</t>
        </is>
      </c>
      <c r="AY149" t="inlineStr">
        <is>
          <t>NA</t>
        </is>
      </c>
      <c r="AZ149" t="inlineStr">
        <is>
          <t>NA</t>
        </is>
      </c>
      <c r="BA149" t="n">
        <v>0</v>
      </c>
      <c r="BB149" t="inlineStr">
        <is>
          <t>e427245855e995728ce29263f3c0c7773d1c6e19ebb262fbf3b690051b34de6d</t>
        </is>
      </c>
    </row>
    <row r="150">
      <c r="A150" t="inlineStr">
        <is>
          <t>1180</t>
        </is>
      </c>
      <c r="B150" t="inlineStr">
        <is>
          <t>7617323114</t>
        </is>
      </c>
      <c r="C150" t="inlineStr">
        <is>
          <t>2025-12-25 03:38:19</t>
        </is>
      </c>
      <c r="D150" t="inlineStr">
        <is>
          <t>52</t>
        </is>
      </c>
      <c r="E150" t="inlineStr">
        <is>
          <t>Sha Sha - Shandaar Shawarma</t>
        </is>
      </c>
      <c r="F150" t="inlineStr">
        <is>
          <t>18557902</t>
        </is>
      </c>
      <c r="G150" t="inlineStr">
        <is>
          <t>30% off upto ₹75 (2025-06-25 - 2031-01-01)</t>
        </is>
      </c>
      <c r="H150" t="inlineStr">
        <is>
          <t>ONLINE</t>
        </is>
      </c>
      <c r="I150" t="inlineStr">
        <is>
          <t>DELIVERED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O2</t>
        </is>
      </c>
      <c r="N150" t="inlineStr">
        <is>
          <t>36</t>
        </is>
      </c>
      <c r="O150" t="n">
        <v>836</v>
      </c>
      <c r="P150" t="n">
        <v>3.5</v>
      </c>
      <c r="Q150" t="n">
        <v>0</v>
      </c>
      <c r="R150" t="n">
        <v>75</v>
      </c>
      <c r="S150" t="n">
        <v>0</v>
      </c>
      <c r="T150" t="n">
        <v>0</v>
      </c>
      <c r="U150" t="n">
        <v>0</v>
      </c>
      <c r="V150" t="n">
        <v>38.23</v>
      </c>
      <c r="W150" t="n">
        <v>802.73</v>
      </c>
      <c r="X150" t="n">
        <v>764.5</v>
      </c>
      <c r="Y150" t="n">
        <v>19</v>
      </c>
      <c r="Z150" t="n">
        <v>145.26</v>
      </c>
      <c r="AA150" t="n">
        <v>14.77</v>
      </c>
      <c r="AB150" t="n">
        <v>160.03</v>
      </c>
      <c r="AC150" t="n">
        <v>28.81</v>
      </c>
      <c r="AD150" t="n">
        <v>0</v>
      </c>
      <c r="AE150" t="n">
        <v>764.5</v>
      </c>
      <c r="AF150" t="n">
        <v>0</v>
      </c>
      <c r="AG150" t="n">
        <v>0</v>
      </c>
      <c r="AH150" t="n">
        <v>0.76</v>
      </c>
      <c r="AI150" t="n">
        <v>38.23</v>
      </c>
      <c r="AJ150" t="n">
        <v>0</v>
      </c>
      <c r="AK150" t="n">
        <v>67.8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227.83</v>
      </c>
      <c r="AV150" t="n">
        <v>0</v>
      </c>
      <c r="AW150" t="n">
        <v>574.9</v>
      </c>
      <c r="AX150" t="inlineStr">
        <is>
          <t>settled</t>
        </is>
      </c>
      <c r="AY150" t="inlineStr">
        <is>
          <t>NA</t>
        </is>
      </c>
      <c r="AZ150" t="inlineStr">
        <is>
          <t>NA</t>
        </is>
      </c>
      <c r="BA150" t="n">
        <v>0</v>
      </c>
      <c r="BB150" t="inlineStr">
        <is>
          <t>2ba76c9b9d600a352c5d746c064dd0f973ea2026aba9eaed167174ae22e98eb4</t>
        </is>
      </c>
    </row>
    <row r="151">
      <c r="A151" t="inlineStr">
        <is>
          <t>1181</t>
        </is>
      </c>
      <c r="B151" t="inlineStr">
        <is>
          <t>7611093770</t>
        </is>
      </c>
      <c r="C151" t="inlineStr">
        <is>
          <t>2025-12-25 03:48:44</t>
        </is>
      </c>
      <c r="D151" t="inlineStr">
        <is>
          <t>52</t>
        </is>
      </c>
      <c r="E151" t="inlineStr">
        <is>
          <t>Sha Sha - Shandaar Shawarma</t>
        </is>
      </c>
      <c r="F151" t="inlineStr">
        <is>
          <t>18557902</t>
        </is>
      </c>
      <c r="G151" t="inlineStr">
        <is>
          <t>30% off upto ₹75 (2025-06-25 - 2031-01-01)</t>
        </is>
      </c>
      <c r="H151" t="inlineStr">
        <is>
          <t>ONLINE</t>
        </is>
      </c>
      <c r="I151" t="inlineStr">
        <is>
          <t>DELIVERED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O2</t>
        </is>
      </c>
      <c r="N151" t="inlineStr">
        <is>
          <t>36</t>
        </is>
      </c>
      <c r="O151" t="n">
        <v>229</v>
      </c>
      <c r="P151" t="n">
        <v>3.5</v>
      </c>
      <c r="Q151" t="n">
        <v>0</v>
      </c>
      <c r="R151" t="n">
        <v>68.7</v>
      </c>
      <c r="S151" t="n">
        <v>0</v>
      </c>
      <c r="T151" t="n">
        <v>0</v>
      </c>
      <c r="U151" t="n">
        <v>0</v>
      </c>
      <c r="V151" t="n">
        <v>8.19</v>
      </c>
      <c r="W151" t="n">
        <v>171.99</v>
      </c>
      <c r="X151" t="n">
        <v>163.8</v>
      </c>
      <c r="Y151" t="n">
        <v>19</v>
      </c>
      <c r="Z151" t="n">
        <v>31.12</v>
      </c>
      <c r="AA151" t="n">
        <v>3.16</v>
      </c>
      <c r="AB151" t="n">
        <v>34.28</v>
      </c>
      <c r="AC151" t="n">
        <v>6.17</v>
      </c>
      <c r="AD151" t="n">
        <v>0</v>
      </c>
      <c r="AE151" t="n">
        <v>163.8</v>
      </c>
      <c r="AF151" t="n">
        <v>0</v>
      </c>
      <c r="AG151" t="n">
        <v>0</v>
      </c>
      <c r="AH151" t="n">
        <v>0.16</v>
      </c>
      <c r="AI151" t="n">
        <v>8.199999999999999</v>
      </c>
      <c r="AJ151" t="n">
        <v>-0.01</v>
      </c>
      <c r="AK151" t="n">
        <v>14.53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48.81</v>
      </c>
      <c r="AV151" t="n">
        <v>0</v>
      </c>
      <c r="AW151" t="n">
        <v>123.18</v>
      </c>
      <c r="AX151" t="inlineStr">
        <is>
          <t>settled</t>
        </is>
      </c>
      <c r="AY151" t="inlineStr">
        <is>
          <t>NA</t>
        </is>
      </c>
      <c r="AZ151" t="inlineStr">
        <is>
          <t>NA</t>
        </is>
      </c>
      <c r="BA151" t="n">
        <v>0</v>
      </c>
      <c r="BB151" t="inlineStr">
        <is>
          <t>9600bb2402b56e70cc2b17576b898cfc127821ac907bb3bb139724550d40ab3d</t>
        </is>
      </c>
    </row>
    <row r="152">
      <c r="A152" t="inlineStr">
        <is>
          <t>1182</t>
        </is>
      </c>
      <c r="B152" t="inlineStr">
        <is>
          <t>7614528890</t>
        </is>
      </c>
      <c r="C152" t="inlineStr">
        <is>
          <t>2025-12-25 04:25:38</t>
        </is>
      </c>
      <c r="D152" t="inlineStr">
        <is>
          <t>52</t>
        </is>
      </c>
      <c r="E152" t="inlineStr">
        <is>
          <t>Sha Sha - Shandaar Shawarma</t>
        </is>
      </c>
      <c r="F152" t="inlineStr">
        <is>
          <t>18557902</t>
        </is>
      </c>
      <c r="G152" t="inlineStr">
        <is>
          <t>30% off upto ₹75 (2025-06-25 - 2031-01-01)</t>
        </is>
      </c>
      <c r="H152" t="inlineStr">
        <is>
          <t>ONLINE</t>
        </is>
      </c>
      <c r="I152" t="inlineStr">
        <is>
          <t>DELIVERED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O2</t>
        </is>
      </c>
      <c r="N152" t="inlineStr">
        <is>
          <t>36</t>
        </is>
      </c>
      <c r="O152" t="n">
        <v>229</v>
      </c>
      <c r="P152" t="n">
        <v>3.5</v>
      </c>
      <c r="Q152" t="n">
        <v>0</v>
      </c>
      <c r="R152" t="n">
        <v>68.7</v>
      </c>
      <c r="S152" t="n">
        <v>0</v>
      </c>
      <c r="T152" t="n">
        <v>0</v>
      </c>
      <c r="U152" t="n">
        <v>0</v>
      </c>
      <c r="V152" t="n">
        <v>8.19</v>
      </c>
      <c r="W152" t="n">
        <v>171.99</v>
      </c>
      <c r="X152" t="n">
        <v>163.8</v>
      </c>
      <c r="Y152" t="n">
        <v>19</v>
      </c>
      <c r="Z152" t="n">
        <v>31.12</v>
      </c>
      <c r="AA152" t="n">
        <v>3.16</v>
      </c>
      <c r="AB152" t="n">
        <v>34.28</v>
      </c>
      <c r="AC152" t="n">
        <v>6.17</v>
      </c>
      <c r="AD152" t="n">
        <v>0</v>
      </c>
      <c r="AE152" t="n">
        <v>163.8</v>
      </c>
      <c r="AF152" t="n">
        <v>0</v>
      </c>
      <c r="AG152" t="n">
        <v>0</v>
      </c>
      <c r="AH152" t="n">
        <v>0.16</v>
      </c>
      <c r="AI152" t="n">
        <v>8.199999999999999</v>
      </c>
      <c r="AJ152" t="n">
        <v>-0.01</v>
      </c>
      <c r="AK152" t="n">
        <v>14.53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48.81</v>
      </c>
      <c r="AV152" t="n">
        <v>0</v>
      </c>
      <c r="AW152" t="n">
        <v>123.18</v>
      </c>
      <c r="AX152" t="inlineStr">
        <is>
          <t>settled</t>
        </is>
      </c>
      <c r="AY152" t="inlineStr">
        <is>
          <t>NA</t>
        </is>
      </c>
      <c r="AZ152" t="inlineStr">
        <is>
          <t>NA</t>
        </is>
      </c>
      <c r="BA152" t="n">
        <v>0</v>
      </c>
      <c r="BB152" t="inlineStr">
        <is>
          <t>b8c3182ca96890fd351c35374f07e6e5714cd298013b3fe42a1913b3766907da</t>
        </is>
      </c>
    </row>
    <row r="153">
      <c r="A153" t="inlineStr">
        <is>
          <t>1183</t>
        </is>
      </c>
      <c r="B153" t="inlineStr">
        <is>
          <t>7617785704</t>
        </is>
      </c>
      <c r="C153" t="inlineStr">
        <is>
          <t>2025-12-25 04:25:50</t>
        </is>
      </c>
      <c r="D153" t="inlineStr">
        <is>
          <t>52</t>
        </is>
      </c>
      <c r="E153" t="inlineStr">
        <is>
          <t>Sha Sha - Shandaar Shawarma</t>
        </is>
      </c>
      <c r="F153" t="inlineStr">
        <is>
          <t>18557902</t>
        </is>
      </c>
      <c r="G153" t="inlineStr">
        <is>
          <t>30% off upto ₹75 (2025-06-25 - 2031-01-01)</t>
        </is>
      </c>
      <c r="H153" t="inlineStr">
        <is>
          <t>ONLINE</t>
        </is>
      </c>
      <c r="I153" t="inlineStr">
        <is>
          <t>DELIVERED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O2</t>
        </is>
      </c>
      <c r="N153" t="inlineStr">
        <is>
          <t>36</t>
        </is>
      </c>
      <c r="O153" t="n">
        <v>355</v>
      </c>
      <c r="P153" t="n">
        <v>3.5</v>
      </c>
      <c r="Q153" t="n">
        <v>0</v>
      </c>
      <c r="R153" t="n">
        <v>75</v>
      </c>
      <c r="S153" t="n">
        <v>0</v>
      </c>
      <c r="T153" t="n">
        <v>0</v>
      </c>
      <c r="U153" t="n">
        <v>0</v>
      </c>
      <c r="V153" t="n">
        <v>14.18</v>
      </c>
      <c r="W153" t="n">
        <v>297.68</v>
      </c>
      <c r="X153" t="n">
        <v>283.5</v>
      </c>
      <c r="Y153" t="n">
        <v>19</v>
      </c>
      <c r="Z153" t="n">
        <v>53.86</v>
      </c>
      <c r="AA153" t="n">
        <v>5.48</v>
      </c>
      <c r="AB153" t="n">
        <v>59.34</v>
      </c>
      <c r="AC153" t="n">
        <v>10.68</v>
      </c>
      <c r="AD153" t="n">
        <v>0</v>
      </c>
      <c r="AE153" t="n">
        <v>283.5</v>
      </c>
      <c r="AF153" t="n">
        <v>0</v>
      </c>
      <c r="AG153" t="n">
        <v>0</v>
      </c>
      <c r="AH153" t="n">
        <v>0.28</v>
      </c>
      <c r="AI153" t="n">
        <v>14.18</v>
      </c>
      <c r="AJ153" t="n">
        <v>0</v>
      </c>
      <c r="AK153" t="n">
        <v>25.14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84.48</v>
      </c>
      <c r="AV153" t="n">
        <v>0</v>
      </c>
      <c r="AW153" t="n">
        <v>213.2</v>
      </c>
      <c r="AX153" t="inlineStr">
        <is>
          <t>settled</t>
        </is>
      </c>
      <c r="AY153" t="inlineStr">
        <is>
          <t>NA</t>
        </is>
      </c>
      <c r="AZ153" t="inlineStr">
        <is>
          <t>NA</t>
        </is>
      </c>
      <c r="BA153" t="n">
        <v>0</v>
      </c>
      <c r="BB153" t="inlineStr">
        <is>
          <t>e457f46455f46d633fa3d82dfaa38adcc7be889e3b4cd6ea469194f08e2e1a38</t>
        </is>
      </c>
    </row>
    <row r="154">
      <c r="A154" t="inlineStr">
        <is>
          <t>1184</t>
        </is>
      </c>
      <c r="B154" t="inlineStr">
        <is>
          <t>7618445936</t>
        </is>
      </c>
      <c r="C154" t="inlineStr">
        <is>
          <t>2025-12-25 13:46:50</t>
        </is>
      </c>
      <c r="D154" t="inlineStr">
        <is>
          <t>52</t>
        </is>
      </c>
      <c r="E154" t="inlineStr">
        <is>
          <t>Sha Sha - Shandaar Shawarma</t>
        </is>
      </c>
      <c r="F154" t="inlineStr">
        <is>
          <t>18557902</t>
        </is>
      </c>
      <c r="G154" t="inlineStr">
        <is>
          <t>NA</t>
        </is>
      </c>
      <c r="H154" t="inlineStr">
        <is>
          <t>ONLINE</t>
        </is>
      </c>
      <c r="I154" t="inlineStr">
        <is>
          <t>DELIVERED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O2</t>
        </is>
      </c>
      <c r="N154" t="inlineStr">
        <is>
          <t>36</t>
        </is>
      </c>
      <c r="O154" t="n">
        <v>448</v>
      </c>
      <c r="P154" t="n">
        <v>3.5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22.58</v>
      </c>
      <c r="W154" t="n">
        <v>474.08</v>
      </c>
      <c r="X154" t="n">
        <v>451.5</v>
      </c>
      <c r="Y154" t="n">
        <v>19</v>
      </c>
      <c r="Z154" t="n">
        <v>85.78</v>
      </c>
      <c r="AA154" t="n">
        <v>8.720000000000001</v>
      </c>
      <c r="AB154" t="n">
        <v>94.5</v>
      </c>
      <c r="AC154" t="n">
        <v>17.01</v>
      </c>
      <c r="AD154" t="n">
        <v>0</v>
      </c>
      <c r="AE154" t="n">
        <v>451.5</v>
      </c>
      <c r="AF154" t="n">
        <v>0</v>
      </c>
      <c r="AG154" t="n">
        <v>0</v>
      </c>
      <c r="AH154" t="n">
        <v>0.45</v>
      </c>
      <c r="AI154" t="n">
        <v>22.58</v>
      </c>
      <c r="AJ154" t="n">
        <v>0</v>
      </c>
      <c r="AK154" t="n">
        <v>40.04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134.54</v>
      </c>
      <c r="AV154" t="n">
        <v>0</v>
      </c>
      <c r="AW154" t="n">
        <v>339.54</v>
      </c>
      <c r="AX154" t="inlineStr">
        <is>
          <t>settled</t>
        </is>
      </c>
      <c r="AY154" t="inlineStr">
        <is>
          <t>NA</t>
        </is>
      </c>
      <c r="AZ154" t="inlineStr">
        <is>
          <t>NA</t>
        </is>
      </c>
      <c r="BA154" t="n">
        <v>0</v>
      </c>
      <c r="BB154" t="inlineStr">
        <is>
          <t>81300ab75f2732c6583debf14b339d9139a9330bf80beb833143f9ccc0bd2e7e</t>
        </is>
      </c>
    </row>
    <row r="155">
      <c r="A155" t="inlineStr">
        <is>
          <t>1185</t>
        </is>
      </c>
      <c r="B155" t="inlineStr">
        <is>
          <t>7616546063</t>
        </is>
      </c>
      <c r="C155" t="inlineStr">
        <is>
          <t>2025-12-25 14:16:53</t>
        </is>
      </c>
      <c r="D155" t="inlineStr">
        <is>
          <t>52</t>
        </is>
      </c>
      <c r="E155" t="inlineStr">
        <is>
          <t>Sha Sha - Shandaar Shawarma</t>
        </is>
      </c>
      <c r="F155" t="inlineStr">
        <is>
          <t>18557902</t>
        </is>
      </c>
      <c r="G155" t="inlineStr">
        <is>
          <t>30% off upto ₹75 (2025-06-25 - 2031-01-01)</t>
        </is>
      </c>
      <c r="H155" t="inlineStr">
        <is>
          <t>ONLINE</t>
        </is>
      </c>
      <c r="I155" t="inlineStr">
        <is>
          <t>DELIVERED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O2</t>
        </is>
      </c>
      <c r="N155" t="inlineStr">
        <is>
          <t>36</t>
        </is>
      </c>
      <c r="O155" t="n">
        <v>229</v>
      </c>
      <c r="P155" t="n">
        <v>3.5</v>
      </c>
      <c r="Q155" t="n">
        <v>0</v>
      </c>
      <c r="R155" t="n">
        <v>68.7</v>
      </c>
      <c r="S155" t="n">
        <v>0</v>
      </c>
      <c r="T155" t="n">
        <v>0</v>
      </c>
      <c r="U155" t="n">
        <v>0</v>
      </c>
      <c r="V155" t="n">
        <v>8.19</v>
      </c>
      <c r="W155" t="n">
        <v>171.99</v>
      </c>
      <c r="X155" t="n">
        <v>163.8</v>
      </c>
      <c r="Y155" t="n">
        <v>19</v>
      </c>
      <c r="Z155" t="n">
        <v>31.12</v>
      </c>
      <c r="AA155" t="n">
        <v>3.16</v>
      </c>
      <c r="AB155" t="n">
        <v>34.28</v>
      </c>
      <c r="AC155" t="n">
        <v>6.17</v>
      </c>
      <c r="AD155" t="n">
        <v>0</v>
      </c>
      <c r="AE155" t="n">
        <v>163.8</v>
      </c>
      <c r="AF155" t="n">
        <v>0</v>
      </c>
      <c r="AG155" t="n">
        <v>0</v>
      </c>
      <c r="AH155" t="n">
        <v>0.16</v>
      </c>
      <c r="AI155" t="n">
        <v>8.199999999999999</v>
      </c>
      <c r="AJ155" t="n">
        <v>-0.01</v>
      </c>
      <c r="AK155" t="n">
        <v>14.53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48.81</v>
      </c>
      <c r="AV155" t="n">
        <v>0</v>
      </c>
      <c r="AW155" t="n">
        <v>123.18</v>
      </c>
      <c r="AX155" t="inlineStr">
        <is>
          <t>settled</t>
        </is>
      </c>
      <c r="AY155" t="inlineStr">
        <is>
          <t>NA</t>
        </is>
      </c>
      <c r="AZ155" t="inlineStr">
        <is>
          <t>NA</t>
        </is>
      </c>
      <c r="BA155" t="n">
        <v>0</v>
      </c>
      <c r="BB155" t="inlineStr">
        <is>
          <t>db7e7f1e3b4eb311853dfaf3e3b72b9a380d69ec7004c84a327ff6b3354f0be3</t>
        </is>
      </c>
    </row>
    <row r="156">
      <c r="A156" t="inlineStr">
        <is>
          <t>1186</t>
        </is>
      </c>
      <c r="B156" t="inlineStr">
        <is>
          <t>7617676788</t>
        </is>
      </c>
      <c r="C156" t="inlineStr">
        <is>
          <t>2025-12-25 15:46:34</t>
        </is>
      </c>
      <c r="D156" t="inlineStr">
        <is>
          <t>52</t>
        </is>
      </c>
      <c r="E156" t="inlineStr">
        <is>
          <t>Sha Sha - Shandaar Shawarma</t>
        </is>
      </c>
      <c r="F156" t="inlineStr">
        <is>
          <t>18557902</t>
        </is>
      </c>
      <c r="G156" t="inlineStr">
        <is>
          <t>30% off upto ₹75 (2025-06-25 - 2031-01-01)</t>
        </is>
      </c>
      <c r="H156" t="inlineStr">
        <is>
          <t>ONLINE</t>
        </is>
      </c>
      <c r="I156" t="inlineStr">
        <is>
          <t>DELIVERED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O2</t>
        </is>
      </c>
      <c r="N156" t="inlineStr">
        <is>
          <t>36</t>
        </is>
      </c>
      <c r="O156" t="n">
        <v>229</v>
      </c>
      <c r="P156" t="n">
        <v>3.5</v>
      </c>
      <c r="Q156" t="n">
        <v>0</v>
      </c>
      <c r="R156" t="n">
        <v>68.7</v>
      </c>
      <c r="S156" t="n">
        <v>0</v>
      </c>
      <c r="T156" t="n">
        <v>0</v>
      </c>
      <c r="U156" t="n">
        <v>0</v>
      </c>
      <c r="V156" t="n">
        <v>8.19</v>
      </c>
      <c r="W156" t="n">
        <v>171.99</v>
      </c>
      <c r="X156" t="n">
        <v>163.8</v>
      </c>
      <c r="Y156" t="n">
        <v>19</v>
      </c>
      <c r="Z156" t="n">
        <v>31.12</v>
      </c>
      <c r="AA156" t="n">
        <v>3.16</v>
      </c>
      <c r="AB156" t="n">
        <v>34.28</v>
      </c>
      <c r="AC156" t="n">
        <v>6.17</v>
      </c>
      <c r="AD156" t="n">
        <v>0</v>
      </c>
      <c r="AE156" t="n">
        <v>163.8</v>
      </c>
      <c r="AF156" t="n">
        <v>0</v>
      </c>
      <c r="AG156" t="n">
        <v>0</v>
      </c>
      <c r="AH156" t="n">
        <v>0.16</v>
      </c>
      <c r="AI156" t="n">
        <v>8.199999999999999</v>
      </c>
      <c r="AJ156" t="n">
        <v>-0.01</v>
      </c>
      <c r="AK156" t="n">
        <v>14.53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48.81</v>
      </c>
      <c r="AV156" t="n">
        <v>0</v>
      </c>
      <c r="AW156" t="n">
        <v>123.18</v>
      </c>
      <c r="AX156" t="inlineStr">
        <is>
          <t>settled</t>
        </is>
      </c>
      <c r="AY156" t="inlineStr">
        <is>
          <t>NA</t>
        </is>
      </c>
      <c r="AZ156" t="inlineStr">
        <is>
          <t>NA</t>
        </is>
      </c>
      <c r="BA156" t="n">
        <v>0</v>
      </c>
      <c r="BB156" t="inlineStr">
        <is>
          <t>ca2073d82db9e89f4a26732742a23f8dc42cbadc0d57d6b416fdcd9d6a851df1</t>
        </is>
      </c>
    </row>
    <row r="157">
      <c r="A157" t="inlineStr">
        <is>
          <t>1187</t>
        </is>
      </c>
      <c r="B157" t="inlineStr">
        <is>
          <t>7619874493</t>
        </is>
      </c>
      <c r="C157" t="inlineStr">
        <is>
          <t>2025-12-25 16:13:31</t>
        </is>
      </c>
      <c r="D157" t="inlineStr">
        <is>
          <t>52</t>
        </is>
      </c>
      <c r="E157" t="inlineStr">
        <is>
          <t>Sha Sha - Shandaar Shawarma</t>
        </is>
      </c>
      <c r="F157" t="inlineStr">
        <is>
          <t>18557902</t>
        </is>
      </c>
      <c r="G157" t="inlineStr">
        <is>
          <t>30% off upto ₹75 (2025-06-25 - 2031-01-01)</t>
        </is>
      </c>
      <c r="H157" t="inlineStr">
        <is>
          <t>ONLINE</t>
        </is>
      </c>
      <c r="I157" t="inlineStr">
        <is>
          <t>DELIVERED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O2</t>
        </is>
      </c>
      <c r="N157" t="inlineStr">
        <is>
          <t>36</t>
        </is>
      </c>
      <c r="O157" t="n">
        <v>687</v>
      </c>
      <c r="P157" t="n">
        <v>3.5</v>
      </c>
      <c r="Q157" t="n">
        <v>0</v>
      </c>
      <c r="R157" t="n">
        <v>75</v>
      </c>
      <c r="S157" t="n">
        <v>0</v>
      </c>
      <c r="T157" t="n">
        <v>0</v>
      </c>
      <c r="U157" t="n">
        <v>0</v>
      </c>
      <c r="V157" t="n">
        <v>30.78</v>
      </c>
      <c r="W157" t="n">
        <v>646.28</v>
      </c>
      <c r="X157" t="n">
        <v>615.5</v>
      </c>
      <c r="Y157" t="n">
        <v>19</v>
      </c>
      <c r="Z157" t="n">
        <v>116.94</v>
      </c>
      <c r="AA157" t="n">
        <v>11.89</v>
      </c>
      <c r="AB157" t="n">
        <v>128.83</v>
      </c>
      <c r="AC157" t="n">
        <v>23.19</v>
      </c>
      <c r="AD157" t="n">
        <v>0</v>
      </c>
      <c r="AE157" t="n">
        <v>615.5</v>
      </c>
      <c r="AF157" t="n">
        <v>0</v>
      </c>
      <c r="AG157" t="n">
        <v>0</v>
      </c>
      <c r="AH157" t="n">
        <v>0.62</v>
      </c>
      <c r="AI157" t="n">
        <v>30.78</v>
      </c>
      <c r="AJ157" t="n">
        <v>0</v>
      </c>
      <c r="AK157" t="n">
        <v>54.59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183.42</v>
      </c>
      <c r="AV157" t="n">
        <v>0</v>
      </c>
      <c r="AW157" t="n">
        <v>462.86</v>
      </c>
      <c r="AX157" t="inlineStr">
        <is>
          <t>settled</t>
        </is>
      </c>
      <c r="AY157" t="inlineStr">
        <is>
          <t>NA</t>
        </is>
      </c>
      <c r="AZ157" t="inlineStr">
        <is>
          <t>NA</t>
        </is>
      </c>
      <c r="BA157" t="n">
        <v>0</v>
      </c>
      <c r="BB157" t="inlineStr">
        <is>
          <t>4f8ac855e843574a41db7bc38ffc5a4dd9f514b5ec1be7ee443a580158f4779c</t>
        </is>
      </c>
    </row>
    <row r="158">
      <c r="A158" t="inlineStr">
        <is>
          <t>1188</t>
        </is>
      </c>
      <c r="B158" t="inlineStr">
        <is>
          <t>7618498525</t>
        </is>
      </c>
      <c r="C158" t="inlineStr">
        <is>
          <t>2025-12-25 16:36:11</t>
        </is>
      </c>
      <c r="D158" t="inlineStr">
        <is>
          <t>52</t>
        </is>
      </c>
      <c r="E158" t="inlineStr">
        <is>
          <t>Sha Sha - Shandaar Shawarma</t>
        </is>
      </c>
      <c r="F158" t="inlineStr">
        <is>
          <t>18557902</t>
        </is>
      </c>
      <c r="G158" t="inlineStr">
        <is>
          <t>30% off upto ₹75 (2025-06-25 - 2031-01-01)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O2</t>
        </is>
      </c>
      <c r="N158" t="inlineStr">
        <is>
          <t>36</t>
        </is>
      </c>
      <c r="O158" t="n">
        <v>384</v>
      </c>
      <c r="P158" t="n">
        <v>3.5</v>
      </c>
      <c r="Q158" t="n">
        <v>0</v>
      </c>
      <c r="R158" t="n">
        <v>75</v>
      </c>
      <c r="S158" t="n">
        <v>0</v>
      </c>
      <c r="T158" t="n">
        <v>0</v>
      </c>
      <c r="U158" t="n">
        <v>0</v>
      </c>
      <c r="V158" t="n">
        <v>15.63</v>
      </c>
      <c r="W158" t="n">
        <v>328.13</v>
      </c>
      <c r="X158" t="n">
        <v>312.5</v>
      </c>
      <c r="Y158" t="n">
        <v>19</v>
      </c>
      <c r="Z158" t="n">
        <v>59.38</v>
      </c>
      <c r="AA158" t="n">
        <v>6.04</v>
      </c>
      <c r="AB158" t="n">
        <v>65.42</v>
      </c>
      <c r="AC158" t="n">
        <v>11.78</v>
      </c>
      <c r="AD158" t="n">
        <v>0</v>
      </c>
      <c r="AE158" t="n">
        <v>312.5</v>
      </c>
      <c r="AF158" t="n">
        <v>0</v>
      </c>
      <c r="AG158" t="n">
        <v>0</v>
      </c>
      <c r="AH158" t="n">
        <v>0.31</v>
      </c>
      <c r="AI158" t="n">
        <v>15.63</v>
      </c>
      <c r="AJ158" t="n">
        <v>0</v>
      </c>
      <c r="AK158" t="n">
        <v>27.72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93.14</v>
      </c>
      <c r="AV158" t="n">
        <v>0</v>
      </c>
      <c r="AW158" t="n">
        <v>234.99</v>
      </c>
      <c r="AX158" t="inlineStr">
        <is>
          <t>settled</t>
        </is>
      </c>
      <c r="AY158" t="inlineStr">
        <is>
          <t>NA</t>
        </is>
      </c>
      <c r="AZ158" t="inlineStr">
        <is>
          <t>NA</t>
        </is>
      </c>
      <c r="BA158" t="n">
        <v>0</v>
      </c>
      <c r="BB158" t="inlineStr">
        <is>
          <t>b76fac34e4ceed1077092d4d2649d15a1a0ee6c1c314edf0e4c8a7efa73792af</t>
        </is>
      </c>
    </row>
    <row r="159">
      <c r="A159" t="inlineStr">
        <is>
          <t>1189</t>
        </is>
      </c>
      <c r="B159" t="inlineStr">
        <is>
          <t>7619362480</t>
        </is>
      </c>
      <c r="C159" t="inlineStr">
        <is>
          <t>2025-12-25 17:10:48</t>
        </is>
      </c>
      <c r="D159" t="inlineStr">
        <is>
          <t>52</t>
        </is>
      </c>
      <c r="E159" t="inlineStr">
        <is>
          <t>Sha Sha - Shandaar Shawarma</t>
        </is>
      </c>
      <c r="F159" t="inlineStr">
        <is>
          <t>18557902</t>
        </is>
      </c>
      <c r="G159" t="inlineStr">
        <is>
          <t>30% off upto ₹75 (2025-06-25 - 2031-01-01)</t>
        </is>
      </c>
      <c r="H159" t="inlineStr">
        <is>
          <t>ONLINE</t>
        </is>
      </c>
      <c r="I159" t="inlineStr">
        <is>
          <t>DELIVERED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O2</t>
        </is>
      </c>
      <c r="N159" t="inlineStr">
        <is>
          <t>36</t>
        </is>
      </c>
      <c r="O159" t="n">
        <v>438</v>
      </c>
      <c r="P159" t="n">
        <v>3.5</v>
      </c>
      <c r="Q159" t="n">
        <v>0</v>
      </c>
      <c r="R159" t="n">
        <v>75</v>
      </c>
      <c r="S159" t="n">
        <v>0</v>
      </c>
      <c r="T159" t="n">
        <v>0</v>
      </c>
      <c r="U159" t="n">
        <v>0</v>
      </c>
      <c r="V159" t="n">
        <v>18.33</v>
      </c>
      <c r="W159" t="n">
        <v>384.83</v>
      </c>
      <c r="X159" t="n">
        <v>366.5</v>
      </c>
      <c r="Y159" t="n">
        <v>19</v>
      </c>
      <c r="Z159" t="n">
        <v>69.64</v>
      </c>
      <c r="AA159" t="n">
        <v>7.08</v>
      </c>
      <c r="AB159" t="n">
        <v>76.72</v>
      </c>
      <c r="AC159" t="n">
        <v>13.81</v>
      </c>
      <c r="AD159" t="n">
        <v>0</v>
      </c>
      <c r="AE159" t="n">
        <v>366.5</v>
      </c>
      <c r="AF159" t="n">
        <v>0</v>
      </c>
      <c r="AG159" t="n">
        <v>0</v>
      </c>
      <c r="AH159" t="n">
        <v>0.37</v>
      </c>
      <c r="AI159" t="n">
        <v>18.33</v>
      </c>
      <c r="AJ159" t="n">
        <v>0</v>
      </c>
      <c r="AK159" t="n">
        <v>32.51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109.23</v>
      </c>
      <c r="AV159" t="n">
        <v>0</v>
      </c>
      <c r="AW159" t="n">
        <v>275.6</v>
      </c>
      <c r="AX159" t="inlineStr">
        <is>
          <t>settled</t>
        </is>
      </c>
      <c r="AY159" t="inlineStr">
        <is>
          <t>NA</t>
        </is>
      </c>
      <c r="AZ159" t="inlineStr">
        <is>
          <t>NA</t>
        </is>
      </c>
      <c r="BA159" t="n">
        <v>0</v>
      </c>
      <c r="BB159" t="inlineStr">
        <is>
          <t>2cfa13cdfa590910134451ef14893b4c6c1258a19d2f14a97503fd773f89d4d4</t>
        </is>
      </c>
    </row>
    <row r="160">
      <c r="A160" t="inlineStr">
        <is>
          <t>1190</t>
        </is>
      </c>
      <c r="B160" t="inlineStr">
        <is>
          <t>7618032244</t>
        </is>
      </c>
      <c r="C160" t="inlineStr">
        <is>
          <t>2025-12-25 17:33:46</t>
        </is>
      </c>
      <c r="D160" t="inlineStr">
        <is>
          <t>52</t>
        </is>
      </c>
      <c r="E160" t="inlineStr">
        <is>
          <t>Sha Sha - Shandaar Shawarma</t>
        </is>
      </c>
      <c r="F160" t="inlineStr">
        <is>
          <t>18557902</t>
        </is>
      </c>
      <c r="G160" t="inlineStr">
        <is>
          <t>30% off upto ₹75 (2025-06-25 - 2031-01-01)</t>
        </is>
      </c>
      <c r="H160" t="inlineStr">
        <is>
          <t>ONLINE</t>
        </is>
      </c>
      <c r="I160" t="inlineStr">
        <is>
          <t>DELIVERED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O2</t>
        </is>
      </c>
      <c r="N160" t="inlineStr">
        <is>
          <t>36</t>
        </is>
      </c>
      <c r="O160" t="n">
        <v>448</v>
      </c>
      <c r="P160" t="n">
        <v>3.5</v>
      </c>
      <c r="Q160" t="n">
        <v>0</v>
      </c>
      <c r="R160" t="n">
        <v>75</v>
      </c>
      <c r="S160" t="n">
        <v>0</v>
      </c>
      <c r="T160" t="n">
        <v>0</v>
      </c>
      <c r="U160" t="n">
        <v>0</v>
      </c>
      <c r="V160" t="n">
        <v>18.83</v>
      </c>
      <c r="W160" t="n">
        <v>395.33</v>
      </c>
      <c r="X160" t="n">
        <v>376.5</v>
      </c>
      <c r="Y160" t="n">
        <v>19</v>
      </c>
      <c r="Z160" t="n">
        <v>71.54000000000001</v>
      </c>
      <c r="AA160" t="n">
        <v>7.27</v>
      </c>
      <c r="AB160" t="n">
        <v>78.81</v>
      </c>
      <c r="AC160" t="n">
        <v>14.19</v>
      </c>
      <c r="AD160" t="n">
        <v>0</v>
      </c>
      <c r="AE160" t="n">
        <v>376.5</v>
      </c>
      <c r="AF160" t="n">
        <v>0</v>
      </c>
      <c r="AG160" t="n">
        <v>0</v>
      </c>
      <c r="AH160" t="n">
        <v>0.38</v>
      </c>
      <c r="AI160" t="n">
        <v>18.83</v>
      </c>
      <c r="AJ160" t="n">
        <v>0</v>
      </c>
      <c r="AK160" t="n">
        <v>33.4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112.21</v>
      </c>
      <c r="AV160" t="n">
        <v>0</v>
      </c>
      <c r="AW160" t="n">
        <v>283.12</v>
      </c>
      <c r="AX160" t="inlineStr">
        <is>
          <t>settled</t>
        </is>
      </c>
      <c r="AY160" t="inlineStr">
        <is>
          <t>NA</t>
        </is>
      </c>
      <c r="AZ160" t="inlineStr">
        <is>
          <t>NA</t>
        </is>
      </c>
      <c r="BA160" t="n">
        <v>0</v>
      </c>
      <c r="BB160" t="inlineStr">
        <is>
          <t>969220c14b0ddc0e8e25fc25061c8536761bf043f30554487dccbcc98cd7f02e</t>
        </is>
      </c>
    </row>
    <row r="161">
      <c r="A161" t="inlineStr">
        <is>
          <t>1191</t>
        </is>
      </c>
      <c r="B161" t="inlineStr">
        <is>
          <t>7618240793</t>
        </is>
      </c>
      <c r="C161" t="inlineStr">
        <is>
          <t>2025-12-25 17:44:15</t>
        </is>
      </c>
      <c r="D161" t="inlineStr">
        <is>
          <t>52</t>
        </is>
      </c>
      <c r="E161" t="inlineStr">
        <is>
          <t>Sha Sha - Shandaar Shawarma</t>
        </is>
      </c>
      <c r="F161" t="inlineStr">
        <is>
          <t>18557902</t>
        </is>
      </c>
      <c r="G161" t="inlineStr">
        <is>
          <t>30% off upto ₹75 (2025-06-25 - 2031-01-01)</t>
        </is>
      </c>
      <c r="H161" t="inlineStr">
        <is>
          <t>ONLINE</t>
        </is>
      </c>
      <c r="I161" t="inlineStr">
        <is>
          <t>DELIVERED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O2</t>
        </is>
      </c>
      <c r="N161" t="inlineStr">
        <is>
          <t>36</t>
        </is>
      </c>
      <c r="O161" t="n">
        <v>468</v>
      </c>
      <c r="P161" t="n">
        <v>3.5</v>
      </c>
      <c r="Q161" t="n">
        <v>0</v>
      </c>
      <c r="R161" t="n">
        <v>75</v>
      </c>
      <c r="S161" t="n">
        <v>0</v>
      </c>
      <c r="T161" t="n">
        <v>0</v>
      </c>
      <c r="U161" t="n">
        <v>0</v>
      </c>
      <c r="V161" t="n">
        <v>19.83</v>
      </c>
      <c r="W161" t="n">
        <v>416.33</v>
      </c>
      <c r="X161" t="n">
        <v>396.5</v>
      </c>
      <c r="Y161" t="n">
        <v>19</v>
      </c>
      <c r="Z161" t="n">
        <v>75.34</v>
      </c>
      <c r="AA161" t="n">
        <v>7.66</v>
      </c>
      <c r="AB161" t="n">
        <v>83</v>
      </c>
      <c r="AC161" t="n">
        <v>14.94</v>
      </c>
      <c r="AD161" t="n">
        <v>0</v>
      </c>
      <c r="AE161" t="n">
        <v>396.5</v>
      </c>
      <c r="AF161" t="n">
        <v>0</v>
      </c>
      <c r="AG161" t="n">
        <v>0</v>
      </c>
      <c r="AH161" t="n">
        <v>0.4</v>
      </c>
      <c r="AI161" t="n">
        <v>19.83</v>
      </c>
      <c r="AJ161" t="n">
        <v>0</v>
      </c>
      <c r="AK161" t="n">
        <v>35.17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118.17</v>
      </c>
      <c r="AV161" t="n">
        <v>0</v>
      </c>
      <c r="AW161" t="n">
        <v>298.16</v>
      </c>
      <c r="AX161" t="inlineStr">
        <is>
          <t>settled</t>
        </is>
      </c>
      <c r="AY161" t="inlineStr">
        <is>
          <t>NA</t>
        </is>
      </c>
      <c r="AZ161" t="inlineStr">
        <is>
          <t>NA</t>
        </is>
      </c>
      <c r="BA161" t="n">
        <v>0</v>
      </c>
      <c r="BB161" t="inlineStr">
        <is>
          <t>2b927a3488c9a51e3279078007c1f4379ea2bc7ec7cba45cae000fcfbf31193e</t>
        </is>
      </c>
    </row>
    <row r="162">
      <c r="A162" t="inlineStr">
        <is>
          <t>1192</t>
        </is>
      </c>
      <c r="B162" t="inlineStr">
        <is>
          <t>7613538300</t>
        </is>
      </c>
      <c r="C162" t="inlineStr">
        <is>
          <t>2025-12-25 18:53:12</t>
        </is>
      </c>
      <c r="D162" t="inlineStr">
        <is>
          <t>52</t>
        </is>
      </c>
      <c r="E162" t="inlineStr">
        <is>
          <t>Sha Sha - Shandaar Shawarma</t>
        </is>
      </c>
      <c r="F162" t="inlineStr">
        <is>
          <t>18557902</t>
        </is>
      </c>
      <c r="G162" t="inlineStr">
        <is>
          <t>30% off upto ₹75 (2025-06-25 - 2031-01-01)</t>
        </is>
      </c>
      <c r="H162" t="inlineStr">
        <is>
          <t>ONLINE</t>
        </is>
      </c>
      <c r="I162" t="inlineStr">
        <is>
          <t>DELIVERED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O2</t>
        </is>
      </c>
      <c r="N162" t="inlineStr">
        <is>
          <t>36</t>
        </is>
      </c>
      <c r="O162" t="n">
        <v>229</v>
      </c>
      <c r="P162" t="n">
        <v>3.5</v>
      </c>
      <c r="Q162" t="n">
        <v>0</v>
      </c>
      <c r="R162" t="n">
        <v>68.7</v>
      </c>
      <c r="S162" t="n">
        <v>0</v>
      </c>
      <c r="T162" t="n">
        <v>0</v>
      </c>
      <c r="U162" t="n">
        <v>0</v>
      </c>
      <c r="V162" t="n">
        <v>8.19</v>
      </c>
      <c r="W162" t="n">
        <v>171.99</v>
      </c>
      <c r="X162" t="n">
        <v>163.8</v>
      </c>
      <c r="Y162" t="n">
        <v>19</v>
      </c>
      <c r="Z162" t="n">
        <v>31.12</v>
      </c>
      <c r="AA162" t="n">
        <v>3.16</v>
      </c>
      <c r="AB162" t="n">
        <v>34.28</v>
      </c>
      <c r="AC162" t="n">
        <v>6.17</v>
      </c>
      <c r="AD162" t="n">
        <v>0</v>
      </c>
      <c r="AE162" t="n">
        <v>163.8</v>
      </c>
      <c r="AF162" t="n">
        <v>0</v>
      </c>
      <c r="AG162" t="n">
        <v>0</v>
      </c>
      <c r="AH162" t="n">
        <v>0.16</v>
      </c>
      <c r="AI162" t="n">
        <v>8.199999999999999</v>
      </c>
      <c r="AJ162" t="n">
        <v>-0.01</v>
      </c>
      <c r="AK162" t="n">
        <v>14.53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48.81</v>
      </c>
      <c r="AV162" t="n">
        <v>0</v>
      </c>
      <c r="AW162" t="n">
        <v>123.18</v>
      </c>
      <c r="AX162" t="inlineStr">
        <is>
          <t>settled</t>
        </is>
      </c>
      <c r="AY162" t="inlineStr">
        <is>
          <t>NA</t>
        </is>
      </c>
      <c r="AZ162" t="inlineStr">
        <is>
          <t>NA</t>
        </is>
      </c>
      <c r="BA162" t="n">
        <v>0</v>
      </c>
      <c r="BB162" t="inlineStr">
        <is>
          <t>ece68736b12e6fc47905ad11eb8400ba427da1a8ae7ba9222c1bbdfc9a125239</t>
        </is>
      </c>
    </row>
    <row r="163">
      <c r="A163" t="inlineStr">
        <is>
          <t>1193</t>
        </is>
      </c>
      <c r="B163" t="inlineStr">
        <is>
          <t>7618406955</t>
        </is>
      </c>
      <c r="C163" t="inlineStr">
        <is>
          <t>2025-12-25 19:54:30</t>
        </is>
      </c>
      <c r="D163" t="inlineStr">
        <is>
          <t>52</t>
        </is>
      </c>
      <c r="E163" t="inlineStr">
        <is>
          <t>Sha Sha - Shandaar Shawarma</t>
        </is>
      </c>
      <c r="F163" t="inlineStr">
        <is>
          <t>18557902</t>
        </is>
      </c>
      <c r="G163" t="inlineStr">
        <is>
          <t>30% off upto ₹75 (2025-06-25 - 2031-01-01)</t>
        </is>
      </c>
      <c r="H163" t="inlineStr">
        <is>
          <t>ONLINE</t>
        </is>
      </c>
      <c r="I163" t="inlineStr">
        <is>
          <t>DELIVERED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O2</t>
        </is>
      </c>
      <c r="N163" t="inlineStr">
        <is>
          <t>36</t>
        </is>
      </c>
      <c r="O163" t="n">
        <v>229</v>
      </c>
      <c r="P163" t="n">
        <v>3.5</v>
      </c>
      <c r="Q163" t="n">
        <v>0</v>
      </c>
      <c r="R163" t="n">
        <v>68.7</v>
      </c>
      <c r="S163" t="n">
        <v>0</v>
      </c>
      <c r="T163" t="n">
        <v>0</v>
      </c>
      <c r="U163" t="n">
        <v>0</v>
      </c>
      <c r="V163" t="n">
        <v>8.19</v>
      </c>
      <c r="W163" t="n">
        <v>171.99</v>
      </c>
      <c r="X163" t="n">
        <v>163.8</v>
      </c>
      <c r="Y163" t="n">
        <v>19</v>
      </c>
      <c r="Z163" t="n">
        <v>31.12</v>
      </c>
      <c r="AA163" t="n">
        <v>3.16</v>
      </c>
      <c r="AB163" t="n">
        <v>34.28</v>
      </c>
      <c r="AC163" t="n">
        <v>6.17</v>
      </c>
      <c r="AD163" t="n">
        <v>0</v>
      </c>
      <c r="AE163" t="n">
        <v>163.8</v>
      </c>
      <c r="AF163" t="n">
        <v>0</v>
      </c>
      <c r="AG163" t="n">
        <v>0</v>
      </c>
      <c r="AH163" t="n">
        <v>0.16</v>
      </c>
      <c r="AI163" t="n">
        <v>8.199999999999999</v>
      </c>
      <c r="AJ163" t="n">
        <v>-0.01</v>
      </c>
      <c r="AK163" t="n">
        <v>14.53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48.81</v>
      </c>
      <c r="AV163" t="n">
        <v>0</v>
      </c>
      <c r="AW163" t="n">
        <v>123.18</v>
      </c>
      <c r="AX163" t="inlineStr">
        <is>
          <t>settled</t>
        </is>
      </c>
      <c r="AY163" t="inlineStr">
        <is>
          <t>NA</t>
        </is>
      </c>
      <c r="AZ163" t="inlineStr">
        <is>
          <t>NA</t>
        </is>
      </c>
      <c r="BA163" t="n">
        <v>0</v>
      </c>
      <c r="BB163" t="inlineStr">
        <is>
          <t>e58b616b4f8bc9cb9068637c0c7cb0d4149bd91d2e1fe300b6a5c963f2ee9254</t>
        </is>
      </c>
    </row>
    <row r="164">
      <c r="A164" t="inlineStr">
        <is>
          <t>1194</t>
        </is>
      </c>
      <c r="B164" t="inlineStr">
        <is>
          <t>7615107982</t>
        </is>
      </c>
      <c r="C164" t="inlineStr">
        <is>
          <t>2025-12-25 20:02:07</t>
        </is>
      </c>
      <c r="D164" t="inlineStr">
        <is>
          <t>52</t>
        </is>
      </c>
      <c r="E164" t="inlineStr">
        <is>
          <t>Sha Sha - Shandaar Shawarma</t>
        </is>
      </c>
      <c r="F164" t="inlineStr">
        <is>
          <t>18557902</t>
        </is>
      </c>
      <c r="G164" t="inlineStr">
        <is>
          <t>30% off upto ₹75 (2025-06-25 - 2031-01-01)</t>
        </is>
      </c>
      <c r="H164" t="inlineStr">
        <is>
          <t>ONLINE</t>
        </is>
      </c>
      <c r="I164" t="inlineStr">
        <is>
          <t>DELIVERED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O2</t>
        </is>
      </c>
      <c r="N164" t="inlineStr">
        <is>
          <t>36</t>
        </is>
      </c>
      <c r="O164" t="n">
        <v>219</v>
      </c>
      <c r="P164" t="n">
        <v>3.5</v>
      </c>
      <c r="Q164" t="n">
        <v>0</v>
      </c>
      <c r="R164" t="n">
        <v>65.7</v>
      </c>
      <c r="S164" t="n">
        <v>0</v>
      </c>
      <c r="T164" t="n">
        <v>0</v>
      </c>
      <c r="U164" t="n">
        <v>0</v>
      </c>
      <c r="V164" t="n">
        <v>7.84</v>
      </c>
      <c r="W164" t="n">
        <v>164.64</v>
      </c>
      <c r="X164" t="n">
        <v>156.8</v>
      </c>
      <c r="Y164" t="n">
        <v>19</v>
      </c>
      <c r="Z164" t="n">
        <v>29.79</v>
      </c>
      <c r="AA164" t="n">
        <v>3.03</v>
      </c>
      <c r="AB164" t="n">
        <v>32.82</v>
      </c>
      <c r="AC164" t="n">
        <v>5.91</v>
      </c>
      <c r="AD164" t="n">
        <v>0</v>
      </c>
      <c r="AE164" t="n">
        <v>156.8</v>
      </c>
      <c r="AF164" t="n">
        <v>0</v>
      </c>
      <c r="AG164" t="n">
        <v>0</v>
      </c>
      <c r="AH164" t="n">
        <v>0.16</v>
      </c>
      <c r="AI164" t="n">
        <v>7.85</v>
      </c>
      <c r="AJ164" t="n">
        <v>-0.01</v>
      </c>
      <c r="AK164" t="n">
        <v>13.92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46.74</v>
      </c>
      <c r="AV164" t="n">
        <v>0</v>
      </c>
      <c r="AW164" t="n">
        <v>117.9</v>
      </c>
      <c r="AX164" t="inlineStr">
        <is>
          <t>settled</t>
        </is>
      </c>
      <c r="AY164" t="inlineStr">
        <is>
          <t>NA</t>
        </is>
      </c>
      <c r="AZ164" t="inlineStr">
        <is>
          <t>NA</t>
        </is>
      </c>
      <c r="BA164" t="n">
        <v>0</v>
      </c>
      <c r="BB164" t="inlineStr">
        <is>
          <t>ebe6e4b12c450766fc91605c0885f917aad76e8569befa6d5d3d7d6f97421d15</t>
        </is>
      </c>
    </row>
    <row r="165">
      <c r="A165" t="inlineStr">
        <is>
          <t>1195</t>
        </is>
      </c>
      <c r="B165" t="inlineStr">
        <is>
          <t>7609622860</t>
        </is>
      </c>
      <c r="C165" t="inlineStr">
        <is>
          <t>2025-12-25 20:15:38</t>
        </is>
      </c>
      <c r="D165" t="inlineStr">
        <is>
          <t>52</t>
        </is>
      </c>
      <c r="E165" t="inlineStr">
        <is>
          <t>Sha Sha - Shandaar Shawarma</t>
        </is>
      </c>
      <c r="F165" t="inlineStr">
        <is>
          <t>18557902</t>
        </is>
      </c>
      <c r="G165" t="inlineStr">
        <is>
          <t>30% off upto ₹75 (2025-06-25 - 2031-01-01)</t>
        </is>
      </c>
      <c r="H165" t="inlineStr">
        <is>
          <t>ONLINE</t>
        </is>
      </c>
      <c r="I165" t="inlineStr">
        <is>
          <t>DELIVERED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O2</t>
        </is>
      </c>
      <c r="N165" t="inlineStr">
        <is>
          <t>36</t>
        </is>
      </c>
      <c r="O165" t="n">
        <v>229</v>
      </c>
      <c r="P165" t="n">
        <v>3.5</v>
      </c>
      <c r="Q165" t="n">
        <v>0</v>
      </c>
      <c r="R165" t="n">
        <v>68.7</v>
      </c>
      <c r="S165" t="n">
        <v>0</v>
      </c>
      <c r="T165" t="n">
        <v>0</v>
      </c>
      <c r="U165" t="n">
        <v>0</v>
      </c>
      <c r="V165" t="n">
        <v>8.19</v>
      </c>
      <c r="W165" t="n">
        <v>171.99</v>
      </c>
      <c r="X165" t="n">
        <v>163.8</v>
      </c>
      <c r="Y165" t="n">
        <v>19</v>
      </c>
      <c r="Z165" t="n">
        <v>31.12</v>
      </c>
      <c r="AA165" t="n">
        <v>3.16</v>
      </c>
      <c r="AB165" t="n">
        <v>34.28</v>
      </c>
      <c r="AC165" t="n">
        <v>6.17</v>
      </c>
      <c r="AD165" t="n">
        <v>0</v>
      </c>
      <c r="AE165" t="n">
        <v>163.8</v>
      </c>
      <c r="AF165" t="n">
        <v>0</v>
      </c>
      <c r="AG165" t="n">
        <v>0</v>
      </c>
      <c r="AH165" t="n">
        <v>0.16</v>
      </c>
      <c r="AI165" t="n">
        <v>8.199999999999999</v>
      </c>
      <c r="AJ165" t="n">
        <v>-0.01</v>
      </c>
      <c r="AK165" t="n">
        <v>14.53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48.81</v>
      </c>
      <c r="AV165" t="n">
        <v>0</v>
      </c>
      <c r="AW165" t="n">
        <v>123.18</v>
      </c>
      <c r="AX165" t="inlineStr">
        <is>
          <t>settled</t>
        </is>
      </c>
      <c r="AY165" t="inlineStr">
        <is>
          <t>NA</t>
        </is>
      </c>
      <c r="AZ165" t="inlineStr">
        <is>
          <t>NA</t>
        </is>
      </c>
      <c r="BA165" t="n">
        <v>0</v>
      </c>
      <c r="BB165" t="inlineStr">
        <is>
          <t>b8927883bf489d6b3a3f6205a118bf7e64bc3638dfb50372499f4dd366ee001d</t>
        </is>
      </c>
    </row>
    <row r="166">
      <c r="A166" t="inlineStr">
        <is>
          <t>1196</t>
        </is>
      </c>
      <c r="B166" t="inlineStr">
        <is>
          <t>7618387704</t>
        </is>
      </c>
      <c r="C166" t="inlineStr">
        <is>
          <t>2025-12-25 20:38:20</t>
        </is>
      </c>
      <c r="D166" t="inlineStr">
        <is>
          <t>52</t>
        </is>
      </c>
      <c r="E166" t="inlineStr">
        <is>
          <t>Sha Sha - Shandaar Shawarma</t>
        </is>
      </c>
      <c r="F166" t="inlineStr">
        <is>
          <t>18557902</t>
        </is>
      </c>
      <c r="G166" t="inlineStr">
        <is>
          <t>30% off upto ₹75 (2025-06-25 - 2031-01-01)</t>
        </is>
      </c>
      <c r="H166" t="inlineStr">
        <is>
          <t>ONLINE</t>
        </is>
      </c>
      <c r="I166" t="inlineStr">
        <is>
          <t>DELIVERED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O2</t>
        </is>
      </c>
      <c r="N166" t="inlineStr">
        <is>
          <t>36</t>
        </is>
      </c>
      <c r="O166" t="n">
        <v>229</v>
      </c>
      <c r="P166" t="n">
        <v>3.5</v>
      </c>
      <c r="Q166" t="n">
        <v>0</v>
      </c>
      <c r="R166" t="n">
        <v>68.7</v>
      </c>
      <c r="S166" t="n">
        <v>0</v>
      </c>
      <c r="T166" t="n">
        <v>0</v>
      </c>
      <c r="U166" t="n">
        <v>0</v>
      </c>
      <c r="V166" t="n">
        <v>8.19</v>
      </c>
      <c r="W166" t="n">
        <v>171.99</v>
      </c>
      <c r="X166" t="n">
        <v>163.8</v>
      </c>
      <c r="Y166" t="n">
        <v>19</v>
      </c>
      <c r="Z166" t="n">
        <v>31.12</v>
      </c>
      <c r="AA166" t="n">
        <v>3.16</v>
      </c>
      <c r="AB166" t="n">
        <v>34.28</v>
      </c>
      <c r="AC166" t="n">
        <v>6.17</v>
      </c>
      <c r="AD166" t="n">
        <v>0</v>
      </c>
      <c r="AE166" t="n">
        <v>163.8</v>
      </c>
      <c r="AF166" t="n">
        <v>0</v>
      </c>
      <c r="AG166" t="n">
        <v>0</v>
      </c>
      <c r="AH166" t="n">
        <v>0.16</v>
      </c>
      <c r="AI166" t="n">
        <v>8.199999999999999</v>
      </c>
      <c r="AJ166" t="n">
        <v>-0.01</v>
      </c>
      <c r="AK166" t="n">
        <v>14.53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48.81</v>
      </c>
      <c r="AV166" t="n">
        <v>0</v>
      </c>
      <c r="AW166" t="n">
        <v>123.18</v>
      </c>
      <c r="AX166" t="inlineStr">
        <is>
          <t>settled</t>
        </is>
      </c>
      <c r="AY166" t="inlineStr">
        <is>
          <t>NA</t>
        </is>
      </c>
      <c r="AZ166" t="inlineStr">
        <is>
          <t>NA</t>
        </is>
      </c>
      <c r="BA166" t="n">
        <v>0</v>
      </c>
      <c r="BB166" t="inlineStr">
        <is>
          <t>f56aa7da9a0e577a05eef71aab692747041499cd5f1ba2435dee2a8ec565cbab</t>
        </is>
      </c>
    </row>
    <row r="167">
      <c r="A167" t="inlineStr">
        <is>
          <t>1197</t>
        </is>
      </c>
      <c r="B167" t="inlineStr">
        <is>
          <t>7618519898</t>
        </is>
      </c>
      <c r="C167" t="inlineStr">
        <is>
          <t>2025-12-25 20:50:31</t>
        </is>
      </c>
      <c r="D167" t="inlineStr">
        <is>
          <t>52</t>
        </is>
      </c>
      <c r="E167" t="inlineStr">
        <is>
          <t>Sha Sha - Shandaar Shawarma</t>
        </is>
      </c>
      <c r="F167" t="inlineStr">
        <is>
          <t>18557902</t>
        </is>
      </c>
      <c r="G167" t="inlineStr">
        <is>
          <t>30% off upto ₹75 (2025-06-25 - 2031-01-01)</t>
        </is>
      </c>
      <c r="H167" t="inlineStr">
        <is>
          <t>ONLINE</t>
        </is>
      </c>
      <c r="I167" t="inlineStr">
        <is>
          <t>DELIVERED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O2</t>
        </is>
      </c>
      <c r="N167" t="inlineStr">
        <is>
          <t>36</t>
        </is>
      </c>
      <c r="O167" t="n">
        <v>229</v>
      </c>
      <c r="P167" t="n">
        <v>3.5</v>
      </c>
      <c r="Q167" t="n">
        <v>0</v>
      </c>
      <c r="R167" t="n">
        <v>68.7</v>
      </c>
      <c r="S167" t="n">
        <v>0</v>
      </c>
      <c r="T167" t="n">
        <v>0</v>
      </c>
      <c r="U167" t="n">
        <v>0</v>
      </c>
      <c r="V167" t="n">
        <v>8.19</v>
      </c>
      <c r="W167" t="n">
        <v>171.99</v>
      </c>
      <c r="X167" t="n">
        <v>163.8</v>
      </c>
      <c r="Y167" t="n">
        <v>19</v>
      </c>
      <c r="Z167" t="n">
        <v>31.12</v>
      </c>
      <c r="AA167" t="n">
        <v>3.16</v>
      </c>
      <c r="AB167" t="n">
        <v>34.28</v>
      </c>
      <c r="AC167" t="n">
        <v>6.17</v>
      </c>
      <c r="AD167" t="n">
        <v>0</v>
      </c>
      <c r="AE167" t="n">
        <v>163.8</v>
      </c>
      <c r="AF167" t="n">
        <v>0</v>
      </c>
      <c r="AG167" t="n">
        <v>0</v>
      </c>
      <c r="AH167" t="n">
        <v>0.16</v>
      </c>
      <c r="AI167" t="n">
        <v>8.199999999999999</v>
      </c>
      <c r="AJ167" t="n">
        <v>-0.01</v>
      </c>
      <c r="AK167" t="n">
        <v>14.53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48.81</v>
      </c>
      <c r="AV167" t="n">
        <v>0</v>
      </c>
      <c r="AW167" t="n">
        <v>123.18</v>
      </c>
      <c r="AX167" t="inlineStr">
        <is>
          <t>settled</t>
        </is>
      </c>
      <c r="AY167" t="inlineStr">
        <is>
          <t>NA</t>
        </is>
      </c>
      <c r="AZ167" t="inlineStr">
        <is>
          <t>NA</t>
        </is>
      </c>
      <c r="BA167" t="n">
        <v>0</v>
      </c>
      <c r="BB167" t="inlineStr">
        <is>
          <t>8e231a5b249ad64733887a0094e43c2e5d6f9cd613aa1404233de0610bfdedd5</t>
        </is>
      </c>
    </row>
    <row r="168">
      <c r="A168" t="inlineStr">
        <is>
          <t>1198</t>
        </is>
      </c>
      <c r="B168" t="inlineStr">
        <is>
          <t>7620024226</t>
        </is>
      </c>
      <c r="C168" t="inlineStr">
        <is>
          <t>2025-12-25 20:53:08</t>
        </is>
      </c>
      <c r="D168" t="inlineStr">
        <is>
          <t>52</t>
        </is>
      </c>
      <c r="E168" t="inlineStr">
        <is>
          <t>Sha Sha - Shandaar Shawarma</t>
        </is>
      </c>
      <c r="F168" t="inlineStr">
        <is>
          <t>18557902</t>
        </is>
      </c>
      <c r="G168" t="inlineStr">
        <is>
          <t>30% off upto ₹75 (2025-06-25 - 2031-01-01)</t>
        </is>
      </c>
      <c r="H168" t="inlineStr">
        <is>
          <t>ONLINE</t>
        </is>
      </c>
      <c r="I168" t="inlineStr">
        <is>
          <t>DELIVERED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O2</t>
        </is>
      </c>
      <c r="N168" t="inlineStr">
        <is>
          <t>36</t>
        </is>
      </c>
      <c r="O168" t="n">
        <v>355</v>
      </c>
      <c r="P168" t="n">
        <v>3.5</v>
      </c>
      <c r="Q168" t="n">
        <v>0</v>
      </c>
      <c r="R168" t="n">
        <v>75</v>
      </c>
      <c r="S168" t="n">
        <v>0</v>
      </c>
      <c r="T168" t="n">
        <v>0</v>
      </c>
      <c r="U168" t="n">
        <v>0</v>
      </c>
      <c r="V168" t="n">
        <v>14.18</v>
      </c>
      <c r="W168" t="n">
        <v>297.68</v>
      </c>
      <c r="X168" t="n">
        <v>283.5</v>
      </c>
      <c r="Y168" t="n">
        <v>19</v>
      </c>
      <c r="Z168" t="n">
        <v>53.86</v>
      </c>
      <c r="AA168" t="n">
        <v>5.48</v>
      </c>
      <c r="AB168" t="n">
        <v>59.34</v>
      </c>
      <c r="AC168" t="n">
        <v>10.68</v>
      </c>
      <c r="AD168" t="n">
        <v>0</v>
      </c>
      <c r="AE168" t="n">
        <v>283.5</v>
      </c>
      <c r="AF168" t="n">
        <v>0</v>
      </c>
      <c r="AG168" t="n">
        <v>0</v>
      </c>
      <c r="AH168" t="n">
        <v>0.28</v>
      </c>
      <c r="AI168" t="n">
        <v>14.18</v>
      </c>
      <c r="AJ168" t="n">
        <v>0</v>
      </c>
      <c r="AK168" t="n">
        <v>25.14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84.48</v>
      </c>
      <c r="AV168" t="n">
        <v>0</v>
      </c>
      <c r="AW168" t="n">
        <v>213.2</v>
      </c>
      <c r="AX168" t="inlineStr">
        <is>
          <t>settled</t>
        </is>
      </c>
      <c r="AY168" t="inlineStr">
        <is>
          <t>NA</t>
        </is>
      </c>
      <c r="AZ168" t="inlineStr">
        <is>
          <t>NA</t>
        </is>
      </c>
      <c r="BA168" t="n">
        <v>0</v>
      </c>
      <c r="BB168" t="inlineStr">
        <is>
          <t>08f7fb8c9b34de191093cb4ea335fc67de976c66e9c117ed63db7f1f0528aa4c</t>
        </is>
      </c>
    </row>
    <row r="169">
      <c r="A169" t="inlineStr">
        <is>
          <t>1199</t>
        </is>
      </c>
      <c r="B169" t="inlineStr">
        <is>
          <t>7613016732</t>
        </is>
      </c>
      <c r="C169" t="inlineStr">
        <is>
          <t>2025-12-25 21:13:39</t>
        </is>
      </c>
      <c r="D169" t="inlineStr">
        <is>
          <t>52</t>
        </is>
      </c>
      <c r="E169" t="inlineStr">
        <is>
          <t>Sha Sha - Shandaar Shawarma</t>
        </is>
      </c>
      <c r="F169" t="inlineStr">
        <is>
          <t>18557902</t>
        </is>
      </c>
      <c r="G169" t="inlineStr">
        <is>
          <t>30% off upto ₹75 (2025-06-25 - 2031-01-01)</t>
        </is>
      </c>
      <c r="H169" t="inlineStr">
        <is>
          <t>ONLINE</t>
        </is>
      </c>
      <c r="I169" t="inlineStr">
        <is>
          <t>DELIVERED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O2</t>
        </is>
      </c>
      <c r="N169" t="inlineStr">
        <is>
          <t>36</t>
        </is>
      </c>
      <c r="O169" t="n">
        <v>289</v>
      </c>
      <c r="P169" t="n">
        <v>3.5</v>
      </c>
      <c r="Q169" t="n">
        <v>0</v>
      </c>
      <c r="R169" t="n">
        <v>75</v>
      </c>
      <c r="S169" t="n">
        <v>0</v>
      </c>
      <c r="T169" t="n">
        <v>0</v>
      </c>
      <c r="U169" t="n">
        <v>0</v>
      </c>
      <c r="V169" t="n">
        <v>10.88</v>
      </c>
      <c r="W169" t="n">
        <v>228.38</v>
      </c>
      <c r="X169" t="n">
        <v>217.5</v>
      </c>
      <c r="Y169" t="n">
        <v>19</v>
      </c>
      <c r="Z169" t="n">
        <v>41.32</v>
      </c>
      <c r="AA169" t="n">
        <v>4.2</v>
      </c>
      <c r="AB169" t="n">
        <v>45.52</v>
      </c>
      <c r="AC169" t="n">
        <v>8.199999999999999</v>
      </c>
      <c r="AD169" t="n">
        <v>0</v>
      </c>
      <c r="AE169" t="n">
        <v>217.5</v>
      </c>
      <c r="AF169" t="n">
        <v>0</v>
      </c>
      <c r="AG169" t="n">
        <v>0</v>
      </c>
      <c r="AH169" t="n">
        <v>0.22</v>
      </c>
      <c r="AI169" t="n">
        <v>10.88</v>
      </c>
      <c r="AJ169" t="n">
        <v>0</v>
      </c>
      <c r="AK169" t="n">
        <v>19.3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64.81999999999999</v>
      </c>
      <c r="AV169" t="n">
        <v>0</v>
      </c>
      <c r="AW169" t="n">
        <v>163.56</v>
      </c>
      <c r="AX169" t="inlineStr">
        <is>
          <t>settled</t>
        </is>
      </c>
      <c r="AY169" t="inlineStr">
        <is>
          <t>NA</t>
        </is>
      </c>
      <c r="AZ169" t="inlineStr">
        <is>
          <t>NA</t>
        </is>
      </c>
      <c r="BA169" t="n">
        <v>0</v>
      </c>
      <c r="BB169" t="inlineStr">
        <is>
          <t>d1198391e9d9a1af6680d5821066e3cff54f556465b90eadcf2e3d5c9e743168</t>
        </is>
      </c>
    </row>
    <row r="170">
      <c r="A170" t="inlineStr">
        <is>
          <t>1200</t>
        </is>
      </c>
      <c r="B170" t="inlineStr">
        <is>
          <t>7619065971</t>
        </is>
      </c>
      <c r="C170" t="inlineStr">
        <is>
          <t>2025-12-25 22:05:15</t>
        </is>
      </c>
      <c r="D170" t="inlineStr">
        <is>
          <t>52</t>
        </is>
      </c>
      <c r="E170" t="inlineStr">
        <is>
          <t>Sha Sha - Shandaar Shawarma</t>
        </is>
      </c>
      <c r="F170" t="inlineStr">
        <is>
          <t>18557902</t>
        </is>
      </c>
      <c r="G170" t="inlineStr">
        <is>
          <t>30% off upto ₹75 (2025-06-25 - 2031-01-01)</t>
        </is>
      </c>
      <c r="H170" t="inlineStr">
        <is>
          <t>ONLINE</t>
        </is>
      </c>
      <c r="I170" t="inlineStr">
        <is>
          <t>DELIVERED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O2</t>
        </is>
      </c>
      <c r="N170" t="inlineStr">
        <is>
          <t>36</t>
        </is>
      </c>
      <c r="O170" t="n">
        <v>458</v>
      </c>
      <c r="P170" t="n">
        <v>3.5</v>
      </c>
      <c r="Q170" t="n">
        <v>0</v>
      </c>
      <c r="R170" t="n">
        <v>75</v>
      </c>
      <c r="S170" t="n">
        <v>0</v>
      </c>
      <c r="T170" t="n">
        <v>0</v>
      </c>
      <c r="U170" t="n">
        <v>0</v>
      </c>
      <c r="V170" t="n">
        <v>19.33</v>
      </c>
      <c r="W170" t="n">
        <v>405.83</v>
      </c>
      <c r="X170" t="n">
        <v>386.5</v>
      </c>
      <c r="Y170" t="n">
        <v>19</v>
      </c>
      <c r="Z170" t="n">
        <v>73.44</v>
      </c>
      <c r="AA170" t="n">
        <v>7.47</v>
      </c>
      <c r="AB170" t="n">
        <v>80.91</v>
      </c>
      <c r="AC170" t="n">
        <v>14.56</v>
      </c>
      <c r="AD170" t="n">
        <v>0</v>
      </c>
      <c r="AE170" t="n">
        <v>386.5</v>
      </c>
      <c r="AF170" t="n">
        <v>0</v>
      </c>
      <c r="AG170" t="n">
        <v>0</v>
      </c>
      <c r="AH170" t="n">
        <v>0.39</v>
      </c>
      <c r="AI170" t="n">
        <v>19.33</v>
      </c>
      <c r="AJ170" t="n">
        <v>0</v>
      </c>
      <c r="AK170" t="n">
        <v>34.28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115.19</v>
      </c>
      <c r="AV170" t="n">
        <v>0</v>
      </c>
      <c r="AW170" t="n">
        <v>290.64</v>
      </c>
      <c r="AX170" t="inlineStr">
        <is>
          <t>settled</t>
        </is>
      </c>
      <c r="AY170" t="inlineStr">
        <is>
          <t>NA</t>
        </is>
      </c>
      <c r="AZ170" t="inlineStr">
        <is>
          <t>NA</t>
        </is>
      </c>
      <c r="BA170" t="n">
        <v>0</v>
      </c>
      <c r="BB170" t="inlineStr">
        <is>
          <t>765c5ebb19eea1418bcf148a9439db5930f776e9d6f0a2c041b917efcc222119</t>
        </is>
      </c>
    </row>
    <row r="171">
      <c r="A171" t="inlineStr">
        <is>
          <t>1201</t>
        </is>
      </c>
      <c r="B171" t="inlineStr">
        <is>
          <t>7620041470</t>
        </is>
      </c>
      <c r="C171" t="inlineStr">
        <is>
          <t>2025-12-25 22:40:15</t>
        </is>
      </c>
      <c r="D171" t="inlineStr">
        <is>
          <t>52</t>
        </is>
      </c>
      <c r="E171" t="inlineStr">
        <is>
          <t>Sha Sha - Shandaar Shawarma</t>
        </is>
      </c>
      <c r="F171" t="inlineStr">
        <is>
          <t>18557902</t>
        </is>
      </c>
      <c r="G171" t="inlineStr">
        <is>
          <t>30% off upto ₹75 (2025-06-25 - 2031-01-01)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O2</t>
        </is>
      </c>
      <c r="N171" t="inlineStr">
        <is>
          <t>36</t>
        </is>
      </c>
      <c r="O171" t="n">
        <v>229</v>
      </c>
      <c r="P171" t="n">
        <v>3.5</v>
      </c>
      <c r="Q171" t="n">
        <v>0</v>
      </c>
      <c r="R171" t="n">
        <v>68.7</v>
      </c>
      <c r="S171" t="n">
        <v>0</v>
      </c>
      <c r="T171" t="n">
        <v>0</v>
      </c>
      <c r="U171" t="n">
        <v>0</v>
      </c>
      <c r="V171" t="n">
        <v>8.19</v>
      </c>
      <c r="W171" t="n">
        <v>171.99</v>
      </c>
      <c r="X171" t="n">
        <v>163.8</v>
      </c>
      <c r="Y171" t="n">
        <v>19</v>
      </c>
      <c r="Z171" t="n">
        <v>31.12</v>
      </c>
      <c r="AA171" t="n">
        <v>3.16</v>
      </c>
      <c r="AB171" t="n">
        <v>34.28</v>
      </c>
      <c r="AC171" t="n">
        <v>6.17</v>
      </c>
      <c r="AD171" t="n">
        <v>0</v>
      </c>
      <c r="AE171" t="n">
        <v>163.8</v>
      </c>
      <c r="AF171" t="n">
        <v>0</v>
      </c>
      <c r="AG171" t="n">
        <v>0</v>
      </c>
      <c r="AH171" t="n">
        <v>0.16</v>
      </c>
      <c r="AI171" t="n">
        <v>8.199999999999999</v>
      </c>
      <c r="AJ171" t="n">
        <v>-0.01</v>
      </c>
      <c r="AK171" t="n">
        <v>14.53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48.81</v>
      </c>
      <c r="AV171" t="n">
        <v>0</v>
      </c>
      <c r="AW171" t="n">
        <v>123.18</v>
      </c>
      <c r="AX171" t="inlineStr">
        <is>
          <t>settled</t>
        </is>
      </c>
      <c r="AY171" t="inlineStr">
        <is>
          <t>NA</t>
        </is>
      </c>
      <c r="AZ171" t="inlineStr">
        <is>
          <t>NA</t>
        </is>
      </c>
      <c r="BA171" t="n">
        <v>0</v>
      </c>
      <c r="BB171" t="inlineStr">
        <is>
          <t>55fddc41a51db900d2d594afc6683bc4a8f1d2ebbdd9447f03de2bc4012da7f9</t>
        </is>
      </c>
    </row>
    <row r="172">
      <c r="A172" t="inlineStr">
        <is>
          <t>1202</t>
        </is>
      </c>
      <c r="B172" t="inlineStr">
        <is>
          <t>7621404319</t>
        </is>
      </c>
      <c r="C172" t="inlineStr">
        <is>
          <t>2025-12-25 23:55:56</t>
        </is>
      </c>
      <c r="D172" t="inlineStr">
        <is>
          <t>52</t>
        </is>
      </c>
      <c r="E172" t="inlineStr">
        <is>
          <t>Sha Sha - Shandaar Shawarma</t>
        </is>
      </c>
      <c r="F172" t="inlineStr">
        <is>
          <t>18557902</t>
        </is>
      </c>
      <c r="G172" t="inlineStr">
        <is>
          <t>NA</t>
        </is>
      </c>
      <c r="H172" t="inlineStr">
        <is>
          <t>ONLINE</t>
        </is>
      </c>
      <c r="I172" t="inlineStr">
        <is>
          <t>DELIVERED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O2</t>
        </is>
      </c>
      <c r="N172" t="inlineStr">
        <is>
          <t>36</t>
        </is>
      </c>
      <c r="O172" t="n">
        <v>219</v>
      </c>
      <c r="P172" t="n">
        <v>3.5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11.13</v>
      </c>
      <c r="W172" t="n">
        <v>233.63</v>
      </c>
      <c r="X172" t="n">
        <v>222.5</v>
      </c>
      <c r="Y172" t="n">
        <v>19</v>
      </c>
      <c r="Z172" t="n">
        <v>42.28</v>
      </c>
      <c r="AA172" t="n">
        <v>4.3</v>
      </c>
      <c r="AB172" t="n">
        <v>46.58</v>
      </c>
      <c r="AC172" t="n">
        <v>8.380000000000001</v>
      </c>
      <c r="AD172" t="n">
        <v>0</v>
      </c>
      <c r="AE172" t="n">
        <v>222.5</v>
      </c>
      <c r="AF172" t="n">
        <v>0</v>
      </c>
      <c r="AG172" t="n">
        <v>0</v>
      </c>
      <c r="AH172" t="n">
        <v>0.22</v>
      </c>
      <c r="AI172" t="n">
        <v>11.13</v>
      </c>
      <c r="AJ172" t="n">
        <v>0</v>
      </c>
      <c r="AK172" t="n">
        <v>19.73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66.31</v>
      </c>
      <c r="AV172" t="n">
        <v>0</v>
      </c>
      <c r="AW172" t="n">
        <v>167.32</v>
      </c>
      <c r="AX172" t="inlineStr">
        <is>
          <t>settled</t>
        </is>
      </c>
      <c r="AY172" t="inlineStr">
        <is>
          <t>NA</t>
        </is>
      </c>
      <c r="AZ172" t="inlineStr">
        <is>
          <t>NA</t>
        </is>
      </c>
      <c r="BA172" t="n">
        <v>0</v>
      </c>
      <c r="BB172" t="inlineStr">
        <is>
          <t>a36e3dc23b9e0227df3dd8d916dbec9cb0d7da7fae39af23537e900908e2dedf</t>
        </is>
      </c>
    </row>
    <row r="173">
      <c r="A173" t="inlineStr">
        <is>
          <t>1203</t>
        </is>
      </c>
      <c r="B173" t="inlineStr">
        <is>
          <t>7621946016</t>
        </is>
      </c>
      <c r="C173" t="inlineStr">
        <is>
          <t>2025-12-25 23:57:54</t>
        </is>
      </c>
      <c r="D173" t="inlineStr">
        <is>
          <t>52</t>
        </is>
      </c>
      <c r="E173" t="inlineStr">
        <is>
          <t>Sha Sha - Shandaar Shawarma</t>
        </is>
      </c>
      <c r="F173" t="inlineStr">
        <is>
          <t>18557902</t>
        </is>
      </c>
      <c r="G173" t="inlineStr">
        <is>
          <t>30% off upto ₹75 (2025-06-25 - 2031-01-01)</t>
        </is>
      </c>
      <c r="H173" t="inlineStr">
        <is>
          <t>ONLINE</t>
        </is>
      </c>
      <c r="I173" t="inlineStr">
        <is>
          <t>DELIVERED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O2</t>
        </is>
      </c>
      <c r="N173" t="inlineStr">
        <is>
          <t>36</t>
        </is>
      </c>
      <c r="O173" t="n">
        <v>229</v>
      </c>
      <c r="P173" t="n">
        <v>3.5</v>
      </c>
      <c r="Q173" t="n">
        <v>0</v>
      </c>
      <c r="R173" t="n">
        <v>68.7</v>
      </c>
      <c r="S173" t="n">
        <v>0</v>
      </c>
      <c r="T173" t="n">
        <v>0</v>
      </c>
      <c r="U173" t="n">
        <v>0</v>
      </c>
      <c r="V173" t="n">
        <v>8.19</v>
      </c>
      <c r="W173" t="n">
        <v>171.99</v>
      </c>
      <c r="X173" t="n">
        <v>163.8</v>
      </c>
      <c r="Y173" t="n">
        <v>19</v>
      </c>
      <c r="Z173" t="n">
        <v>31.12</v>
      </c>
      <c r="AA173" t="n">
        <v>3.16</v>
      </c>
      <c r="AB173" t="n">
        <v>34.28</v>
      </c>
      <c r="AC173" t="n">
        <v>6.17</v>
      </c>
      <c r="AD173" t="n">
        <v>0</v>
      </c>
      <c r="AE173" t="n">
        <v>163.8</v>
      </c>
      <c r="AF173" t="n">
        <v>0</v>
      </c>
      <c r="AG173" t="n">
        <v>0</v>
      </c>
      <c r="AH173" t="n">
        <v>0.16</v>
      </c>
      <c r="AI173" t="n">
        <v>8.199999999999999</v>
      </c>
      <c r="AJ173" t="n">
        <v>-0.01</v>
      </c>
      <c r="AK173" t="n">
        <v>14.53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48.81</v>
      </c>
      <c r="AV173" t="n">
        <v>0</v>
      </c>
      <c r="AW173" t="n">
        <v>123.18</v>
      </c>
      <c r="AX173" t="inlineStr">
        <is>
          <t>settled</t>
        </is>
      </c>
      <c r="AY173" t="inlineStr">
        <is>
          <t>NA</t>
        </is>
      </c>
      <c r="AZ173" t="inlineStr">
        <is>
          <t>NA</t>
        </is>
      </c>
      <c r="BA173" t="n">
        <v>0</v>
      </c>
      <c r="BB173" t="inlineStr">
        <is>
          <t>7fbc918ace8a36680f7238308e03194f38bf96fdec5a6e79a97cc4b76a783223</t>
        </is>
      </c>
    </row>
    <row r="174">
      <c r="A174" t="inlineStr">
        <is>
          <t>1204</t>
        </is>
      </c>
      <c r="B174" t="inlineStr">
        <is>
          <t>7617762038</t>
        </is>
      </c>
      <c r="C174" t="inlineStr">
        <is>
          <t>2025-12-26 00:05:58</t>
        </is>
      </c>
      <c r="D174" t="inlineStr">
        <is>
          <t>52</t>
        </is>
      </c>
      <c r="E174" t="inlineStr">
        <is>
          <t>Sha Sha - Shandaar Shawarma</t>
        </is>
      </c>
      <c r="F174" t="inlineStr">
        <is>
          <t>18557902</t>
        </is>
      </c>
      <c r="G174" t="inlineStr">
        <is>
          <t>30% off upto ₹75 (2025-06-25 - 2031-01-01)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O2</t>
        </is>
      </c>
      <c r="N174" t="inlineStr">
        <is>
          <t>36</t>
        </is>
      </c>
      <c r="O174" t="n">
        <v>229</v>
      </c>
      <c r="P174" t="n">
        <v>3.5</v>
      </c>
      <c r="Q174" t="n">
        <v>0</v>
      </c>
      <c r="R174" t="n">
        <v>68.7</v>
      </c>
      <c r="S174" t="n">
        <v>0</v>
      </c>
      <c r="T174" t="n">
        <v>0</v>
      </c>
      <c r="U174" t="n">
        <v>0</v>
      </c>
      <c r="V174" t="n">
        <v>8.19</v>
      </c>
      <c r="W174" t="n">
        <v>171.99</v>
      </c>
      <c r="X174" t="n">
        <v>163.8</v>
      </c>
      <c r="Y174" t="n">
        <v>19</v>
      </c>
      <c r="Z174" t="n">
        <v>31.12</v>
      </c>
      <c r="AA174" t="n">
        <v>3.16</v>
      </c>
      <c r="AB174" t="n">
        <v>34.28</v>
      </c>
      <c r="AC174" t="n">
        <v>6.17</v>
      </c>
      <c r="AD174" t="n">
        <v>0</v>
      </c>
      <c r="AE174" t="n">
        <v>163.8</v>
      </c>
      <c r="AF174" t="n">
        <v>0</v>
      </c>
      <c r="AG174" t="n">
        <v>0</v>
      </c>
      <c r="AH174" t="n">
        <v>0.16</v>
      </c>
      <c r="AI174" t="n">
        <v>8.199999999999999</v>
      </c>
      <c r="AJ174" t="n">
        <v>-0.01</v>
      </c>
      <c r="AK174" t="n">
        <v>14.53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48.81</v>
      </c>
      <c r="AV174" t="n">
        <v>0</v>
      </c>
      <c r="AW174" t="n">
        <v>123.18</v>
      </c>
      <c r="AX174" t="inlineStr">
        <is>
          <t>settled</t>
        </is>
      </c>
      <c r="AY174" t="inlineStr">
        <is>
          <t>NA</t>
        </is>
      </c>
      <c r="AZ174" t="inlineStr">
        <is>
          <t>NA</t>
        </is>
      </c>
      <c r="BA174" t="n">
        <v>0</v>
      </c>
      <c r="BB174" t="inlineStr">
        <is>
          <t>d96f33232a7c2c9316ebe31d76c13a6e7443c15e48396b4178d5ca2607886ec9</t>
        </is>
      </c>
    </row>
    <row r="175">
      <c r="A175" t="inlineStr">
        <is>
          <t>1205</t>
        </is>
      </c>
      <c r="B175" t="inlineStr">
        <is>
          <t>7618804863</t>
        </is>
      </c>
      <c r="C175" t="inlineStr">
        <is>
          <t>2025-12-26 00:12:49</t>
        </is>
      </c>
      <c r="D175" t="inlineStr">
        <is>
          <t>52</t>
        </is>
      </c>
      <c r="E175" t="inlineStr">
        <is>
          <t>Sha Sha - Shandaar Shawarma</t>
        </is>
      </c>
      <c r="F175" t="inlineStr">
        <is>
          <t>18557902</t>
        </is>
      </c>
      <c r="G175" t="inlineStr">
        <is>
          <t>30% off upto ₹75 (2025-06-25 - 2031-01-01)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O2</t>
        </is>
      </c>
      <c r="N175" t="inlineStr">
        <is>
          <t>36</t>
        </is>
      </c>
      <c r="O175" t="n">
        <v>229</v>
      </c>
      <c r="P175" t="n">
        <v>3.5</v>
      </c>
      <c r="Q175" t="n">
        <v>0</v>
      </c>
      <c r="R175" t="n">
        <v>68.7</v>
      </c>
      <c r="S175" t="n">
        <v>0</v>
      </c>
      <c r="T175" t="n">
        <v>0</v>
      </c>
      <c r="U175" t="n">
        <v>0</v>
      </c>
      <c r="V175" t="n">
        <v>8.19</v>
      </c>
      <c r="W175" t="n">
        <v>171.99</v>
      </c>
      <c r="X175" t="n">
        <v>163.8</v>
      </c>
      <c r="Y175" t="n">
        <v>19</v>
      </c>
      <c r="Z175" t="n">
        <v>31.12</v>
      </c>
      <c r="AA175" t="n">
        <v>3.16</v>
      </c>
      <c r="AB175" t="n">
        <v>34.28</v>
      </c>
      <c r="AC175" t="n">
        <v>6.17</v>
      </c>
      <c r="AD175" t="n">
        <v>0</v>
      </c>
      <c r="AE175" t="n">
        <v>163.8</v>
      </c>
      <c r="AF175" t="n">
        <v>0</v>
      </c>
      <c r="AG175" t="n">
        <v>0</v>
      </c>
      <c r="AH175" t="n">
        <v>0.16</v>
      </c>
      <c r="AI175" t="n">
        <v>8.199999999999999</v>
      </c>
      <c r="AJ175" t="n">
        <v>-0.01</v>
      </c>
      <c r="AK175" t="n">
        <v>14.53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48.81</v>
      </c>
      <c r="AV175" t="n">
        <v>0</v>
      </c>
      <c r="AW175" t="n">
        <v>123.18</v>
      </c>
      <c r="AX175" t="inlineStr">
        <is>
          <t>settled</t>
        </is>
      </c>
      <c r="AY175" t="inlineStr">
        <is>
          <t>NA</t>
        </is>
      </c>
      <c r="AZ175" t="inlineStr">
        <is>
          <t>NA</t>
        </is>
      </c>
      <c r="BA175" t="n">
        <v>0</v>
      </c>
      <c r="BB175" t="inlineStr">
        <is>
          <t>25d30b377623f2fae5c749b8fafc06ea2a16d579b94c92bffd45ebd70f0241fa</t>
        </is>
      </c>
    </row>
    <row r="176">
      <c r="A176" t="inlineStr">
        <is>
          <t>1206</t>
        </is>
      </c>
      <c r="B176" t="inlineStr">
        <is>
          <t>7621499862</t>
        </is>
      </c>
      <c r="C176" t="inlineStr">
        <is>
          <t>2025-12-26 00:15:34</t>
        </is>
      </c>
      <c r="D176" t="inlineStr">
        <is>
          <t>52</t>
        </is>
      </c>
      <c r="E176" t="inlineStr">
        <is>
          <t>Sha Sha - Shandaar Shawarma</t>
        </is>
      </c>
      <c r="F176" t="inlineStr">
        <is>
          <t>18557902</t>
        </is>
      </c>
      <c r="G176" t="inlineStr">
        <is>
          <t>30% off upto ₹75 (2025-06-25 - 2031-01-01)</t>
        </is>
      </c>
      <c r="H176" t="inlineStr">
        <is>
          <t>ONLINE</t>
        </is>
      </c>
      <c r="I176" t="inlineStr">
        <is>
          <t>DELIVERED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O2</t>
        </is>
      </c>
      <c r="N176" t="inlineStr">
        <is>
          <t>36</t>
        </is>
      </c>
      <c r="O176" t="n">
        <v>229</v>
      </c>
      <c r="P176" t="n">
        <v>3.5</v>
      </c>
      <c r="Q176" t="n">
        <v>0</v>
      </c>
      <c r="R176" t="n">
        <v>68.7</v>
      </c>
      <c r="S176" t="n">
        <v>0</v>
      </c>
      <c r="T176" t="n">
        <v>0</v>
      </c>
      <c r="U176" t="n">
        <v>0</v>
      </c>
      <c r="V176" t="n">
        <v>8.19</v>
      </c>
      <c r="W176" t="n">
        <v>171.99</v>
      </c>
      <c r="X176" t="n">
        <v>163.8</v>
      </c>
      <c r="Y176" t="n">
        <v>19</v>
      </c>
      <c r="Z176" t="n">
        <v>31.12</v>
      </c>
      <c r="AA176" t="n">
        <v>3.16</v>
      </c>
      <c r="AB176" t="n">
        <v>34.28</v>
      </c>
      <c r="AC176" t="n">
        <v>6.17</v>
      </c>
      <c r="AD176" t="n">
        <v>0</v>
      </c>
      <c r="AE176" t="n">
        <v>163.8</v>
      </c>
      <c r="AF176" t="n">
        <v>0</v>
      </c>
      <c r="AG176" t="n">
        <v>0</v>
      </c>
      <c r="AH176" t="n">
        <v>0.16</v>
      </c>
      <c r="AI176" t="n">
        <v>8.199999999999999</v>
      </c>
      <c r="AJ176" t="n">
        <v>-0.01</v>
      </c>
      <c r="AK176" t="n">
        <v>14.53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48.81</v>
      </c>
      <c r="AV176" t="n">
        <v>0</v>
      </c>
      <c r="AW176" t="n">
        <v>123.18</v>
      </c>
      <c r="AX176" t="inlineStr">
        <is>
          <t>settled</t>
        </is>
      </c>
      <c r="AY176" t="inlineStr">
        <is>
          <t>NA</t>
        </is>
      </c>
      <c r="AZ176" t="inlineStr">
        <is>
          <t>NA</t>
        </is>
      </c>
      <c r="BA176" t="n">
        <v>0</v>
      </c>
      <c r="BB176" t="inlineStr">
        <is>
          <t>a628653b9d379b87691f9dc03d335420270917612f7e18a1d99bc2c5ee40d54f</t>
        </is>
      </c>
    </row>
    <row r="177">
      <c r="A177" t="inlineStr">
        <is>
          <t>1207</t>
        </is>
      </c>
      <c r="B177" t="inlineStr">
        <is>
          <t>7620698913</t>
        </is>
      </c>
      <c r="C177" t="inlineStr">
        <is>
          <t>2025-12-26 00:20:04</t>
        </is>
      </c>
      <c r="D177" t="inlineStr">
        <is>
          <t>52</t>
        </is>
      </c>
      <c r="E177" t="inlineStr">
        <is>
          <t>Sha Sha - Shandaar Shawarma</t>
        </is>
      </c>
      <c r="F177" t="inlineStr">
        <is>
          <t>18557902</t>
        </is>
      </c>
      <c r="G177" t="inlineStr">
        <is>
          <t>30% off upto ₹75 (2025-06-25 - 2031-01-01)</t>
        </is>
      </c>
      <c r="H177" t="inlineStr">
        <is>
          <t>ONLINE</t>
        </is>
      </c>
      <c r="I177" t="inlineStr">
        <is>
          <t>DELIVERED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O2</t>
        </is>
      </c>
      <c r="N177" t="inlineStr">
        <is>
          <t>36</t>
        </is>
      </c>
      <c r="O177" t="n">
        <v>268</v>
      </c>
      <c r="P177" t="n">
        <v>3.5</v>
      </c>
      <c r="Q177" t="n">
        <v>0</v>
      </c>
      <c r="R177" t="n">
        <v>75</v>
      </c>
      <c r="S177" t="n">
        <v>0</v>
      </c>
      <c r="T177" t="n">
        <v>0</v>
      </c>
      <c r="U177" t="n">
        <v>0</v>
      </c>
      <c r="V177" t="n">
        <v>9.83</v>
      </c>
      <c r="W177" t="n">
        <v>206.33</v>
      </c>
      <c r="X177" t="n">
        <v>196.5</v>
      </c>
      <c r="Y177" t="n">
        <v>19</v>
      </c>
      <c r="Z177" t="n">
        <v>37.34</v>
      </c>
      <c r="AA177" t="n">
        <v>3.8</v>
      </c>
      <c r="AB177" t="n">
        <v>41.14</v>
      </c>
      <c r="AC177" t="n">
        <v>7.4</v>
      </c>
      <c r="AD177" t="n">
        <v>0</v>
      </c>
      <c r="AE177" t="n">
        <v>196.5</v>
      </c>
      <c r="AF177" t="n">
        <v>0</v>
      </c>
      <c r="AG177" t="n">
        <v>0</v>
      </c>
      <c r="AH177" t="n">
        <v>0.2</v>
      </c>
      <c r="AI177" t="n">
        <v>9.83</v>
      </c>
      <c r="AJ177" t="n">
        <v>0</v>
      </c>
      <c r="AK177" t="n">
        <v>17.43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58.57</v>
      </c>
      <c r="AV177" t="n">
        <v>0</v>
      </c>
      <c r="AW177" t="n">
        <v>147.76</v>
      </c>
      <c r="AX177" t="inlineStr">
        <is>
          <t>settled</t>
        </is>
      </c>
      <c r="AY177" t="inlineStr">
        <is>
          <t>NA</t>
        </is>
      </c>
      <c r="AZ177" t="inlineStr">
        <is>
          <t>NA</t>
        </is>
      </c>
      <c r="BA177" t="n">
        <v>0</v>
      </c>
      <c r="BB177" t="inlineStr">
        <is>
          <t>f034a71d91d08e3a5850ae81608251034c09ac62a9ffd12d9cb354b64c169586</t>
        </is>
      </c>
    </row>
    <row r="178">
      <c r="A178" t="inlineStr">
        <is>
          <t>1208</t>
        </is>
      </c>
      <c r="B178" t="inlineStr">
        <is>
          <t>7610468683</t>
        </is>
      </c>
      <c r="C178" t="inlineStr">
        <is>
          <t>2025-12-26 00:33:30</t>
        </is>
      </c>
      <c r="D178" t="inlineStr">
        <is>
          <t>52</t>
        </is>
      </c>
      <c r="E178" t="inlineStr">
        <is>
          <t>Sha Sha - Shandaar Shawarma</t>
        </is>
      </c>
      <c r="F178" t="inlineStr">
        <is>
          <t>18557902</t>
        </is>
      </c>
      <c r="G178" t="inlineStr">
        <is>
          <t>30% off upto ₹75 (2025-06-25 - 2031-01-01)</t>
        </is>
      </c>
      <c r="H178" t="inlineStr">
        <is>
          <t>ONLINE</t>
        </is>
      </c>
      <c r="I178" t="inlineStr">
        <is>
          <t>DELIVERED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O2</t>
        </is>
      </c>
      <c r="N178" t="inlineStr">
        <is>
          <t>36</t>
        </is>
      </c>
      <c r="O178" t="n">
        <v>229</v>
      </c>
      <c r="P178" t="n">
        <v>3.5</v>
      </c>
      <c r="Q178" t="n">
        <v>0</v>
      </c>
      <c r="R178" t="n">
        <v>68.7</v>
      </c>
      <c r="S178" t="n">
        <v>0</v>
      </c>
      <c r="T178" t="n">
        <v>0</v>
      </c>
      <c r="U178" t="n">
        <v>0</v>
      </c>
      <c r="V178" t="n">
        <v>8.19</v>
      </c>
      <c r="W178" t="n">
        <v>171.99</v>
      </c>
      <c r="X178" t="n">
        <v>163.8</v>
      </c>
      <c r="Y178" t="n">
        <v>19</v>
      </c>
      <c r="Z178" t="n">
        <v>31.12</v>
      </c>
      <c r="AA178" t="n">
        <v>3.16</v>
      </c>
      <c r="AB178" t="n">
        <v>34.28</v>
      </c>
      <c r="AC178" t="n">
        <v>6.17</v>
      </c>
      <c r="AD178" t="n">
        <v>0</v>
      </c>
      <c r="AE178" t="n">
        <v>163.8</v>
      </c>
      <c r="AF178" t="n">
        <v>0</v>
      </c>
      <c r="AG178" t="n">
        <v>0</v>
      </c>
      <c r="AH178" t="n">
        <v>0.16</v>
      </c>
      <c r="AI178" t="n">
        <v>8.199999999999999</v>
      </c>
      <c r="AJ178" t="n">
        <v>-0.01</v>
      </c>
      <c r="AK178" t="n">
        <v>14.53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48.81</v>
      </c>
      <c r="AV178" t="n">
        <v>0</v>
      </c>
      <c r="AW178" t="n">
        <v>123.18</v>
      </c>
      <c r="AX178" t="inlineStr">
        <is>
          <t>settled</t>
        </is>
      </c>
      <c r="AY178" t="inlineStr">
        <is>
          <t>NA</t>
        </is>
      </c>
      <c r="AZ178" t="inlineStr">
        <is>
          <t>NA</t>
        </is>
      </c>
      <c r="BA178" t="n">
        <v>0</v>
      </c>
      <c r="BB178" t="inlineStr">
        <is>
          <t>6d3aace5a6735c4027344518bdfabf952e3a5b8c4d9677817058f54fb9a4ac3f</t>
        </is>
      </c>
    </row>
    <row r="179">
      <c r="A179" t="inlineStr">
        <is>
          <t>1209</t>
        </is>
      </c>
      <c r="B179" t="inlineStr">
        <is>
          <t>7618019273</t>
        </is>
      </c>
      <c r="C179" t="inlineStr">
        <is>
          <t>2025-12-26 01:16:02</t>
        </is>
      </c>
      <c r="D179" t="inlineStr">
        <is>
          <t>52</t>
        </is>
      </c>
      <c r="E179" t="inlineStr">
        <is>
          <t>Sha Sha - Shandaar Shawarma</t>
        </is>
      </c>
      <c r="F179" t="inlineStr">
        <is>
          <t>18557902</t>
        </is>
      </c>
      <c r="G179" t="inlineStr">
        <is>
          <t>30% off upto ₹75 (2025-06-25 - 2031-01-01)</t>
        </is>
      </c>
      <c r="H179" t="inlineStr">
        <is>
          <t>ONLINE</t>
        </is>
      </c>
      <c r="I179" t="inlineStr">
        <is>
          <t>DELIVERED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O2</t>
        </is>
      </c>
      <c r="N179" t="inlineStr">
        <is>
          <t>36</t>
        </is>
      </c>
      <c r="O179" t="n">
        <v>229</v>
      </c>
      <c r="P179" t="n">
        <v>3.5</v>
      </c>
      <c r="Q179" t="n">
        <v>0</v>
      </c>
      <c r="R179" t="n">
        <v>68.7</v>
      </c>
      <c r="S179" t="n">
        <v>0</v>
      </c>
      <c r="T179" t="n">
        <v>0</v>
      </c>
      <c r="U179" t="n">
        <v>0</v>
      </c>
      <c r="V179" t="n">
        <v>8.19</v>
      </c>
      <c r="W179" t="n">
        <v>171.99</v>
      </c>
      <c r="X179" t="n">
        <v>163.8</v>
      </c>
      <c r="Y179" t="n">
        <v>19</v>
      </c>
      <c r="Z179" t="n">
        <v>31.12</v>
      </c>
      <c r="AA179" t="n">
        <v>3.16</v>
      </c>
      <c r="AB179" t="n">
        <v>34.28</v>
      </c>
      <c r="AC179" t="n">
        <v>6.17</v>
      </c>
      <c r="AD179" t="n">
        <v>0</v>
      </c>
      <c r="AE179" t="n">
        <v>163.8</v>
      </c>
      <c r="AF179" t="n">
        <v>0</v>
      </c>
      <c r="AG179" t="n">
        <v>0</v>
      </c>
      <c r="AH179" t="n">
        <v>0.16</v>
      </c>
      <c r="AI179" t="n">
        <v>8.199999999999999</v>
      </c>
      <c r="AJ179" t="n">
        <v>-0.01</v>
      </c>
      <c r="AK179" t="n">
        <v>14.53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48.81</v>
      </c>
      <c r="AV179" t="n">
        <v>0</v>
      </c>
      <c r="AW179" t="n">
        <v>123.18</v>
      </c>
      <c r="AX179" t="inlineStr">
        <is>
          <t>settled</t>
        </is>
      </c>
      <c r="AY179" t="inlineStr">
        <is>
          <t>NA</t>
        </is>
      </c>
      <c r="AZ179" t="inlineStr">
        <is>
          <t>NA</t>
        </is>
      </c>
      <c r="BA179" t="n">
        <v>0</v>
      </c>
      <c r="BB179" t="inlineStr">
        <is>
          <t>849ce2826286b449a2cdb6684f64a21e200d8f7b87cbc368dae527d3b28f9416</t>
        </is>
      </c>
    </row>
    <row r="180">
      <c r="A180" t="inlineStr">
        <is>
          <t>1210</t>
        </is>
      </c>
      <c r="B180" t="inlineStr">
        <is>
          <t>7613355183</t>
        </is>
      </c>
      <c r="C180" t="inlineStr">
        <is>
          <t>2025-12-26 01:17:20</t>
        </is>
      </c>
      <c r="D180" t="inlineStr">
        <is>
          <t>52</t>
        </is>
      </c>
      <c r="E180" t="inlineStr">
        <is>
          <t>Sha Sha - Shandaar Shawarma</t>
        </is>
      </c>
      <c r="F180" t="inlineStr">
        <is>
          <t>18557902</t>
        </is>
      </c>
      <c r="G180" t="inlineStr">
        <is>
          <t>30% off upto ₹75 (2025-06-25 - 2031-01-01)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O2</t>
        </is>
      </c>
      <c r="N180" t="inlineStr">
        <is>
          <t>36</t>
        </is>
      </c>
      <c r="O180" t="n">
        <v>229</v>
      </c>
      <c r="P180" t="n">
        <v>3.5</v>
      </c>
      <c r="Q180" t="n">
        <v>0</v>
      </c>
      <c r="R180" t="n">
        <v>68.7</v>
      </c>
      <c r="S180" t="n">
        <v>0</v>
      </c>
      <c r="T180" t="n">
        <v>0</v>
      </c>
      <c r="U180" t="n">
        <v>0</v>
      </c>
      <c r="V180" t="n">
        <v>8.19</v>
      </c>
      <c r="W180" t="n">
        <v>171.99</v>
      </c>
      <c r="X180" t="n">
        <v>163.8</v>
      </c>
      <c r="Y180" t="n">
        <v>19</v>
      </c>
      <c r="Z180" t="n">
        <v>31.12</v>
      </c>
      <c r="AA180" t="n">
        <v>3.16</v>
      </c>
      <c r="AB180" t="n">
        <v>34.28</v>
      </c>
      <c r="AC180" t="n">
        <v>6.17</v>
      </c>
      <c r="AD180" t="n">
        <v>0</v>
      </c>
      <c r="AE180" t="n">
        <v>163.8</v>
      </c>
      <c r="AF180" t="n">
        <v>0</v>
      </c>
      <c r="AG180" t="n">
        <v>0</v>
      </c>
      <c r="AH180" t="n">
        <v>0.16</v>
      </c>
      <c r="AI180" t="n">
        <v>8.199999999999999</v>
      </c>
      <c r="AJ180" t="n">
        <v>-0.01</v>
      </c>
      <c r="AK180" t="n">
        <v>14.53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48.81</v>
      </c>
      <c r="AV180" t="n">
        <v>0</v>
      </c>
      <c r="AW180" t="n">
        <v>123.18</v>
      </c>
      <c r="AX180" t="inlineStr">
        <is>
          <t>settled</t>
        </is>
      </c>
      <c r="AY180" t="inlineStr">
        <is>
          <t>NA</t>
        </is>
      </c>
      <c r="AZ180" t="inlineStr">
        <is>
          <t>NA</t>
        </is>
      </c>
      <c r="BA180" t="n">
        <v>0</v>
      </c>
      <c r="BB180" t="inlineStr">
        <is>
          <t>a1949b2b3697426151581d6d1cf55e46dcc4a4479f63a994d6321a7e42eb5f24</t>
        </is>
      </c>
    </row>
    <row r="181">
      <c r="A181" t="inlineStr">
        <is>
          <t>1211</t>
        </is>
      </c>
      <c r="B181" t="inlineStr">
        <is>
          <t>7621836978</t>
        </is>
      </c>
      <c r="C181" t="inlineStr">
        <is>
          <t>2025-12-26 01:40:36</t>
        </is>
      </c>
      <c r="D181" t="inlineStr">
        <is>
          <t>52</t>
        </is>
      </c>
      <c r="E181" t="inlineStr">
        <is>
          <t>Sha Sha - Shandaar Shawarma</t>
        </is>
      </c>
      <c r="F181" t="inlineStr">
        <is>
          <t>18557902</t>
        </is>
      </c>
      <c r="G181" t="inlineStr">
        <is>
          <t>30% off upto ₹75 (2025-06-25 - 2031-01-01)</t>
        </is>
      </c>
      <c r="H181" t="inlineStr">
        <is>
          <t>ONLINE</t>
        </is>
      </c>
      <c r="I181" t="inlineStr">
        <is>
          <t>DELIVERED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O2</t>
        </is>
      </c>
      <c r="N181" t="inlineStr">
        <is>
          <t>36</t>
        </is>
      </c>
      <c r="O181" t="n">
        <v>219</v>
      </c>
      <c r="P181" t="n">
        <v>3.5</v>
      </c>
      <c r="Q181" t="n">
        <v>0</v>
      </c>
      <c r="R181" t="n">
        <v>65.7</v>
      </c>
      <c r="S181" t="n">
        <v>0</v>
      </c>
      <c r="T181" t="n">
        <v>0</v>
      </c>
      <c r="U181" t="n">
        <v>0</v>
      </c>
      <c r="V181" t="n">
        <v>7.84</v>
      </c>
      <c r="W181" t="n">
        <v>164.64</v>
      </c>
      <c r="X181" t="n">
        <v>156.8</v>
      </c>
      <c r="Y181" t="n">
        <v>19</v>
      </c>
      <c r="Z181" t="n">
        <v>29.79</v>
      </c>
      <c r="AA181" t="n">
        <v>3.03</v>
      </c>
      <c r="AB181" t="n">
        <v>32.82</v>
      </c>
      <c r="AC181" t="n">
        <v>5.91</v>
      </c>
      <c r="AD181" t="n">
        <v>0</v>
      </c>
      <c r="AE181" t="n">
        <v>156.8</v>
      </c>
      <c r="AF181" t="n">
        <v>0</v>
      </c>
      <c r="AG181" t="n">
        <v>0</v>
      </c>
      <c r="AH181" t="n">
        <v>0.16</v>
      </c>
      <c r="AI181" t="n">
        <v>7.85</v>
      </c>
      <c r="AJ181" t="n">
        <v>-0.01</v>
      </c>
      <c r="AK181" t="n">
        <v>13.92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46.74</v>
      </c>
      <c r="AV181" t="n">
        <v>0</v>
      </c>
      <c r="AW181" t="n">
        <v>117.9</v>
      </c>
      <c r="AX181" t="inlineStr">
        <is>
          <t>settled</t>
        </is>
      </c>
      <c r="AY181" t="inlineStr">
        <is>
          <t>NA</t>
        </is>
      </c>
      <c r="AZ181" t="inlineStr">
        <is>
          <t>NA</t>
        </is>
      </c>
      <c r="BA181" t="n">
        <v>0</v>
      </c>
      <c r="BB181" t="inlineStr">
        <is>
          <t>04c5e47a9f5f25081f25a12fc4b583864bf6a1b885a639fb69d3ac7c7f3ae31e</t>
        </is>
      </c>
    </row>
    <row r="182">
      <c r="A182" t="inlineStr">
        <is>
          <t>1212</t>
        </is>
      </c>
      <c r="B182" t="inlineStr">
        <is>
          <t>7610449462</t>
        </is>
      </c>
      <c r="C182" t="inlineStr">
        <is>
          <t>2025-12-26 02:14:31</t>
        </is>
      </c>
      <c r="D182" t="inlineStr">
        <is>
          <t>52</t>
        </is>
      </c>
      <c r="E182" t="inlineStr">
        <is>
          <t>Sha Sha - Shandaar Shawarma</t>
        </is>
      </c>
      <c r="F182" t="inlineStr">
        <is>
          <t>18557902</t>
        </is>
      </c>
      <c r="G182" t="inlineStr">
        <is>
          <t>NA</t>
        </is>
      </c>
      <c r="H182" t="inlineStr">
        <is>
          <t>ONLINE</t>
        </is>
      </c>
      <c r="I182" t="inlineStr">
        <is>
          <t>DELIVERED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O2</t>
        </is>
      </c>
      <c r="N182" t="inlineStr">
        <is>
          <t>36</t>
        </is>
      </c>
      <c r="O182" t="n">
        <v>229</v>
      </c>
      <c r="P182" t="n">
        <v>3.5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11.63</v>
      </c>
      <c r="W182" t="n">
        <v>244.13</v>
      </c>
      <c r="X182" t="n">
        <v>232.5</v>
      </c>
      <c r="Y182" t="n">
        <v>19</v>
      </c>
      <c r="Z182" t="n">
        <v>44.18</v>
      </c>
      <c r="AA182" t="n">
        <v>4.49</v>
      </c>
      <c r="AB182" t="n">
        <v>48.67</v>
      </c>
      <c r="AC182" t="n">
        <v>8.76</v>
      </c>
      <c r="AD182" t="n">
        <v>0</v>
      </c>
      <c r="AE182" t="n">
        <v>232.5</v>
      </c>
      <c r="AF182" t="n">
        <v>0</v>
      </c>
      <c r="AG182" t="n">
        <v>0</v>
      </c>
      <c r="AH182" t="n">
        <v>0.23</v>
      </c>
      <c r="AI182" t="n">
        <v>11.63</v>
      </c>
      <c r="AJ182" t="n">
        <v>0</v>
      </c>
      <c r="AK182" t="n">
        <v>20.62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69.29000000000001</v>
      </c>
      <c r="AV182" t="n">
        <v>0</v>
      </c>
      <c r="AW182" t="n">
        <v>174.84</v>
      </c>
      <c r="AX182" t="inlineStr">
        <is>
          <t>settled</t>
        </is>
      </c>
      <c r="AY182" t="inlineStr">
        <is>
          <t>NA</t>
        </is>
      </c>
      <c r="AZ182" t="inlineStr">
        <is>
          <t>NA</t>
        </is>
      </c>
      <c r="BA182" t="n">
        <v>0</v>
      </c>
      <c r="BB182" t="inlineStr">
        <is>
          <t>2bc5192c74609b84394c3311bddf5cfdd82486b4b29bcd4695a6f63967310d63</t>
        </is>
      </c>
    </row>
    <row r="183">
      <c r="A183" t="inlineStr">
        <is>
          <t>1213</t>
        </is>
      </c>
      <c r="B183" t="inlineStr">
        <is>
          <t>7618259545</t>
        </is>
      </c>
      <c r="C183" t="inlineStr">
        <is>
          <t>2025-12-26 02:56:22</t>
        </is>
      </c>
      <c r="D183" t="inlineStr">
        <is>
          <t>52</t>
        </is>
      </c>
      <c r="E183" t="inlineStr">
        <is>
          <t>Sha Sha - Shandaar Shawarma</t>
        </is>
      </c>
      <c r="F183" t="inlineStr">
        <is>
          <t>18557902</t>
        </is>
      </c>
      <c r="G183" t="inlineStr">
        <is>
          <t>30% off upto ₹75 (2025-06-25 - 2031-01-01)</t>
        </is>
      </c>
      <c r="H183" t="inlineStr">
        <is>
          <t>ONLINE</t>
        </is>
      </c>
      <c r="I183" t="inlineStr">
        <is>
          <t>DELIVERED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O2</t>
        </is>
      </c>
      <c r="N183" t="inlineStr">
        <is>
          <t>36</t>
        </is>
      </c>
      <c r="O183" t="n">
        <v>229</v>
      </c>
      <c r="P183" t="n">
        <v>3.5</v>
      </c>
      <c r="Q183" t="n">
        <v>0</v>
      </c>
      <c r="R183" t="n">
        <v>68.7</v>
      </c>
      <c r="S183" t="n">
        <v>0</v>
      </c>
      <c r="T183" t="n">
        <v>0</v>
      </c>
      <c r="U183" t="n">
        <v>0</v>
      </c>
      <c r="V183" t="n">
        <v>8.19</v>
      </c>
      <c r="W183" t="n">
        <v>171.99</v>
      </c>
      <c r="X183" t="n">
        <v>163.8</v>
      </c>
      <c r="Y183" t="n">
        <v>19</v>
      </c>
      <c r="Z183" t="n">
        <v>31.12</v>
      </c>
      <c r="AA183" t="n">
        <v>3.16</v>
      </c>
      <c r="AB183" t="n">
        <v>34.28</v>
      </c>
      <c r="AC183" t="n">
        <v>6.17</v>
      </c>
      <c r="AD183" t="n">
        <v>0</v>
      </c>
      <c r="AE183" t="n">
        <v>163.8</v>
      </c>
      <c r="AF183" t="n">
        <v>0</v>
      </c>
      <c r="AG183" t="n">
        <v>0</v>
      </c>
      <c r="AH183" t="n">
        <v>0.16</v>
      </c>
      <c r="AI183" t="n">
        <v>8.199999999999999</v>
      </c>
      <c r="AJ183" t="n">
        <v>-0.01</v>
      </c>
      <c r="AK183" t="n">
        <v>14.53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48.81</v>
      </c>
      <c r="AV183" t="n">
        <v>0</v>
      </c>
      <c r="AW183" t="n">
        <v>123.18</v>
      </c>
      <c r="AX183" t="inlineStr">
        <is>
          <t>settled</t>
        </is>
      </c>
      <c r="AY183" t="inlineStr">
        <is>
          <t>NA</t>
        </is>
      </c>
      <c r="AZ183" t="inlineStr">
        <is>
          <t>NA</t>
        </is>
      </c>
      <c r="BA183" t="n">
        <v>0</v>
      </c>
      <c r="BB183" t="inlineStr">
        <is>
          <t>43c315ee0fae5273f561d7bfa00f1350c9e3f39971eabd24355911968afae01c</t>
        </is>
      </c>
    </row>
    <row r="184">
      <c r="A184" t="inlineStr">
        <is>
          <t>1214</t>
        </is>
      </c>
      <c r="B184" t="inlineStr">
        <is>
          <t>7618094806</t>
        </is>
      </c>
      <c r="C184" t="inlineStr">
        <is>
          <t>2025-12-26 03:46:07</t>
        </is>
      </c>
      <c r="D184" t="inlineStr">
        <is>
          <t>52</t>
        </is>
      </c>
      <c r="E184" t="inlineStr">
        <is>
          <t>Sha Sha - Shandaar Shawarma</t>
        </is>
      </c>
      <c r="F184" t="inlineStr">
        <is>
          <t>18557902</t>
        </is>
      </c>
      <c r="G184" t="inlineStr">
        <is>
          <t>NA</t>
        </is>
      </c>
      <c r="H184" t="inlineStr">
        <is>
          <t>ONLINE</t>
        </is>
      </c>
      <c r="I184" t="inlineStr">
        <is>
          <t>DELIVERED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O2</t>
        </is>
      </c>
      <c r="N184" t="inlineStr">
        <is>
          <t>36</t>
        </is>
      </c>
      <c r="O184" t="n">
        <v>377</v>
      </c>
      <c r="P184" t="n">
        <v>3.5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19.03</v>
      </c>
      <c r="W184" t="n">
        <v>399.53</v>
      </c>
      <c r="X184" t="n">
        <v>380.5</v>
      </c>
      <c r="Y184" t="n">
        <v>19</v>
      </c>
      <c r="Z184" t="n">
        <v>72.3</v>
      </c>
      <c r="AA184" t="n">
        <v>7.35</v>
      </c>
      <c r="AB184" t="n">
        <v>79.65000000000001</v>
      </c>
      <c r="AC184" t="n">
        <v>14.33</v>
      </c>
      <c r="AD184" t="n">
        <v>0</v>
      </c>
      <c r="AE184" t="n">
        <v>380.5</v>
      </c>
      <c r="AF184" t="n">
        <v>0</v>
      </c>
      <c r="AG184" t="n">
        <v>0</v>
      </c>
      <c r="AH184" t="n">
        <v>0.38</v>
      </c>
      <c r="AI184" t="n">
        <v>19.03</v>
      </c>
      <c r="AJ184" t="n">
        <v>0</v>
      </c>
      <c r="AK184" t="n">
        <v>33.74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113.39</v>
      </c>
      <c r="AV184" t="n">
        <v>0</v>
      </c>
      <c r="AW184" t="n">
        <v>286.14</v>
      </c>
      <c r="AX184" t="inlineStr">
        <is>
          <t>settled</t>
        </is>
      </c>
      <c r="AY184" t="inlineStr">
        <is>
          <t>NA</t>
        </is>
      </c>
      <c r="AZ184" t="inlineStr">
        <is>
          <t>NA</t>
        </is>
      </c>
      <c r="BA184" t="n">
        <v>0</v>
      </c>
      <c r="BB184" t="inlineStr">
        <is>
          <t>d5b34139329cfb18258b035904a31a9a7b0c5f81afcfbd21efa074a61b00b701</t>
        </is>
      </c>
    </row>
    <row r="185">
      <c r="A185" t="inlineStr">
        <is>
          <t>1215</t>
        </is>
      </c>
      <c r="B185" t="inlineStr">
        <is>
          <t>7609801691</t>
        </is>
      </c>
      <c r="C185" t="inlineStr">
        <is>
          <t>2025-12-26 04:04:44</t>
        </is>
      </c>
      <c r="D185" t="inlineStr">
        <is>
          <t>52</t>
        </is>
      </c>
      <c r="E185" t="inlineStr">
        <is>
          <t>Sha Sha - Shandaar Shawarma</t>
        </is>
      </c>
      <c r="F185" t="inlineStr">
        <is>
          <t>18557902</t>
        </is>
      </c>
      <c r="G185" t="inlineStr">
        <is>
          <t>30% off upto ₹75 (2025-06-25 - 2031-01-01)</t>
        </is>
      </c>
      <c r="H185" t="inlineStr">
        <is>
          <t>ONLINE</t>
        </is>
      </c>
      <c r="I185" t="inlineStr">
        <is>
          <t>DELIVERED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O2</t>
        </is>
      </c>
      <c r="N185" t="inlineStr">
        <is>
          <t>36</t>
        </is>
      </c>
      <c r="O185" t="n">
        <v>229</v>
      </c>
      <c r="P185" t="n">
        <v>3.5</v>
      </c>
      <c r="Q185" t="n">
        <v>0</v>
      </c>
      <c r="R185" t="n">
        <v>68.7</v>
      </c>
      <c r="S185" t="n">
        <v>0</v>
      </c>
      <c r="T185" t="n">
        <v>0</v>
      </c>
      <c r="U185" t="n">
        <v>0</v>
      </c>
      <c r="V185" t="n">
        <v>8.19</v>
      </c>
      <c r="W185" t="n">
        <v>171.99</v>
      </c>
      <c r="X185" t="n">
        <v>163.8</v>
      </c>
      <c r="Y185" t="n">
        <v>19</v>
      </c>
      <c r="Z185" t="n">
        <v>31.12</v>
      </c>
      <c r="AA185" t="n">
        <v>3.16</v>
      </c>
      <c r="AB185" t="n">
        <v>34.28</v>
      </c>
      <c r="AC185" t="n">
        <v>6.17</v>
      </c>
      <c r="AD185" t="n">
        <v>0</v>
      </c>
      <c r="AE185" t="n">
        <v>163.8</v>
      </c>
      <c r="AF185" t="n">
        <v>0</v>
      </c>
      <c r="AG185" t="n">
        <v>0</v>
      </c>
      <c r="AH185" t="n">
        <v>0.16</v>
      </c>
      <c r="AI185" t="n">
        <v>8.199999999999999</v>
      </c>
      <c r="AJ185" t="n">
        <v>-0.01</v>
      </c>
      <c r="AK185" t="n">
        <v>14.53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48.81</v>
      </c>
      <c r="AV185" t="n">
        <v>0</v>
      </c>
      <c r="AW185" t="n">
        <v>123.18</v>
      </c>
      <c r="AX185" t="inlineStr">
        <is>
          <t>settled</t>
        </is>
      </c>
      <c r="AY185" t="inlineStr">
        <is>
          <t>NA</t>
        </is>
      </c>
      <c r="AZ185" t="inlineStr">
        <is>
          <t>NA</t>
        </is>
      </c>
      <c r="BA185" t="n">
        <v>0</v>
      </c>
      <c r="BB185" t="inlineStr">
        <is>
          <t>52486cee711af870a1fd0453142ed247c88111d3efb2eb93b2365d42e399e3ef</t>
        </is>
      </c>
    </row>
    <row r="186">
      <c r="A186" t="inlineStr">
        <is>
          <t>1216</t>
        </is>
      </c>
      <c r="B186" t="inlineStr">
        <is>
          <t>7618752246</t>
        </is>
      </c>
      <c r="C186" t="inlineStr">
        <is>
          <t>2025-12-26 11:12:38</t>
        </is>
      </c>
      <c r="D186" t="inlineStr">
        <is>
          <t>52</t>
        </is>
      </c>
      <c r="E186" t="inlineStr">
        <is>
          <t>Sha Sha - Shandaar Shawarma</t>
        </is>
      </c>
      <c r="F186" t="inlineStr">
        <is>
          <t>18557902</t>
        </is>
      </c>
      <c r="G186" t="inlineStr">
        <is>
          <t>30% off upto ₹75 (2025-06-25 - 2031-01-01)</t>
        </is>
      </c>
      <c r="H186" t="inlineStr">
        <is>
          <t>ONLINE</t>
        </is>
      </c>
      <c r="I186" t="inlineStr">
        <is>
          <t>DELIVERED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O2</t>
        </is>
      </c>
      <c r="N186" t="inlineStr">
        <is>
          <t>36</t>
        </is>
      </c>
      <c r="O186" t="n">
        <v>384</v>
      </c>
      <c r="P186" t="n">
        <v>3.5</v>
      </c>
      <c r="Q186" t="n">
        <v>0</v>
      </c>
      <c r="R186" t="n">
        <v>75</v>
      </c>
      <c r="S186" t="n">
        <v>0</v>
      </c>
      <c r="T186" t="n">
        <v>0</v>
      </c>
      <c r="U186" t="n">
        <v>0</v>
      </c>
      <c r="V186" t="n">
        <v>15.63</v>
      </c>
      <c r="W186" t="n">
        <v>328.13</v>
      </c>
      <c r="X186" t="n">
        <v>312.5</v>
      </c>
      <c r="Y186" t="n">
        <v>19</v>
      </c>
      <c r="Z186" t="n">
        <v>59.38</v>
      </c>
      <c r="AA186" t="n">
        <v>6.04</v>
      </c>
      <c r="AB186" t="n">
        <v>65.42</v>
      </c>
      <c r="AC186" t="n">
        <v>11.78</v>
      </c>
      <c r="AD186" t="n">
        <v>0</v>
      </c>
      <c r="AE186" t="n">
        <v>312.5</v>
      </c>
      <c r="AF186" t="n">
        <v>0</v>
      </c>
      <c r="AG186" t="n">
        <v>0</v>
      </c>
      <c r="AH186" t="n">
        <v>0.31</v>
      </c>
      <c r="AI186" t="n">
        <v>15.63</v>
      </c>
      <c r="AJ186" t="n">
        <v>0</v>
      </c>
      <c r="AK186" t="n">
        <v>27.72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93.14</v>
      </c>
      <c r="AV186" t="n">
        <v>0</v>
      </c>
      <c r="AW186" t="n">
        <v>234.99</v>
      </c>
      <c r="AX186" t="inlineStr">
        <is>
          <t>settled</t>
        </is>
      </c>
      <c r="AY186" t="inlineStr">
        <is>
          <t>NA</t>
        </is>
      </c>
      <c r="AZ186" t="inlineStr">
        <is>
          <t>NA</t>
        </is>
      </c>
      <c r="BA186" t="n">
        <v>0</v>
      </c>
      <c r="BB186" t="inlineStr">
        <is>
          <t>ebafa7f65ee505747e5bd677c035ad85aae56f82c1babe5940666355b13023d8</t>
        </is>
      </c>
    </row>
    <row r="187">
      <c r="A187" t="inlineStr">
        <is>
          <t>1217</t>
        </is>
      </c>
      <c r="B187" t="inlineStr">
        <is>
          <t>7623027386</t>
        </is>
      </c>
      <c r="C187" t="inlineStr">
        <is>
          <t>2025-12-26 16:15:49</t>
        </is>
      </c>
      <c r="D187" t="inlineStr">
        <is>
          <t>52</t>
        </is>
      </c>
      <c r="E187" t="inlineStr">
        <is>
          <t>Sha Sha - Shandaar Shawarma</t>
        </is>
      </c>
      <c r="F187" t="inlineStr">
        <is>
          <t>18557902</t>
        </is>
      </c>
      <c r="G187" t="inlineStr">
        <is>
          <t>30% off upto ₹75 (2025-06-25 - 2031-01-01)</t>
        </is>
      </c>
      <c r="H187" t="inlineStr">
        <is>
          <t>ONLINE</t>
        </is>
      </c>
      <c r="I187" t="inlineStr">
        <is>
          <t>DELIVERED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O2</t>
        </is>
      </c>
      <c r="N187" t="inlineStr">
        <is>
          <t>36</t>
        </is>
      </c>
      <c r="O187" t="n">
        <v>458</v>
      </c>
      <c r="P187" t="n">
        <v>3.5</v>
      </c>
      <c r="Q187" t="n">
        <v>0</v>
      </c>
      <c r="R187" t="n">
        <v>75</v>
      </c>
      <c r="S187" t="n">
        <v>0</v>
      </c>
      <c r="T187" t="n">
        <v>0</v>
      </c>
      <c r="U187" t="n">
        <v>0</v>
      </c>
      <c r="V187" t="n">
        <v>19.33</v>
      </c>
      <c r="W187" t="n">
        <v>405.83</v>
      </c>
      <c r="X187" t="n">
        <v>386.5</v>
      </c>
      <c r="Y187" t="n">
        <v>19</v>
      </c>
      <c r="Z187" t="n">
        <v>73.44</v>
      </c>
      <c r="AA187" t="n">
        <v>7.47</v>
      </c>
      <c r="AB187" t="n">
        <v>80.91</v>
      </c>
      <c r="AC187" t="n">
        <v>14.56</v>
      </c>
      <c r="AD187" t="n">
        <v>0</v>
      </c>
      <c r="AE187" t="n">
        <v>386.5</v>
      </c>
      <c r="AF187" t="n">
        <v>0</v>
      </c>
      <c r="AG187" t="n">
        <v>0</v>
      </c>
      <c r="AH187" t="n">
        <v>0.39</v>
      </c>
      <c r="AI187" t="n">
        <v>19.33</v>
      </c>
      <c r="AJ187" t="n">
        <v>0</v>
      </c>
      <c r="AK187" t="n">
        <v>34.28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115.19</v>
      </c>
      <c r="AV187" t="n">
        <v>0</v>
      </c>
      <c r="AW187" t="n">
        <v>290.64</v>
      </c>
      <c r="AX187" t="inlineStr">
        <is>
          <t>settled</t>
        </is>
      </c>
      <c r="AY187" t="inlineStr">
        <is>
          <t>NA</t>
        </is>
      </c>
      <c r="AZ187" t="inlineStr">
        <is>
          <t>NA</t>
        </is>
      </c>
      <c r="BA187" t="n">
        <v>0</v>
      </c>
      <c r="BB187" t="inlineStr">
        <is>
          <t>5dc22ad59323026a06ce124e00e0d720f2404d2315f8654a6ce17bc7f9c34ac8</t>
        </is>
      </c>
    </row>
    <row r="188">
      <c r="A188" t="inlineStr">
        <is>
          <t>1218</t>
        </is>
      </c>
      <c r="B188" t="inlineStr">
        <is>
          <t>7618263920</t>
        </is>
      </c>
      <c r="C188" t="inlineStr">
        <is>
          <t>2025-12-26 17:28:20</t>
        </is>
      </c>
      <c r="D188" t="inlineStr">
        <is>
          <t>52</t>
        </is>
      </c>
      <c r="E188" t="inlineStr">
        <is>
          <t>Sha Sha - Shandaar Shawarma</t>
        </is>
      </c>
      <c r="F188" t="inlineStr">
        <is>
          <t>18557902</t>
        </is>
      </c>
      <c r="G188" t="inlineStr">
        <is>
          <t>30% off upto ₹75 (2025-06-25 - 2031-01-01)</t>
        </is>
      </c>
      <c r="H188" t="inlineStr">
        <is>
          <t>ONLINE</t>
        </is>
      </c>
      <c r="I188" t="inlineStr">
        <is>
          <t>DELIVERED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O2</t>
        </is>
      </c>
      <c r="N188" t="inlineStr">
        <is>
          <t>36</t>
        </is>
      </c>
      <c r="O188" t="n">
        <v>229</v>
      </c>
      <c r="P188" t="n">
        <v>3.5</v>
      </c>
      <c r="Q188" t="n">
        <v>0</v>
      </c>
      <c r="R188" t="n">
        <v>68.7</v>
      </c>
      <c r="S188" t="n">
        <v>0</v>
      </c>
      <c r="T188" t="n">
        <v>0</v>
      </c>
      <c r="U188" t="n">
        <v>0</v>
      </c>
      <c r="V188" t="n">
        <v>8.19</v>
      </c>
      <c r="W188" t="n">
        <v>171.99</v>
      </c>
      <c r="X188" t="n">
        <v>163.8</v>
      </c>
      <c r="Y188" t="n">
        <v>19</v>
      </c>
      <c r="Z188" t="n">
        <v>31.12</v>
      </c>
      <c r="AA188" t="n">
        <v>3.16</v>
      </c>
      <c r="AB188" t="n">
        <v>34.28</v>
      </c>
      <c r="AC188" t="n">
        <v>6.17</v>
      </c>
      <c r="AD188" t="n">
        <v>0</v>
      </c>
      <c r="AE188" t="n">
        <v>163.8</v>
      </c>
      <c r="AF188" t="n">
        <v>0</v>
      </c>
      <c r="AG188" t="n">
        <v>0</v>
      </c>
      <c r="AH188" t="n">
        <v>0.16</v>
      </c>
      <c r="AI188" t="n">
        <v>8.199999999999999</v>
      </c>
      <c r="AJ188" t="n">
        <v>-0.01</v>
      </c>
      <c r="AK188" t="n">
        <v>14.53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48.81</v>
      </c>
      <c r="AV188" t="n">
        <v>0</v>
      </c>
      <c r="AW188" t="n">
        <v>123.18</v>
      </c>
      <c r="AX188" t="inlineStr">
        <is>
          <t>settled</t>
        </is>
      </c>
      <c r="AY188" t="inlineStr">
        <is>
          <t>NA</t>
        </is>
      </c>
      <c r="AZ188" t="inlineStr">
        <is>
          <t>NA</t>
        </is>
      </c>
      <c r="BA188" t="n">
        <v>0</v>
      </c>
      <c r="BB188" t="inlineStr">
        <is>
          <t>8e0df4fd4182c533718e6a7a7158121a7892d7d3a200058974135dcc390affc2</t>
        </is>
      </c>
    </row>
    <row r="189">
      <c r="A189" t="inlineStr">
        <is>
          <t>1219</t>
        </is>
      </c>
      <c r="B189" t="inlineStr">
        <is>
          <t>7623569686</t>
        </is>
      </c>
      <c r="C189" t="inlineStr">
        <is>
          <t>2025-12-26 17:34:44</t>
        </is>
      </c>
      <c r="D189" t="inlineStr">
        <is>
          <t>52</t>
        </is>
      </c>
      <c r="E189" t="inlineStr">
        <is>
          <t>Sha Sha - Shandaar Shawarma</t>
        </is>
      </c>
      <c r="F189" t="inlineStr">
        <is>
          <t>18557902</t>
        </is>
      </c>
      <c r="G189" t="inlineStr">
        <is>
          <t>30% off upto ₹75 (2025-06-25 - 2031-01-01)</t>
        </is>
      </c>
      <c r="H189" t="inlineStr">
        <is>
          <t>ONLINE</t>
        </is>
      </c>
      <c r="I189" t="inlineStr">
        <is>
          <t>DELIVERED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O2</t>
        </is>
      </c>
      <c r="N189" t="inlineStr">
        <is>
          <t>36</t>
        </is>
      </c>
      <c r="O189" t="n">
        <v>219</v>
      </c>
      <c r="P189" t="n">
        <v>3.5</v>
      </c>
      <c r="Q189" t="n">
        <v>0</v>
      </c>
      <c r="R189" t="n">
        <v>65.7</v>
      </c>
      <c r="S189" t="n">
        <v>0</v>
      </c>
      <c r="T189" t="n">
        <v>0</v>
      </c>
      <c r="U189" t="n">
        <v>0</v>
      </c>
      <c r="V189" t="n">
        <v>7.84</v>
      </c>
      <c r="W189" t="n">
        <v>164.64</v>
      </c>
      <c r="X189" t="n">
        <v>156.8</v>
      </c>
      <c r="Y189" t="n">
        <v>19</v>
      </c>
      <c r="Z189" t="n">
        <v>29.79</v>
      </c>
      <c r="AA189" t="n">
        <v>3.03</v>
      </c>
      <c r="AB189" t="n">
        <v>32.82</v>
      </c>
      <c r="AC189" t="n">
        <v>5.91</v>
      </c>
      <c r="AD189" t="n">
        <v>0</v>
      </c>
      <c r="AE189" t="n">
        <v>156.8</v>
      </c>
      <c r="AF189" t="n">
        <v>0</v>
      </c>
      <c r="AG189" t="n">
        <v>0</v>
      </c>
      <c r="AH189" t="n">
        <v>0.16</v>
      </c>
      <c r="AI189" t="n">
        <v>7.85</v>
      </c>
      <c r="AJ189" t="n">
        <v>-0.01</v>
      </c>
      <c r="AK189" t="n">
        <v>13.92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46.74</v>
      </c>
      <c r="AV189" t="n">
        <v>0</v>
      </c>
      <c r="AW189" t="n">
        <v>117.9</v>
      </c>
      <c r="AX189" t="inlineStr">
        <is>
          <t>settled</t>
        </is>
      </c>
      <c r="AY189" t="inlineStr">
        <is>
          <t>NA</t>
        </is>
      </c>
      <c r="AZ189" t="inlineStr">
        <is>
          <t>NA</t>
        </is>
      </c>
      <c r="BA189" t="n">
        <v>0</v>
      </c>
      <c r="BB189" t="inlineStr">
        <is>
          <t>32eeac08577f3a8221b172a7c9f6a8a2729cb9135a0dc1c0abff8bf2f190365f</t>
        </is>
      </c>
    </row>
    <row r="190">
      <c r="A190" t="inlineStr">
        <is>
          <t>1220</t>
        </is>
      </c>
      <c r="B190" t="inlineStr">
        <is>
          <t>7598445706</t>
        </is>
      </c>
      <c r="C190" t="inlineStr">
        <is>
          <t>2025-12-26 18:28:54</t>
        </is>
      </c>
      <c r="D190" t="inlineStr">
        <is>
          <t>52</t>
        </is>
      </c>
      <c r="E190" t="inlineStr">
        <is>
          <t>Sha Sha - Shandaar Shawarma</t>
        </is>
      </c>
      <c r="F190" t="inlineStr">
        <is>
          <t>18557902</t>
        </is>
      </c>
      <c r="G190" t="inlineStr">
        <is>
          <t>30% off upto ₹75 (2025-06-25 - 2031-01-01)</t>
        </is>
      </c>
      <c r="H190" t="inlineStr">
        <is>
          <t>ONLINE</t>
        </is>
      </c>
      <c r="I190" t="inlineStr">
        <is>
          <t>DELIVERED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O2</t>
        </is>
      </c>
      <c r="N190" t="inlineStr">
        <is>
          <t>36</t>
        </is>
      </c>
      <c r="O190" t="n">
        <v>229</v>
      </c>
      <c r="P190" t="n">
        <v>3.5</v>
      </c>
      <c r="Q190" t="n">
        <v>0</v>
      </c>
      <c r="R190" t="n">
        <v>68.7</v>
      </c>
      <c r="S190" t="n">
        <v>0</v>
      </c>
      <c r="T190" t="n">
        <v>0</v>
      </c>
      <c r="U190" t="n">
        <v>0</v>
      </c>
      <c r="V190" t="n">
        <v>8.19</v>
      </c>
      <c r="W190" t="n">
        <v>171.99</v>
      </c>
      <c r="X190" t="n">
        <v>163.8</v>
      </c>
      <c r="Y190" t="n">
        <v>19</v>
      </c>
      <c r="Z190" t="n">
        <v>31.12</v>
      </c>
      <c r="AA190" t="n">
        <v>3.16</v>
      </c>
      <c r="AB190" t="n">
        <v>34.28</v>
      </c>
      <c r="AC190" t="n">
        <v>6.17</v>
      </c>
      <c r="AD190" t="n">
        <v>0</v>
      </c>
      <c r="AE190" t="n">
        <v>163.8</v>
      </c>
      <c r="AF190" t="n">
        <v>0</v>
      </c>
      <c r="AG190" t="n">
        <v>0</v>
      </c>
      <c r="AH190" t="n">
        <v>0.16</v>
      </c>
      <c r="AI190" t="n">
        <v>8.199999999999999</v>
      </c>
      <c r="AJ190" t="n">
        <v>-0.01</v>
      </c>
      <c r="AK190" t="n">
        <v>14.53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48.81</v>
      </c>
      <c r="AV190" t="n">
        <v>0</v>
      </c>
      <c r="AW190" t="n">
        <v>123.18</v>
      </c>
      <c r="AX190" t="inlineStr">
        <is>
          <t>settled</t>
        </is>
      </c>
      <c r="AY190" t="inlineStr">
        <is>
          <t>NA</t>
        </is>
      </c>
      <c r="AZ190" t="inlineStr">
        <is>
          <t>NA</t>
        </is>
      </c>
      <c r="BA190" t="n">
        <v>0</v>
      </c>
      <c r="BB190" t="inlineStr">
        <is>
          <t>d2bb89dc65fddd27f28b0ff7c425b4bff5cdff74cb18e35a2e7f5fd6a3969476</t>
        </is>
      </c>
    </row>
    <row r="191">
      <c r="A191" t="inlineStr">
        <is>
          <t>1221</t>
        </is>
      </c>
      <c r="B191" t="inlineStr">
        <is>
          <t>7622052354</t>
        </is>
      </c>
      <c r="C191" t="inlineStr">
        <is>
          <t>2025-12-26 19:09:30</t>
        </is>
      </c>
      <c r="D191" t="inlineStr">
        <is>
          <t>52</t>
        </is>
      </c>
      <c r="E191" t="inlineStr">
        <is>
          <t>Sha Sha - Shandaar Shawarma</t>
        </is>
      </c>
      <c r="F191" t="inlineStr">
        <is>
          <t>18557902</t>
        </is>
      </c>
      <c r="G191" t="inlineStr">
        <is>
          <t>NA</t>
        </is>
      </c>
      <c r="H191" t="inlineStr">
        <is>
          <t>ONLINE</t>
        </is>
      </c>
      <c r="I191" t="inlineStr">
        <is>
          <t>DELIVERED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O2</t>
        </is>
      </c>
      <c r="N191" t="inlineStr">
        <is>
          <t>36</t>
        </is>
      </c>
      <c r="O191" t="n">
        <v>229</v>
      </c>
      <c r="P191" t="n">
        <v>3.5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11.63</v>
      </c>
      <c r="W191" t="n">
        <v>244.13</v>
      </c>
      <c r="X191" t="n">
        <v>232.5</v>
      </c>
      <c r="Y191" t="n">
        <v>19</v>
      </c>
      <c r="Z191" t="n">
        <v>44.18</v>
      </c>
      <c r="AA191" t="n">
        <v>4.49</v>
      </c>
      <c r="AB191" t="n">
        <v>48.67</v>
      </c>
      <c r="AC191" t="n">
        <v>8.76</v>
      </c>
      <c r="AD191" t="n">
        <v>0</v>
      </c>
      <c r="AE191" t="n">
        <v>232.5</v>
      </c>
      <c r="AF191" t="n">
        <v>0</v>
      </c>
      <c r="AG191" t="n">
        <v>0</v>
      </c>
      <c r="AH191" t="n">
        <v>0.23</v>
      </c>
      <c r="AI191" t="n">
        <v>11.63</v>
      </c>
      <c r="AJ191" t="n">
        <v>0</v>
      </c>
      <c r="AK191" t="n">
        <v>20.62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69.29000000000001</v>
      </c>
      <c r="AV191" t="n">
        <v>0</v>
      </c>
      <c r="AW191" t="n">
        <v>174.84</v>
      </c>
      <c r="AX191" t="inlineStr">
        <is>
          <t>settled</t>
        </is>
      </c>
      <c r="AY191" t="inlineStr">
        <is>
          <t>NA</t>
        </is>
      </c>
      <c r="AZ191" t="inlineStr">
        <is>
          <t>NA</t>
        </is>
      </c>
      <c r="BA191" t="n">
        <v>0</v>
      </c>
      <c r="BB191" t="inlineStr">
        <is>
          <t>ae9bbae31a8addd986abca87bd7f1a968bd3c3b550c20b770ce8e8e158a315aa</t>
        </is>
      </c>
    </row>
    <row r="192">
      <c r="A192" t="inlineStr">
        <is>
          <t>1222</t>
        </is>
      </c>
      <c r="B192" t="inlineStr">
        <is>
          <t>7623459307</t>
        </is>
      </c>
      <c r="C192" t="inlineStr">
        <is>
          <t>2025-12-26 19:40:05</t>
        </is>
      </c>
      <c r="D192" t="inlineStr">
        <is>
          <t>52</t>
        </is>
      </c>
      <c r="E192" t="inlineStr">
        <is>
          <t>Sha Sha - Shandaar Shawarma</t>
        </is>
      </c>
      <c r="F192" t="inlineStr">
        <is>
          <t>18557902</t>
        </is>
      </c>
      <c r="G192" t="inlineStr">
        <is>
          <t>NA</t>
        </is>
      </c>
      <c r="H192" t="inlineStr">
        <is>
          <t>ONLINE</t>
        </is>
      </c>
      <c r="I192" t="inlineStr">
        <is>
          <t>DELIVERED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O2</t>
        </is>
      </c>
      <c r="N192" t="inlineStr">
        <is>
          <t>36</t>
        </is>
      </c>
      <c r="O192" t="n">
        <v>298</v>
      </c>
      <c r="P192" t="n">
        <v>3.5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15.08</v>
      </c>
      <c r="W192" t="n">
        <v>316.58</v>
      </c>
      <c r="X192" t="n">
        <v>301.5</v>
      </c>
      <c r="Y192" t="n">
        <v>19</v>
      </c>
      <c r="Z192" t="n">
        <v>57.28</v>
      </c>
      <c r="AA192" t="n">
        <v>5.83</v>
      </c>
      <c r="AB192" t="n">
        <v>63.11</v>
      </c>
      <c r="AC192" t="n">
        <v>11.36</v>
      </c>
      <c r="AD192" t="n">
        <v>0</v>
      </c>
      <c r="AE192" t="n">
        <v>301.5</v>
      </c>
      <c r="AF192" t="n">
        <v>0</v>
      </c>
      <c r="AG192" t="n">
        <v>0</v>
      </c>
      <c r="AH192" t="n">
        <v>0.3</v>
      </c>
      <c r="AI192" t="n">
        <v>15.08</v>
      </c>
      <c r="AJ192" t="n">
        <v>0</v>
      </c>
      <c r="AK192" t="n">
        <v>26.74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89.84999999999999</v>
      </c>
      <c r="AV192" t="n">
        <v>0</v>
      </c>
      <c r="AW192" t="n">
        <v>226.73</v>
      </c>
      <c r="AX192" t="inlineStr">
        <is>
          <t>settled</t>
        </is>
      </c>
      <c r="AY192" t="inlineStr">
        <is>
          <t>NA</t>
        </is>
      </c>
      <c r="AZ192" t="inlineStr">
        <is>
          <t>NA</t>
        </is>
      </c>
      <c r="BA192" t="n">
        <v>0</v>
      </c>
      <c r="BB192" t="inlineStr">
        <is>
          <t>ef7e734ae084a2b59017b5913191f69f653ffbda1ba73b9aaedebbcd268fe6f9</t>
        </is>
      </c>
    </row>
    <row r="193">
      <c r="A193" t="inlineStr">
        <is>
          <t>1223</t>
        </is>
      </c>
      <c r="B193" t="inlineStr">
        <is>
          <t>7624010940</t>
        </is>
      </c>
      <c r="C193" t="inlineStr">
        <is>
          <t>2025-12-26 19:52:40</t>
        </is>
      </c>
      <c r="D193" t="inlineStr">
        <is>
          <t>52</t>
        </is>
      </c>
      <c r="E193" t="inlineStr">
        <is>
          <t>Sha Sha - Shandaar Shawarma</t>
        </is>
      </c>
      <c r="F193" t="inlineStr">
        <is>
          <t>18557902</t>
        </is>
      </c>
      <c r="G193" t="inlineStr">
        <is>
          <t>30% off upto ₹75 (2025-06-25 - 2031-01-01)</t>
        </is>
      </c>
      <c r="H193" t="inlineStr">
        <is>
          <t>ONLINE</t>
        </is>
      </c>
      <c r="I193" t="inlineStr">
        <is>
          <t>DELIVERED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O2</t>
        </is>
      </c>
      <c r="N193" t="inlineStr">
        <is>
          <t>36</t>
        </is>
      </c>
      <c r="O193" t="n">
        <v>448</v>
      </c>
      <c r="P193" t="n">
        <v>3.5</v>
      </c>
      <c r="Q193" t="n">
        <v>0</v>
      </c>
      <c r="R193" t="n">
        <v>75</v>
      </c>
      <c r="S193" t="n">
        <v>0</v>
      </c>
      <c r="T193" t="n">
        <v>0</v>
      </c>
      <c r="U193" t="n">
        <v>0</v>
      </c>
      <c r="V193" t="n">
        <v>18.83</v>
      </c>
      <c r="W193" t="n">
        <v>395.33</v>
      </c>
      <c r="X193" t="n">
        <v>376.5</v>
      </c>
      <c r="Y193" t="n">
        <v>19</v>
      </c>
      <c r="Z193" t="n">
        <v>71.54000000000001</v>
      </c>
      <c r="AA193" t="n">
        <v>7.27</v>
      </c>
      <c r="AB193" t="n">
        <v>78.81</v>
      </c>
      <c r="AC193" t="n">
        <v>14.19</v>
      </c>
      <c r="AD193" t="n">
        <v>0</v>
      </c>
      <c r="AE193" t="n">
        <v>376.5</v>
      </c>
      <c r="AF193" t="n">
        <v>0</v>
      </c>
      <c r="AG193" t="n">
        <v>0</v>
      </c>
      <c r="AH193" t="n">
        <v>0.38</v>
      </c>
      <c r="AI193" t="n">
        <v>18.83</v>
      </c>
      <c r="AJ193" t="n">
        <v>0</v>
      </c>
      <c r="AK193" t="n">
        <v>33.4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112.21</v>
      </c>
      <c r="AV193" t="n">
        <v>0</v>
      </c>
      <c r="AW193" t="n">
        <v>283.12</v>
      </c>
      <c r="AX193" t="inlineStr">
        <is>
          <t>settled</t>
        </is>
      </c>
      <c r="AY193" t="inlineStr">
        <is>
          <t>NA</t>
        </is>
      </c>
      <c r="AZ193" t="inlineStr">
        <is>
          <t>NA</t>
        </is>
      </c>
      <c r="BA193" t="n">
        <v>0</v>
      </c>
      <c r="BB193" t="inlineStr">
        <is>
          <t>6c13524e8a7ae0de4cde89681ca5a8070ff89569fb5db1a3c0f8686207ada929</t>
        </is>
      </c>
    </row>
    <row r="194">
      <c r="A194" t="inlineStr">
        <is>
          <t>1224</t>
        </is>
      </c>
      <c r="B194" t="inlineStr">
        <is>
          <t>7621605397</t>
        </is>
      </c>
      <c r="C194" t="inlineStr">
        <is>
          <t>2025-12-26 20:20:57</t>
        </is>
      </c>
      <c r="D194" t="inlineStr">
        <is>
          <t>52</t>
        </is>
      </c>
      <c r="E194" t="inlineStr">
        <is>
          <t>Sha Sha - Shandaar Shawarma</t>
        </is>
      </c>
      <c r="F194" t="inlineStr">
        <is>
          <t>18557902</t>
        </is>
      </c>
      <c r="G194" t="inlineStr">
        <is>
          <t>30% off upto ₹75 (2025-06-25 - 2031-01-01)</t>
        </is>
      </c>
      <c r="H194" t="inlineStr">
        <is>
          <t>ONLINE</t>
        </is>
      </c>
      <c r="I194" t="inlineStr">
        <is>
          <t>DELIVERED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O2</t>
        </is>
      </c>
      <c r="N194" t="inlineStr">
        <is>
          <t>36</t>
        </is>
      </c>
      <c r="O194" t="n">
        <v>219</v>
      </c>
      <c r="P194" t="n">
        <v>3.5</v>
      </c>
      <c r="Q194" t="n">
        <v>0</v>
      </c>
      <c r="R194" t="n">
        <v>65.7</v>
      </c>
      <c r="S194" t="n">
        <v>0</v>
      </c>
      <c r="T194" t="n">
        <v>0</v>
      </c>
      <c r="U194" t="n">
        <v>0</v>
      </c>
      <c r="V194" t="n">
        <v>7.84</v>
      </c>
      <c r="W194" t="n">
        <v>164.64</v>
      </c>
      <c r="X194" t="n">
        <v>156.8</v>
      </c>
      <c r="Y194" t="n">
        <v>19</v>
      </c>
      <c r="Z194" t="n">
        <v>29.79</v>
      </c>
      <c r="AA194" t="n">
        <v>3.03</v>
      </c>
      <c r="AB194" t="n">
        <v>32.82</v>
      </c>
      <c r="AC194" t="n">
        <v>5.91</v>
      </c>
      <c r="AD194" t="n">
        <v>0</v>
      </c>
      <c r="AE194" t="n">
        <v>156.8</v>
      </c>
      <c r="AF194" t="n">
        <v>0</v>
      </c>
      <c r="AG194" t="n">
        <v>0</v>
      </c>
      <c r="AH194" t="n">
        <v>0.16</v>
      </c>
      <c r="AI194" t="n">
        <v>7.85</v>
      </c>
      <c r="AJ194" t="n">
        <v>-0.01</v>
      </c>
      <c r="AK194" t="n">
        <v>13.92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46.74</v>
      </c>
      <c r="AV194" t="n">
        <v>0</v>
      </c>
      <c r="AW194" t="n">
        <v>117.9</v>
      </c>
      <c r="AX194" t="inlineStr">
        <is>
          <t>settled</t>
        </is>
      </c>
      <c r="AY194" t="inlineStr">
        <is>
          <t>NA</t>
        </is>
      </c>
      <c r="AZ194" t="inlineStr">
        <is>
          <t>NA</t>
        </is>
      </c>
      <c r="BA194" t="n">
        <v>0</v>
      </c>
      <c r="BB194" t="inlineStr">
        <is>
          <t>c670820e312cb0320bfcab4f45be86c9362030486343e54eaa81940e1b2be9cb</t>
        </is>
      </c>
    </row>
    <row r="195">
      <c r="A195" t="inlineStr">
        <is>
          <t>1225</t>
        </is>
      </c>
      <c r="B195" t="inlineStr">
        <is>
          <t>7623336901</t>
        </is>
      </c>
      <c r="C195" t="inlineStr">
        <is>
          <t>2025-12-26 20:59:36</t>
        </is>
      </c>
      <c r="D195" t="inlineStr">
        <is>
          <t>52</t>
        </is>
      </c>
      <c r="E195" t="inlineStr">
        <is>
          <t>Sha Sha - Shandaar Shawarma</t>
        </is>
      </c>
      <c r="F195" t="inlineStr">
        <is>
          <t>18557902</t>
        </is>
      </c>
      <c r="G195" t="inlineStr">
        <is>
          <t>30% off upto ₹75 (2025-06-25 - 2031-01-01)</t>
        </is>
      </c>
      <c r="H195" t="inlineStr">
        <is>
          <t>ONLINE</t>
        </is>
      </c>
      <c r="I195" t="inlineStr">
        <is>
          <t>DELIVERED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O2</t>
        </is>
      </c>
      <c r="N195" t="inlineStr">
        <is>
          <t>36</t>
        </is>
      </c>
      <c r="O195" t="n">
        <v>229</v>
      </c>
      <c r="P195" t="n">
        <v>3.5</v>
      </c>
      <c r="Q195" t="n">
        <v>0</v>
      </c>
      <c r="R195" t="n">
        <v>68.7</v>
      </c>
      <c r="S195" t="n">
        <v>0</v>
      </c>
      <c r="T195" t="n">
        <v>0</v>
      </c>
      <c r="U195" t="n">
        <v>0</v>
      </c>
      <c r="V195" t="n">
        <v>8.19</v>
      </c>
      <c r="W195" t="n">
        <v>171.99</v>
      </c>
      <c r="X195" t="n">
        <v>163.8</v>
      </c>
      <c r="Y195" t="n">
        <v>19</v>
      </c>
      <c r="Z195" t="n">
        <v>31.12</v>
      </c>
      <c r="AA195" t="n">
        <v>3.16</v>
      </c>
      <c r="AB195" t="n">
        <v>34.28</v>
      </c>
      <c r="AC195" t="n">
        <v>6.17</v>
      </c>
      <c r="AD195" t="n">
        <v>0</v>
      </c>
      <c r="AE195" t="n">
        <v>163.8</v>
      </c>
      <c r="AF195" t="n">
        <v>0</v>
      </c>
      <c r="AG195" t="n">
        <v>0</v>
      </c>
      <c r="AH195" t="n">
        <v>0.16</v>
      </c>
      <c r="AI195" t="n">
        <v>8.199999999999999</v>
      </c>
      <c r="AJ195" t="n">
        <v>-0.01</v>
      </c>
      <c r="AK195" t="n">
        <v>14.53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48.81</v>
      </c>
      <c r="AV195" t="n">
        <v>0</v>
      </c>
      <c r="AW195" t="n">
        <v>123.18</v>
      </c>
      <c r="AX195" t="inlineStr">
        <is>
          <t>settled</t>
        </is>
      </c>
      <c r="AY195" t="inlineStr">
        <is>
          <t>NA</t>
        </is>
      </c>
      <c r="AZ195" t="inlineStr">
        <is>
          <t>NA</t>
        </is>
      </c>
      <c r="BA195" t="n">
        <v>0</v>
      </c>
      <c r="BB195" t="inlineStr">
        <is>
          <t>aaf223796f44cd82d5e532afb6059fabf45abd5b168745557452e85ab7d86f51</t>
        </is>
      </c>
    </row>
    <row r="196">
      <c r="A196" t="inlineStr">
        <is>
          <t>1226</t>
        </is>
      </c>
      <c r="B196" t="inlineStr">
        <is>
          <t>7615937061</t>
        </is>
      </c>
      <c r="C196" t="inlineStr">
        <is>
          <t>2025-12-26 21:05:10</t>
        </is>
      </c>
      <c r="D196" t="inlineStr">
        <is>
          <t>52</t>
        </is>
      </c>
      <c r="E196" t="inlineStr">
        <is>
          <t>Sha Sha - Shandaar Shawarma</t>
        </is>
      </c>
      <c r="F196" t="inlineStr">
        <is>
          <t>18557902</t>
        </is>
      </c>
      <c r="G196" t="inlineStr">
        <is>
          <t>30% off upto ₹75 (2025-06-25 - 2031-01-01)</t>
        </is>
      </c>
      <c r="H196" t="inlineStr">
        <is>
          <t>ONLINE</t>
        </is>
      </c>
      <c r="I196" t="inlineStr">
        <is>
          <t>DELIVERED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O2</t>
        </is>
      </c>
      <c r="N196" t="inlineStr">
        <is>
          <t>36</t>
        </is>
      </c>
      <c r="O196" t="n">
        <v>932</v>
      </c>
      <c r="P196" t="n">
        <v>3.5</v>
      </c>
      <c r="Q196" t="n">
        <v>0</v>
      </c>
      <c r="R196" t="n">
        <v>75</v>
      </c>
      <c r="S196" t="n">
        <v>0</v>
      </c>
      <c r="T196" t="n">
        <v>0</v>
      </c>
      <c r="U196" t="n">
        <v>0</v>
      </c>
      <c r="V196" t="n">
        <v>43.03</v>
      </c>
      <c r="W196" t="n">
        <v>903.53</v>
      </c>
      <c r="X196" t="n">
        <v>860.5</v>
      </c>
      <c r="Y196" t="n">
        <v>19</v>
      </c>
      <c r="Z196" t="n">
        <v>163.5</v>
      </c>
      <c r="AA196" t="n">
        <v>16.62</v>
      </c>
      <c r="AB196" t="n">
        <v>180.12</v>
      </c>
      <c r="AC196" t="n">
        <v>32.42</v>
      </c>
      <c r="AD196" t="n">
        <v>0</v>
      </c>
      <c r="AE196" t="n">
        <v>860.5</v>
      </c>
      <c r="AF196" t="n">
        <v>0</v>
      </c>
      <c r="AG196" t="n">
        <v>0</v>
      </c>
      <c r="AH196" t="n">
        <v>0.86</v>
      </c>
      <c r="AI196" t="n">
        <v>43.03</v>
      </c>
      <c r="AJ196" t="n">
        <v>0</v>
      </c>
      <c r="AK196" t="n">
        <v>76.31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256.43</v>
      </c>
      <c r="AV196" t="n">
        <v>0</v>
      </c>
      <c r="AW196" t="n">
        <v>647.1</v>
      </c>
      <c r="AX196" t="inlineStr">
        <is>
          <t>settled</t>
        </is>
      </c>
      <c r="AY196" t="inlineStr">
        <is>
          <t>NA</t>
        </is>
      </c>
      <c r="AZ196" t="inlineStr">
        <is>
          <t>NA</t>
        </is>
      </c>
      <c r="BA196" t="n">
        <v>0</v>
      </c>
      <c r="BB196" t="inlineStr">
        <is>
          <t>95f19b09d3392be66e781bb44c224b3daad6214889267ce1c9c4e88d7de59868</t>
        </is>
      </c>
    </row>
    <row r="197">
      <c r="A197" t="inlineStr">
        <is>
          <t>1227</t>
        </is>
      </c>
      <c r="B197" t="inlineStr">
        <is>
          <t>7622628210</t>
        </is>
      </c>
      <c r="C197" t="inlineStr">
        <is>
          <t>2025-12-26 21:20:37</t>
        </is>
      </c>
      <c r="D197" t="inlineStr">
        <is>
          <t>52</t>
        </is>
      </c>
      <c r="E197" t="inlineStr">
        <is>
          <t>Sha Sha - Shandaar Shawarma</t>
        </is>
      </c>
      <c r="F197" t="inlineStr">
        <is>
          <t>18557902</t>
        </is>
      </c>
      <c r="G197" t="inlineStr">
        <is>
          <t>NA</t>
        </is>
      </c>
      <c r="H197" t="inlineStr">
        <is>
          <t>ONLINE</t>
        </is>
      </c>
      <c r="I197" t="inlineStr">
        <is>
          <t>DELIVERED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O2</t>
        </is>
      </c>
      <c r="N197" t="inlineStr">
        <is>
          <t>36</t>
        </is>
      </c>
      <c r="O197" t="n">
        <v>229</v>
      </c>
      <c r="P197" t="n">
        <v>3.5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11.63</v>
      </c>
      <c r="W197" t="n">
        <v>244.13</v>
      </c>
      <c r="X197" t="n">
        <v>232.5</v>
      </c>
      <c r="Y197" t="n">
        <v>19</v>
      </c>
      <c r="Z197" t="n">
        <v>44.18</v>
      </c>
      <c r="AA197" t="n">
        <v>4.49</v>
      </c>
      <c r="AB197" t="n">
        <v>48.67</v>
      </c>
      <c r="AC197" t="n">
        <v>8.76</v>
      </c>
      <c r="AD197" t="n">
        <v>0</v>
      </c>
      <c r="AE197" t="n">
        <v>232.5</v>
      </c>
      <c r="AF197" t="n">
        <v>0</v>
      </c>
      <c r="AG197" t="n">
        <v>0</v>
      </c>
      <c r="AH197" t="n">
        <v>0.23</v>
      </c>
      <c r="AI197" t="n">
        <v>11.63</v>
      </c>
      <c r="AJ197" t="n">
        <v>0</v>
      </c>
      <c r="AK197" t="n">
        <v>20.62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69.29000000000001</v>
      </c>
      <c r="AV197" t="n">
        <v>0</v>
      </c>
      <c r="AW197" t="n">
        <v>174.84</v>
      </c>
      <c r="AX197" t="inlineStr">
        <is>
          <t>settled</t>
        </is>
      </c>
      <c r="AY197" t="inlineStr">
        <is>
          <t>NA</t>
        </is>
      </c>
      <c r="AZ197" t="inlineStr">
        <is>
          <t>NA</t>
        </is>
      </c>
      <c r="BA197" t="n">
        <v>0</v>
      </c>
      <c r="BB197" t="inlineStr">
        <is>
          <t>0e47875d71a2d198e8b29926d895cb5e71eb631866880fa015ae50ad02ec8e07</t>
        </is>
      </c>
    </row>
    <row r="198">
      <c r="A198" t="inlineStr">
        <is>
          <t>1228</t>
        </is>
      </c>
      <c r="B198" t="inlineStr">
        <is>
          <t>7621932982</t>
        </is>
      </c>
      <c r="C198" t="inlineStr">
        <is>
          <t>2025-12-26 21:32:53</t>
        </is>
      </c>
      <c r="D198" t="inlineStr">
        <is>
          <t>52</t>
        </is>
      </c>
      <c r="E198" t="inlineStr">
        <is>
          <t>Sha Sha - Shandaar Shawarma</t>
        </is>
      </c>
      <c r="F198" t="inlineStr">
        <is>
          <t>18557902</t>
        </is>
      </c>
      <c r="G198" t="inlineStr">
        <is>
          <t>30% off upto ₹75 (2025-06-25 - 2031-01-01)</t>
        </is>
      </c>
      <c r="H198" t="inlineStr">
        <is>
          <t>ONLINE</t>
        </is>
      </c>
      <c r="I198" t="inlineStr">
        <is>
          <t>DELIVERED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O2</t>
        </is>
      </c>
      <c r="N198" t="inlineStr">
        <is>
          <t>36</t>
        </is>
      </c>
      <c r="O198" t="n">
        <v>229</v>
      </c>
      <c r="P198" t="n">
        <v>3.5</v>
      </c>
      <c r="Q198" t="n">
        <v>0</v>
      </c>
      <c r="R198" t="n">
        <v>68.7</v>
      </c>
      <c r="S198" t="n">
        <v>0</v>
      </c>
      <c r="T198" t="n">
        <v>0</v>
      </c>
      <c r="U198" t="n">
        <v>0</v>
      </c>
      <c r="V198" t="n">
        <v>8.19</v>
      </c>
      <c r="W198" t="n">
        <v>171.99</v>
      </c>
      <c r="X198" t="n">
        <v>163.8</v>
      </c>
      <c r="Y198" t="n">
        <v>19</v>
      </c>
      <c r="Z198" t="n">
        <v>31.12</v>
      </c>
      <c r="AA198" t="n">
        <v>3.16</v>
      </c>
      <c r="AB198" t="n">
        <v>34.28</v>
      </c>
      <c r="AC198" t="n">
        <v>6.17</v>
      </c>
      <c r="AD198" t="n">
        <v>0</v>
      </c>
      <c r="AE198" t="n">
        <v>163.8</v>
      </c>
      <c r="AF198" t="n">
        <v>0</v>
      </c>
      <c r="AG198" t="n">
        <v>0</v>
      </c>
      <c r="AH198" t="n">
        <v>0.16</v>
      </c>
      <c r="AI198" t="n">
        <v>8.199999999999999</v>
      </c>
      <c r="AJ198" t="n">
        <v>-0.01</v>
      </c>
      <c r="AK198" t="n">
        <v>14.53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48.81</v>
      </c>
      <c r="AV198" t="n">
        <v>0</v>
      </c>
      <c r="AW198" t="n">
        <v>123.18</v>
      </c>
      <c r="AX198" t="inlineStr">
        <is>
          <t>settled</t>
        </is>
      </c>
      <c r="AY198" t="inlineStr">
        <is>
          <t>NA</t>
        </is>
      </c>
      <c r="AZ198" t="inlineStr">
        <is>
          <t>NA</t>
        </is>
      </c>
      <c r="BA198" t="n">
        <v>0</v>
      </c>
      <c r="BB198" t="inlineStr">
        <is>
          <t>9f1448540a04d506ec6575d77148f0d8c9a0bbd08a4b8af1d15483fb8c61d83b</t>
        </is>
      </c>
    </row>
    <row r="199">
      <c r="A199" t="inlineStr">
        <is>
          <t>1229</t>
        </is>
      </c>
      <c r="B199" t="inlineStr">
        <is>
          <t>7616795213</t>
        </is>
      </c>
      <c r="C199" t="inlineStr">
        <is>
          <t>2025-12-26 21:43:47</t>
        </is>
      </c>
      <c r="D199" t="inlineStr">
        <is>
          <t>52</t>
        </is>
      </c>
      <c r="E199" t="inlineStr">
        <is>
          <t>Sha Sha - Shandaar Shawarma</t>
        </is>
      </c>
      <c r="F199" t="inlineStr">
        <is>
          <t>18557902</t>
        </is>
      </c>
      <c r="G199" t="inlineStr">
        <is>
          <t>30% off upto ₹75 (2025-06-25 - 2031-01-01)</t>
        </is>
      </c>
      <c r="H199" t="inlineStr">
        <is>
          <t>ONLINE</t>
        </is>
      </c>
      <c r="I199" t="inlineStr">
        <is>
          <t>DELIVERED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O2</t>
        </is>
      </c>
      <c r="N199" t="inlineStr">
        <is>
          <t>36</t>
        </is>
      </c>
      <c r="O199" t="n">
        <v>219</v>
      </c>
      <c r="P199" t="n">
        <v>3.5</v>
      </c>
      <c r="Q199" t="n">
        <v>0</v>
      </c>
      <c r="R199" t="n">
        <v>65.7</v>
      </c>
      <c r="S199" t="n">
        <v>0</v>
      </c>
      <c r="T199" t="n">
        <v>0</v>
      </c>
      <c r="U199" t="n">
        <v>0</v>
      </c>
      <c r="V199" t="n">
        <v>7.84</v>
      </c>
      <c r="W199" t="n">
        <v>164.64</v>
      </c>
      <c r="X199" t="n">
        <v>156.8</v>
      </c>
      <c r="Y199" t="n">
        <v>19</v>
      </c>
      <c r="Z199" t="n">
        <v>29.79</v>
      </c>
      <c r="AA199" t="n">
        <v>3.03</v>
      </c>
      <c r="AB199" t="n">
        <v>32.82</v>
      </c>
      <c r="AC199" t="n">
        <v>5.91</v>
      </c>
      <c r="AD199" t="n">
        <v>0</v>
      </c>
      <c r="AE199" t="n">
        <v>156.8</v>
      </c>
      <c r="AF199" t="n">
        <v>0</v>
      </c>
      <c r="AG199" t="n">
        <v>0</v>
      </c>
      <c r="AH199" t="n">
        <v>0.16</v>
      </c>
      <c r="AI199" t="n">
        <v>7.85</v>
      </c>
      <c r="AJ199" t="n">
        <v>-0.01</v>
      </c>
      <c r="AK199" t="n">
        <v>13.92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46.74</v>
      </c>
      <c r="AV199" t="n">
        <v>0</v>
      </c>
      <c r="AW199" t="n">
        <v>117.9</v>
      </c>
      <c r="AX199" t="inlineStr">
        <is>
          <t>settled</t>
        </is>
      </c>
      <c r="AY199" t="inlineStr">
        <is>
          <t>NA</t>
        </is>
      </c>
      <c r="AZ199" t="inlineStr">
        <is>
          <t>NA</t>
        </is>
      </c>
      <c r="BA199" t="n">
        <v>0</v>
      </c>
      <c r="BB199" t="inlineStr">
        <is>
          <t>2e9ee1da1b0c149bfb0144ddd0f4a80b74bae87f93bb0becddf3ff9c3cfc041d</t>
        </is>
      </c>
    </row>
    <row r="200">
      <c r="A200" t="inlineStr">
        <is>
          <t>1230</t>
        </is>
      </c>
      <c r="B200" t="inlineStr">
        <is>
          <t>7622805924</t>
        </is>
      </c>
      <c r="C200" t="inlineStr">
        <is>
          <t>2025-12-26 21:51:03</t>
        </is>
      </c>
      <c r="D200" t="inlineStr">
        <is>
          <t>52</t>
        </is>
      </c>
      <c r="E200" t="inlineStr">
        <is>
          <t>Sha Sha - Shandaar Shawarma</t>
        </is>
      </c>
      <c r="F200" t="inlineStr">
        <is>
          <t>18557902</t>
        </is>
      </c>
      <c r="G200" t="inlineStr">
        <is>
          <t>30% off upto ₹75 (2025-06-25 - 2031-01-01)</t>
        </is>
      </c>
      <c r="H200" t="inlineStr">
        <is>
          <t>ONLINE</t>
        </is>
      </c>
      <c r="I200" t="inlineStr">
        <is>
          <t>DELIVERED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O2</t>
        </is>
      </c>
      <c r="N200" t="inlineStr">
        <is>
          <t>36</t>
        </is>
      </c>
      <c r="O200" t="n">
        <v>446</v>
      </c>
      <c r="P200" t="n">
        <v>3.5</v>
      </c>
      <c r="Q200" t="n">
        <v>0</v>
      </c>
      <c r="R200" t="n">
        <v>75</v>
      </c>
      <c r="S200" t="n">
        <v>0</v>
      </c>
      <c r="T200" t="n">
        <v>0</v>
      </c>
      <c r="U200" t="n">
        <v>0</v>
      </c>
      <c r="V200" t="n">
        <v>18.73</v>
      </c>
      <c r="W200" t="n">
        <v>393.23</v>
      </c>
      <c r="X200" t="n">
        <v>374.5</v>
      </c>
      <c r="Y200" t="n">
        <v>19</v>
      </c>
      <c r="Z200" t="n">
        <v>71.16</v>
      </c>
      <c r="AA200" t="n">
        <v>7.24</v>
      </c>
      <c r="AB200" t="n">
        <v>78.40000000000001</v>
      </c>
      <c r="AC200" t="n">
        <v>14.11</v>
      </c>
      <c r="AD200" t="n">
        <v>0</v>
      </c>
      <c r="AE200" t="n">
        <v>374.5</v>
      </c>
      <c r="AF200" t="n">
        <v>0</v>
      </c>
      <c r="AG200" t="n">
        <v>0</v>
      </c>
      <c r="AH200" t="n">
        <v>0.37</v>
      </c>
      <c r="AI200" t="n">
        <v>18.73</v>
      </c>
      <c r="AJ200" t="n">
        <v>0</v>
      </c>
      <c r="AK200" t="n">
        <v>33.21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111.61</v>
      </c>
      <c r="AV200" t="n">
        <v>0</v>
      </c>
      <c r="AW200" t="n">
        <v>281.62</v>
      </c>
      <c r="AX200" t="inlineStr">
        <is>
          <t>settled</t>
        </is>
      </c>
      <c r="AY200" t="inlineStr">
        <is>
          <t>NA</t>
        </is>
      </c>
      <c r="AZ200" t="inlineStr">
        <is>
          <t>NA</t>
        </is>
      </c>
      <c r="BA200" t="n">
        <v>0</v>
      </c>
      <c r="BB200" t="inlineStr">
        <is>
          <t>b3b8e6a5624224d922bf5dd0bb406d9f7bb84dc4bf8fb59f530b81f266720c3a</t>
        </is>
      </c>
    </row>
    <row r="201">
      <c r="A201" t="inlineStr">
        <is>
          <t>1231</t>
        </is>
      </c>
      <c r="B201" t="inlineStr">
        <is>
          <t>7624073856</t>
        </is>
      </c>
      <c r="C201" t="inlineStr">
        <is>
          <t>2025-12-26 21:55:29</t>
        </is>
      </c>
      <c r="D201" t="inlineStr">
        <is>
          <t>52</t>
        </is>
      </c>
      <c r="E201" t="inlineStr">
        <is>
          <t>Sha Sha - Shandaar Shawarma</t>
        </is>
      </c>
      <c r="F201" t="inlineStr">
        <is>
          <t>18557902</t>
        </is>
      </c>
      <c r="G201" t="inlineStr">
        <is>
          <t>30% off upto ₹75 (2025-06-25 - 2031-01-01)</t>
        </is>
      </c>
      <c r="H201" t="inlineStr">
        <is>
          <t>ONLINE</t>
        </is>
      </c>
      <c r="I201" t="inlineStr">
        <is>
          <t>DELIVERED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O2</t>
        </is>
      </c>
      <c r="N201" t="inlineStr">
        <is>
          <t>36</t>
        </is>
      </c>
      <c r="O201" t="n">
        <v>448</v>
      </c>
      <c r="P201" t="n">
        <v>3.5</v>
      </c>
      <c r="Q201" t="n">
        <v>0</v>
      </c>
      <c r="R201" t="n">
        <v>75</v>
      </c>
      <c r="S201" t="n">
        <v>0</v>
      </c>
      <c r="T201" t="n">
        <v>0</v>
      </c>
      <c r="U201" t="n">
        <v>0</v>
      </c>
      <c r="V201" t="n">
        <v>18.83</v>
      </c>
      <c r="W201" t="n">
        <v>395.33</v>
      </c>
      <c r="X201" t="n">
        <v>376.5</v>
      </c>
      <c r="Y201" t="n">
        <v>19</v>
      </c>
      <c r="Z201" t="n">
        <v>71.54000000000001</v>
      </c>
      <c r="AA201" t="n">
        <v>7.27</v>
      </c>
      <c r="AB201" t="n">
        <v>78.81</v>
      </c>
      <c r="AC201" t="n">
        <v>14.19</v>
      </c>
      <c r="AD201" t="n">
        <v>0</v>
      </c>
      <c r="AE201" t="n">
        <v>376.5</v>
      </c>
      <c r="AF201" t="n">
        <v>0</v>
      </c>
      <c r="AG201" t="n">
        <v>0</v>
      </c>
      <c r="AH201" t="n">
        <v>0.38</v>
      </c>
      <c r="AI201" t="n">
        <v>18.83</v>
      </c>
      <c r="AJ201" t="n">
        <v>0</v>
      </c>
      <c r="AK201" t="n">
        <v>33.4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112.21</v>
      </c>
      <c r="AV201" t="n">
        <v>0</v>
      </c>
      <c r="AW201" t="n">
        <v>283.12</v>
      </c>
      <c r="AX201" t="inlineStr">
        <is>
          <t>settled</t>
        </is>
      </c>
      <c r="AY201" t="inlineStr">
        <is>
          <t>NA</t>
        </is>
      </c>
      <c r="AZ201" t="inlineStr">
        <is>
          <t>NA</t>
        </is>
      </c>
      <c r="BA201" t="n">
        <v>0</v>
      </c>
      <c r="BB201" t="inlineStr">
        <is>
          <t>c7fe2e5a525bd4107285627f1ef9cc4c16ea977f04a06ba17cecaef06854e2c1</t>
        </is>
      </c>
    </row>
    <row r="202">
      <c r="A202" t="inlineStr">
        <is>
          <t>1232</t>
        </is>
      </c>
      <c r="B202" t="inlineStr">
        <is>
          <t>7617284473</t>
        </is>
      </c>
      <c r="C202" t="inlineStr">
        <is>
          <t>2025-12-26 22:20:05</t>
        </is>
      </c>
      <c r="D202" t="inlineStr">
        <is>
          <t>52</t>
        </is>
      </c>
      <c r="E202" t="inlineStr">
        <is>
          <t>Sha Sha - Shandaar Shawarma</t>
        </is>
      </c>
      <c r="F202" t="inlineStr">
        <is>
          <t>18557902</t>
        </is>
      </c>
      <c r="G202" t="inlineStr">
        <is>
          <t>30% off upto ₹75 (2025-06-25 - 2031-01-01)</t>
        </is>
      </c>
      <c r="H202" t="inlineStr">
        <is>
          <t>ONLINE</t>
        </is>
      </c>
      <c r="I202" t="inlineStr">
        <is>
          <t>DELIVERED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O2</t>
        </is>
      </c>
      <c r="N202" t="inlineStr">
        <is>
          <t>36</t>
        </is>
      </c>
      <c r="O202" t="n">
        <v>229</v>
      </c>
      <c r="P202" t="n">
        <v>3.5</v>
      </c>
      <c r="Q202" t="n">
        <v>0</v>
      </c>
      <c r="R202" t="n">
        <v>68.7</v>
      </c>
      <c r="S202" t="n">
        <v>0</v>
      </c>
      <c r="T202" t="n">
        <v>0</v>
      </c>
      <c r="U202" t="n">
        <v>0</v>
      </c>
      <c r="V202" t="n">
        <v>8.19</v>
      </c>
      <c r="W202" t="n">
        <v>171.99</v>
      </c>
      <c r="X202" t="n">
        <v>163.8</v>
      </c>
      <c r="Y202" t="n">
        <v>19</v>
      </c>
      <c r="Z202" t="n">
        <v>31.12</v>
      </c>
      <c r="AA202" t="n">
        <v>3.16</v>
      </c>
      <c r="AB202" t="n">
        <v>34.28</v>
      </c>
      <c r="AC202" t="n">
        <v>6.17</v>
      </c>
      <c r="AD202" t="n">
        <v>0</v>
      </c>
      <c r="AE202" t="n">
        <v>163.8</v>
      </c>
      <c r="AF202" t="n">
        <v>0</v>
      </c>
      <c r="AG202" t="n">
        <v>0</v>
      </c>
      <c r="AH202" t="n">
        <v>0.16</v>
      </c>
      <c r="AI202" t="n">
        <v>8.199999999999999</v>
      </c>
      <c r="AJ202" t="n">
        <v>-0.01</v>
      </c>
      <c r="AK202" t="n">
        <v>14.53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48.81</v>
      </c>
      <c r="AV202" t="n">
        <v>0</v>
      </c>
      <c r="AW202" t="n">
        <v>123.18</v>
      </c>
      <c r="AX202" t="inlineStr">
        <is>
          <t>settled</t>
        </is>
      </c>
      <c r="AY202" t="inlineStr">
        <is>
          <t>NA</t>
        </is>
      </c>
      <c r="AZ202" t="inlineStr">
        <is>
          <t>NA</t>
        </is>
      </c>
      <c r="BA202" t="n">
        <v>0</v>
      </c>
      <c r="BB202" t="inlineStr">
        <is>
          <t>55fddc41a51db900d2d594afc6683bc4a8f1d2ebbdd9447f03de2bc4012da7f9</t>
        </is>
      </c>
    </row>
    <row r="203">
      <c r="A203" t="inlineStr">
        <is>
          <t>1233</t>
        </is>
      </c>
      <c r="B203" t="inlineStr">
        <is>
          <t>7623100091</t>
        </is>
      </c>
      <c r="C203" t="inlineStr">
        <is>
          <t>2025-12-26 22:26:56</t>
        </is>
      </c>
      <c r="D203" t="inlineStr">
        <is>
          <t>52</t>
        </is>
      </c>
      <c r="E203" t="inlineStr">
        <is>
          <t>Sha Sha - Shandaar Shawarma</t>
        </is>
      </c>
      <c r="F203" t="inlineStr">
        <is>
          <t>18557902</t>
        </is>
      </c>
      <c r="G203" t="inlineStr">
        <is>
          <t>30% off upto ₹75 (2025-06-25 - 2031-01-01)</t>
        </is>
      </c>
      <c r="H203" t="inlineStr">
        <is>
          <t>ONLINE</t>
        </is>
      </c>
      <c r="I203" t="inlineStr">
        <is>
          <t>DELIVERED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O2</t>
        </is>
      </c>
      <c r="N203" t="inlineStr">
        <is>
          <t>36</t>
        </is>
      </c>
      <c r="O203" t="n">
        <v>219</v>
      </c>
      <c r="P203" t="n">
        <v>3.5</v>
      </c>
      <c r="Q203" t="n">
        <v>0</v>
      </c>
      <c r="R203" t="n">
        <v>65.7</v>
      </c>
      <c r="S203" t="n">
        <v>0</v>
      </c>
      <c r="T203" t="n">
        <v>0</v>
      </c>
      <c r="U203" t="n">
        <v>0</v>
      </c>
      <c r="V203" t="n">
        <v>7.84</v>
      </c>
      <c r="W203" t="n">
        <v>164.64</v>
      </c>
      <c r="X203" t="n">
        <v>156.8</v>
      </c>
      <c r="Y203" t="n">
        <v>19</v>
      </c>
      <c r="Z203" t="n">
        <v>29.79</v>
      </c>
      <c r="AA203" t="n">
        <v>3.03</v>
      </c>
      <c r="AB203" t="n">
        <v>32.82</v>
      </c>
      <c r="AC203" t="n">
        <v>5.91</v>
      </c>
      <c r="AD203" t="n">
        <v>0</v>
      </c>
      <c r="AE203" t="n">
        <v>156.8</v>
      </c>
      <c r="AF203" t="n">
        <v>0</v>
      </c>
      <c r="AG203" t="n">
        <v>0</v>
      </c>
      <c r="AH203" t="n">
        <v>0.16</v>
      </c>
      <c r="AI203" t="n">
        <v>7.85</v>
      </c>
      <c r="AJ203" t="n">
        <v>-0.01</v>
      </c>
      <c r="AK203" t="n">
        <v>13.92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46.74</v>
      </c>
      <c r="AV203" t="n">
        <v>0</v>
      </c>
      <c r="AW203" t="n">
        <v>117.9</v>
      </c>
      <c r="AX203" t="inlineStr">
        <is>
          <t>settled</t>
        </is>
      </c>
      <c r="AY203" t="inlineStr">
        <is>
          <t>NA</t>
        </is>
      </c>
      <c r="AZ203" t="inlineStr">
        <is>
          <t>NA</t>
        </is>
      </c>
      <c r="BA203" t="n">
        <v>0</v>
      </c>
      <c r="BB203" t="inlineStr">
        <is>
          <t>f3d3f979c04990301ac870a005075d83abbe99e236929e62567658de0bdff067</t>
        </is>
      </c>
    </row>
    <row r="204">
      <c r="A204" t="inlineStr">
        <is>
          <t>1234</t>
        </is>
      </c>
      <c r="B204" t="inlineStr">
        <is>
          <t>7616809134</t>
        </is>
      </c>
      <c r="C204" t="inlineStr">
        <is>
          <t>2025-12-26 22:32:32</t>
        </is>
      </c>
      <c r="D204" t="inlineStr">
        <is>
          <t>52</t>
        </is>
      </c>
      <c r="E204" t="inlineStr">
        <is>
          <t>Sha Sha - Shandaar Shawarma</t>
        </is>
      </c>
      <c r="F204" t="inlineStr">
        <is>
          <t>18557902</t>
        </is>
      </c>
      <c r="G204" t="inlineStr">
        <is>
          <t>30% off upto ₹75 (2025-06-25 - 2031-01-01)</t>
        </is>
      </c>
      <c r="H204" t="inlineStr">
        <is>
          <t>ONLINE</t>
        </is>
      </c>
      <c r="I204" t="inlineStr">
        <is>
          <t>DELIVERED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O2</t>
        </is>
      </c>
      <c r="N204" t="inlineStr">
        <is>
          <t>36</t>
        </is>
      </c>
      <c r="O204" t="n">
        <v>229</v>
      </c>
      <c r="P204" t="n">
        <v>3.5</v>
      </c>
      <c r="Q204" t="n">
        <v>0</v>
      </c>
      <c r="R204" t="n">
        <v>68.7</v>
      </c>
      <c r="S204" t="n">
        <v>0</v>
      </c>
      <c r="T204" t="n">
        <v>0</v>
      </c>
      <c r="U204" t="n">
        <v>0</v>
      </c>
      <c r="V204" t="n">
        <v>8.19</v>
      </c>
      <c r="W204" t="n">
        <v>171.99</v>
      </c>
      <c r="X204" t="n">
        <v>163.8</v>
      </c>
      <c r="Y204" t="n">
        <v>19</v>
      </c>
      <c r="Z204" t="n">
        <v>31.12</v>
      </c>
      <c r="AA204" t="n">
        <v>3.16</v>
      </c>
      <c r="AB204" t="n">
        <v>34.28</v>
      </c>
      <c r="AC204" t="n">
        <v>6.17</v>
      </c>
      <c r="AD204" t="n">
        <v>0</v>
      </c>
      <c r="AE204" t="n">
        <v>163.8</v>
      </c>
      <c r="AF204" t="n">
        <v>0</v>
      </c>
      <c r="AG204" t="n">
        <v>0</v>
      </c>
      <c r="AH204" t="n">
        <v>0.16</v>
      </c>
      <c r="AI204" t="n">
        <v>8.199999999999999</v>
      </c>
      <c r="AJ204" t="n">
        <v>-0.01</v>
      </c>
      <c r="AK204" t="n">
        <v>14.53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48.81</v>
      </c>
      <c r="AV204" t="n">
        <v>0</v>
      </c>
      <c r="AW204" t="n">
        <v>123.18</v>
      </c>
      <c r="AX204" t="inlineStr">
        <is>
          <t>settled</t>
        </is>
      </c>
      <c r="AY204" t="inlineStr">
        <is>
          <t>NA</t>
        </is>
      </c>
      <c r="AZ204" t="inlineStr">
        <is>
          <t>NA</t>
        </is>
      </c>
      <c r="BA204" t="n">
        <v>0</v>
      </c>
      <c r="BB204" t="inlineStr">
        <is>
          <t>77cbc5429e50dfcc04fcba635b02095ba99a586065dbeaa1d299ba166cd12b31</t>
        </is>
      </c>
    </row>
    <row r="205">
      <c r="A205" t="inlineStr">
        <is>
          <t>1235</t>
        </is>
      </c>
      <c r="B205" t="inlineStr">
        <is>
          <t>7624691823</t>
        </is>
      </c>
      <c r="C205" t="inlineStr">
        <is>
          <t>2025-12-26 22:49:41</t>
        </is>
      </c>
      <c r="D205" t="inlineStr">
        <is>
          <t>52</t>
        </is>
      </c>
      <c r="E205" t="inlineStr">
        <is>
          <t>Sha Sha - Shandaar Shawarma</t>
        </is>
      </c>
      <c r="F205" t="inlineStr">
        <is>
          <t>18557902</t>
        </is>
      </c>
      <c r="G205" t="inlineStr">
        <is>
          <t>30% off upto ₹75 (2025-06-25 - 2031-01-01)</t>
        </is>
      </c>
      <c r="H205" t="inlineStr">
        <is>
          <t>ONLINE</t>
        </is>
      </c>
      <c r="I205" t="inlineStr">
        <is>
          <t>DELIVERED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O2</t>
        </is>
      </c>
      <c r="N205" t="inlineStr">
        <is>
          <t>36</t>
        </is>
      </c>
      <c r="O205" t="n">
        <v>458</v>
      </c>
      <c r="P205" t="n">
        <v>3.5</v>
      </c>
      <c r="Q205" t="n">
        <v>0</v>
      </c>
      <c r="R205" t="n">
        <v>75</v>
      </c>
      <c r="S205" t="n">
        <v>0</v>
      </c>
      <c r="T205" t="n">
        <v>0</v>
      </c>
      <c r="U205" t="n">
        <v>0</v>
      </c>
      <c r="V205" t="n">
        <v>19.33</v>
      </c>
      <c r="W205" t="n">
        <v>405.83</v>
      </c>
      <c r="X205" t="n">
        <v>386.5</v>
      </c>
      <c r="Y205" t="n">
        <v>19</v>
      </c>
      <c r="Z205" t="n">
        <v>73.44</v>
      </c>
      <c r="AA205" t="n">
        <v>7.47</v>
      </c>
      <c r="AB205" t="n">
        <v>80.91</v>
      </c>
      <c r="AC205" t="n">
        <v>14.56</v>
      </c>
      <c r="AD205" t="n">
        <v>0</v>
      </c>
      <c r="AE205" t="n">
        <v>386.5</v>
      </c>
      <c r="AF205" t="n">
        <v>0</v>
      </c>
      <c r="AG205" t="n">
        <v>0</v>
      </c>
      <c r="AH205" t="n">
        <v>0.39</v>
      </c>
      <c r="AI205" t="n">
        <v>19.33</v>
      </c>
      <c r="AJ205" t="n">
        <v>0</v>
      </c>
      <c r="AK205" t="n">
        <v>34.28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115.19</v>
      </c>
      <c r="AV205" t="n">
        <v>0</v>
      </c>
      <c r="AW205" t="n">
        <v>290.64</v>
      </c>
      <c r="AX205" t="inlineStr">
        <is>
          <t>settled</t>
        </is>
      </c>
      <c r="AY205" t="inlineStr">
        <is>
          <t>NA</t>
        </is>
      </c>
      <c r="AZ205" t="inlineStr">
        <is>
          <t>NA</t>
        </is>
      </c>
      <c r="BA205" t="n">
        <v>0</v>
      </c>
      <c r="BB205" t="inlineStr">
        <is>
          <t>53616a9634fa299f29b0869c2193122b72c42ca2aa861a31b5a3538e02973964</t>
        </is>
      </c>
    </row>
    <row r="206">
      <c r="A206" t="inlineStr">
        <is>
          <t>1236</t>
        </is>
      </c>
      <c r="B206" t="inlineStr">
        <is>
          <t>7618615742</t>
        </is>
      </c>
      <c r="C206" t="inlineStr">
        <is>
          <t>2025-12-26 23:34:08</t>
        </is>
      </c>
      <c r="D206" t="inlineStr">
        <is>
          <t>52</t>
        </is>
      </c>
      <c r="E206" t="inlineStr">
        <is>
          <t>Sha Sha - Shandaar Shawarma</t>
        </is>
      </c>
      <c r="F206" t="inlineStr">
        <is>
          <t>18557902</t>
        </is>
      </c>
      <c r="G206" t="inlineStr">
        <is>
          <t>NA</t>
        </is>
      </c>
      <c r="H206" t="inlineStr">
        <is>
          <t>ONLINE</t>
        </is>
      </c>
      <c r="I206" t="inlineStr">
        <is>
          <t>DELIVERED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O2</t>
        </is>
      </c>
      <c r="N206" t="inlineStr">
        <is>
          <t>36</t>
        </is>
      </c>
      <c r="O206" t="n">
        <v>229</v>
      </c>
      <c r="P206" t="n">
        <v>3.5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11.63</v>
      </c>
      <c r="W206" t="n">
        <v>244.13</v>
      </c>
      <c r="X206" t="n">
        <v>232.5</v>
      </c>
      <c r="Y206" t="n">
        <v>19</v>
      </c>
      <c r="Z206" t="n">
        <v>44.18</v>
      </c>
      <c r="AA206" t="n">
        <v>4.49</v>
      </c>
      <c r="AB206" t="n">
        <v>48.67</v>
      </c>
      <c r="AC206" t="n">
        <v>8.76</v>
      </c>
      <c r="AD206" t="n">
        <v>0</v>
      </c>
      <c r="AE206" t="n">
        <v>232.5</v>
      </c>
      <c r="AF206" t="n">
        <v>0</v>
      </c>
      <c r="AG206" t="n">
        <v>0</v>
      </c>
      <c r="AH206" t="n">
        <v>0.23</v>
      </c>
      <c r="AI206" t="n">
        <v>11.63</v>
      </c>
      <c r="AJ206" t="n">
        <v>0</v>
      </c>
      <c r="AK206" t="n">
        <v>20.62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69.29000000000001</v>
      </c>
      <c r="AV206" t="n">
        <v>0</v>
      </c>
      <c r="AW206" t="n">
        <v>174.84</v>
      </c>
      <c r="AX206" t="inlineStr">
        <is>
          <t>settled</t>
        </is>
      </c>
      <c r="AY206" t="inlineStr">
        <is>
          <t>NA</t>
        </is>
      </c>
      <c r="AZ206" t="inlineStr">
        <is>
          <t>NA</t>
        </is>
      </c>
      <c r="BA206" t="n">
        <v>0</v>
      </c>
      <c r="BB206" t="inlineStr">
        <is>
          <t>35d6f67b5478f30c04877d5775b6f183689a67fe7ce0d80e443e40a7472d0639</t>
        </is>
      </c>
    </row>
    <row r="207">
      <c r="A207" t="inlineStr">
        <is>
          <t>1237</t>
        </is>
      </c>
      <c r="B207" t="inlineStr">
        <is>
          <t>7623913306</t>
        </is>
      </c>
      <c r="C207" t="inlineStr">
        <is>
          <t>2025-12-27 00:02:17</t>
        </is>
      </c>
      <c r="D207" t="inlineStr">
        <is>
          <t>52</t>
        </is>
      </c>
      <c r="E207" t="inlineStr">
        <is>
          <t>Sha Sha - Shandaar Shawarma</t>
        </is>
      </c>
      <c r="F207" t="inlineStr">
        <is>
          <t>18557902</t>
        </is>
      </c>
      <c r="G207" t="inlineStr">
        <is>
          <t>30% off upto ₹75 (2025-06-25 - 2031-01-01)</t>
        </is>
      </c>
      <c r="H207" t="inlineStr">
        <is>
          <t>ONLINE</t>
        </is>
      </c>
      <c r="I207" t="inlineStr">
        <is>
          <t>DELIVERED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O2</t>
        </is>
      </c>
      <c r="N207" t="inlineStr">
        <is>
          <t>36</t>
        </is>
      </c>
      <c r="O207" t="n">
        <v>229</v>
      </c>
      <c r="P207" t="n">
        <v>3.5</v>
      </c>
      <c r="Q207" t="n">
        <v>0</v>
      </c>
      <c r="R207" t="n">
        <v>68.7</v>
      </c>
      <c r="S207" t="n">
        <v>0</v>
      </c>
      <c r="T207" t="n">
        <v>0</v>
      </c>
      <c r="U207" t="n">
        <v>0</v>
      </c>
      <c r="V207" t="n">
        <v>8.19</v>
      </c>
      <c r="W207" t="n">
        <v>171.99</v>
      </c>
      <c r="X207" t="n">
        <v>163.8</v>
      </c>
      <c r="Y207" t="n">
        <v>19</v>
      </c>
      <c r="Z207" t="n">
        <v>31.12</v>
      </c>
      <c r="AA207" t="n">
        <v>3.16</v>
      </c>
      <c r="AB207" t="n">
        <v>34.28</v>
      </c>
      <c r="AC207" t="n">
        <v>6.17</v>
      </c>
      <c r="AD207" t="n">
        <v>0</v>
      </c>
      <c r="AE207" t="n">
        <v>163.8</v>
      </c>
      <c r="AF207" t="n">
        <v>0</v>
      </c>
      <c r="AG207" t="n">
        <v>0</v>
      </c>
      <c r="AH207" t="n">
        <v>0.16</v>
      </c>
      <c r="AI207" t="n">
        <v>8.199999999999999</v>
      </c>
      <c r="AJ207" t="n">
        <v>-0.01</v>
      </c>
      <c r="AK207" t="n">
        <v>14.53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48.81</v>
      </c>
      <c r="AV207" t="n">
        <v>0</v>
      </c>
      <c r="AW207" t="n">
        <v>123.18</v>
      </c>
      <c r="AX207" t="inlineStr">
        <is>
          <t>settled</t>
        </is>
      </c>
      <c r="AY207" t="inlineStr">
        <is>
          <t>NA</t>
        </is>
      </c>
      <c r="AZ207" t="inlineStr">
        <is>
          <t>NA</t>
        </is>
      </c>
      <c r="BA207" t="n">
        <v>0</v>
      </c>
      <c r="BB207" t="inlineStr">
        <is>
          <t>35b32c3b41665996891f2647b35526e61570c85d8d39a96dbb2193f07da6d66d</t>
        </is>
      </c>
    </row>
    <row r="208">
      <c r="A208" t="inlineStr">
        <is>
          <t>1238</t>
        </is>
      </c>
      <c r="B208" t="inlineStr">
        <is>
          <t>7624313522</t>
        </is>
      </c>
      <c r="C208" t="inlineStr">
        <is>
          <t>2025-12-27 00:24:29</t>
        </is>
      </c>
      <c r="D208" t="inlineStr">
        <is>
          <t>52</t>
        </is>
      </c>
      <c r="E208" t="inlineStr">
        <is>
          <t>Sha Sha - Shandaar Shawarma</t>
        </is>
      </c>
      <c r="F208" t="inlineStr">
        <is>
          <t>18557902</t>
        </is>
      </c>
      <c r="G208" t="inlineStr">
        <is>
          <t>30% off upto ₹75 (2025-06-25 - 2031-01-01)</t>
        </is>
      </c>
      <c r="H208" t="inlineStr">
        <is>
          <t>ONLINE</t>
        </is>
      </c>
      <c r="I208" t="inlineStr">
        <is>
          <t>DELIVERED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O2</t>
        </is>
      </c>
      <c r="N208" t="inlineStr">
        <is>
          <t>36</t>
        </is>
      </c>
      <c r="O208" t="n">
        <v>458</v>
      </c>
      <c r="P208" t="n">
        <v>3.5</v>
      </c>
      <c r="Q208" t="n">
        <v>0</v>
      </c>
      <c r="R208" t="n">
        <v>75</v>
      </c>
      <c r="S208" t="n">
        <v>0</v>
      </c>
      <c r="T208" t="n">
        <v>0</v>
      </c>
      <c r="U208" t="n">
        <v>0</v>
      </c>
      <c r="V208" t="n">
        <v>19.33</v>
      </c>
      <c r="W208" t="n">
        <v>405.83</v>
      </c>
      <c r="X208" t="n">
        <v>386.5</v>
      </c>
      <c r="Y208" t="n">
        <v>19</v>
      </c>
      <c r="Z208" t="n">
        <v>73.44</v>
      </c>
      <c r="AA208" t="n">
        <v>7.47</v>
      </c>
      <c r="AB208" t="n">
        <v>80.91</v>
      </c>
      <c r="AC208" t="n">
        <v>14.56</v>
      </c>
      <c r="AD208" t="n">
        <v>0</v>
      </c>
      <c r="AE208" t="n">
        <v>386.5</v>
      </c>
      <c r="AF208" t="n">
        <v>0</v>
      </c>
      <c r="AG208" t="n">
        <v>0</v>
      </c>
      <c r="AH208" t="n">
        <v>0.39</v>
      </c>
      <c r="AI208" t="n">
        <v>19.33</v>
      </c>
      <c r="AJ208" t="n">
        <v>0</v>
      </c>
      <c r="AK208" t="n">
        <v>34.28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115.19</v>
      </c>
      <c r="AV208" t="n">
        <v>0</v>
      </c>
      <c r="AW208" t="n">
        <v>290.64</v>
      </c>
      <c r="AX208" t="inlineStr">
        <is>
          <t>settled</t>
        </is>
      </c>
      <c r="AY208" t="inlineStr">
        <is>
          <t>NA</t>
        </is>
      </c>
      <c r="AZ208" t="inlineStr">
        <is>
          <t>NA</t>
        </is>
      </c>
      <c r="BA208" t="n">
        <v>0</v>
      </c>
      <c r="BB208" t="inlineStr">
        <is>
          <t>3a19961e8aebe8297618111b511793d9596ca12a5dc3601a34e09182f6894c89</t>
        </is>
      </c>
    </row>
    <row r="209">
      <c r="A209" t="inlineStr">
        <is>
          <t>1239</t>
        </is>
      </c>
      <c r="B209" t="inlineStr">
        <is>
          <t>7622068484</t>
        </is>
      </c>
      <c r="C209" t="inlineStr">
        <is>
          <t>2025-12-27 00:29:30</t>
        </is>
      </c>
      <c r="D209" t="inlineStr">
        <is>
          <t>52</t>
        </is>
      </c>
      <c r="E209" t="inlineStr">
        <is>
          <t>Sha Sha - Shandaar Shawarma</t>
        </is>
      </c>
      <c r="F209" t="inlineStr">
        <is>
          <t>18557902</t>
        </is>
      </c>
      <c r="G209" t="inlineStr">
        <is>
          <t>30% off upto ₹75 (2025-06-25 - 2031-01-01)</t>
        </is>
      </c>
      <c r="H209" t="inlineStr">
        <is>
          <t>ONLINE</t>
        </is>
      </c>
      <c r="I209" t="inlineStr">
        <is>
          <t>DELIVERED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O2</t>
        </is>
      </c>
      <c r="N209" t="inlineStr">
        <is>
          <t>36</t>
        </is>
      </c>
      <c r="O209" t="n">
        <v>229</v>
      </c>
      <c r="P209" t="n">
        <v>3.5</v>
      </c>
      <c r="Q209" t="n">
        <v>0</v>
      </c>
      <c r="R209" t="n">
        <v>68.7</v>
      </c>
      <c r="S209" t="n">
        <v>0</v>
      </c>
      <c r="T209" t="n">
        <v>0</v>
      </c>
      <c r="U209" t="n">
        <v>0</v>
      </c>
      <c r="V209" t="n">
        <v>8.19</v>
      </c>
      <c r="W209" t="n">
        <v>171.99</v>
      </c>
      <c r="X209" t="n">
        <v>163.8</v>
      </c>
      <c r="Y209" t="n">
        <v>19</v>
      </c>
      <c r="Z209" t="n">
        <v>31.12</v>
      </c>
      <c r="AA209" t="n">
        <v>3.16</v>
      </c>
      <c r="AB209" t="n">
        <v>34.28</v>
      </c>
      <c r="AC209" t="n">
        <v>6.17</v>
      </c>
      <c r="AD209" t="n">
        <v>0</v>
      </c>
      <c r="AE209" t="n">
        <v>163.8</v>
      </c>
      <c r="AF209" t="n">
        <v>0</v>
      </c>
      <c r="AG209" t="n">
        <v>0</v>
      </c>
      <c r="AH209" t="n">
        <v>0.16</v>
      </c>
      <c r="AI209" t="n">
        <v>8.199999999999999</v>
      </c>
      <c r="AJ209" t="n">
        <v>-0.01</v>
      </c>
      <c r="AK209" t="n">
        <v>14.53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48.81</v>
      </c>
      <c r="AV209" t="n">
        <v>0</v>
      </c>
      <c r="AW209" t="n">
        <v>123.18</v>
      </c>
      <c r="AX209" t="inlineStr">
        <is>
          <t>settled</t>
        </is>
      </c>
      <c r="AY209" t="inlineStr">
        <is>
          <t>NA</t>
        </is>
      </c>
      <c r="AZ209" t="inlineStr">
        <is>
          <t>NA</t>
        </is>
      </c>
      <c r="BA209" t="n">
        <v>0</v>
      </c>
      <c r="BB209" t="inlineStr">
        <is>
          <t>95d87c6bfc11bc376d55b1265f67a88463243fd9a385db14dae3838d5c180e7d</t>
        </is>
      </c>
    </row>
    <row r="210">
      <c r="A210" t="inlineStr">
        <is>
          <t>1240</t>
        </is>
      </c>
      <c r="B210" t="inlineStr">
        <is>
          <t>7623800270</t>
        </is>
      </c>
      <c r="C210" t="inlineStr">
        <is>
          <t>2025-12-27 00:29:39</t>
        </is>
      </c>
      <c r="D210" t="inlineStr">
        <is>
          <t>52</t>
        </is>
      </c>
      <c r="E210" t="inlineStr">
        <is>
          <t>Sha Sha - Shandaar Shawarma</t>
        </is>
      </c>
      <c r="F210" t="inlineStr">
        <is>
          <t>18557902</t>
        </is>
      </c>
      <c r="G210" t="inlineStr">
        <is>
          <t>NA</t>
        </is>
      </c>
      <c r="H210" t="inlineStr">
        <is>
          <t>ONLINE</t>
        </is>
      </c>
      <c r="I210" t="inlineStr">
        <is>
          <t>DELIVERED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O2</t>
        </is>
      </c>
      <c r="N210" t="inlineStr">
        <is>
          <t>36</t>
        </is>
      </c>
      <c r="O210" t="n">
        <v>229</v>
      </c>
      <c r="P210" t="n">
        <v>3.5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11.63</v>
      </c>
      <c r="W210" t="n">
        <v>244.13</v>
      </c>
      <c r="X210" t="n">
        <v>232.5</v>
      </c>
      <c r="Y210" t="n">
        <v>19</v>
      </c>
      <c r="Z210" t="n">
        <v>44.18</v>
      </c>
      <c r="AA210" t="n">
        <v>4.49</v>
      </c>
      <c r="AB210" t="n">
        <v>48.67</v>
      </c>
      <c r="AC210" t="n">
        <v>8.76</v>
      </c>
      <c r="AD210" t="n">
        <v>0</v>
      </c>
      <c r="AE210" t="n">
        <v>232.5</v>
      </c>
      <c r="AF210" t="n">
        <v>0</v>
      </c>
      <c r="AG210" t="n">
        <v>0</v>
      </c>
      <c r="AH210" t="n">
        <v>0.23</v>
      </c>
      <c r="AI210" t="n">
        <v>11.63</v>
      </c>
      <c r="AJ210" t="n">
        <v>0</v>
      </c>
      <c r="AK210" t="n">
        <v>20.62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69.29000000000001</v>
      </c>
      <c r="AV210" t="n">
        <v>0</v>
      </c>
      <c r="AW210" t="n">
        <v>174.84</v>
      </c>
      <c r="AX210" t="inlineStr">
        <is>
          <t>settled</t>
        </is>
      </c>
      <c r="AY210" t="inlineStr">
        <is>
          <t>NA</t>
        </is>
      </c>
      <c r="AZ210" t="inlineStr">
        <is>
          <t>NA</t>
        </is>
      </c>
      <c r="BA210" t="n">
        <v>0</v>
      </c>
      <c r="BB210" t="inlineStr">
        <is>
          <t>e125313e5c0e8947e6a3bca45d671ce7e30e91d73d55b43738a953c45cbc091a</t>
        </is>
      </c>
    </row>
    <row r="211">
      <c r="A211" t="inlineStr">
        <is>
          <t>1241</t>
        </is>
      </c>
      <c r="B211" t="inlineStr">
        <is>
          <t>7623268221</t>
        </is>
      </c>
      <c r="C211" t="inlineStr">
        <is>
          <t>2025-12-27 00:29:45</t>
        </is>
      </c>
      <c r="D211" t="inlineStr">
        <is>
          <t>52</t>
        </is>
      </c>
      <c r="E211" t="inlineStr">
        <is>
          <t>Sha Sha - Shandaar Shawarma</t>
        </is>
      </c>
      <c r="F211" t="inlineStr">
        <is>
          <t>18557902</t>
        </is>
      </c>
      <c r="G211" t="inlineStr">
        <is>
          <t>30% off upto ₹75 (2025-06-25 - 2031-01-01)</t>
        </is>
      </c>
      <c r="H211" t="inlineStr">
        <is>
          <t>ONLINE</t>
        </is>
      </c>
      <c r="I211" t="inlineStr">
        <is>
          <t>DELIVERED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O2</t>
        </is>
      </c>
      <c r="N211" t="inlineStr">
        <is>
          <t>36</t>
        </is>
      </c>
      <c r="O211" t="n">
        <v>229</v>
      </c>
      <c r="P211" t="n">
        <v>3.5</v>
      </c>
      <c r="Q211" t="n">
        <v>0</v>
      </c>
      <c r="R211" t="n">
        <v>68.7</v>
      </c>
      <c r="S211" t="n">
        <v>0</v>
      </c>
      <c r="T211" t="n">
        <v>0</v>
      </c>
      <c r="U211" t="n">
        <v>0</v>
      </c>
      <c r="V211" t="n">
        <v>8.19</v>
      </c>
      <c r="W211" t="n">
        <v>171.99</v>
      </c>
      <c r="X211" t="n">
        <v>163.8</v>
      </c>
      <c r="Y211" t="n">
        <v>19</v>
      </c>
      <c r="Z211" t="n">
        <v>31.12</v>
      </c>
      <c r="AA211" t="n">
        <v>3.16</v>
      </c>
      <c r="AB211" t="n">
        <v>34.28</v>
      </c>
      <c r="AC211" t="n">
        <v>6.17</v>
      </c>
      <c r="AD211" t="n">
        <v>0</v>
      </c>
      <c r="AE211" t="n">
        <v>163.8</v>
      </c>
      <c r="AF211" t="n">
        <v>0</v>
      </c>
      <c r="AG211" t="n">
        <v>0</v>
      </c>
      <c r="AH211" t="n">
        <v>0.16</v>
      </c>
      <c r="AI211" t="n">
        <v>8.199999999999999</v>
      </c>
      <c r="AJ211" t="n">
        <v>-0.01</v>
      </c>
      <c r="AK211" t="n">
        <v>14.53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48.81</v>
      </c>
      <c r="AV211" t="n">
        <v>0</v>
      </c>
      <c r="AW211" t="n">
        <v>123.18</v>
      </c>
      <c r="AX211" t="inlineStr">
        <is>
          <t>settled</t>
        </is>
      </c>
      <c r="AY211" t="inlineStr">
        <is>
          <t>NA</t>
        </is>
      </c>
      <c r="AZ211" t="inlineStr">
        <is>
          <t>NA</t>
        </is>
      </c>
      <c r="BA211" t="n">
        <v>0</v>
      </c>
      <c r="BB211" t="inlineStr">
        <is>
          <t>245c60a16f4a4d1d7c575889f8d545e7d04a4a592dd3f57a6ff902f5815c4bea</t>
        </is>
      </c>
    </row>
    <row r="212">
      <c r="A212" t="inlineStr">
        <is>
          <t>1242</t>
        </is>
      </c>
      <c r="B212" t="inlineStr">
        <is>
          <t>7622231077</t>
        </is>
      </c>
      <c r="C212" t="inlineStr">
        <is>
          <t>2025-12-27 00:34:25</t>
        </is>
      </c>
      <c r="D212" t="inlineStr">
        <is>
          <t>52</t>
        </is>
      </c>
      <c r="E212" t="inlineStr">
        <is>
          <t>Sha Sha - Shandaar Shawarma</t>
        </is>
      </c>
      <c r="F212" t="inlineStr">
        <is>
          <t>18557902</t>
        </is>
      </c>
      <c r="G212" t="inlineStr">
        <is>
          <t>NA</t>
        </is>
      </c>
      <c r="H212" t="inlineStr">
        <is>
          <t>ONLINE</t>
        </is>
      </c>
      <c r="I212" t="inlineStr">
        <is>
          <t>DELIVERED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O2</t>
        </is>
      </c>
      <c r="N212" t="inlineStr">
        <is>
          <t>36</t>
        </is>
      </c>
      <c r="O212" t="n">
        <v>219</v>
      </c>
      <c r="P212" t="n">
        <v>3.5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11.13</v>
      </c>
      <c r="W212" t="n">
        <v>233.63</v>
      </c>
      <c r="X212" t="n">
        <v>222.5</v>
      </c>
      <c r="Y212" t="n">
        <v>19</v>
      </c>
      <c r="Z212" t="n">
        <v>42.28</v>
      </c>
      <c r="AA212" t="n">
        <v>4.3</v>
      </c>
      <c r="AB212" t="n">
        <v>46.58</v>
      </c>
      <c r="AC212" t="n">
        <v>8.380000000000001</v>
      </c>
      <c r="AD212" t="n">
        <v>0</v>
      </c>
      <c r="AE212" t="n">
        <v>222.5</v>
      </c>
      <c r="AF212" t="n">
        <v>0</v>
      </c>
      <c r="AG212" t="n">
        <v>0</v>
      </c>
      <c r="AH212" t="n">
        <v>0.22</v>
      </c>
      <c r="AI212" t="n">
        <v>11.13</v>
      </c>
      <c r="AJ212" t="n">
        <v>0</v>
      </c>
      <c r="AK212" t="n">
        <v>19.73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66.31</v>
      </c>
      <c r="AV212" t="n">
        <v>0</v>
      </c>
      <c r="AW212" t="n">
        <v>167.32</v>
      </c>
      <c r="AX212" t="inlineStr">
        <is>
          <t>settled</t>
        </is>
      </c>
      <c r="AY212" t="inlineStr">
        <is>
          <t>NA</t>
        </is>
      </c>
      <c r="AZ212" t="inlineStr">
        <is>
          <t>NA</t>
        </is>
      </c>
      <c r="BA212" t="n">
        <v>0</v>
      </c>
      <c r="BB212" t="inlineStr">
        <is>
          <t>05dca02537cbe0c283d810d8d1adc4ef7f226b19819a1500a141a501e959e94d</t>
        </is>
      </c>
    </row>
    <row r="213">
      <c r="A213" t="inlineStr">
        <is>
          <t>1243</t>
        </is>
      </c>
      <c r="B213" t="inlineStr">
        <is>
          <t>7622590603</t>
        </is>
      </c>
      <c r="C213" t="inlineStr">
        <is>
          <t>2025-12-27 00:36:13</t>
        </is>
      </c>
      <c r="D213" t="inlineStr">
        <is>
          <t>52</t>
        </is>
      </c>
      <c r="E213" t="inlineStr">
        <is>
          <t>Sha Sha - Shandaar Shawarma</t>
        </is>
      </c>
      <c r="F213" t="inlineStr">
        <is>
          <t>18557902</t>
        </is>
      </c>
      <c r="G213" t="inlineStr">
        <is>
          <t>30% off upto ₹75 (2025-06-25 - 2031-01-01)</t>
        </is>
      </c>
      <c r="H213" t="inlineStr">
        <is>
          <t>ONLINE</t>
        </is>
      </c>
      <c r="I213" t="inlineStr">
        <is>
          <t>DELIVERED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O2</t>
        </is>
      </c>
      <c r="N213" t="inlineStr">
        <is>
          <t>36</t>
        </is>
      </c>
      <c r="O213" t="n">
        <v>229</v>
      </c>
      <c r="P213" t="n">
        <v>3.5</v>
      </c>
      <c r="Q213" t="n">
        <v>0</v>
      </c>
      <c r="R213" t="n">
        <v>68.7</v>
      </c>
      <c r="S213" t="n">
        <v>0</v>
      </c>
      <c r="T213" t="n">
        <v>0</v>
      </c>
      <c r="U213" t="n">
        <v>0</v>
      </c>
      <c r="V213" t="n">
        <v>8.19</v>
      </c>
      <c r="W213" t="n">
        <v>171.99</v>
      </c>
      <c r="X213" t="n">
        <v>163.8</v>
      </c>
      <c r="Y213" t="n">
        <v>19</v>
      </c>
      <c r="Z213" t="n">
        <v>31.12</v>
      </c>
      <c r="AA213" t="n">
        <v>3.16</v>
      </c>
      <c r="AB213" t="n">
        <v>34.28</v>
      </c>
      <c r="AC213" t="n">
        <v>6.17</v>
      </c>
      <c r="AD213" t="n">
        <v>0</v>
      </c>
      <c r="AE213" t="n">
        <v>163.8</v>
      </c>
      <c r="AF213" t="n">
        <v>0</v>
      </c>
      <c r="AG213" t="n">
        <v>0</v>
      </c>
      <c r="AH213" t="n">
        <v>0.16</v>
      </c>
      <c r="AI213" t="n">
        <v>8.199999999999999</v>
      </c>
      <c r="AJ213" t="n">
        <v>-0.01</v>
      </c>
      <c r="AK213" t="n">
        <v>14.53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48.81</v>
      </c>
      <c r="AV213" t="n">
        <v>0</v>
      </c>
      <c r="AW213" t="n">
        <v>123.18</v>
      </c>
      <c r="AX213" t="inlineStr">
        <is>
          <t>settled</t>
        </is>
      </c>
      <c r="AY213" t="inlineStr">
        <is>
          <t>NA</t>
        </is>
      </c>
      <c r="AZ213" t="inlineStr">
        <is>
          <t>NA</t>
        </is>
      </c>
      <c r="BA213" t="n">
        <v>0</v>
      </c>
      <c r="BB213" t="inlineStr">
        <is>
          <t>1e557b9d3e88a713fb6a3772e167b1fa67d97391d0f1fb06881512d52e81cf17</t>
        </is>
      </c>
    </row>
    <row r="214">
      <c r="A214" t="inlineStr">
        <is>
          <t>1244</t>
        </is>
      </c>
      <c r="B214" t="inlineStr">
        <is>
          <t>7620005857</t>
        </is>
      </c>
      <c r="C214" t="inlineStr">
        <is>
          <t>2025-12-27 00:49:42</t>
        </is>
      </c>
      <c r="D214" t="inlineStr">
        <is>
          <t>52</t>
        </is>
      </c>
      <c r="E214" t="inlineStr">
        <is>
          <t>Sha Sha - Shandaar Shawarma</t>
        </is>
      </c>
      <c r="F214" t="inlineStr">
        <is>
          <t>18557902</t>
        </is>
      </c>
      <c r="G214" t="inlineStr">
        <is>
          <t>30% off upto ₹75 (2025-06-25 - 2031-01-01)</t>
        </is>
      </c>
      <c r="H214" t="inlineStr">
        <is>
          <t>ONLINE</t>
        </is>
      </c>
      <c r="I214" t="inlineStr">
        <is>
          <t>DELIVERED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O2</t>
        </is>
      </c>
      <c r="N214" t="inlineStr">
        <is>
          <t>36</t>
        </is>
      </c>
      <c r="O214" t="n">
        <v>229</v>
      </c>
      <c r="P214" t="n">
        <v>3.5</v>
      </c>
      <c r="Q214" t="n">
        <v>0</v>
      </c>
      <c r="R214" t="n">
        <v>68.7</v>
      </c>
      <c r="S214" t="n">
        <v>0</v>
      </c>
      <c r="T214" t="n">
        <v>0</v>
      </c>
      <c r="U214" t="n">
        <v>0</v>
      </c>
      <c r="V214" t="n">
        <v>8.19</v>
      </c>
      <c r="W214" t="n">
        <v>171.99</v>
      </c>
      <c r="X214" t="n">
        <v>163.8</v>
      </c>
      <c r="Y214" t="n">
        <v>19</v>
      </c>
      <c r="Z214" t="n">
        <v>31.12</v>
      </c>
      <c r="AA214" t="n">
        <v>3.16</v>
      </c>
      <c r="AB214" t="n">
        <v>34.28</v>
      </c>
      <c r="AC214" t="n">
        <v>6.17</v>
      </c>
      <c r="AD214" t="n">
        <v>0</v>
      </c>
      <c r="AE214" t="n">
        <v>163.8</v>
      </c>
      <c r="AF214" t="n">
        <v>0</v>
      </c>
      <c r="AG214" t="n">
        <v>0</v>
      </c>
      <c r="AH214" t="n">
        <v>0.16</v>
      </c>
      <c r="AI214" t="n">
        <v>8.199999999999999</v>
      </c>
      <c r="AJ214" t="n">
        <v>-0.01</v>
      </c>
      <c r="AK214" t="n">
        <v>14.53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48.81</v>
      </c>
      <c r="AV214" t="n">
        <v>0</v>
      </c>
      <c r="AW214" t="n">
        <v>123.18</v>
      </c>
      <c r="AX214" t="inlineStr">
        <is>
          <t>settled</t>
        </is>
      </c>
      <c r="AY214" t="inlineStr">
        <is>
          <t>NA</t>
        </is>
      </c>
      <c r="AZ214" t="inlineStr">
        <is>
          <t>NA</t>
        </is>
      </c>
      <c r="BA214" t="n">
        <v>0</v>
      </c>
      <c r="BB214" t="inlineStr">
        <is>
          <t>93502df1d5955ac2a6a48250653cf30217150ceed7e588ff0d09e7e15d8dc2aa</t>
        </is>
      </c>
    </row>
    <row r="215">
      <c r="A215" t="inlineStr">
        <is>
          <t>1245</t>
        </is>
      </c>
      <c r="B215" t="inlineStr">
        <is>
          <t>7616950928</t>
        </is>
      </c>
      <c r="C215" t="inlineStr">
        <is>
          <t>2025-12-27 00:53:47</t>
        </is>
      </c>
      <c r="D215" t="inlineStr">
        <is>
          <t>52</t>
        </is>
      </c>
      <c r="E215" t="inlineStr">
        <is>
          <t>Sha Sha - Shandaar Shawarma</t>
        </is>
      </c>
      <c r="F215" t="inlineStr">
        <is>
          <t>18557902</t>
        </is>
      </c>
      <c r="G215" t="inlineStr">
        <is>
          <t>NA</t>
        </is>
      </c>
      <c r="H215" t="inlineStr">
        <is>
          <t>ONLINE</t>
        </is>
      </c>
      <c r="I215" t="inlineStr">
        <is>
          <t>DELIVERED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O2</t>
        </is>
      </c>
      <c r="N215" t="inlineStr">
        <is>
          <t>36</t>
        </is>
      </c>
      <c r="O215" t="n">
        <v>458</v>
      </c>
      <c r="P215" t="n">
        <v>3.5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23.08</v>
      </c>
      <c r="W215" t="n">
        <v>484.58</v>
      </c>
      <c r="X215" t="n">
        <v>461.5</v>
      </c>
      <c r="Y215" t="n">
        <v>19</v>
      </c>
      <c r="Z215" t="n">
        <v>87.68000000000001</v>
      </c>
      <c r="AA215" t="n">
        <v>8.92</v>
      </c>
      <c r="AB215" t="n">
        <v>96.59999999999999</v>
      </c>
      <c r="AC215" t="n">
        <v>17.39</v>
      </c>
      <c r="AD215" t="n">
        <v>0</v>
      </c>
      <c r="AE215" t="n">
        <v>461.5</v>
      </c>
      <c r="AF215" t="n">
        <v>0</v>
      </c>
      <c r="AG215" t="n">
        <v>0</v>
      </c>
      <c r="AH215" t="n">
        <v>0.46</v>
      </c>
      <c r="AI215" t="n">
        <v>23.08</v>
      </c>
      <c r="AJ215" t="n">
        <v>0</v>
      </c>
      <c r="AK215" t="n">
        <v>40.93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137.53</v>
      </c>
      <c r="AV215" t="n">
        <v>0</v>
      </c>
      <c r="AW215" t="n">
        <v>347.05</v>
      </c>
      <c r="AX215" t="inlineStr">
        <is>
          <t>settled</t>
        </is>
      </c>
      <c r="AY215" t="inlineStr">
        <is>
          <t>NA</t>
        </is>
      </c>
      <c r="AZ215" t="inlineStr">
        <is>
          <t>NA</t>
        </is>
      </c>
      <c r="BA215" t="n">
        <v>0</v>
      </c>
      <c r="BB215" t="inlineStr">
        <is>
          <t>6b2ab670eb6919cd2fa2884ae521ba147c6989a26e398d019aedac70586ebd10</t>
        </is>
      </c>
    </row>
    <row r="216">
      <c r="A216" t="inlineStr">
        <is>
          <t>1246</t>
        </is>
      </c>
      <c r="B216" t="inlineStr">
        <is>
          <t>7623955889</t>
        </is>
      </c>
      <c r="C216" t="inlineStr">
        <is>
          <t>2025-12-27 01:07:41</t>
        </is>
      </c>
      <c r="D216" t="inlineStr">
        <is>
          <t>52</t>
        </is>
      </c>
      <c r="E216" t="inlineStr">
        <is>
          <t>Sha Sha - Shandaar Shawarma</t>
        </is>
      </c>
      <c r="F216" t="inlineStr">
        <is>
          <t>18557902</t>
        </is>
      </c>
      <c r="G216" t="inlineStr">
        <is>
          <t>30% off upto ₹75 (2025-06-25 - 2031-01-01)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O2</t>
        </is>
      </c>
      <c r="N216" t="inlineStr">
        <is>
          <t>36</t>
        </is>
      </c>
      <c r="O216" t="n">
        <v>229</v>
      </c>
      <c r="P216" t="n">
        <v>3.5</v>
      </c>
      <c r="Q216" t="n">
        <v>0</v>
      </c>
      <c r="R216" t="n">
        <v>68.7</v>
      </c>
      <c r="S216" t="n">
        <v>0</v>
      </c>
      <c r="T216" t="n">
        <v>0</v>
      </c>
      <c r="U216" t="n">
        <v>0</v>
      </c>
      <c r="V216" t="n">
        <v>8.19</v>
      </c>
      <c r="W216" t="n">
        <v>171.99</v>
      </c>
      <c r="X216" t="n">
        <v>163.8</v>
      </c>
      <c r="Y216" t="n">
        <v>19</v>
      </c>
      <c r="Z216" t="n">
        <v>31.12</v>
      </c>
      <c r="AA216" t="n">
        <v>3.16</v>
      </c>
      <c r="AB216" t="n">
        <v>34.28</v>
      </c>
      <c r="AC216" t="n">
        <v>6.17</v>
      </c>
      <c r="AD216" t="n">
        <v>0</v>
      </c>
      <c r="AE216" t="n">
        <v>163.8</v>
      </c>
      <c r="AF216" t="n">
        <v>0</v>
      </c>
      <c r="AG216" t="n">
        <v>0</v>
      </c>
      <c r="AH216" t="n">
        <v>0.16</v>
      </c>
      <c r="AI216" t="n">
        <v>8.199999999999999</v>
      </c>
      <c r="AJ216" t="n">
        <v>-0.01</v>
      </c>
      <c r="AK216" t="n">
        <v>14.53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48.81</v>
      </c>
      <c r="AV216" t="n">
        <v>0</v>
      </c>
      <c r="AW216" t="n">
        <v>123.18</v>
      </c>
      <c r="AX216" t="inlineStr">
        <is>
          <t>settled</t>
        </is>
      </c>
      <c r="AY216" t="inlineStr">
        <is>
          <t>NA</t>
        </is>
      </c>
      <c r="AZ216" t="inlineStr">
        <is>
          <t>NA</t>
        </is>
      </c>
      <c r="BA216" t="n">
        <v>0</v>
      </c>
      <c r="BB216" t="inlineStr">
        <is>
          <t>e82d13276a7e336fd07b8decf97ec4fdafe89ffd9f122c9e326fa3404ec18ac8</t>
        </is>
      </c>
    </row>
    <row r="217">
      <c r="A217" t="inlineStr">
        <is>
          <t>1247</t>
        </is>
      </c>
      <c r="B217" t="inlineStr">
        <is>
          <t>7624167563</t>
        </is>
      </c>
      <c r="C217" t="inlineStr">
        <is>
          <t>2025-12-27 01:57:21</t>
        </is>
      </c>
      <c r="D217" t="inlineStr">
        <is>
          <t>52</t>
        </is>
      </c>
      <c r="E217" t="inlineStr">
        <is>
          <t>Sha Sha - Shandaar Shawarma</t>
        </is>
      </c>
      <c r="F217" t="inlineStr">
        <is>
          <t>18557902</t>
        </is>
      </c>
      <c r="G217" t="inlineStr">
        <is>
          <t>30% off upto ₹75 (2025-06-25 - 2031-01-01)</t>
        </is>
      </c>
      <c r="H217" t="inlineStr">
        <is>
          <t>ONLINE</t>
        </is>
      </c>
      <c r="I217" t="inlineStr">
        <is>
          <t>DELIVERED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O2</t>
        </is>
      </c>
      <c r="N217" t="inlineStr">
        <is>
          <t>36</t>
        </is>
      </c>
      <c r="O217" t="n">
        <v>229</v>
      </c>
      <c r="P217" t="n">
        <v>3.5</v>
      </c>
      <c r="Q217" t="n">
        <v>0</v>
      </c>
      <c r="R217" t="n">
        <v>68.7</v>
      </c>
      <c r="S217" t="n">
        <v>0</v>
      </c>
      <c r="T217" t="n">
        <v>0</v>
      </c>
      <c r="U217" t="n">
        <v>0</v>
      </c>
      <c r="V217" t="n">
        <v>8.19</v>
      </c>
      <c r="W217" t="n">
        <v>171.99</v>
      </c>
      <c r="X217" t="n">
        <v>163.8</v>
      </c>
      <c r="Y217" t="n">
        <v>19</v>
      </c>
      <c r="Z217" t="n">
        <v>31.12</v>
      </c>
      <c r="AA217" t="n">
        <v>3.16</v>
      </c>
      <c r="AB217" t="n">
        <v>34.28</v>
      </c>
      <c r="AC217" t="n">
        <v>6.17</v>
      </c>
      <c r="AD217" t="n">
        <v>0</v>
      </c>
      <c r="AE217" t="n">
        <v>163.8</v>
      </c>
      <c r="AF217" t="n">
        <v>0</v>
      </c>
      <c r="AG217" t="n">
        <v>0</v>
      </c>
      <c r="AH217" t="n">
        <v>0.16</v>
      </c>
      <c r="AI217" t="n">
        <v>8.199999999999999</v>
      </c>
      <c r="AJ217" t="n">
        <v>-0.01</v>
      </c>
      <c r="AK217" t="n">
        <v>14.53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48.81</v>
      </c>
      <c r="AV217" t="n">
        <v>0</v>
      </c>
      <c r="AW217" t="n">
        <v>123.18</v>
      </c>
      <c r="AX217" t="inlineStr">
        <is>
          <t>settled</t>
        </is>
      </c>
      <c r="AY217" t="inlineStr">
        <is>
          <t>NA</t>
        </is>
      </c>
      <c r="AZ217" t="inlineStr">
        <is>
          <t>NA</t>
        </is>
      </c>
      <c r="BA217" t="n">
        <v>0</v>
      </c>
      <c r="BB217" t="inlineStr">
        <is>
          <t>10ce891ed51d67555a13a3d9f3854c95a1bffaebf25afc18bc1ac68a3ccca451</t>
        </is>
      </c>
    </row>
    <row r="218">
      <c r="A218" t="inlineStr">
        <is>
          <t>1248</t>
        </is>
      </c>
      <c r="B218" t="inlineStr">
        <is>
          <t>7624402058</t>
        </is>
      </c>
      <c r="C218" t="inlineStr">
        <is>
          <t>2025-12-27 01:59:31</t>
        </is>
      </c>
      <c r="D218" t="inlineStr">
        <is>
          <t>52</t>
        </is>
      </c>
      <c r="E218" t="inlineStr">
        <is>
          <t>Sha Sha - Shandaar Shawarma</t>
        </is>
      </c>
      <c r="F218" t="inlineStr">
        <is>
          <t>18557902</t>
        </is>
      </c>
      <c r="G218" t="inlineStr">
        <is>
          <t>30% off upto ₹75 (2025-06-25 - 2031-01-01)</t>
        </is>
      </c>
      <c r="H218" t="inlineStr">
        <is>
          <t>ONLINE</t>
        </is>
      </c>
      <c r="I218" t="inlineStr">
        <is>
          <t>DELIVERED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O2</t>
        </is>
      </c>
      <c r="N218" t="inlineStr">
        <is>
          <t>36</t>
        </is>
      </c>
      <c r="O218" t="n">
        <v>438</v>
      </c>
      <c r="P218" t="n">
        <v>3.5</v>
      </c>
      <c r="Q218" t="n">
        <v>0</v>
      </c>
      <c r="R218" t="n">
        <v>75</v>
      </c>
      <c r="S218" t="n">
        <v>0</v>
      </c>
      <c r="T218" t="n">
        <v>0</v>
      </c>
      <c r="U218" t="n">
        <v>0</v>
      </c>
      <c r="V218" t="n">
        <v>18.33</v>
      </c>
      <c r="W218" t="n">
        <v>384.83</v>
      </c>
      <c r="X218" t="n">
        <v>366.5</v>
      </c>
      <c r="Y218" t="n">
        <v>19</v>
      </c>
      <c r="Z218" t="n">
        <v>69.64</v>
      </c>
      <c r="AA218" t="n">
        <v>7.08</v>
      </c>
      <c r="AB218" t="n">
        <v>76.72</v>
      </c>
      <c r="AC218" t="n">
        <v>13.81</v>
      </c>
      <c r="AD218" t="n">
        <v>0</v>
      </c>
      <c r="AE218" t="n">
        <v>366.5</v>
      </c>
      <c r="AF218" t="n">
        <v>0</v>
      </c>
      <c r="AG218" t="n">
        <v>0</v>
      </c>
      <c r="AH218" t="n">
        <v>0.37</v>
      </c>
      <c r="AI218" t="n">
        <v>18.33</v>
      </c>
      <c r="AJ218" t="n">
        <v>0</v>
      </c>
      <c r="AK218" t="n">
        <v>32.51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109.23</v>
      </c>
      <c r="AV218" t="n">
        <v>0</v>
      </c>
      <c r="AW218" t="n">
        <v>275.6</v>
      </c>
      <c r="AX218" t="inlineStr">
        <is>
          <t>settled</t>
        </is>
      </c>
      <c r="AY218" t="inlineStr">
        <is>
          <t>NA</t>
        </is>
      </c>
      <c r="AZ218" t="inlineStr">
        <is>
          <t>NA</t>
        </is>
      </c>
      <c r="BA218" t="n">
        <v>0</v>
      </c>
      <c r="BB218" t="inlineStr">
        <is>
          <t>b95396f0b61c7d22cade54e335dfad635d72055af8a0ce12559621cba4740a08</t>
        </is>
      </c>
    </row>
    <row r="219">
      <c r="A219" t="inlineStr">
        <is>
          <t>1249</t>
        </is>
      </c>
      <c r="B219" t="inlineStr">
        <is>
          <t>7621816368</t>
        </is>
      </c>
      <c r="C219" t="inlineStr">
        <is>
          <t>2025-12-27 02:18:35</t>
        </is>
      </c>
      <c r="D219" t="inlineStr">
        <is>
          <t>52</t>
        </is>
      </c>
      <c r="E219" t="inlineStr">
        <is>
          <t>Sha Sha - Shandaar Shawarma</t>
        </is>
      </c>
      <c r="F219" t="inlineStr">
        <is>
          <t>18557902</t>
        </is>
      </c>
      <c r="G219" t="inlineStr">
        <is>
          <t>30% off upto ₹75 (2025-06-25 - 2031-01-01)</t>
        </is>
      </c>
      <c r="H219" t="inlineStr">
        <is>
          <t>ONLINE</t>
        </is>
      </c>
      <c r="I219" t="inlineStr">
        <is>
          <t>DELIVERED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O2</t>
        </is>
      </c>
      <c r="N219" t="inlineStr">
        <is>
          <t>36</t>
        </is>
      </c>
      <c r="O219" t="n">
        <v>219</v>
      </c>
      <c r="P219" t="n">
        <v>3.5</v>
      </c>
      <c r="Q219" t="n">
        <v>0</v>
      </c>
      <c r="R219" t="n">
        <v>65.7</v>
      </c>
      <c r="S219" t="n">
        <v>0</v>
      </c>
      <c r="T219" t="n">
        <v>0</v>
      </c>
      <c r="U219" t="n">
        <v>0</v>
      </c>
      <c r="V219" t="n">
        <v>7.84</v>
      </c>
      <c r="W219" t="n">
        <v>164.64</v>
      </c>
      <c r="X219" t="n">
        <v>156.8</v>
      </c>
      <c r="Y219" t="n">
        <v>19</v>
      </c>
      <c r="Z219" t="n">
        <v>29.79</v>
      </c>
      <c r="AA219" t="n">
        <v>3.03</v>
      </c>
      <c r="AB219" t="n">
        <v>32.82</v>
      </c>
      <c r="AC219" t="n">
        <v>5.91</v>
      </c>
      <c r="AD219" t="n">
        <v>0</v>
      </c>
      <c r="AE219" t="n">
        <v>156.8</v>
      </c>
      <c r="AF219" t="n">
        <v>0</v>
      </c>
      <c r="AG219" t="n">
        <v>0</v>
      </c>
      <c r="AH219" t="n">
        <v>0.16</v>
      </c>
      <c r="AI219" t="n">
        <v>7.85</v>
      </c>
      <c r="AJ219" t="n">
        <v>-0.01</v>
      </c>
      <c r="AK219" t="n">
        <v>13.92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46.74</v>
      </c>
      <c r="AV219" t="n">
        <v>0</v>
      </c>
      <c r="AW219" t="n">
        <v>117.9</v>
      </c>
      <c r="AX219" t="inlineStr">
        <is>
          <t>settled</t>
        </is>
      </c>
      <c r="AY219" t="inlineStr">
        <is>
          <t>NA</t>
        </is>
      </c>
      <c r="AZ219" t="inlineStr">
        <is>
          <t>NA</t>
        </is>
      </c>
      <c r="BA219" t="n">
        <v>0</v>
      </c>
      <c r="BB219" t="inlineStr">
        <is>
          <t>1668e44ff9b3d4ba5b1fdf496672d39454c9f650a55e73d7ea42a39077b1f56e</t>
        </is>
      </c>
    </row>
    <row r="220">
      <c r="A220" t="inlineStr">
        <is>
          <t>1250</t>
        </is>
      </c>
      <c r="B220" t="inlineStr">
        <is>
          <t>7624534153</t>
        </is>
      </c>
      <c r="C220" t="inlineStr">
        <is>
          <t>2025-12-27 02:34:43</t>
        </is>
      </c>
      <c r="D220" t="inlineStr">
        <is>
          <t>52</t>
        </is>
      </c>
      <c r="E220" t="inlineStr">
        <is>
          <t>Sha Sha - Shandaar Shawarma</t>
        </is>
      </c>
      <c r="F220" t="inlineStr">
        <is>
          <t>18557902</t>
        </is>
      </c>
      <c r="G220" t="inlineStr">
        <is>
          <t>NA</t>
        </is>
      </c>
      <c r="H220" t="inlineStr">
        <is>
          <t>ONLINE</t>
        </is>
      </c>
      <c r="I220" t="inlineStr">
        <is>
          <t>DELIVERED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O2</t>
        </is>
      </c>
      <c r="N220" t="inlineStr">
        <is>
          <t>36</t>
        </is>
      </c>
      <c r="O220" t="n">
        <v>219</v>
      </c>
      <c r="P220" t="n">
        <v>3.5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11.13</v>
      </c>
      <c r="W220" t="n">
        <v>233.63</v>
      </c>
      <c r="X220" t="n">
        <v>222.5</v>
      </c>
      <c r="Y220" t="n">
        <v>19</v>
      </c>
      <c r="Z220" t="n">
        <v>42.28</v>
      </c>
      <c r="AA220" t="n">
        <v>4.3</v>
      </c>
      <c r="AB220" t="n">
        <v>46.58</v>
      </c>
      <c r="AC220" t="n">
        <v>8.380000000000001</v>
      </c>
      <c r="AD220" t="n">
        <v>0</v>
      </c>
      <c r="AE220" t="n">
        <v>222.5</v>
      </c>
      <c r="AF220" t="n">
        <v>0</v>
      </c>
      <c r="AG220" t="n">
        <v>0</v>
      </c>
      <c r="AH220" t="n">
        <v>0.22</v>
      </c>
      <c r="AI220" t="n">
        <v>11.13</v>
      </c>
      <c r="AJ220" t="n">
        <v>0</v>
      </c>
      <c r="AK220" t="n">
        <v>19.73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66.31</v>
      </c>
      <c r="AV220" t="n">
        <v>0</v>
      </c>
      <c r="AW220" t="n">
        <v>167.32</v>
      </c>
      <c r="AX220" t="inlineStr">
        <is>
          <t>settled</t>
        </is>
      </c>
      <c r="AY220" t="inlineStr">
        <is>
          <t>NA</t>
        </is>
      </c>
      <c r="AZ220" t="inlineStr">
        <is>
          <t>NA</t>
        </is>
      </c>
      <c r="BA220" t="n">
        <v>0</v>
      </c>
      <c r="BB220" t="inlineStr">
        <is>
          <t>e084f0fe3c7e12ceb21481626b45d8bd7b3c876784a7d7eb9d0ad434cd374a98</t>
        </is>
      </c>
    </row>
    <row r="221">
      <c r="A221" t="inlineStr">
        <is>
          <t>1251</t>
        </is>
      </c>
      <c r="B221" t="inlineStr">
        <is>
          <t>7612265122</t>
        </is>
      </c>
      <c r="C221" t="inlineStr">
        <is>
          <t>2025-12-27 03:00:24</t>
        </is>
      </c>
      <c r="D221" t="inlineStr">
        <is>
          <t>52</t>
        </is>
      </c>
      <c r="E221" t="inlineStr">
        <is>
          <t>Sha Sha - Shandaar Shawarma</t>
        </is>
      </c>
      <c r="F221" t="inlineStr">
        <is>
          <t>18557902</t>
        </is>
      </c>
      <c r="G221" t="inlineStr">
        <is>
          <t>30% off upto ₹75 (2025-06-25 - 2031-01-01)</t>
        </is>
      </c>
      <c r="H221" t="inlineStr">
        <is>
          <t>ONLINE</t>
        </is>
      </c>
      <c r="I221" t="inlineStr">
        <is>
          <t>DELIVERED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O2</t>
        </is>
      </c>
      <c r="N221" t="inlineStr">
        <is>
          <t>36</t>
        </is>
      </c>
      <c r="O221" t="n">
        <v>458</v>
      </c>
      <c r="P221" t="n">
        <v>3.5</v>
      </c>
      <c r="Q221" t="n">
        <v>0</v>
      </c>
      <c r="R221" t="n">
        <v>75</v>
      </c>
      <c r="S221" t="n">
        <v>0</v>
      </c>
      <c r="T221" t="n">
        <v>0</v>
      </c>
      <c r="U221" t="n">
        <v>0</v>
      </c>
      <c r="V221" t="n">
        <v>19.33</v>
      </c>
      <c r="W221" t="n">
        <v>405.83</v>
      </c>
      <c r="X221" t="n">
        <v>386.5</v>
      </c>
      <c r="Y221" t="n">
        <v>19</v>
      </c>
      <c r="Z221" t="n">
        <v>73.44</v>
      </c>
      <c r="AA221" t="n">
        <v>7.47</v>
      </c>
      <c r="AB221" t="n">
        <v>80.91</v>
      </c>
      <c r="AC221" t="n">
        <v>14.56</v>
      </c>
      <c r="AD221" t="n">
        <v>0</v>
      </c>
      <c r="AE221" t="n">
        <v>386.5</v>
      </c>
      <c r="AF221" t="n">
        <v>0</v>
      </c>
      <c r="AG221" t="n">
        <v>0</v>
      </c>
      <c r="AH221" t="n">
        <v>0.39</v>
      </c>
      <c r="AI221" t="n">
        <v>19.33</v>
      </c>
      <c r="AJ221" t="n">
        <v>0</v>
      </c>
      <c r="AK221" t="n">
        <v>34.28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115.19</v>
      </c>
      <c r="AV221" t="n">
        <v>0</v>
      </c>
      <c r="AW221" t="n">
        <v>290.64</v>
      </c>
      <c r="AX221" t="inlineStr">
        <is>
          <t>settled</t>
        </is>
      </c>
      <c r="AY221" t="inlineStr">
        <is>
          <t>NA</t>
        </is>
      </c>
      <c r="AZ221" t="inlineStr">
        <is>
          <t>NA</t>
        </is>
      </c>
      <c r="BA221" t="n">
        <v>0</v>
      </c>
      <c r="BB221" t="inlineStr">
        <is>
          <t>4d0c2a06056073ebdb7b1d3855dc43cd04ea713bbdef043791e2a51360d92f5a</t>
        </is>
      </c>
    </row>
    <row r="222">
      <c r="A222" t="inlineStr">
        <is>
          <t>1252</t>
        </is>
      </c>
      <c r="B222" t="inlineStr">
        <is>
          <t>7625075703</t>
        </is>
      </c>
      <c r="C222" t="inlineStr">
        <is>
          <t>2025-12-27 03:00:44</t>
        </is>
      </c>
      <c r="D222" t="inlineStr">
        <is>
          <t>52</t>
        </is>
      </c>
      <c r="E222" t="inlineStr">
        <is>
          <t>Sha Sha - Shandaar Shawarma</t>
        </is>
      </c>
      <c r="F222" t="inlineStr">
        <is>
          <t>18557902</t>
        </is>
      </c>
      <c r="G222" t="inlineStr">
        <is>
          <t>30% off upto ₹75 (2025-06-25 - 2031-01-01)</t>
        </is>
      </c>
      <c r="H222" t="inlineStr">
        <is>
          <t>ONLINE</t>
        </is>
      </c>
      <c r="I222" t="inlineStr">
        <is>
          <t>DELIVERED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O2</t>
        </is>
      </c>
      <c r="N222" t="inlineStr">
        <is>
          <t>36</t>
        </is>
      </c>
      <c r="O222" t="n">
        <v>229</v>
      </c>
      <c r="P222" t="n">
        <v>3.5</v>
      </c>
      <c r="Q222" t="n">
        <v>0</v>
      </c>
      <c r="R222" t="n">
        <v>68.7</v>
      </c>
      <c r="S222" t="n">
        <v>0</v>
      </c>
      <c r="T222" t="n">
        <v>0</v>
      </c>
      <c r="U222" t="n">
        <v>0</v>
      </c>
      <c r="V222" t="n">
        <v>8.19</v>
      </c>
      <c r="W222" t="n">
        <v>171.99</v>
      </c>
      <c r="X222" t="n">
        <v>163.8</v>
      </c>
      <c r="Y222" t="n">
        <v>19</v>
      </c>
      <c r="Z222" t="n">
        <v>31.12</v>
      </c>
      <c r="AA222" t="n">
        <v>3.16</v>
      </c>
      <c r="AB222" t="n">
        <v>34.28</v>
      </c>
      <c r="AC222" t="n">
        <v>6.17</v>
      </c>
      <c r="AD222" t="n">
        <v>0</v>
      </c>
      <c r="AE222" t="n">
        <v>163.8</v>
      </c>
      <c r="AF222" t="n">
        <v>0</v>
      </c>
      <c r="AG222" t="n">
        <v>0</v>
      </c>
      <c r="AH222" t="n">
        <v>0.16</v>
      </c>
      <c r="AI222" t="n">
        <v>8.199999999999999</v>
      </c>
      <c r="AJ222" t="n">
        <v>-0.01</v>
      </c>
      <c r="AK222" t="n">
        <v>14.53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48.81</v>
      </c>
      <c r="AV222" t="n">
        <v>0</v>
      </c>
      <c r="AW222" t="n">
        <v>123.18</v>
      </c>
      <c r="AX222" t="inlineStr">
        <is>
          <t>settled</t>
        </is>
      </c>
      <c r="AY222" t="inlineStr">
        <is>
          <t>NA</t>
        </is>
      </c>
      <c r="AZ222" t="inlineStr">
        <is>
          <t>NA</t>
        </is>
      </c>
      <c r="BA222" t="n">
        <v>0</v>
      </c>
      <c r="BB222" t="inlineStr">
        <is>
          <t>a4a70e0e977a73da377b4f40475eaf264e2652e623d22ae3ef862491d5035f2f</t>
        </is>
      </c>
    </row>
    <row r="223">
      <c r="A223" t="inlineStr">
        <is>
          <t>1253</t>
        </is>
      </c>
      <c r="B223" t="inlineStr">
        <is>
          <t>7615771298</t>
        </is>
      </c>
      <c r="C223" t="inlineStr">
        <is>
          <t>2025-12-27 03:02:24</t>
        </is>
      </c>
      <c r="D223" t="inlineStr">
        <is>
          <t>52</t>
        </is>
      </c>
      <c r="E223" t="inlineStr">
        <is>
          <t>Sha Sha - Shandaar Shawarma</t>
        </is>
      </c>
      <c r="F223" t="inlineStr">
        <is>
          <t>18557902</t>
        </is>
      </c>
      <c r="G223" t="inlineStr">
        <is>
          <t>30% off upto ₹75 (2025-06-25 - 2031-01-01)</t>
        </is>
      </c>
      <c r="H223" t="inlineStr">
        <is>
          <t>ONLINE</t>
        </is>
      </c>
      <c r="I223" t="inlineStr">
        <is>
          <t>DELIVERED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O2</t>
        </is>
      </c>
      <c r="N223" t="inlineStr">
        <is>
          <t>36</t>
        </is>
      </c>
      <c r="O223" t="n">
        <v>229</v>
      </c>
      <c r="P223" t="n">
        <v>3.5</v>
      </c>
      <c r="Q223" t="n">
        <v>0</v>
      </c>
      <c r="R223" t="n">
        <v>68.7</v>
      </c>
      <c r="S223" t="n">
        <v>0</v>
      </c>
      <c r="T223" t="n">
        <v>0</v>
      </c>
      <c r="U223" t="n">
        <v>0</v>
      </c>
      <c r="V223" t="n">
        <v>8.19</v>
      </c>
      <c r="W223" t="n">
        <v>171.99</v>
      </c>
      <c r="X223" t="n">
        <v>163.8</v>
      </c>
      <c r="Y223" t="n">
        <v>19</v>
      </c>
      <c r="Z223" t="n">
        <v>31.12</v>
      </c>
      <c r="AA223" t="n">
        <v>3.16</v>
      </c>
      <c r="AB223" t="n">
        <v>34.28</v>
      </c>
      <c r="AC223" t="n">
        <v>6.17</v>
      </c>
      <c r="AD223" t="n">
        <v>0</v>
      </c>
      <c r="AE223" t="n">
        <v>163.8</v>
      </c>
      <c r="AF223" t="n">
        <v>0</v>
      </c>
      <c r="AG223" t="n">
        <v>0</v>
      </c>
      <c r="AH223" t="n">
        <v>0.16</v>
      </c>
      <c r="AI223" t="n">
        <v>8.199999999999999</v>
      </c>
      <c r="AJ223" t="n">
        <v>-0.01</v>
      </c>
      <c r="AK223" t="n">
        <v>14.53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48.81</v>
      </c>
      <c r="AV223" t="n">
        <v>0</v>
      </c>
      <c r="AW223" t="n">
        <v>123.18</v>
      </c>
      <c r="AX223" t="inlineStr">
        <is>
          <t>settled</t>
        </is>
      </c>
      <c r="AY223" t="inlineStr">
        <is>
          <t>NA</t>
        </is>
      </c>
      <c r="AZ223" t="inlineStr">
        <is>
          <t>NA</t>
        </is>
      </c>
      <c r="BA223" t="n">
        <v>0</v>
      </c>
      <c r="BB223" t="inlineStr">
        <is>
          <t>ad3e8673823c3fc5dbe9efd6559a7e59b2f5d07169949ae49e3997e08061be4a</t>
        </is>
      </c>
    </row>
    <row r="224">
      <c r="A224" t="inlineStr">
        <is>
          <t>1254</t>
        </is>
      </c>
      <c r="B224" t="inlineStr">
        <is>
          <t>7610678363</t>
        </is>
      </c>
      <c r="C224" t="inlineStr">
        <is>
          <t>2025-12-27 03:10:39</t>
        </is>
      </c>
      <c r="D224" t="inlineStr">
        <is>
          <t>52</t>
        </is>
      </c>
      <c r="E224" t="inlineStr">
        <is>
          <t>Sha Sha - Shandaar Shawarma</t>
        </is>
      </c>
      <c r="F224" t="inlineStr">
        <is>
          <t>18557902</t>
        </is>
      </c>
      <c r="G224" t="inlineStr">
        <is>
          <t>NA</t>
        </is>
      </c>
      <c r="H224" t="inlineStr">
        <is>
          <t>ONLINE</t>
        </is>
      </c>
      <c r="I224" t="inlineStr">
        <is>
          <t>DELIVERED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O2</t>
        </is>
      </c>
      <c r="N224" t="inlineStr">
        <is>
          <t>36</t>
        </is>
      </c>
      <c r="O224" t="n">
        <v>229</v>
      </c>
      <c r="P224" t="n">
        <v>3.5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11.63</v>
      </c>
      <c r="W224" t="n">
        <v>244.13</v>
      </c>
      <c r="X224" t="n">
        <v>232.5</v>
      </c>
      <c r="Y224" t="n">
        <v>19</v>
      </c>
      <c r="Z224" t="n">
        <v>44.18</v>
      </c>
      <c r="AA224" t="n">
        <v>4.49</v>
      </c>
      <c r="AB224" t="n">
        <v>48.67</v>
      </c>
      <c r="AC224" t="n">
        <v>8.76</v>
      </c>
      <c r="AD224" t="n">
        <v>0</v>
      </c>
      <c r="AE224" t="n">
        <v>232.5</v>
      </c>
      <c r="AF224" t="n">
        <v>0</v>
      </c>
      <c r="AG224" t="n">
        <v>0</v>
      </c>
      <c r="AH224" t="n">
        <v>0.23</v>
      </c>
      <c r="AI224" t="n">
        <v>11.63</v>
      </c>
      <c r="AJ224" t="n">
        <v>0</v>
      </c>
      <c r="AK224" t="n">
        <v>20.62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69.29000000000001</v>
      </c>
      <c r="AV224" t="n">
        <v>0</v>
      </c>
      <c r="AW224" t="n">
        <v>174.84</v>
      </c>
      <c r="AX224" t="inlineStr">
        <is>
          <t>settled</t>
        </is>
      </c>
      <c r="AY224" t="inlineStr">
        <is>
          <t>NA</t>
        </is>
      </c>
      <c r="AZ224" t="inlineStr">
        <is>
          <t>NA</t>
        </is>
      </c>
      <c r="BA224" t="n">
        <v>0</v>
      </c>
      <c r="BB224" t="inlineStr">
        <is>
          <t>488bd92ab932e5dde66831c18feadaea775b208762c18ebaa91344bfd4f516be</t>
        </is>
      </c>
    </row>
    <row r="225">
      <c r="A225" t="inlineStr">
        <is>
          <t>1255</t>
        </is>
      </c>
      <c r="B225" t="inlineStr">
        <is>
          <t>7621149770</t>
        </is>
      </c>
      <c r="C225" t="inlineStr">
        <is>
          <t>2025-12-27 03:12:24</t>
        </is>
      </c>
      <c r="D225" t="inlineStr">
        <is>
          <t>52</t>
        </is>
      </c>
      <c r="E225" t="inlineStr">
        <is>
          <t>Sha Sha - Shandaar Shawarma</t>
        </is>
      </c>
      <c r="F225" t="inlineStr">
        <is>
          <t>18557902</t>
        </is>
      </c>
      <c r="G225" t="inlineStr">
        <is>
          <t>30% off upto ₹75 (2025-06-25 - 2031-01-01)</t>
        </is>
      </c>
      <c r="H225" t="inlineStr">
        <is>
          <t>ONLINE</t>
        </is>
      </c>
      <c r="I225" t="inlineStr">
        <is>
          <t>DELIVERED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O2</t>
        </is>
      </c>
      <c r="N225" t="inlineStr">
        <is>
          <t>36</t>
        </is>
      </c>
      <c r="O225" t="n">
        <v>219</v>
      </c>
      <c r="P225" t="n">
        <v>3.5</v>
      </c>
      <c r="Q225" t="n">
        <v>0</v>
      </c>
      <c r="R225" t="n">
        <v>65.7</v>
      </c>
      <c r="S225" t="n">
        <v>0</v>
      </c>
      <c r="T225" t="n">
        <v>0</v>
      </c>
      <c r="U225" t="n">
        <v>0</v>
      </c>
      <c r="V225" t="n">
        <v>7.84</v>
      </c>
      <c r="W225" t="n">
        <v>164.64</v>
      </c>
      <c r="X225" t="n">
        <v>156.8</v>
      </c>
      <c r="Y225" t="n">
        <v>19</v>
      </c>
      <c r="Z225" t="n">
        <v>29.79</v>
      </c>
      <c r="AA225" t="n">
        <v>3.03</v>
      </c>
      <c r="AB225" t="n">
        <v>32.82</v>
      </c>
      <c r="AC225" t="n">
        <v>5.91</v>
      </c>
      <c r="AD225" t="n">
        <v>0</v>
      </c>
      <c r="AE225" t="n">
        <v>156.8</v>
      </c>
      <c r="AF225" t="n">
        <v>0</v>
      </c>
      <c r="AG225" t="n">
        <v>0</v>
      </c>
      <c r="AH225" t="n">
        <v>0.16</v>
      </c>
      <c r="AI225" t="n">
        <v>7.85</v>
      </c>
      <c r="AJ225" t="n">
        <v>-0.01</v>
      </c>
      <c r="AK225" t="n">
        <v>13.92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46.74</v>
      </c>
      <c r="AV225" t="n">
        <v>0</v>
      </c>
      <c r="AW225" t="n">
        <v>117.9</v>
      </c>
      <c r="AX225" t="inlineStr">
        <is>
          <t>settled</t>
        </is>
      </c>
      <c r="AY225" t="inlineStr">
        <is>
          <t>NA</t>
        </is>
      </c>
      <c r="AZ225" t="inlineStr">
        <is>
          <t>NA</t>
        </is>
      </c>
      <c r="BA225" t="n">
        <v>0</v>
      </c>
      <c r="BB225" t="inlineStr">
        <is>
          <t>a7028fc96661abcc4ffd1ddef206c5c4b5112e99a4375b1d5769d7f156719a07</t>
        </is>
      </c>
    </row>
    <row r="226">
      <c r="A226" t="inlineStr">
        <is>
          <t>1256</t>
        </is>
      </c>
      <c r="B226" t="inlineStr">
        <is>
          <t>7625241718</t>
        </is>
      </c>
      <c r="C226" t="inlineStr">
        <is>
          <t>2025-12-27 03:12:36</t>
        </is>
      </c>
      <c r="D226" t="inlineStr">
        <is>
          <t>52</t>
        </is>
      </c>
      <c r="E226" t="inlineStr">
        <is>
          <t>Sha Sha - Shandaar Shawarma</t>
        </is>
      </c>
      <c r="F226" t="inlineStr">
        <is>
          <t>18557902</t>
        </is>
      </c>
      <c r="G226" t="inlineStr">
        <is>
          <t>30% off upto ₹75 (2025-06-25 - 2031-01-01)</t>
        </is>
      </c>
      <c r="H226" t="inlineStr">
        <is>
          <t>ONLINE</t>
        </is>
      </c>
      <c r="I226" t="inlineStr">
        <is>
          <t>DELIVERED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O2</t>
        </is>
      </c>
      <c r="N226" t="inlineStr">
        <is>
          <t>36</t>
        </is>
      </c>
      <c r="O226" t="n">
        <v>258</v>
      </c>
      <c r="P226" t="n">
        <v>3.5</v>
      </c>
      <c r="Q226" t="n">
        <v>0</v>
      </c>
      <c r="R226" t="n">
        <v>75</v>
      </c>
      <c r="S226" t="n">
        <v>0</v>
      </c>
      <c r="T226" t="n">
        <v>0</v>
      </c>
      <c r="U226" t="n">
        <v>0</v>
      </c>
      <c r="V226" t="n">
        <v>9.33</v>
      </c>
      <c r="W226" t="n">
        <v>195.83</v>
      </c>
      <c r="X226" t="n">
        <v>186.5</v>
      </c>
      <c r="Y226" t="n">
        <v>19</v>
      </c>
      <c r="Z226" t="n">
        <v>35.44</v>
      </c>
      <c r="AA226" t="n">
        <v>3.6</v>
      </c>
      <c r="AB226" t="n">
        <v>39.04</v>
      </c>
      <c r="AC226" t="n">
        <v>7.03</v>
      </c>
      <c r="AD226" t="n">
        <v>0</v>
      </c>
      <c r="AE226" t="n">
        <v>186.5</v>
      </c>
      <c r="AF226" t="n">
        <v>0</v>
      </c>
      <c r="AG226" t="n">
        <v>0</v>
      </c>
      <c r="AH226" t="n">
        <v>0.19</v>
      </c>
      <c r="AI226" t="n">
        <v>9.33</v>
      </c>
      <c r="AJ226" t="n">
        <v>0</v>
      </c>
      <c r="AK226" t="n">
        <v>16.55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55.59</v>
      </c>
      <c r="AV226" t="n">
        <v>0</v>
      </c>
      <c r="AW226" t="n">
        <v>140.24</v>
      </c>
      <c r="AX226" t="inlineStr">
        <is>
          <t>settled</t>
        </is>
      </c>
      <c r="AY226" t="inlineStr">
        <is>
          <t>NA</t>
        </is>
      </c>
      <c r="AZ226" t="inlineStr">
        <is>
          <t>NA</t>
        </is>
      </c>
      <c r="BA226" t="n">
        <v>0</v>
      </c>
      <c r="BB226" t="inlineStr">
        <is>
          <t>6bd6a99861195cf5330a4bca3b47335cd7f974ddfd4b63aabd4d1f181529682c</t>
        </is>
      </c>
    </row>
    <row r="227">
      <c r="A227" t="inlineStr">
        <is>
          <t>1257</t>
        </is>
      </c>
      <c r="B227" t="inlineStr">
        <is>
          <t>7625487027</t>
        </is>
      </c>
      <c r="C227" t="inlineStr">
        <is>
          <t>2025-12-27 03:45:27</t>
        </is>
      </c>
      <c r="D227" t="inlineStr">
        <is>
          <t>52</t>
        </is>
      </c>
      <c r="E227" t="inlineStr">
        <is>
          <t>Sha Sha - Shandaar Shawarma</t>
        </is>
      </c>
      <c r="F227" t="inlineStr">
        <is>
          <t>18557902</t>
        </is>
      </c>
      <c r="G227" t="inlineStr">
        <is>
          <t>30% off upto ₹75 (2025-06-25 - 2031-01-01)</t>
        </is>
      </c>
      <c r="H227" t="inlineStr">
        <is>
          <t>ONLINE</t>
        </is>
      </c>
      <c r="I227" t="inlineStr">
        <is>
          <t>DELIVERED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O2</t>
        </is>
      </c>
      <c r="N227" t="inlineStr">
        <is>
          <t>36</t>
        </is>
      </c>
      <c r="O227" t="n">
        <v>229</v>
      </c>
      <c r="P227" t="n">
        <v>3.5</v>
      </c>
      <c r="Q227" t="n">
        <v>0</v>
      </c>
      <c r="R227" t="n">
        <v>68.7</v>
      </c>
      <c r="S227" t="n">
        <v>0</v>
      </c>
      <c r="T227" t="n">
        <v>0</v>
      </c>
      <c r="U227" t="n">
        <v>0</v>
      </c>
      <c r="V227" t="n">
        <v>8.19</v>
      </c>
      <c r="W227" t="n">
        <v>171.99</v>
      </c>
      <c r="X227" t="n">
        <v>163.8</v>
      </c>
      <c r="Y227" t="n">
        <v>19</v>
      </c>
      <c r="Z227" t="n">
        <v>31.12</v>
      </c>
      <c r="AA227" t="n">
        <v>3.16</v>
      </c>
      <c r="AB227" t="n">
        <v>34.28</v>
      </c>
      <c r="AC227" t="n">
        <v>6.17</v>
      </c>
      <c r="AD227" t="n">
        <v>0</v>
      </c>
      <c r="AE227" t="n">
        <v>163.8</v>
      </c>
      <c r="AF227" t="n">
        <v>0</v>
      </c>
      <c r="AG227" t="n">
        <v>0</v>
      </c>
      <c r="AH227" t="n">
        <v>0.16</v>
      </c>
      <c r="AI227" t="n">
        <v>8.199999999999999</v>
      </c>
      <c r="AJ227" t="n">
        <v>-0.01</v>
      </c>
      <c r="AK227" t="n">
        <v>14.53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48.81</v>
      </c>
      <c r="AV227" t="n">
        <v>0</v>
      </c>
      <c r="AW227" t="n">
        <v>123.18</v>
      </c>
      <c r="AX227" t="inlineStr">
        <is>
          <t>settled</t>
        </is>
      </c>
      <c r="AY227" t="inlineStr">
        <is>
          <t>NA</t>
        </is>
      </c>
      <c r="AZ227" t="inlineStr">
        <is>
          <t>NA</t>
        </is>
      </c>
      <c r="BA227" t="n">
        <v>0</v>
      </c>
      <c r="BB227" t="inlineStr">
        <is>
          <t>26c58849057eb2fc88c1bca4bc3c349705c40bd730002e842c7b69d7210c5019</t>
        </is>
      </c>
    </row>
    <row r="228">
      <c r="A228" t="inlineStr">
        <is>
          <t>1258</t>
        </is>
      </c>
      <c r="B228" t="inlineStr">
        <is>
          <t>7624093600</t>
        </is>
      </c>
      <c r="C228" t="inlineStr">
        <is>
          <t>2025-12-27 04:02:41</t>
        </is>
      </c>
      <c r="D228" t="inlineStr">
        <is>
          <t>52</t>
        </is>
      </c>
      <c r="E228" t="inlineStr">
        <is>
          <t>Sha Sha - Shandaar Shawarma</t>
        </is>
      </c>
      <c r="F228" t="inlineStr">
        <is>
          <t>18557902</t>
        </is>
      </c>
      <c r="G228" t="inlineStr">
        <is>
          <t>30% off upto ₹75 (2025-06-25 - 2031-01-01)</t>
        </is>
      </c>
      <c r="H228" t="inlineStr">
        <is>
          <t>ONLINE</t>
        </is>
      </c>
      <c r="I228" t="inlineStr">
        <is>
          <t>DELIVERED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O2</t>
        </is>
      </c>
      <c r="N228" t="inlineStr">
        <is>
          <t>36</t>
        </is>
      </c>
      <c r="O228" t="n">
        <v>229</v>
      </c>
      <c r="P228" t="n">
        <v>3.5</v>
      </c>
      <c r="Q228" t="n">
        <v>0</v>
      </c>
      <c r="R228" t="n">
        <v>68.7</v>
      </c>
      <c r="S228" t="n">
        <v>0</v>
      </c>
      <c r="T228" t="n">
        <v>0</v>
      </c>
      <c r="U228" t="n">
        <v>0</v>
      </c>
      <c r="V228" t="n">
        <v>8.19</v>
      </c>
      <c r="W228" t="n">
        <v>171.99</v>
      </c>
      <c r="X228" t="n">
        <v>163.8</v>
      </c>
      <c r="Y228" t="n">
        <v>19</v>
      </c>
      <c r="Z228" t="n">
        <v>31.12</v>
      </c>
      <c r="AA228" t="n">
        <v>3.16</v>
      </c>
      <c r="AB228" t="n">
        <v>34.28</v>
      </c>
      <c r="AC228" t="n">
        <v>6.17</v>
      </c>
      <c r="AD228" t="n">
        <v>0</v>
      </c>
      <c r="AE228" t="n">
        <v>163.8</v>
      </c>
      <c r="AF228" t="n">
        <v>0</v>
      </c>
      <c r="AG228" t="n">
        <v>0</v>
      </c>
      <c r="AH228" t="n">
        <v>0.16</v>
      </c>
      <c r="AI228" t="n">
        <v>8.199999999999999</v>
      </c>
      <c r="AJ228" t="n">
        <v>-0.01</v>
      </c>
      <c r="AK228" t="n">
        <v>14.53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48.81</v>
      </c>
      <c r="AV228" t="n">
        <v>0</v>
      </c>
      <c r="AW228" t="n">
        <v>123.18</v>
      </c>
      <c r="AX228" t="inlineStr">
        <is>
          <t>settled</t>
        </is>
      </c>
      <c r="AY228" t="inlineStr">
        <is>
          <t>NA</t>
        </is>
      </c>
      <c r="AZ228" t="inlineStr">
        <is>
          <t>NA</t>
        </is>
      </c>
      <c r="BA228" t="n">
        <v>0</v>
      </c>
      <c r="BB228" t="inlineStr">
        <is>
          <t>713847dc42b86d834f871ed63b57d3df368288e9f483ef6816a7f4ef3c55dd50</t>
        </is>
      </c>
    </row>
    <row r="229">
      <c r="A229" t="inlineStr">
        <is>
          <t>1259</t>
        </is>
      </c>
      <c r="B229" t="inlineStr">
        <is>
          <t>7625454197</t>
        </is>
      </c>
      <c r="C229" t="inlineStr">
        <is>
          <t>2025-12-27 04:29:45</t>
        </is>
      </c>
      <c r="D229" t="inlineStr">
        <is>
          <t>52</t>
        </is>
      </c>
      <c r="E229" t="inlineStr">
        <is>
          <t>Sha Sha - Shandaar Shawarma</t>
        </is>
      </c>
      <c r="F229" t="inlineStr">
        <is>
          <t>18557902</t>
        </is>
      </c>
      <c r="G229" t="inlineStr">
        <is>
          <t>30% off upto ₹75 (2025-06-25 - 2031-01-01)</t>
        </is>
      </c>
      <c r="H229" t="inlineStr">
        <is>
          <t>ONLINE</t>
        </is>
      </c>
      <c r="I229" t="inlineStr">
        <is>
          <t>DELIVERED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O2</t>
        </is>
      </c>
      <c r="N229" t="inlineStr">
        <is>
          <t>36</t>
        </is>
      </c>
      <c r="O229" t="n">
        <v>229</v>
      </c>
      <c r="P229" t="n">
        <v>3.5</v>
      </c>
      <c r="Q229" t="n">
        <v>0</v>
      </c>
      <c r="R229" t="n">
        <v>68.7</v>
      </c>
      <c r="S229" t="n">
        <v>0</v>
      </c>
      <c r="T229" t="n">
        <v>0</v>
      </c>
      <c r="U229" t="n">
        <v>0</v>
      </c>
      <c r="V229" t="n">
        <v>8.19</v>
      </c>
      <c r="W229" t="n">
        <v>171.99</v>
      </c>
      <c r="X229" t="n">
        <v>163.8</v>
      </c>
      <c r="Y229" t="n">
        <v>19</v>
      </c>
      <c r="Z229" t="n">
        <v>31.12</v>
      </c>
      <c r="AA229" t="n">
        <v>3.16</v>
      </c>
      <c r="AB229" t="n">
        <v>34.28</v>
      </c>
      <c r="AC229" t="n">
        <v>6.17</v>
      </c>
      <c r="AD229" t="n">
        <v>0</v>
      </c>
      <c r="AE229" t="n">
        <v>163.8</v>
      </c>
      <c r="AF229" t="n">
        <v>0</v>
      </c>
      <c r="AG229" t="n">
        <v>0</v>
      </c>
      <c r="AH229" t="n">
        <v>0.16</v>
      </c>
      <c r="AI229" t="n">
        <v>8.199999999999999</v>
      </c>
      <c r="AJ229" t="n">
        <v>-0.01</v>
      </c>
      <c r="AK229" t="n">
        <v>14.53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48.81</v>
      </c>
      <c r="AV229" t="n">
        <v>0</v>
      </c>
      <c r="AW229" t="n">
        <v>123.18</v>
      </c>
      <c r="AX229" t="inlineStr">
        <is>
          <t>settled</t>
        </is>
      </c>
      <c r="AY229" t="inlineStr">
        <is>
          <t>NA</t>
        </is>
      </c>
      <c r="AZ229" t="inlineStr">
        <is>
          <t>NA</t>
        </is>
      </c>
      <c r="BA229" t="n">
        <v>0</v>
      </c>
      <c r="BB229" t="inlineStr">
        <is>
          <t>6ef661147b485b471dc21948281037855425bebf37d7d43374c8e2ec91b623f4</t>
        </is>
      </c>
    </row>
    <row r="230">
      <c r="A230" t="inlineStr">
        <is>
          <t>1260</t>
        </is>
      </c>
      <c r="B230" t="inlineStr">
        <is>
          <t>7623292096</t>
        </is>
      </c>
      <c r="C230" t="inlineStr">
        <is>
          <t>2025-12-27 04:54:33</t>
        </is>
      </c>
      <c r="D230" t="inlineStr">
        <is>
          <t>52</t>
        </is>
      </c>
      <c r="E230" t="inlineStr">
        <is>
          <t>Sha Sha - Shandaar Shawarma</t>
        </is>
      </c>
      <c r="F230" t="inlineStr">
        <is>
          <t>18557902</t>
        </is>
      </c>
      <c r="G230" t="inlineStr">
        <is>
          <t>30% off upto ₹75 (2025-06-25 - 2031-01-01)</t>
        </is>
      </c>
      <c r="H230" t="inlineStr">
        <is>
          <t>ONLINE</t>
        </is>
      </c>
      <c r="I230" t="inlineStr">
        <is>
          <t>DELIVERED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O2</t>
        </is>
      </c>
      <c r="N230" t="inlineStr">
        <is>
          <t>36</t>
        </is>
      </c>
      <c r="O230" t="n">
        <v>518</v>
      </c>
      <c r="P230" t="n">
        <v>3.5</v>
      </c>
      <c r="Q230" t="n">
        <v>0</v>
      </c>
      <c r="R230" t="n">
        <v>75</v>
      </c>
      <c r="S230" t="n">
        <v>0</v>
      </c>
      <c r="T230" t="n">
        <v>0</v>
      </c>
      <c r="U230" t="n">
        <v>0</v>
      </c>
      <c r="V230" t="n">
        <v>22.33</v>
      </c>
      <c r="W230" t="n">
        <v>468.83</v>
      </c>
      <c r="X230" t="n">
        <v>446.5</v>
      </c>
      <c r="Y230" t="n">
        <v>19</v>
      </c>
      <c r="Z230" t="n">
        <v>84.84</v>
      </c>
      <c r="AA230" t="n">
        <v>8.630000000000001</v>
      </c>
      <c r="AB230" t="n">
        <v>93.47</v>
      </c>
      <c r="AC230" t="n">
        <v>16.82</v>
      </c>
      <c r="AD230" t="n">
        <v>0</v>
      </c>
      <c r="AE230" t="n">
        <v>446.5</v>
      </c>
      <c r="AF230" t="n">
        <v>0</v>
      </c>
      <c r="AG230" t="n">
        <v>0</v>
      </c>
      <c r="AH230" t="n">
        <v>0.45</v>
      </c>
      <c r="AI230" t="n">
        <v>22.33</v>
      </c>
      <c r="AJ230" t="n">
        <v>0</v>
      </c>
      <c r="AK230" t="n">
        <v>39.6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133.07</v>
      </c>
      <c r="AV230" t="n">
        <v>0</v>
      </c>
      <c r="AW230" t="n">
        <v>335.76</v>
      </c>
      <c r="AX230" t="inlineStr">
        <is>
          <t>settled</t>
        </is>
      </c>
      <c r="AY230" t="inlineStr">
        <is>
          <t>NA</t>
        </is>
      </c>
      <c r="AZ230" t="inlineStr">
        <is>
          <t>NA</t>
        </is>
      </c>
      <c r="BA230" t="n">
        <v>0</v>
      </c>
      <c r="BB230" t="inlineStr">
        <is>
          <t>a752665733684c0ca5895ba8ac6f6ff4ae804b88ec76f9cd67b7b9e1184a1eac</t>
        </is>
      </c>
    </row>
    <row r="231">
      <c r="A231" t="inlineStr">
        <is>
          <t>1261</t>
        </is>
      </c>
      <c r="B231" t="inlineStr">
        <is>
          <t>7617113102</t>
        </is>
      </c>
      <c r="C231" t="inlineStr">
        <is>
          <t>2025-12-27 12:43:38</t>
        </is>
      </c>
      <c r="D231" t="inlineStr">
        <is>
          <t>52</t>
        </is>
      </c>
      <c r="E231" t="inlineStr">
        <is>
          <t>Sha Sha - Shandaar Shawarma</t>
        </is>
      </c>
      <c r="F231" t="inlineStr">
        <is>
          <t>18557902</t>
        </is>
      </c>
      <c r="G231" t="inlineStr">
        <is>
          <t>30% off upto ₹75 (2025-06-25 - 2031-01-01)</t>
        </is>
      </c>
      <c r="H231" t="inlineStr">
        <is>
          <t>ONLINE</t>
        </is>
      </c>
      <c r="I231" t="inlineStr">
        <is>
          <t>DELIVERED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O2</t>
        </is>
      </c>
      <c r="N231" t="inlineStr">
        <is>
          <t>36</t>
        </is>
      </c>
      <c r="O231" t="n">
        <v>229</v>
      </c>
      <c r="P231" t="n">
        <v>3.5</v>
      </c>
      <c r="Q231" t="n">
        <v>0</v>
      </c>
      <c r="R231" t="n">
        <v>68.7</v>
      </c>
      <c r="S231" t="n">
        <v>0</v>
      </c>
      <c r="T231" t="n">
        <v>0</v>
      </c>
      <c r="U231" t="n">
        <v>0</v>
      </c>
      <c r="V231" t="n">
        <v>8.19</v>
      </c>
      <c r="W231" t="n">
        <v>171.99</v>
      </c>
      <c r="X231" t="n">
        <v>163.8</v>
      </c>
      <c r="Y231" t="n">
        <v>19</v>
      </c>
      <c r="Z231" t="n">
        <v>31.12</v>
      </c>
      <c r="AA231" t="n">
        <v>3.16</v>
      </c>
      <c r="AB231" t="n">
        <v>34.28</v>
      </c>
      <c r="AC231" t="n">
        <v>6.17</v>
      </c>
      <c r="AD231" t="n">
        <v>0</v>
      </c>
      <c r="AE231" t="n">
        <v>163.8</v>
      </c>
      <c r="AF231" t="n">
        <v>0</v>
      </c>
      <c r="AG231" t="n">
        <v>0</v>
      </c>
      <c r="AH231" t="n">
        <v>0.16</v>
      </c>
      <c r="AI231" t="n">
        <v>8.199999999999999</v>
      </c>
      <c r="AJ231" t="n">
        <v>-0.01</v>
      </c>
      <c r="AK231" t="n">
        <v>14.53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48.81</v>
      </c>
      <c r="AV231" t="n">
        <v>0</v>
      </c>
      <c r="AW231" t="n">
        <v>123.18</v>
      </c>
      <c r="AX231" t="inlineStr">
        <is>
          <t>settled</t>
        </is>
      </c>
      <c r="AY231" t="inlineStr">
        <is>
          <t>NA</t>
        </is>
      </c>
      <c r="AZ231" t="inlineStr">
        <is>
          <t>NA</t>
        </is>
      </c>
      <c r="BA231" t="n">
        <v>0</v>
      </c>
      <c r="BB231" t="inlineStr">
        <is>
          <t>c6524ae3f972271b9608a99122d6be7515c6b3ed52837e890e5dbd0679b4412f</t>
        </is>
      </c>
    </row>
    <row r="232">
      <c r="A232" t="inlineStr">
        <is>
          <t>1262</t>
        </is>
      </c>
      <c r="B232" t="inlineStr">
        <is>
          <t>7618309678</t>
        </is>
      </c>
      <c r="C232" t="inlineStr">
        <is>
          <t>2025-12-27 12:53:22</t>
        </is>
      </c>
      <c r="D232" t="inlineStr">
        <is>
          <t>52</t>
        </is>
      </c>
      <c r="E232" t="inlineStr">
        <is>
          <t>Sha Sha - Shandaar Shawarma</t>
        </is>
      </c>
      <c r="F232" t="inlineStr">
        <is>
          <t>18557902</t>
        </is>
      </c>
      <c r="G232" t="inlineStr">
        <is>
          <t>30% off upto ₹75 (2025-06-25 - 2031-01-01)</t>
        </is>
      </c>
      <c r="H232" t="inlineStr">
        <is>
          <t>ONLINE</t>
        </is>
      </c>
      <c r="I232" t="inlineStr">
        <is>
          <t>DELIVERED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O2</t>
        </is>
      </c>
      <c r="N232" t="inlineStr">
        <is>
          <t>36</t>
        </is>
      </c>
      <c r="O232" t="n">
        <v>229</v>
      </c>
      <c r="P232" t="n">
        <v>3.5</v>
      </c>
      <c r="Q232" t="n">
        <v>0</v>
      </c>
      <c r="R232" t="n">
        <v>68.7</v>
      </c>
      <c r="S232" t="n">
        <v>0</v>
      </c>
      <c r="T232" t="n">
        <v>0</v>
      </c>
      <c r="U232" t="n">
        <v>0</v>
      </c>
      <c r="V232" t="n">
        <v>8.19</v>
      </c>
      <c r="W232" t="n">
        <v>171.99</v>
      </c>
      <c r="X232" t="n">
        <v>163.8</v>
      </c>
      <c r="Y232" t="n">
        <v>19</v>
      </c>
      <c r="Z232" t="n">
        <v>31.12</v>
      </c>
      <c r="AA232" t="n">
        <v>3.16</v>
      </c>
      <c r="AB232" t="n">
        <v>34.28</v>
      </c>
      <c r="AC232" t="n">
        <v>6.17</v>
      </c>
      <c r="AD232" t="n">
        <v>0</v>
      </c>
      <c r="AE232" t="n">
        <v>163.8</v>
      </c>
      <c r="AF232" t="n">
        <v>0</v>
      </c>
      <c r="AG232" t="n">
        <v>0</v>
      </c>
      <c r="AH232" t="n">
        <v>0.16</v>
      </c>
      <c r="AI232" t="n">
        <v>8.199999999999999</v>
      </c>
      <c r="AJ232" t="n">
        <v>-0.01</v>
      </c>
      <c r="AK232" t="n">
        <v>14.53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48.81</v>
      </c>
      <c r="AV232" t="n">
        <v>0</v>
      </c>
      <c r="AW232" t="n">
        <v>123.18</v>
      </c>
      <c r="AX232" t="inlineStr">
        <is>
          <t>settled</t>
        </is>
      </c>
      <c r="AY232" t="inlineStr">
        <is>
          <t>NA</t>
        </is>
      </c>
      <c r="AZ232" t="inlineStr">
        <is>
          <t>NA</t>
        </is>
      </c>
      <c r="BA232" t="n">
        <v>0</v>
      </c>
      <c r="BB232" t="inlineStr">
        <is>
          <t>62d4339f3ec634552d557b3855806500f1b81390cc4628f3d2ec683d7da6f67b</t>
        </is>
      </c>
    </row>
    <row r="233">
      <c r="A233" t="inlineStr">
        <is>
          <t>1263</t>
        </is>
      </c>
      <c r="B233" t="inlineStr">
        <is>
          <t>7625650176</t>
        </is>
      </c>
      <c r="C233" t="inlineStr">
        <is>
          <t>2025-12-27 12:54:55</t>
        </is>
      </c>
      <c r="D233" t="inlineStr">
        <is>
          <t>52</t>
        </is>
      </c>
      <c r="E233" t="inlineStr">
        <is>
          <t>Sha Sha - Shandaar Shawarma</t>
        </is>
      </c>
      <c r="F233" t="inlineStr">
        <is>
          <t>18557902</t>
        </is>
      </c>
      <c r="G233" t="inlineStr">
        <is>
          <t>30% off upto ₹75 (2025-06-25 - 2031-01-01)</t>
        </is>
      </c>
      <c r="H233" t="inlineStr">
        <is>
          <t>ONLINE</t>
        </is>
      </c>
      <c r="I233" t="inlineStr">
        <is>
          <t>DELIVERED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O2</t>
        </is>
      </c>
      <c r="N233" t="inlineStr">
        <is>
          <t>36</t>
        </is>
      </c>
      <c r="O233" t="n">
        <v>458</v>
      </c>
      <c r="P233" t="n">
        <v>3.5</v>
      </c>
      <c r="Q233" t="n">
        <v>0</v>
      </c>
      <c r="R233" t="n">
        <v>75</v>
      </c>
      <c r="S233" t="n">
        <v>0</v>
      </c>
      <c r="T233" t="n">
        <v>0</v>
      </c>
      <c r="U233" t="n">
        <v>0</v>
      </c>
      <c r="V233" t="n">
        <v>19.33</v>
      </c>
      <c r="W233" t="n">
        <v>405.83</v>
      </c>
      <c r="X233" t="n">
        <v>386.5</v>
      </c>
      <c r="Y233" t="n">
        <v>19</v>
      </c>
      <c r="Z233" t="n">
        <v>73.44</v>
      </c>
      <c r="AA233" t="n">
        <v>7.47</v>
      </c>
      <c r="AB233" t="n">
        <v>80.91</v>
      </c>
      <c r="AC233" t="n">
        <v>14.56</v>
      </c>
      <c r="AD233" t="n">
        <v>0</v>
      </c>
      <c r="AE233" t="n">
        <v>386.5</v>
      </c>
      <c r="AF233" t="n">
        <v>0</v>
      </c>
      <c r="AG233" t="n">
        <v>0</v>
      </c>
      <c r="AH233" t="n">
        <v>0.39</v>
      </c>
      <c r="AI233" t="n">
        <v>19.33</v>
      </c>
      <c r="AJ233" t="n">
        <v>0</v>
      </c>
      <c r="AK233" t="n">
        <v>34.28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115.19</v>
      </c>
      <c r="AV233" t="n">
        <v>0</v>
      </c>
      <c r="AW233" t="n">
        <v>290.64</v>
      </c>
      <c r="AX233" t="inlineStr">
        <is>
          <t>settled</t>
        </is>
      </c>
      <c r="AY233" t="inlineStr">
        <is>
          <t>NA</t>
        </is>
      </c>
      <c r="AZ233" t="inlineStr">
        <is>
          <t>NA</t>
        </is>
      </c>
      <c r="BA233" t="n">
        <v>0</v>
      </c>
      <c r="BB233" t="inlineStr">
        <is>
          <t>ae3d21cf4ed5313c8a7d30499f8a58b38b7067305711bd6e947859b9c9acab1e</t>
        </is>
      </c>
    </row>
    <row r="234">
      <c r="A234" t="inlineStr">
        <is>
          <t>1264</t>
        </is>
      </c>
      <c r="B234" t="inlineStr">
        <is>
          <t>7620782370</t>
        </is>
      </c>
      <c r="C234" t="inlineStr">
        <is>
          <t>2025-12-27 13:40:10</t>
        </is>
      </c>
      <c r="D234" t="inlineStr">
        <is>
          <t>52</t>
        </is>
      </c>
      <c r="E234" t="inlineStr">
        <is>
          <t>Sha Sha - Shandaar Shawarma</t>
        </is>
      </c>
      <c r="F234" t="inlineStr">
        <is>
          <t>18557902</t>
        </is>
      </c>
      <c r="G234" t="inlineStr">
        <is>
          <t>30% off upto ₹75 (2025-06-25 - 2031-01-01)</t>
        </is>
      </c>
      <c r="H234" t="inlineStr">
        <is>
          <t>ONLINE</t>
        </is>
      </c>
      <c r="I234" t="inlineStr">
        <is>
          <t>DELIVERED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O2</t>
        </is>
      </c>
      <c r="N234" t="inlineStr">
        <is>
          <t>36</t>
        </is>
      </c>
      <c r="O234" t="n">
        <v>219</v>
      </c>
      <c r="P234" t="n">
        <v>3.5</v>
      </c>
      <c r="Q234" t="n">
        <v>0</v>
      </c>
      <c r="R234" t="n">
        <v>65.7</v>
      </c>
      <c r="S234" t="n">
        <v>0</v>
      </c>
      <c r="T234" t="n">
        <v>0</v>
      </c>
      <c r="U234" t="n">
        <v>0</v>
      </c>
      <c r="V234" t="n">
        <v>7.84</v>
      </c>
      <c r="W234" t="n">
        <v>164.64</v>
      </c>
      <c r="X234" t="n">
        <v>156.8</v>
      </c>
      <c r="Y234" t="n">
        <v>19</v>
      </c>
      <c r="Z234" t="n">
        <v>29.79</v>
      </c>
      <c r="AA234" t="n">
        <v>3.03</v>
      </c>
      <c r="AB234" t="n">
        <v>32.82</v>
      </c>
      <c r="AC234" t="n">
        <v>5.91</v>
      </c>
      <c r="AD234" t="n">
        <v>0</v>
      </c>
      <c r="AE234" t="n">
        <v>156.8</v>
      </c>
      <c r="AF234" t="n">
        <v>0</v>
      </c>
      <c r="AG234" t="n">
        <v>0</v>
      </c>
      <c r="AH234" t="n">
        <v>0.16</v>
      </c>
      <c r="AI234" t="n">
        <v>7.85</v>
      </c>
      <c r="AJ234" t="n">
        <v>-0.01</v>
      </c>
      <c r="AK234" t="n">
        <v>13.92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46.74</v>
      </c>
      <c r="AV234" t="n">
        <v>0</v>
      </c>
      <c r="AW234" t="n">
        <v>117.9</v>
      </c>
      <c r="AX234" t="inlineStr">
        <is>
          <t>settled</t>
        </is>
      </c>
      <c r="AY234" t="inlineStr">
        <is>
          <t>NA</t>
        </is>
      </c>
      <c r="AZ234" t="inlineStr">
        <is>
          <t>NA</t>
        </is>
      </c>
      <c r="BA234" t="n">
        <v>0</v>
      </c>
      <c r="BB234" t="inlineStr">
        <is>
          <t>c3739dbf106f7c5e5490c51e645acc38c2eeca002f6bb3840fa0d7b14f341f03</t>
        </is>
      </c>
    </row>
    <row r="235">
      <c r="A235" t="inlineStr">
        <is>
          <t>1265</t>
        </is>
      </c>
      <c r="B235" t="inlineStr">
        <is>
          <t>7624621770</t>
        </is>
      </c>
      <c r="C235" t="inlineStr">
        <is>
          <t>2025-12-27 13:58:24</t>
        </is>
      </c>
      <c r="D235" t="inlineStr">
        <is>
          <t>52</t>
        </is>
      </c>
      <c r="E235" t="inlineStr">
        <is>
          <t>Sha Sha - Shandaar Shawarma</t>
        </is>
      </c>
      <c r="F235" t="inlineStr">
        <is>
          <t>18557902</t>
        </is>
      </c>
      <c r="G235" t="inlineStr">
        <is>
          <t>30% off upto ₹75 (2025-06-25 - 2031-01-01)</t>
        </is>
      </c>
      <c r="H235" t="inlineStr">
        <is>
          <t>ONLINE</t>
        </is>
      </c>
      <c r="I235" t="inlineStr">
        <is>
          <t>DELIVERED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O2</t>
        </is>
      </c>
      <c r="N235" t="inlineStr">
        <is>
          <t>36</t>
        </is>
      </c>
      <c r="O235" t="n">
        <v>229</v>
      </c>
      <c r="P235" t="n">
        <v>3.5</v>
      </c>
      <c r="Q235" t="n">
        <v>0</v>
      </c>
      <c r="R235" t="n">
        <v>68.7</v>
      </c>
      <c r="S235" t="n">
        <v>0</v>
      </c>
      <c r="T235" t="n">
        <v>0</v>
      </c>
      <c r="U235" t="n">
        <v>0</v>
      </c>
      <c r="V235" t="n">
        <v>8.19</v>
      </c>
      <c r="W235" t="n">
        <v>171.99</v>
      </c>
      <c r="X235" t="n">
        <v>163.8</v>
      </c>
      <c r="Y235" t="n">
        <v>19</v>
      </c>
      <c r="Z235" t="n">
        <v>31.12</v>
      </c>
      <c r="AA235" t="n">
        <v>3.16</v>
      </c>
      <c r="AB235" t="n">
        <v>34.28</v>
      </c>
      <c r="AC235" t="n">
        <v>6.17</v>
      </c>
      <c r="AD235" t="n">
        <v>0</v>
      </c>
      <c r="AE235" t="n">
        <v>163.8</v>
      </c>
      <c r="AF235" t="n">
        <v>0</v>
      </c>
      <c r="AG235" t="n">
        <v>0</v>
      </c>
      <c r="AH235" t="n">
        <v>0.16</v>
      </c>
      <c r="AI235" t="n">
        <v>8.199999999999999</v>
      </c>
      <c r="AJ235" t="n">
        <v>-0.01</v>
      </c>
      <c r="AK235" t="n">
        <v>14.53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48.81</v>
      </c>
      <c r="AV235" t="n">
        <v>0</v>
      </c>
      <c r="AW235" t="n">
        <v>123.18</v>
      </c>
      <c r="AX235" t="inlineStr">
        <is>
          <t>settled</t>
        </is>
      </c>
      <c r="AY235" t="inlineStr">
        <is>
          <t>NA</t>
        </is>
      </c>
      <c r="AZ235" t="inlineStr">
        <is>
          <t>NA</t>
        </is>
      </c>
      <c r="BA235" t="n">
        <v>0</v>
      </c>
      <c r="BB235" t="inlineStr">
        <is>
          <t>b275ac6eb7c232521ff62cbe72e1dd3c0c47f9259c34ce8da663534e16ddf972</t>
        </is>
      </c>
    </row>
    <row r="236">
      <c r="A236" t="inlineStr">
        <is>
          <t>1266</t>
        </is>
      </c>
      <c r="B236" t="inlineStr">
        <is>
          <t>7624124138</t>
        </is>
      </c>
      <c r="C236" t="inlineStr">
        <is>
          <t>2025-12-27 14:11:44</t>
        </is>
      </c>
      <c r="D236" t="inlineStr">
        <is>
          <t>52</t>
        </is>
      </c>
      <c r="E236" t="inlineStr">
        <is>
          <t>Sha Sha - Shandaar Shawarma</t>
        </is>
      </c>
      <c r="F236" t="inlineStr">
        <is>
          <t>18557902</t>
        </is>
      </c>
      <c r="G236" t="inlineStr">
        <is>
          <t>30% off upto ₹75 (2025-06-25 - 2031-01-01)</t>
        </is>
      </c>
      <c r="H236" t="inlineStr">
        <is>
          <t>ONLINE</t>
        </is>
      </c>
      <c r="I236" t="inlineStr">
        <is>
          <t>DELIVERED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O2</t>
        </is>
      </c>
      <c r="N236" t="inlineStr">
        <is>
          <t>36</t>
        </is>
      </c>
      <c r="O236" t="n">
        <v>229</v>
      </c>
      <c r="P236" t="n">
        <v>3.5</v>
      </c>
      <c r="Q236" t="n">
        <v>0</v>
      </c>
      <c r="R236" t="n">
        <v>68.7</v>
      </c>
      <c r="S236" t="n">
        <v>0</v>
      </c>
      <c r="T236" t="n">
        <v>0</v>
      </c>
      <c r="U236" t="n">
        <v>0</v>
      </c>
      <c r="V236" t="n">
        <v>8.19</v>
      </c>
      <c r="W236" t="n">
        <v>171.99</v>
      </c>
      <c r="X236" t="n">
        <v>163.8</v>
      </c>
      <c r="Y236" t="n">
        <v>19</v>
      </c>
      <c r="Z236" t="n">
        <v>31.12</v>
      </c>
      <c r="AA236" t="n">
        <v>3.16</v>
      </c>
      <c r="AB236" t="n">
        <v>34.28</v>
      </c>
      <c r="AC236" t="n">
        <v>6.17</v>
      </c>
      <c r="AD236" t="n">
        <v>0</v>
      </c>
      <c r="AE236" t="n">
        <v>163.8</v>
      </c>
      <c r="AF236" t="n">
        <v>0</v>
      </c>
      <c r="AG236" t="n">
        <v>0</v>
      </c>
      <c r="AH236" t="n">
        <v>0.16</v>
      </c>
      <c r="AI236" t="n">
        <v>8.199999999999999</v>
      </c>
      <c r="AJ236" t="n">
        <v>-0.01</v>
      </c>
      <c r="AK236" t="n">
        <v>14.53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48.81</v>
      </c>
      <c r="AV236" t="n">
        <v>0</v>
      </c>
      <c r="AW236" t="n">
        <v>123.18</v>
      </c>
      <c r="AX236" t="inlineStr">
        <is>
          <t>settled</t>
        </is>
      </c>
      <c r="AY236" t="inlineStr">
        <is>
          <t>NA</t>
        </is>
      </c>
      <c r="AZ236" t="inlineStr">
        <is>
          <t>NA</t>
        </is>
      </c>
      <c r="BA236" t="n">
        <v>0</v>
      </c>
      <c r="BB236" t="inlineStr">
        <is>
          <t>911de08225c84d5ef5c96d63fdf01a71d69fe964f6fb1a538e2d99c13cb6439c</t>
        </is>
      </c>
    </row>
    <row r="237">
      <c r="A237" t="inlineStr">
        <is>
          <t>1267</t>
        </is>
      </c>
      <c r="B237" t="inlineStr">
        <is>
          <t>7625370691</t>
        </is>
      </c>
      <c r="C237" t="inlineStr">
        <is>
          <t>2025-12-27 14:14:40</t>
        </is>
      </c>
      <c r="D237" t="inlineStr">
        <is>
          <t>52</t>
        </is>
      </c>
      <c r="E237" t="inlineStr">
        <is>
          <t>Sha Sha - Shandaar Shawarma</t>
        </is>
      </c>
      <c r="F237" t="inlineStr">
        <is>
          <t>18557902</t>
        </is>
      </c>
      <c r="G237" t="inlineStr">
        <is>
          <t>30% off upto ₹75 (2025-06-25 - 2031-01-01)</t>
        </is>
      </c>
      <c r="H237" t="inlineStr">
        <is>
          <t>ONLINE</t>
        </is>
      </c>
      <c r="I237" t="inlineStr">
        <is>
          <t>DELIVERED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O2</t>
        </is>
      </c>
      <c r="N237" t="inlineStr">
        <is>
          <t>36</t>
        </is>
      </c>
      <c r="O237" t="n">
        <v>355</v>
      </c>
      <c r="P237" t="n">
        <v>3.5</v>
      </c>
      <c r="Q237" t="n">
        <v>0</v>
      </c>
      <c r="R237" t="n">
        <v>75</v>
      </c>
      <c r="S237" t="n">
        <v>0</v>
      </c>
      <c r="T237" t="n">
        <v>0</v>
      </c>
      <c r="U237" t="n">
        <v>0</v>
      </c>
      <c r="V237" t="n">
        <v>14.18</v>
      </c>
      <c r="W237" t="n">
        <v>297.68</v>
      </c>
      <c r="X237" t="n">
        <v>283.5</v>
      </c>
      <c r="Y237" t="n">
        <v>19</v>
      </c>
      <c r="Z237" t="n">
        <v>53.86</v>
      </c>
      <c r="AA237" t="n">
        <v>5.48</v>
      </c>
      <c r="AB237" t="n">
        <v>59.34</v>
      </c>
      <c r="AC237" t="n">
        <v>10.68</v>
      </c>
      <c r="AD237" t="n">
        <v>0</v>
      </c>
      <c r="AE237" t="n">
        <v>283.5</v>
      </c>
      <c r="AF237" t="n">
        <v>0</v>
      </c>
      <c r="AG237" t="n">
        <v>0</v>
      </c>
      <c r="AH237" t="n">
        <v>0.28</v>
      </c>
      <c r="AI237" t="n">
        <v>14.18</v>
      </c>
      <c r="AJ237" t="n">
        <v>0</v>
      </c>
      <c r="AK237" t="n">
        <v>25.14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84.48</v>
      </c>
      <c r="AV237" t="n">
        <v>0</v>
      </c>
      <c r="AW237" t="n">
        <v>213.2</v>
      </c>
      <c r="AX237" t="inlineStr">
        <is>
          <t>settled</t>
        </is>
      </c>
      <c r="AY237" t="inlineStr">
        <is>
          <t>NA</t>
        </is>
      </c>
      <c r="AZ237" t="inlineStr">
        <is>
          <t>NA</t>
        </is>
      </c>
      <c r="BA237" t="n">
        <v>0</v>
      </c>
      <c r="BB237" t="inlineStr">
        <is>
          <t>e543f273cc15f38f915fd9342eb4514eb73c46431cad16ad1bcc2f08deb34962</t>
        </is>
      </c>
    </row>
    <row r="238">
      <c r="A238" t="inlineStr">
        <is>
          <t>1268</t>
        </is>
      </c>
      <c r="B238" t="inlineStr">
        <is>
          <t>7622889405</t>
        </is>
      </c>
      <c r="C238" t="inlineStr">
        <is>
          <t>2025-12-27 14:37:31</t>
        </is>
      </c>
      <c r="D238" t="inlineStr">
        <is>
          <t>52</t>
        </is>
      </c>
      <c r="E238" t="inlineStr">
        <is>
          <t>Sha Sha - Shandaar Shawarma</t>
        </is>
      </c>
      <c r="F238" t="inlineStr">
        <is>
          <t>18557902</t>
        </is>
      </c>
      <c r="G238" t="inlineStr">
        <is>
          <t>30% off upto ₹75 (2025-06-25 - 2031-01-01)</t>
        </is>
      </c>
      <c r="H238" t="inlineStr">
        <is>
          <t>ONLINE</t>
        </is>
      </c>
      <c r="I238" t="inlineStr">
        <is>
          <t>DELIVERED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O2</t>
        </is>
      </c>
      <c r="N238" t="inlineStr">
        <is>
          <t>36</t>
        </is>
      </c>
      <c r="O238" t="n">
        <v>219</v>
      </c>
      <c r="P238" t="n">
        <v>3.5</v>
      </c>
      <c r="Q238" t="n">
        <v>0</v>
      </c>
      <c r="R238" t="n">
        <v>65.7</v>
      </c>
      <c r="S238" t="n">
        <v>0</v>
      </c>
      <c r="T238" t="n">
        <v>0</v>
      </c>
      <c r="U238" t="n">
        <v>0</v>
      </c>
      <c r="V238" t="n">
        <v>7.84</v>
      </c>
      <c r="W238" t="n">
        <v>164.64</v>
      </c>
      <c r="X238" t="n">
        <v>156.8</v>
      </c>
      <c r="Y238" t="n">
        <v>19</v>
      </c>
      <c r="Z238" t="n">
        <v>29.79</v>
      </c>
      <c r="AA238" t="n">
        <v>3.03</v>
      </c>
      <c r="AB238" t="n">
        <v>32.82</v>
      </c>
      <c r="AC238" t="n">
        <v>5.91</v>
      </c>
      <c r="AD238" t="n">
        <v>0</v>
      </c>
      <c r="AE238" t="n">
        <v>156.8</v>
      </c>
      <c r="AF238" t="n">
        <v>0</v>
      </c>
      <c r="AG238" t="n">
        <v>0</v>
      </c>
      <c r="AH238" t="n">
        <v>0.16</v>
      </c>
      <c r="AI238" t="n">
        <v>7.85</v>
      </c>
      <c r="AJ238" t="n">
        <v>-0.01</v>
      </c>
      <c r="AK238" t="n">
        <v>13.92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46.74</v>
      </c>
      <c r="AV238" t="n">
        <v>0</v>
      </c>
      <c r="AW238" t="n">
        <v>117.9</v>
      </c>
      <c r="AX238" t="inlineStr">
        <is>
          <t>settled</t>
        </is>
      </c>
      <c r="AY238" t="inlineStr">
        <is>
          <t>NA</t>
        </is>
      </c>
      <c r="AZ238" t="inlineStr">
        <is>
          <t>NA</t>
        </is>
      </c>
      <c r="BA238" t="n">
        <v>0</v>
      </c>
      <c r="BB238" t="inlineStr">
        <is>
          <t>90408f5c603c98737b9713287317c93fd10e655f702b82f6800784bc17592d5f</t>
        </is>
      </c>
    </row>
    <row r="239">
      <c r="A239" t="inlineStr">
        <is>
          <t>1269</t>
        </is>
      </c>
      <c r="B239" t="inlineStr">
        <is>
          <t>7609813352</t>
        </is>
      </c>
      <c r="C239" t="inlineStr">
        <is>
          <t>2025-12-27 14:57:45</t>
        </is>
      </c>
      <c r="D239" t="inlineStr">
        <is>
          <t>52</t>
        </is>
      </c>
      <c r="E239" t="inlineStr">
        <is>
          <t>Sha Sha - Shandaar Shawarma</t>
        </is>
      </c>
      <c r="F239" t="inlineStr">
        <is>
          <t>18557902</t>
        </is>
      </c>
      <c r="G239" t="inlineStr">
        <is>
          <t>30% off upto ₹75 (2025-06-25 - 2031-01-01)</t>
        </is>
      </c>
      <c r="H239" t="inlineStr">
        <is>
          <t>ONLINE</t>
        </is>
      </c>
      <c r="I239" t="inlineStr">
        <is>
          <t>DELIVERED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O2</t>
        </is>
      </c>
      <c r="N239" t="inlineStr">
        <is>
          <t>36</t>
        </is>
      </c>
      <c r="O239" t="n">
        <v>219</v>
      </c>
      <c r="P239" t="n">
        <v>3.5</v>
      </c>
      <c r="Q239" t="n">
        <v>0</v>
      </c>
      <c r="R239" t="n">
        <v>65.7</v>
      </c>
      <c r="S239" t="n">
        <v>0</v>
      </c>
      <c r="T239" t="n">
        <v>0</v>
      </c>
      <c r="U239" t="n">
        <v>0</v>
      </c>
      <c r="V239" t="n">
        <v>7.84</v>
      </c>
      <c r="W239" t="n">
        <v>164.64</v>
      </c>
      <c r="X239" t="n">
        <v>156.8</v>
      </c>
      <c r="Y239" t="n">
        <v>19</v>
      </c>
      <c r="Z239" t="n">
        <v>29.79</v>
      </c>
      <c r="AA239" t="n">
        <v>3.03</v>
      </c>
      <c r="AB239" t="n">
        <v>32.82</v>
      </c>
      <c r="AC239" t="n">
        <v>5.91</v>
      </c>
      <c r="AD239" t="n">
        <v>0</v>
      </c>
      <c r="AE239" t="n">
        <v>156.8</v>
      </c>
      <c r="AF239" t="n">
        <v>0</v>
      </c>
      <c r="AG239" t="n">
        <v>0</v>
      </c>
      <c r="AH239" t="n">
        <v>0.16</v>
      </c>
      <c r="AI239" t="n">
        <v>7.85</v>
      </c>
      <c r="AJ239" t="n">
        <v>-0.01</v>
      </c>
      <c r="AK239" t="n">
        <v>13.92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46.74</v>
      </c>
      <c r="AV239" t="n">
        <v>0</v>
      </c>
      <c r="AW239" t="n">
        <v>117.9</v>
      </c>
      <c r="AX239" t="inlineStr">
        <is>
          <t>settled</t>
        </is>
      </c>
      <c r="AY239" t="inlineStr">
        <is>
          <t>NA</t>
        </is>
      </c>
      <c r="AZ239" t="inlineStr">
        <is>
          <t>NA</t>
        </is>
      </c>
      <c r="BA239" t="n">
        <v>0</v>
      </c>
      <c r="BB239" t="inlineStr">
        <is>
          <t>5cef89cd8427a9c1d59a310fb018f8d004816f36003ded1704ed7fcfda5999eb</t>
        </is>
      </c>
    </row>
    <row r="240">
      <c r="A240" t="inlineStr">
        <is>
          <t>1270</t>
        </is>
      </c>
      <c r="B240" t="inlineStr">
        <is>
          <t>7626216192</t>
        </is>
      </c>
      <c r="C240" t="inlineStr">
        <is>
          <t>2025-12-27 15:55:21</t>
        </is>
      </c>
      <c r="D240" t="inlineStr">
        <is>
          <t>52</t>
        </is>
      </c>
      <c r="E240" t="inlineStr">
        <is>
          <t>Sha Sha - Shandaar Shawarma</t>
        </is>
      </c>
      <c r="F240" t="inlineStr">
        <is>
          <t>18557902</t>
        </is>
      </c>
      <c r="G240" t="inlineStr">
        <is>
          <t>30% off upto ₹75 (2025-06-25 - 2031-01-01)</t>
        </is>
      </c>
      <c r="H240" t="inlineStr">
        <is>
          <t>ONLINE</t>
        </is>
      </c>
      <c r="I240" t="inlineStr">
        <is>
          <t>DELIVERED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O2</t>
        </is>
      </c>
      <c r="N240" t="inlineStr">
        <is>
          <t>36</t>
        </is>
      </c>
      <c r="O240" t="n">
        <v>229</v>
      </c>
      <c r="P240" t="n">
        <v>3.5</v>
      </c>
      <c r="Q240" t="n">
        <v>0</v>
      </c>
      <c r="R240" t="n">
        <v>68.7</v>
      </c>
      <c r="S240" t="n">
        <v>0</v>
      </c>
      <c r="T240" t="n">
        <v>0</v>
      </c>
      <c r="U240" t="n">
        <v>0</v>
      </c>
      <c r="V240" t="n">
        <v>8.19</v>
      </c>
      <c r="W240" t="n">
        <v>171.99</v>
      </c>
      <c r="X240" t="n">
        <v>163.8</v>
      </c>
      <c r="Y240" t="n">
        <v>19</v>
      </c>
      <c r="Z240" t="n">
        <v>31.12</v>
      </c>
      <c r="AA240" t="n">
        <v>3.16</v>
      </c>
      <c r="AB240" t="n">
        <v>34.28</v>
      </c>
      <c r="AC240" t="n">
        <v>6.17</v>
      </c>
      <c r="AD240" t="n">
        <v>0</v>
      </c>
      <c r="AE240" t="n">
        <v>163.8</v>
      </c>
      <c r="AF240" t="n">
        <v>0</v>
      </c>
      <c r="AG240" t="n">
        <v>0</v>
      </c>
      <c r="AH240" t="n">
        <v>0.16</v>
      </c>
      <c r="AI240" t="n">
        <v>8.199999999999999</v>
      </c>
      <c r="AJ240" t="n">
        <v>-0.01</v>
      </c>
      <c r="AK240" t="n">
        <v>14.53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48.81</v>
      </c>
      <c r="AV240" t="n">
        <v>0</v>
      </c>
      <c r="AW240" t="n">
        <v>123.18</v>
      </c>
      <c r="AX240" t="inlineStr">
        <is>
          <t>settled</t>
        </is>
      </c>
      <c r="AY240" t="inlineStr">
        <is>
          <t>NA</t>
        </is>
      </c>
      <c r="AZ240" t="inlineStr">
        <is>
          <t>NA</t>
        </is>
      </c>
      <c r="BA240" t="n">
        <v>0</v>
      </c>
      <c r="BB240" t="inlineStr">
        <is>
          <t>8fb9f88fccbde56a53a48e066f638f798bc54056961bfd3e71adfce22d4f29e3</t>
        </is>
      </c>
    </row>
    <row r="241">
      <c r="A241" t="inlineStr">
        <is>
          <t>1271</t>
        </is>
      </c>
      <c r="B241" t="inlineStr">
        <is>
          <t>7626450711</t>
        </is>
      </c>
      <c r="C241" t="inlineStr">
        <is>
          <t>2025-12-27 17:07:17</t>
        </is>
      </c>
      <c r="D241" t="inlineStr">
        <is>
          <t>52</t>
        </is>
      </c>
      <c r="E241" t="inlineStr">
        <is>
          <t>Sha Sha - Shandaar Shawarma</t>
        </is>
      </c>
      <c r="F241" t="inlineStr">
        <is>
          <t>18557902</t>
        </is>
      </c>
      <c r="G241" t="inlineStr">
        <is>
          <t>30% off upto ₹75 (2025-06-25 - 2031-01-01)</t>
        </is>
      </c>
      <c r="H241" t="inlineStr">
        <is>
          <t>ONLINE</t>
        </is>
      </c>
      <c r="I241" t="inlineStr">
        <is>
          <t>DELIVERED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O2</t>
        </is>
      </c>
      <c r="N241" t="inlineStr">
        <is>
          <t>36</t>
        </is>
      </c>
      <c r="O241" t="n">
        <v>229</v>
      </c>
      <c r="P241" t="n">
        <v>3.5</v>
      </c>
      <c r="Q241" t="n">
        <v>0</v>
      </c>
      <c r="R241" t="n">
        <v>68.7</v>
      </c>
      <c r="S241" t="n">
        <v>0</v>
      </c>
      <c r="T241" t="n">
        <v>0</v>
      </c>
      <c r="U241" t="n">
        <v>0</v>
      </c>
      <c r="V241" t="n">
        <v>8.19</v>
      </c>
      <c r="W241" t="n">
        <v>171.99</v>
      </c>
      <c r="X241" t="n">
        <v>163.8</v>
      </c>
      <c r="Y241" t="n">
        <v>19</v>
      </c>
      <c r="Z241" t="n">
        <v>31.12</v>
      </c>
      <c r="AA241" t="n">
        <v>3.16</v>
      </c>
      <c r="AB241" t="n">
        <v>34.28</v>
      </c>
      <c r="AC241" t="n">
        <v>6.17</v>
      </c>
      <c r="AD241" t="n">
        <v>0</v>
      </c>
      <c r="AE241" t="n">
        <v>163.8</v>
      </c>
      <c r="AF241" t="n">
        <v>0</v>
      </c>
      <c r="AG241" t="n">
        <v>0</v>
      </c>
      <c r="AH241" t="n">
        <v>0.16</v>
      </c>
      <c r="AI241" t="n">
        <v>8.199999999999999</v>
      </c>
      <c r="AJ241" t="n">
        <v>-0.01</v>
      </c>
      <c r="AK241" t="n">
        <v>14.53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48.81</v>
      </c>
      <c r="AV241" t="n">
        <v>0</v>
      </c>
      <c r="AW241" t="n">
        <v>123.18</v>
      </c>
      <c r="AX241" t="inlineStr">
        <is>
          <t>settled</t>
        </is>
      </c>
      <c r="AY241" t="inlineStr">
        <is>
          <t>NA</t>
        </is>
      </c>
      <c r="AZ241" t="inlineStr">
        <is>
          <t>NA</t>
        </is>
      </c>
      <c r="BA241" t="n">
        <v>0</v>
      </c>
      <c r="BB241" t="inlineStr">
        <is>
          <t>8a08d07c3c07227d351ba9766af040ff16b2ca0ba3c2aa5b1c633551ef256c7f</t>
        </is>
      </c>
    </row>
    <row r="242">
      <c r="A242" t="inlineStr">
        <is>
          <t>1272</t>
        </is>
      </c>
      <c r="B242" t="inlineStr">
        <is>
          <t>7620322219</t>
        </is>
      </c>
      <c r="C242" t="inlineStr">
        <is>
          <t>2025-12-27 18:29:28</t>
        </is>
      </c>
      <c r="D242" t="inlineStr">
        <is>
          <t>52</t>
        </is>
      </c>
      <c r="E242" t="inlineStr">
        <is>
          <t>Sha Sha - Shandaar Shawarma</t>
        </is>
      </c>
      <c r="F242" t="inlineStr">
        <is>
          <t>18557902</t>
        </is>
      </c>
      <c r="G242" t="inlineStr">
        <is>
          <t>30% off upto ₹75 (2025-06-25 - 2031-01-01)</t>
        </is>
      </c>
      <c r="H242" t="inlineStr">
        <is>
          <t>ONLINE</t>
        </is>
      </c>
      <c r="I242" t="inlineStr">
        <is>
          <t>DELIVERED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O2</t>
        </is>
      </c>
      <c r="N242" t="inlineStr">
        <is>
          <t>36</t>
        </is>
      </c>
      <c r="O242" t="n">
        <v>219</v>
      </c>
      <c r="P242" t="n">
        <v>3.5</v>
      </c>
      <c r="Q242" t="n">
        <v>0</v>
      </c>
      <c r="R242" t="n">
        <v>65.7</v>
      </c>
      <c r="S242" t="n">
        <v>0</v>
      </c>
      <c r="T242" t="n">
        <v>0</v>
      </c>
      <c r="U242" t="n">
        <v>0</v>
      </c>
      <c r="V242" t="n">
        <v>7.84</v>
      </c>
      <c r="W242" t="n">
        <v>164.64</v>
      </c>
      <c r="X242" t="n">
        <v>156.8</v>
      </c>
      <c r="Y242" t="n">
        <v>19</v>
      </c>
      <c r="Z242" t="n">
        <v>29.79</v>
      </c>
      <c r="AA242" t="n">
        <v>3.03</v>
      </c>
      <c r="AB242" t="n">
        <v>32.82</v>
      </c>
      <c r="AC242" t="n">
        <v>5.91</v>
      </c>
      <c r="AD242" t="n">
        <v>0</v>
      </c>
      <c r="AE242" t="n">
        <v>156.8</v>
      </c>
      <c r="AF242" t="n">
        <v>0</v>
      </c>
      <c r="AG242" t="n">
        <v>0</v>
      </c>
      <c r="AH242" t="n">
        <v>0.16</v>
      </c>
      <c r="AI242" t="n">
        <v>7.85</v>
      </c>
      <c r="AJ242" t="n">
        <v>-0.01</v>
      </c>
      <c r="AK242" t="n">
        <v>13.92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46.74</v>
      </c>
      <c r="AV242" t="n">
        <v>0</v>
      </c>
      <c r="AW242" t="n">
        <v>117.9</v>
      </c>
      <c r="AX242" t="inlineStr">
        <is>
          <t>settled</t>
        </is>
      </c>
      <c r="AY242" t="inlineStr">
        <is>
          <t>NA</t>
        </is>
      </c>
      <c r="AZ242" t="inlineStr">
        <is>
          <t>NA</t>
        </is>
      </c>
      <c r="BA242" t="n">
        <v>0</v>
      </c>
      <c r="BB242" t="inlineStr">
        <is>
          <t>fee6a56481ed476b73e9d368d49d00aa9eadee309c1be8a21d303f9ba9e0ba26</t>
        </is>
      </c>
    </row>
    <row r="243">
      <c r="A243" t="inlineStr">
        <is>
          <t>1273</t>
        </is>
      </c>
      <c r="B243" t="inlineStr">
        <is>
          <t>7624051274</t>
        </is>
      </c>
      <c r="C243" t="inlineStr">
        <is>
          <t>2025-12-27 18:48:52</t>
        </is>
      </c>
      <c r="D243" t="inlineStr">
        <is>
          <t>52</t>
        </is>
      </c>
      <c r="E243" t="inlineStr">
        <is>
          <t>Sha Sha - Shandaar Shawarma</t>
        </is>
      </c>
      <c r="F243" t="inlineStr">
        <is>
          <t>18557902</t>
        </is>
      </c>
      <c r="G243" t="inlineStr">
        <is>
          <t>30% off upto ₹75 (2025-06-25 - 2031-01-01)</t>
        </is>
      </c>
      <c r="H243" t="inlineStr">
        <is>
          <t>ONLINE</t>
        </is>
      </c>
      <c r="I243" t="inlineStr">
        <is>
          <t>DELIVERED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O2</t>
        </is>
      </c>
      <c r="N243" t="inlineStr">
        <is>
          <t>36</t>
        </is>
      </c>
      <c r="O243" t="n">
        <v>229</v>
      </c>
      <c r="P243" t="n">
        <v>3.5</v>
      </c>
      <c r="Q243" t="n">
        <v>0</v>
      </c>
      <c r="R243" t="n">
        <v>68.7</v>
      </c>
      <c r="S243" t="n">
        <v>0</v>
      </c>
      <c r="T243" t="n">
        <v>0</v>
      </c>
      <c r="U243" t="n">
        <v>0</v>
      </c>
      <c r="V243" t="n">
        <v>8.19</v>
      </c>
      <c r="W243" t="n">
        <v>171.99</v>
      </c>
      <c r="X243" t="n">
        <v>163.8</v>
      </c>
      <c r="Y243" t="n">
        <v>19</v>
      </c>
      <c r="Z243" t="n">
        <v>31.12</v>
      </c>
      <c r="AA243" t="n">
        <v>3.16</v>
      </c>
      <c r="AB243" t="n">
        <v>34.28</v>
      </c>
      <c r="AC243" t="n">
        <v>6.17</v>
      </c>
      <c r="AD243" t="n">
        <v>0</v>
      </c>
      <c r="AE243" t="n">
        <v>163.8</v>
      </c>
      <c r="AF243" t="n">
        <v>0</v>
      </c>
      <c r="AG243" t="n">
        <v>0</v>
      </c>
      <c r="AH243" t="n">
        <v>0.16</v>
      </c>
      <c r="AI243" t="n">
        <v>8.199999999999999</v>
      </c>
      <c r="AJ243" t="n">
        <v>-0.01</v>
      </c>
      <c r="AK243" t="n">
        <v>14.53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48.81</v>
      </c>
      <c r="AV243" t="n">
        <v>0</v>
      </c>
      <c r="AW243" t="n">
        <v>123.18</v>
      </c>
      <c r="AX243" t="inlineStr">
        <is>
          <t>settled</t>
        </is>
      </c>
      <c r="AY243" t="inlineStr">
        <is>
          <t>NA</t>
        </is>
      </c>
      <c r="AZ243" t="inlineStr">
        <is>
          <t>NA</t>
        </is>
      </c>
      <c r="BA243" t="n">
        <v>0</v>
      </c>
      <c r="BB243" t="inlineStr">
        <is>
          <t>c4dfa36a0c349a65477cb5ab33fdb1fb403814b083c0d45d0994a070f9827bde</t>
        </is>
      </c>
    </row>
    <row r="244">
      <c r="A244" t="inlineStr">
        <is>
          <t>1274</t>
        </is>
      </c>
      <c r="B244" t="inlineStr">
        <is>
          <t>7626750966</t>
        </is>
      </c>
      <c r="C244" t="inlineStr">
        <is>
          <t>2025-12-27 19:06:21</t>
        </is>
      </c>
      <c r="D244" t="inlineStr">
        <is>
          <t>52</t>
        </is>
      </c>
      <c r="E244" t="inlineStr">
        <is>
          <t>Sha Sha - Shandaar Shawarma</t>
        </is>
      </c>
      <c r="F244" t="inlineStr">
        <is>
          <t>18557902</t>
        </is>
      </c>
      <c r="G244" t="inlineStr">
        <is>
          <t>30% off upto ₹75 (2025-06-25 - 2031-01-01)</t>
        </is>
      </c>
      <c r="H244" t="inlineStr">
        <is>
          <t>ONLINE</t>
        </is>
      </c>
      <c r="I244" t="inlineStr">
        <is>
          <t>DELIVERED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O2</t>
        </is>
      </c>
      <c r="N244" t="inlineStr">
        <is>
          <t>36</t>
        </is>
      </c>
      <c r="O244" t="n">
        <v>219</v>
      </c>
      <c r="P244" t="n">
        <v>3.5</v>
      </c>
      <c r="Q244" t="n">
        <v>0</v>
      </c>
      <c r="R244" t="n">
        <v>65.7</v>
      </c>
      <c r="S244" t="n">
        <v>0</v>
      </c>
      <c r="T244" t="n">
        <v>0</v>
      </c>
      <c r="U244" t="n">
        <v>0</v>
      </c>
      <c r="V244" t="n">
        <v>7.84</v>
      </c>
      <c r="W244" t="n">
        <v>164.64</v>
      </c>
      <c r="X244" t="n">
        <v>156.8</v>
      </c>
      <c r="Y244" t="n">
        <v>19</v>
      </c>
      <c r="Z244" t="n">
        <v>29.79</v>
      </c>
      <c r="AA244" t="n">
        <v>3.03</v>
      </c>
      <c r="AB244" t="n">
        <v>32.82</v>
      </c>
      <c r="AC244" t="n">
        <v>5.91</v>
      </c>
      <c r="AD244" t="n">
        <v>0</v>
      </c>
      <c r="AE244" t="n">
        <v>156.8</v>
      </c>
      <c r="AF244" t="n">
        <v>0</v>
      </c>
      <c r="AG244" t="n">
        <v>0</v>
      </c>
      <c r="AH244" t="n">
        <v>0.16</v>
      </c>
      <c r="AI244" t="n">
        <v>7.85</v>
      </c>
      <c r="AJ244" t="n">
        <v>-0.01</v>
      </c>
      <c r="AK244" t="n">
        <v>13.92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46.74</v>
      </c>
      <c r="AV244" t="n">
        <v>0</v>
      </c>
      <c r="AW244" t="n">
        <v>117.9</v>
      </c>
      <c r="AX244" t="inlineStr">
        <is>
          <t>settled</t>
        </is>
      </c>
      <c r="AY244" t="inlineStr">
        <is>
          <t>NA</t>
        </is>
      </c>
      <c r="AZ244" t="inlineStr">
        <is>
          <t>NA</t>
        </is>
      </c>
      <c r="BA244" t="n">
        <v>0</v>
      </c>
      <c r="BB244" t="inlineStr">
        <is>
          <t>0d91eec9977dc94f778b2a31515c085c4baa40b2e508f464c1727f88ebfda690</t>
        </is>
      </c>
    </row>
    <row r="245">
      <c r="A245" t="inlineStr">
        <is>
          <t>1275</t>
        </is>
      </c>
      <c r="B245" t="inlineStr">
        <is>
          <t>7627259498</t>
        </is>
      </c>
      <c r="C245" t="inlineStr">
        <is>
          <t>2025-12-27 19:32:16</t>
        </is>
      </c>
      <c r="D245" t="inlineStr">
        <is>
          <t>52</t>
        </is>
      </c>
      <c r="E245" t="inlineStr">
        <is>
          <t>Sha Sha - Shandaar Shawarma</t>
        </is>
      </c>
      <c r="F245" t="inlineStr">
        <is>
          <t>18557902</t>
        </is>
      </c>
      <c r="G245" t="inlineStr">
        <is>
          <t>30% off upto ₹75 (2025-06-25 - 2031-01-01)</t>
        </is>
      </c>
      <c r="H245" t="inlineStr">
        <is>
          <t>ONLINE</t>
        </is>
      </c>
      <c r="I245" t="inlineStr">
        <is>
          <t>DELIVERED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O2</t>
        </is>
      </c>
      <c r="N245" t="inlineStr">
        <is>
          <t>36</t>
        </is>
      </c>
      <c r="O245" t="n">
        <v>229</v>
      </c>
      <c r="P245" t="n">
        <v>3.5</v>
      </c>
      <c r="Q245" t="n">
        <v>0</v>
      </c>
      <c r="R245" t="n">
        <v>68.7</v>
      </c>
      <c r="S245" t="n">
        <v>0</v>
      </c>
      <c r="T245" t="n">
        <v>0</v>
      </c>
      <c r="U245" t="n">
        <v>0</v>
      </c>
      <c r="V245" t="n">
        <v>8.19</v>
      </c>
      <c r="W245" t="n">
        <v>171.99</v>
      </c>
      <c r="X245" t="n">
        <v>163.8</v>
      </c>
      <c r="Y245" t="n">
        <v>19</v>
      </c>
      <c r="Z245" t="n">
        <v>31.12</v>
      </c>
      <c r="AA245" t="n">
        <v>3.16</v>
      </c>
      <c r="AB245" t="n">
        <v>34.28</v>
      </c>
      <c r="AC245" t="n">
        <v>6.17</v>
      </c>
      <c r="AD245" t="n">
        <v>0</v>
      </c>
      <c r="AE245" t="n">
        <v>163.8</v>
      </c>
      <c r="AF245" t="n">
        <v>0</v>
      </c>
      <c r="AG245" t="n">
        <v>0</v>
      </c>
      <c r="AH245" t="n">
        <v>0.16</v>
      </c>
      <c r="AI245" t="n">
        <v>8.199999999999999</v>
      </c>
      <c r="AJ245" t="n">
        <v>-0.01</v>
      </c>
      <c r="AK245" t="n">
        <v>14.53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48.81</v>
      </c>
      <c r="AV245" t="n">
        <v>0</v>
      </c>
      <c r="AW245" t="n">
        <v>123.18</v>
      </c>
      <c r="AX245" t="inlineStr">
        <is>
          <t>settled</t>
        </is>
      </c>
      <c r="AY245" t="inlineStr">
        <is>
          <t>NA</t>
        </is>
      </c>
      <c r="AZ245" t="inlineStr">
        <is>
          <t>NA</t>
        </is>
      </c>
      <c r="BA245" t="n">
        <v>0</v>
      </c>
      <c r="BB245" t="inlineStr">
        <is>
          <t>c12223d9c2a978f7c7e29d72857db3749984b14be192549e222c0f662ffc3d85</t>
        </is>
      </c>
    </row>
    <row r="246">
      <c r="A246" t="inlineStr">
        <is>
          <t>1276</t>
        </is>
      </c>
      <c r="B246" t="inlineStr">
        <is>
          <t>7621442361</t>
        </is>
      </c>
      <c r="C246" t="inlineStr">
        <is>
          <t>2025-12-27 20:06:22</t>
        </is>
      </c>
      <c r="D246" t="inlineStr">
        <is>
          <t>52</t>
        </is>
      </c>
      <c r="E246" t="inlineStr">
        <is>
          <t>Sha Sha - Shandaar Shawarma</t>
        </is>
      </c>
      <c r="F246" t="inlineStr">
        <is>
          <t>18557902</t>
        </is>
      </c>
      <c r="G246" t="inlineStr">
        <is>
          <t>NA</t>
        </is>
      </c>
      <c r="H246" t="inlineStr">
        <is>
          <t>ONLINE</t>
        </is>
      </c>
      <c r="I246" t="inlineStr">
        <is>
          <t>DELIVERED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O2</t>
        </is>
      </c>
      <c r="N246" t="inlineStr">
        <is>
          <t>36</t>
        </is>
      </c>
      <c r="O246" t="n">
        <v>229</v>
      </c>
      <c r="P246" t="n">
        <v>3.5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11.63</v>
      </c>
      <c r="W246" t="n">
        <v>244.13</v>
      </c>
      <c r="X246" t="n">
        <v>232.5</v>
      </c>
      <c r="Y246" t="n">
        <v>19</v>
      </c>
      <c r="Z246" t="n">
        <v>44.18</v>
      </c>
      <c r="AA246" t="n">
        <v>4.49</v>
      </c>
      <c r="AB246" t="n">
        <v>48.67</v>
      </c>
      <c r="AC246" t="n">
        <v>8.76</v>
      </c>
      <c r="AD246" t="n">
        <v>0</v>
      </c>
      <c r="AE246" t="n">
        <v>232.5</v>
      </c>
      <c r="AF246" t="n">
        <v>0</v>
      </c>
      <c r="AG246" t="n">
        <v>0</v>
      </c>
      <c r="AH246" t="n">
        <v>0.23</v>
      </c>
      <c r="AI246" t="n">
        <v>11.63</v>
      </c>
      <c r="AJ246" t="n">
        <v>0</v>
      </c>
      <c r="AK246" t="n">
        <v>20.62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69.29000000000001</v>
      </c>
      <c r="AV246" t="n">
        <v>0</v>
      </c>
      <c r="AW246" t="n">
        <v>174.84</v>
      </c>
      <c r="AX246" t="inlineStr">
        <is>
          <t>settled</t>
        </is>
      </c>
      <c r="AY246" t="inlineStr">
        <is>
          <t>NA</t>
        </is>
      </c>
      <c r="AZ246" t="inlineStr">
        <is>
          <t>NA</t>
        </is>
      </c>
      <c r="BA246" t="n">
        <v>0</v>
      </c>
      <c r="BB246" t="inlineStr">
        <is>
          <t>e5eb0bf7818c03d406dfa402f06134518c1bd79cec5b5a858751bfb919ab49a9</t>
        </is>
      </c>
    </row>
    <row r="247">
      <c r="A247" t="inlineStr">
        <is>
          <t>1277</t>
        </is>
      </c>
      <c r="B247" t="inlineStr">
        <is>
          <t>7625524796</t>
        </is>
      </c>
      <c r="C247" t="inlineStr">
        <is>
          <t>2025-12-27 20:09:30</t>
        </is>
      </c>
      <c r="D247" t="inlineStr">
        <is>
          <t>52</t>
        </is>
      </c>
      <c r="E247" t="inlineStr">
        <is>
          <t>Sha Sha - Shandaar Shawarma</t>
        </is>
      </c>
      <c r="F247" t="inlineStr">
        <is>
          <t>18557902</t>
        </is>
      </c>
      <c r="G247" t="inlineStr">
        <is>
          <t>30% off upto ₹75 (2025-06-25 - 2031-01-01)</t>
        </is>
      </c>
      <c r="H247" t="inlineStr">
        <is>
          <t>ONLINE</t>
        </is>
      </c>
      <c r="I247" t="inlineStr">
        <is>
          <t>DELIVERED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O2</t>
        </is>
      </c>
      <c r="N247" t="inlineStr">
        <is>
          <t>36</t>
        </is>
      </c>
      <c r="O247" t="n">
        <v>355</v>
      </c>
      <c r="P247" t="n">
        <v>3.5</v>
      </c>
      <c r="Q247" t="n">
        <v>0</v>
      </c>
      <c r="R247" t="n">
        <v>75</v>
      </c>
      <c r="S247" t="n">
        <v>0</v>
      </c>
      <c r="T247" t="n">
        <v>0</v>
      </c>
      <c r="U247" t="n">
        <v>0</v>
      </c>
      <c r="V247" t="n">
        <v>14.18</v>
      </c>
      <c r="W247" t="n">
        <v>297.68</v>
      </c>
      <c r="X247" t="n">
        <v>283.5</v>
      </c>
      <c r="Y247" t="n">
        <v>19</v>
      </c>
      <c r="Z247" t="n">
        <v>53.86</v>
      </c>
      <c r="AA247" t="n">
        <v>5.48</v>
      </c>
      <c r="AB247" t="n">
        <v>59.34</v>
      </c>
      <c r="AC247" t="n">
        <v>10.68</v>
      </c>
      <c r="AD247" t="n">
        <v>0</v>
      </c>
      <c r="AE247" t="n">
        <v>283.5</v>
      </c>
      <c r="AF247" t="n">
        <v>0</v>
      </c>
      <c r="AG247" t="n">
        <v>0</v>
      </c>
      <c r="AH247" t="n">
        <v>0.28</v>
      </c>
      <c r="AI247" t="n">
        <v>14.18</v>
      </c>
      <c r="AJ247" t="n">
        <v>0</v>
      </c>
      <c r="AK247" t="n">
        <v>25.14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84.48</v>
      </c>
      <c r="AV247" t="n">
        <v>0</v>
      </c>
      <c r="AW247" t="n">
        <v>213.2</v>
      </c>
      <c r="AX247" t="inlineStr">
        <is>
          <t>settled</t>
        </is>
      </c>
      <c r="AY247" t="inlineStr">
        <is>
          <t>NA</t>
        </is>
      </c>
      <c r="AZ247" t="inlineStr">
        <is>
          <t>NA</t>
        </is>
      </c>
      <c r="BA247" t="n">
        <v>0</v>
      </c>
      <c r="BB247" t="inlineStr">
        <is>
          <t>27013204338c48ca6cdc4934326aeca7d3ade11e2d786aacdab53bcf8b40237f</t>
        </is>
      </c>
    </row>
    <row r="248">
      <c r="A248" t="inlineStr">
        <is>
          <t>1278</t>
        </is>
      </c>
      <c r="B248" t="inlineStr">
        <is>
          <t>7623250016</t>
        </is>
      </c>
      <c r="C248" t="inlineStr">
        <is>
          <t>2025-12-27 20:15:58</t>
        </is>
      </c>
      <c r="D248" t="inlineStr">
        <is>
          <t>52</t>
        </is>
      </c>
      <c r="E248" t="inlineStr">
        <is>
          <t>Sha Sha - Shandaar Shawarma</t>
        </is>
      </c>
      <c r="F248" t="inlineStr">
        <is>
          <t>18557902</t>
        </is>
      </c>
      <c r="G248" t="inlineStr">
        <is>
          <t>NA</t>
        </is>
      </c>
      <c r="H248" t="inlineStr">
        <is>
          <t>ONLINE</t>
        </is>
      </c>
      <c r="I248" t="inlineStr">
        <is>
          <t>DELIVERED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O2</t>
        </is>
      </c>
      <c r="N248" t="inlineStr">
        <is>
          <t>36</t>
        </is>
      </c>
      <c r="O248" t="n">
        <v>229</v>
      </c>
      <c r="P248" t="n">
        <v>3.5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11.63</v>
      </c>
      <c r="W248" t="n">
        <v>244.13</v>
      </c>
      <c r="X248" t="n">
        <v>232.5</v>
      </c>
      <c r="Y248" t="n">
        <v>19</v>
      </c>
      <c r="Z248" t="n">
        <v>44.18</v>
      </c>
      <c r="AA248" t="n">
        <v>4.49</v>
      </c>
      <c r="AB248" t="n">
        <v>48.67</v>
      </c>
      <c r="AC248" t="n">
        <v>8.76</v>
      </c>
      <c r="AD248" t="n">
        <v>0</v>
      </c>
      <c r="AE248" t="n">
        <v>232.5</v>
      </c>
      <c r="AF248" t="n">
        <v>0</v>
      </c>
      <c r="AG248" t="n">
        <v>0</v>
      </c>
      <c r="AH248" t="n">
        <v>0.23</v>
      </c>
      <c r="AI248" t="n">
        <v>11.63</v>
      </c>
      <c r="AJ248" t="n">
        <v>0</v>
      </c>
      <c r="AK248" t="n">
        <v>20.62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69.29000000000001</v>
      </c>
      <c r="AV248" t="n">
        <v>0</v>
      </c>
      <c r="AW248" t="n">
        <v>174.84</v>
      </c>
      <c r="AX248" t="inlineStr">
        <is>
          <t>settled</t>
        </is>
      </c>
      <c r="AY248" t="inlineStr">
        <is>
          <t>NA</t>
        </is>
      </c>
      <c r="AZ248" t="inlineStr">
        <is>
          <t>NA</t>
        </is>
      </c>
      <c r="BA248" t="n">
        <v>0</v>
      </c>
      <c r="BB248" t="inlineStr">
        <is>
          <t>a4946a1d21e5177a2cdfcc5766b555a6a5c7106f1b8b97ea0d3927e47b813e8d</t>
        </is>
      </c>
    </row>
    <row r="249">
      <c r="A249" t="inlineStr">
        <is>
          <t>1279</t>
        </is>
      </c>
      <c r="B249" t="inlineStr">
        <is>
          <t>7619614627</t>
        </is>
      </c>
      <c r="C249" t="inlineStr">
        <is>
          <t>2025-12-27 20:32:04</t>
        </is>
      </c>
      <c r="D249" t="inlineStr">
        <is>
          <t>52</t>
        </is>
      </c>
      <c r="E249" t="inlineStr">
        <is>
          <t>Sha Sha - Shandaar Shawarma</t>
        </is>
      </c>
      <c r="F249" t="inlineStr">
        <is>
          <t>18557902</t>
        </is>
      </c>
      <c r="G249" t="inlineStr">
        <is>
          <t>NA</t>
        </is>
      </c>
      <c r="H249" t="inlineStr">
        <is>
          <t>ONLINE</t>
        </is>
      </c>
      <c r="I249" t="inlineStr">
        <is>
          <t>DELIVERED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O2</t>
        </is>
      </c>
      <c r="N249" t="inlineStr">
        <is>
          <t>36</t>
        </is>
      </c>
      <c r="O249" t="n">
        <v>229</v>
      </c>
      <c r="P249" t="n">
        <v>3.5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11.63</v>
      </c>
      <c r="W249" t="n">
        <v>244.13</v>
      </c>
      <c r="X249" t="n">
        <v>232.5</v>
      </c>
      <c r="Y249" t="n">
        <v>19</v>
      </c>
      <c r="Z249" t="n">
        <v>44.18</v>
      </c>
      <c r="AA249" t="n">
        <v>4.49</v>
      </c>
      <c r="AB249" t="n">
        <v>48.67</v>
      </c>
      <c r="AC249" t="n">
        <v>8.76</v>
      </c>
      <c r="AD249" t="n">
        <v>0</v>
      </c>
      <c r="AE249" t="n">
        <v>232.5</v>
      </c>
      <c r="AF249" t="n">
        <v>0</v>
      </c>
      <c r="AG249" t="n">
        <v>0</v>
      </c>
      <c r="AH249" t="n">
        <v>0.23</v>
      </c>
      <c r="AI249" t="n">
        <v>11.63</v>
      </c>
      <c r="AJ249" t="n">
        <v>0</v>
      </c>
      <c r="AK249" t="n">
        <v>20.62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69.29000000000001</v>
      </c>
      <c r="AV249" t="n">
        <v>0</v>
      </c>
      <c r="AW249" t="n">
        <v>174.84</v>
      </c>
      <c r="AX249" t="inlineStr">
        <is>
          <t>settled</t>
        </is>
      </c>
      <c r="AY249" t="inlineStr">
        <is>
          <t>NA</t>
        </is>
      </c>
      <c r="AZ249" t="inlineStr">
        <is>
          <t>NA</t>
        </is>
      </c>
      <c r="BA249" t="n">
        <v>0</v>
      </c>
      <c r="BB249" t="inlineStr">
        <is>
          <t>0ec2b7735fc64139cf021795dba2225b14e297440137bf72b1ff1013ab72d70d</t>
        </is>
      </c>
    </row>
    <row r="250">
      <c r="A250" t="inlineStr">
        <is>
          <t>1280</t>
        </is>
      </c>
      <c r="B250" t="inlineStr">
        <is>
          <t>7626695501</t>
        </is>
      </c>
      <c r="C250" t="inlineStr">
        <is>
          <t>2025-12-27 20:51:33</t>
        </is>
      </c>
      <c r="D250" t="inlineStr">
        <is>
          <t>52</t>
        </is>
      </c>
      <c r="E250" t="inlineStr">
        <is>
          <t>Sha Sha - Shandaar Shawarma</t>
        </is>
      </c>
      <c r="F250" t="inlineStr">
        <is>
          <t>18557902</t>
        </is>
      </c>
      <c r="G250" t="inlineStr">
        <is>
          <t>30% off upto ₹75 (2025-06-25 - 2031-01-01)</t>
        </is>
      </c>
      <c r="H250" t="inlineStr">
        <is>
          <t>ONLINE</t>
        </is>
      </c>
      <c r="I250" t="inlineStr">
        <is>
          <t>DELIVERED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O2</t>
        </is>
      </c>
      <c r="N250" t="inlineStr">
        <is>
          <t>36</t>
        </is>
      </c>
      <c r="O250" t="n">
        <v>229</v>
      </c>
      <c r="P250" t="n">
        <v>3.5</v>
      </c>
      <c r="Q250" t="n">
        <v>0</v>
      </c>
      <c r="R250" t="n">
        <v>68.7</v>
      </c>
      <c r="S250" t="n">
        <v>0</v>
      </c>
      <c r="T250" t="n">
        <v>0</v>
      </c>
      <c r="U250" t="n">
        <v>0</v>
      </c>
      <c r="V250" t="n">
        <v>8.19</v>
      </c>
      <c r="W250" t="n">
        <v>171.99</v>
      </c>
      <c r="X250" t="n">
        <v>163.8</v>
      </c>
      <c r="Y250" t="n">
        <v>19</v>
      </c>
      <c r="Z250" t="n">
        <v>31.12</v>
      </c>
      <c r="AA250" t="n">
        <v>3.16</v>
      </c>
      <c r="AB250" t="n">
        <v>34.28</v>
      </c>
      <c r="AC250" t="n">
        <v>6.17</v>
      </c>
      <c r="AD250" t="n">
        <v>0</v>
      </c>
      <c r="AE250" t="n">
        <v>163.8</v>
      </c>
      <c r="AF250" t="n">
        <v>0</v>
      </c>
      <c r="AG250" t="n">
        <v>0</v>
      </c>
      <c r="AH250" t="n">
        <v>0.16</v>
      </c>
      <c r="AI250" t="n">
        <v>8.199999999999999</v>
      </c>
      <c r="AJ250" t="n">
        <v>-0.01</v>
      </c>
      <c r="AK250" t="n">
        <v>14.53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48.81</v>
      </c>
      <c r="AV250" t="n">
        <v>0</v>
      </c>
      <c r="AW250" t="n">
        <v>123.18</v>
      </c>
      <c r="AX250" t="inlineStr">
        <is>
          <t>settled</t>
        </is>
      </c>
      <c r="AY250" t="inlineStr">
        <is>
          <t>NA</t>
        </is>
      </c>
      <c r="AZ250" t="inlineStr">
        <is>
          <t>NA</t>
        </is>
      </c>
      <c r="BA250" t="n">
        <v>0</v>
      </c>
      <c r="BB250" t="inlineStr">
        <is>
          <t>226c2a10b70680e9154a97fe00d3f16ba56e0db0c36d0e8d18c2cdf3d07652cd</t>
        </is>
      </c>
    </row>
    <row r="251">
      <c r="A251" t="inlineStr">
        <is>
          <t>1281</t>
        </is>
      </c>
      <c r="B251" t="inlineStr">
        <is>
          <t>7624127965</t>
        </is>
      </c>
      <c r="C251" t="inlineStr">
        <is>
          <t>2025-12-27 20:54:36</t>
        </is>
      </c>
      <c r="D251" t="inlineStr">
        <is>
          <t>52</t>
        </is>
      </c>
      <c r="E251" t="inlineStr">
        <is>
          <t>Sha Sha - Shandaar Shawarma</t>
        </is>
      </c>
      <c r="F251" t="inlineStr">
        <is>
          <t>18557902</t>
        </is>
      </c>
      <c r="G251" t="inlineStr">
        <is>
          <t>NA</t>
        </is>
      </c>
      <c r="H251" t="inlineStr">
        <is>
          <t>ONLINE</t>
        </is>
      </c>
      <c r="I251" t="inlineStr">
        <is>
          <t>DELIVERED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O2</t>
        </is>
      </c>
      <c r="N251" t="inlineStr">
        <is>
          <t>36</t>
        </is>
      </c>
      <c r="O251" t="n">
        <v>229</v>
      </c>
      <c r="P251" t="n">
        <v>3.5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11.63</v>
      </c>
      <c r="W251" t="n">
        <v>244.13</v>
      </c>
      <c r="X251" t="n">
        <v>232.5</v>
      </c>
      <c r="Y251" t="n">
        <v>19</v>
      </c>
      <c r="Z251" t="n">
        <v>44.18</v>
      </c>
      <c r="AA251" t="n">
        <v>4.49</v>
      </c>
      <c r="AB251" t="n">
        <v>48.67</v>
      </c>
      <c r="AC251" t="n">
        <v>8.76</v>
      </c>
      <c r="AD251" t="n">
        <v>0</v>
      </c>
      <c r="AE251" t="n">
        <v>232.5</v>
      </c>
      <c r="AF251" t="n">
        <v>0</v>
      </c>
      <c r="AG251" t="n">
        <v>0</v>
      </c>
      <c r="AH251" t="n">
        <v>0.23</v>
      </c>
      <c r="AI251" t="n">
        <v>11.63</v>
      </c>
      <c r="AJ251" t="n">
        <v>0</v>
      </c>
      <c r="AK251" t="n">
        <v>20.62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69.29000000000001</v>
      </c>
      <c r="AV251" t="n">
        <v>0</v>
      </c>
      <c r="AW251" t="n">
        <v>174.84</v>
      </c>
      <c r="AX251" t="inlineStr">
        <is>
          <t>settled</t>
        </is>
      </c>
      <c r="AY251" t="inlineStr">
        <is>
          <t>NA</t>
        </is>
      </c>
      <c r="AZ251" t="inlineStr">
        <is>
          <t>NA</t>
        </is>
      </c>
      <c r="BA251" t="n">
        <v>0</v>
      </c>
      <c r="BB251" t="inlineStr">
        <is>
          <t>78a9ddcbf65c8cebef4fd2d96b07cd2071a7056bc61edc61551afba64e7a0c31</t>
        </is>
      </c>
    </row>
    <row r="252">
      <c r="A252" t="inlineStr">
        <is>
          <t>1282</t>
        </is>
      </c>
      <c r="B252" t="inlineStr">
        <is>
          <t>7618835128</t>
        </is>
      </c>
      <c r="C252" t="inlineStr">
        <is>
          <t>2025-12-27 21:05:04</t>
        </is>
      </c>
      <c r="D252" t="inlineStr">
        <is>
          <t>52</t>
        </is>
      </c>
      <c r="E252" t="inlineStr">
        <is>
          <t>Sha Sha - Shandaar Shawarma</t>
        </is>
      </c>
      <c r="F252" t="inlineStr">
        <is>
          <t>18557902</t>
        </is>
      </c>
      <c r="G252" t="inlineStr">
        <is>
          <t>30% off upto ₹75 (2025-06-25 - 2031-01-01)</t>
        </is>
      </c>
      <c r="H252" t="inlineStr">
        <is>
          <t>ONLINE</t>
        </is>
      </c>
      <c r="I252" t="inlineStr">
        <is>
          <t>DELIVERED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O2</t>
        </is>
      </c>
      <c r="N252" t="inlineStr">
        <is>
          <t>36</t>
        </is>
      </c>
      <c r="O252" t="n">
        <v>219</v>
      </c>
      <c r="P252" t="n">
        <v>3.5</v>
      </c>
      <c r="Q252" t="n">
        <v>0</v>
      </c>
      <c r="R252" t="n">
        <v>65.7</v>
      </c>
      <c r="S252" t="n">
        <v>0</v>
      </c>
      <c r="T252" t="n">
        <v>0</v>
      </c>
      <c r="U252" t="n">
        <v>0</v>
      </c>
      <c r="V252" t="n">
        <v>7.84</v>
      </c>
      <c r="W252" t="n">
        <v>164.64</v>
      </c>
      <c r="X252" t="n">
        <v>156.8</v>
      </c>
      <c r="Y252" t="n">
        <v>19</v>
      </c>
      <c r="Z252" t="n">
        <v>29.79</v>
      </c>
      <c r="AA252" t="n">
        <v>3.03</v>
      </c>
      <c r="AB252" t="n">
        <v>32.82</v>
      </c>
      <c r="AC252" t="n">
        <v>5.91</v>
      </c>
      <c r="AD252" t="n">
        <v>0</v>
      </c>
      <c r="AE252" t="n">
        <v>156.8</v>
      </c>
      <c r="AF252" t="n">
        <v>0</v>
      </c>
      <c r="AG252" t="n">
        <v>0</v>
      </c>
      <c r="AH252" t="n">
        <v>0.16</v>
      </c>
      <c r="AI252" t="n">
        <v>7.85</v>
      </c>
      <c r="AJ252" t="n">
        <v>-0.01</v>
      </c>
      <c r="AK252" t="n">
        <v>13.92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46.74</v>
      </c>
      <c r="AV252" t="n">
        <v>0</v>
      </c>
      <c r="AW252" t="n">
        <v>117.9</v>
      </c>
      <c r="AX252" t="inlineStr">
        <is>
          <t>settled</t>
        </is>
      </c>
      <c r="AY252" t="inlineStr">
        <is>
          <t>NA</t>
        </is>
      </c>
      <c r="AZ252" t="inlineStr">
        <is>
          <t>NA</t>
        </is>
      </c>
      <c r="BA252" t="n">
        <v>0</v>
      </c>
      <c r="BB252" t="inlineStr">
        <is>
          <t>d58b8cf51cbe38a0d3e0aed4bd8a7f9eb8ea13b75cda88ce563e58840fe83e17</t>
        </is>
      </c>
    </row>
    <row r="253">
      <c r="A253" t="inlineStr">
        <is>
          <t>1283</t>
        </is>
      </c>
      <c r="B253" t="inlineStr">
        <is>
          <t>7624455978</t>
        </is>
      </c>
      <c r="C253" t="inlineStr">
        <is>
          <t>2025-12-27 21:12:49</t>
        </is>
      </c>
      <c r="D253" t="inlineStr">
        <is>
          <t>52</t>
        </is>
      </c>
      <c r="E253" t="inlineStr">
        <is>
          <t>Sha Sha - Shandaar Shawarma</t>
        </is>
      </c>
      <c r="F253" t="inlineStr">
        <is>
          <t>18557902</t>
        </is>
      </c>
      <c r="G253" t="inlineStr">
        <is>
          <t>30% off upto ₹75 (2025-06-25 - 2031-01-01)</t>
        </is>
      </c>
      <c r="H253" t="inlineStr">
        <is>
          <t>ONLINE</t>
        </is>
      </c>
      <c r="I253" t="inlineStr">
        <is>
          <t>DELIVERED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O2</t>
        </is>
      </c>
      <c r="N253" t="inlineStr">
        <is>
          <t>36</t>
        </is>
      </c>
      <c r="O253" t="n">
        <v>229</v>
      </c>
      <c r="P253" t="n">
        <v>3.5</v>
      </c>
      <c r="Q253" t="n">
        <v>0</v>
      </c>
      <c r="R253" t="n">
        <v>68.7</v>
      </c>
      <c r="S253" t="n">
        <v>0</v>
      </c>
      <c r="T253" t="n">
        <v>0</v>
      </c>
      <c r="U253" t="n">
        <v>0</v>
      </c>
      <c r="V253" t="n">
        <v>8.19</v>
      </c>
      <c r="W253" t="n">
        <v>171.99</v>
      </c>
      <c r="X253" t="n">
        <v>163.8</v>
      </c>
      <c r="Y253" t="n">
        <v>19</v>
      </c>
      <c r="Z253" t="n">
        <v>31.12</v>
      </c>
      <c r="AA253" t="n">
        <v>3.16</v>
      </c>
      <c r="AB253" t="n">
        <v>34.28</v>
      </c>
      <c r="AC253" t="n">
        <v>6.17</v>
      </c>
      <c r="AD253" t="n">
        <v>0</v>
      </c>
      <c r="AE253" t="n">
        <v>163.8</v>
      </c>
      <c r="AF253" t="n">
        <v>0</v>
      </c>
      <c r="AG253" t="n">
        <v>0</v>
      </c>
      <c r="AH253" t="n">
        <v>0.16</v>
      </c>
      <c r="AI253" t="n">
        <v>8.199999999999999</v>
      </c>
      <c r="AJ253" t="n">
        <v>-0.01</v>
      </c>
      <c r="AK253" t="n">
        <v>14.53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48.81</v>
      </c>
      <c r="AV253" t="n">
        <v>0</v>
      </c>
      <c r="AW253" t="n">
        <v>123.18</v>
      </c>
      <c r="AX253" t="inlineStr">
        <is>
          <t>settled</t>
        </is>
      </c>
      <c r="AY253" t="inlineStr">
        <is>
          <t>NA</t>
        </is>
      </c>
      <c r="AZ253" t="inlineStr">
        <is>
          <t>NA</t>
        </is>
      </c>
      <c r="BA253" t="n">
        <v>0</v>
      </c>
      <c r="BB253" t="inlineStr">
        <is>
          <t>f0d564ece0ece027e66264a170a68e1bbff6e8cfa2adab70346f8267cf43ba49</t>
        </is>
      </c>
    </row>
    <row r="254">
      <c r="A254" t="inlineStr">
        <is>
          <t>1284</t>
        </is>
      </c>
      <c r="B254" t="inlineStr">
        <is>
          <t>7626652845</t>
        </is>
      </c>
      <c r="C254" t="inlineStr">
        <is>
          <t>2025-12-27 21:40:24</t>
        </is>
      </c>
      <c r="D254" t="inlineStr">
        <is>
          <t>52</t>
        </is>
      </c>
      <c r="E254" t="inlineStr">
        <is>
          <t>Sha Sha - Shandaar Shawarma</t>
        </is>
      </c>
      <c r="F254" t="inlineStr">
        <is>
          <t>18557902</t>
        </is>
      </c>
      <c r="G254" t="inlineStr">
        <is>
          <t>30% off upto ₹75 (2025-06-25 - 2031-01-01)</t>
        </is>
      </c>
      <c r="H254" t="inlineStr">
        <is>
          <t>ONLINE</t>
        </is>
      </c>
      <c r="I254" t="inlineStr">
        <is>
          <t>DELIVERED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O2</t>
        </is>
      </c>
      <c r="N254" t="inlineStr">
        <is>
          <t>36</t>
        </is>
      </c>
      <c r="O254" t="n">
        <v>345</v>
      </c>
      <c r="P254" t="n">
        <v>3.5</v>
      </c>
      <c r="Q254" t="n">
        <v>0</v>
      </c>
      <c r="R254" t="n">
        <v>75</v>
      </c>
      <c r="S254" t="n">
        <v>0</v>
      </c>
      <c r="T254" t="n">
        <v>0</v>
      </c>
      <c r="U254" t="n">
        <v>0</v>
      </c>
      <c r="V254" t="n">
        <v>13.68</v>
      </c>
      <c r="W254" t="n">
        <v>287.18</v>
      </c>
      <c r="X254" t="n">
        <v>273.5</v>
      </c>
      <c r="Y254" t="n">
        <v>19</v>
      </c>
      <c r="Z254" t="n">
        <v>51.96</v>
      </c>
      <c r="AA254" t="n">
        <v>5.28</v>
      </c>
      <c r="AB254" t="n">
        <v>57.24</v>
      </c>
      <c r="AC254" t="n">
        <v>10.3</v>
      </c>
      <c r="AD254" t="n">
        <v>0</v>
      </c>
      <c r="AE254" t="n">
        <v>273.5</v>
      </c>
      <c r="AF254" t="n">
        <v>0</v>
      </c>
      <c r="AG254" t="n">
        <v>0</v>
      </c>
      <c r="AH254" t="n">
        <v>0.27</v>
      </c>
      <c r="AI254" t="n">
        <v>13.68</v>
      </c>
      <c r="AJ254" t="n">
        <v>0</v>
      </c>
      <c r="AK254" t="n">
        <v>24.25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81.48999999999999</v>
      </c>
      <c r="AV254" t="n">
        <v>0</v>
      </c>
      <c r="AW254" t="n">
        <v>205.69</v>
      </c>
      <c r="AX254" t="inlineStr">
        <is>
          <t>settled</t>
        </is>
      </c>
      <c r="AY254" t="inlineStr">
        <is>
          <t>NA</t>
        </is>
      </c>
      <c r="AZ254" t="inlineStr">
        <is>
          <t>NA</t>
        </is>
      </c>
      <c r="BA254" t="n">
        <v>0</v>
      </c>
      <c r="BB254" t="inlineStr">
        <is>
          <t>2e15fdb153832adb1c5f385320b22df40e0de8478eaf4603529aee27454b6da1</t>
        </is>
      </c>
    </row>
    <row r="255">
      <c r="A255" t="inlineStr">
        <is>
          <t>1285</t>
        </is>
      </c>
      <c r="B255" t="inlineStr">
        <is>
          <t>7624811671</t>
        </is>
      </c>
      <c r="C255" t="inlineStr">
        <is>
          <t>2025-12-27 21:52:27</t>
        </is>
      </c>
      <c r="D255" t="inlineStr">
        <is>
          <t>52</t>
        </is>
      </c>
      <c r="E255" t="inlineStr">
        <is>
          <t>Sha Sha - Shandaar Shawarma</t>
        </is>
      </c>
      <c r="F255" t="inlineStr">
        <is>
          <t>18557902</t>
        </is>
      </c>
      <c r="G255" t="inlineStr">
        <is>
          <t>30% off upto ₹75 (2025-06-25 - 2031-01-01)</t>
        </is>
      </c>
      <c r="H255" t="inlineStr">
        <is>
          <t>ONLINE</t>
        </is>
      </c>
      <c r="I255" t="inlineStr">
        <is>
          <t>DELIVERED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O2</t>
        </is>
      </c>
      <c r="N255" t="inlineStr">
        <is>
          <t>36</t>
        </is>
      </c>
      <c r="O255" t="n">
        <v>219</v>
      </c>
      <c r="P255" t="n">
        <v>3.5</v>
      </c>
      <c r="Q255" t="n">
        <v>0</v>
      </c>
      <c r="R255" t="n">
        <v>65.7</v>
      </c>
      <c r="S255" t="n">
        <v>0</v>
      </c>
      <c r="T255" t="n">
        <v>0</v>
      </c>
      <c r="U255" t="n">
        <v>0</v>
      </c>
      <c r="V255" t="n">
        <v>7.84</v>
      </c>
      <c r="W255" t="n">
        <v>164.64</v>
      </c>
      <c r="X255" t="n">
        <v>156.8</v>
      </c>
      <c r="Y255" t="n">
        <v>19</v>
      </c>
      <c r="Z255" t="n">
        <v>29.79</v>
      </c>
      <c r="AA255" t="n">
        <v>3.03</v>
      </c>
      <c r="AB255" t="n">
        <v>32.82</v>
      </c>
      <c r="AC255" t="n">
        <v>5.91</v>
      </c>
      <c r="AD255" t="n">
        <v>0</v>
      </c>
      <c r="AE255" t="n">
        <v>156.8</v>
      </c>
      <c r="AF255" t="n">
        <v>0</v>
      </c>
      <c r="AG255" t="n">
        <v>0</v>
      </c>
      <c r="AH255" t="n">
        <v>0.16</v>
      </c>
      <c r="AI255" t="n">
        <v>7.85</v>
      </c>
      <c r="AJ255" t="n">
        <v>-0.01</v>
      </c>
      <c r="AK255" t="n">
        <v>13.92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46.74</v>
      </c>
      <c r="AV255" t="n">
        <v>0</v>
      </c>
      <c r="AW255" t="n">
        <v>117.9</v>
      </c>
      <c r="AX255" t="inlineStr">
        <is>
          <t>settled</t>
        </is>
      </c>
      <c r="AY255" t="inlineStr">
        <is>
          <t>NA</t>
        </is>
      </c>
      <c r="AZ255" t="inlineStr">
        <is>
          <t>NA</t>
        </is>
      </c>
      <c r="BA255" t="n">
        <v>0</v>
      </c>
      <c r="BB255" t="inlineStr">
        <is>
          <t>a55b1d2f06e0d3507decef4c9ac84f90c8c233f589c887a8890bbfa819d9c319</t>
        </is>
      </c>
    </row>
    <row r="256">
      <c r="A256" t="inlineStr">
        <is>
          <t>1286</t>
        </is>
      </c>
      <c r="B256" t="inlineStr">
        <is>
          <t>7623232608</t>
        </is>
      </c>
      <c r="C256" t="inlineStr">
        <is>
          <t>2025-12-27 21:52:36</t>
        </is>
      </c>
      <c r="D256" t="inlineStr">
        <is>
          <t>52</t>
        </is>
      </c>
      <c r="E256" t="inlineStr">
        <is>
          <t>Sha Sha - Shandaar Shawarma</t>
        </is>
      </c>
      <c r="F256" t="inlineStr">
        <is>
          <t>18557902</t>
        </is>
      </c>
      <c r="G256" t="inlineStr">
        <is>
          <t>30% off upto ₹75 (2025-06-25 - 2031-01-01)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O2</t>
        </is>
      </c>
      <c r="N256" t="inlineStr">
        <is>
          <t>36</t>
        </is>
      </c>
      <c r="O256" t="n">
        <v>219</v>
      </c>
      <c r="P256" t="n">
        <v>3.5</v>
      </c>
      <c r="Q256" t="n">
        <v>0</v>
      </c>
      <c r="R256" t="n">
        <v>65.7</v>
      </c>
      <c r="S256" t="n">
        <v>0</v>
      </c>
      <c r="T256" t="n">
        <v>0</v>
      </c>
      <c r="U256" t="n">
        <v>0</v>
      </c>
      <c r="V256" t="n">
        <v>7.84</v>
      </c>
      <c r="W256" t="n">
        <v>164.64</v>
      </c>
      <c r="X256" t="n">
        <v>156.8</v>
      </c>
      <c r="Y256" t="n">
        <v>19</v>
      </c>
      <c r="Z256" t="n">
        <v>29.79</v>
      </c>
      <c r="AA256" t="n">
        <v>3.03</v>
      </c>
      <c r="AB256" t="n">
        <v>32.82</v>
      </c>
      <c r="AC256" t="n">
        <v>5.91</v>
      </c>
      <c r="AD256" t="n">
        <v>0</v>
      </c>
      <c r="AE256" t="n">
        <v>156.8</v>
      </c>
      <c r="AF256" t="n">
        <v>0</v>
      </c>
      <c r="AG256" t="n">
        <v>0</v>
      </c>
      <c r="AH256" t="n">
        <v>0.16</v>
      </c>
      <c r="AI256" t="n">
        <v>7.85</v>
      </c>
      <c r="AJ256" t="n">
        <v>-0.01</v>
      </c>
      <c r="AK256" t="n">
        <v>13.92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46.74</v>
      </c>
      <c r="AV256" t="n">
        <v>0</v>
      </c>
      <c r="AW256" t="n">
        <v>117.9</v>
      </c>
      <c r="AX256" t="inlineStr">
        <is>
          <t>settled</t>
        </is>
      </c>
      <c r="AY256" t="inlineStr">
        <is>
          <t>NA</t>
        </is>
      </c>
      <c r="AZ256" t="inlineStr">
        <is>
          <t>NA</t>
        </is>
      </c>
      <c r="BA256" t="n">
        <v>0</v>
      </c>
      <c r="BB256" t="inlineStr">
        <is>
          <t>042d331b6bb40256e1ae98433b2adfe4f859f7645bf5a478a75ca5f6f8bb6fcd</t>
        </is>
      </c>
    </row>
    <row r="257">
      <c r="A257" t="inlineStr">
        <is>
          <t>1287</t>
        </is>
      </c>
      <c r="B257" t="inlineStr">
        <is>
          <t>7622232684</t>
        </is>
      </c>
      <c r="C257" t="inlineStr">
        <is>
          <t>2025-12-27 22:21:34</t>
        </is>
      </c>
      <c r="D257" t="inlineStr">
        <is>
          <t>52</t>
        </is>
      </c>
      <c r="E257" t="inlineStr">
        <is>
          <t>Sha Sha - Shandaar Shawarma</t>
        </is>
      </c>
      <c r="F257" t="inlineStr">
        <is>
          <t>18557902</t>
        </is>
      </c>
      <c r="G257" t="inlineStr">
        <is>
          <t>NA</t>
        </is>
      </c>
      <c r="H257" t="inlineStr">
        <is>
          <t>ONLINE</t>
        </is>
      </c>
      <c r="I257" t="inlineStr">
        <is>
          <t>DELIVERED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O2</t>
        </is>
      </c>
      <c r="N257" t="inlineStr">
        <is>
          <t>36</t>
        </is>
      </c>
      <c r="O257" t="n">
        <v>188</v>
      </c>
      <c r="P257" t="n">
        <v>3.5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9.58</v>
      </c>
      <c r="W257" t="n">
        <v>201.08</v>
      </c>
      <c r="X257" t="n">
        <v>191.5</v>
      </c>
      <c r="Y257" t="n">
        <v>19</v>
      </c>
      <c r="Z257" t="n">
        <v>36.38</v>
      </c>
      <c r="AA257" t="n">
        <v>3.7</v>
      </c>
      <c r="AB257" t="n">
        <v>40.08</v>
      </c>
      <c r="AC257" t="n">
        <v>7.22</v>
      </c>
      <c r="AD257" t="n">
        <v>0</v>
      </c>
      <c r="AE257" t="n">
        <v>191.5</v>
      </c>
      <c r="AF257" t="n">
        <v>0</v>
      </c>
      <c r="AG257" t="n">
        <v>0</v>
      </c>
      <c r="AH257" t="n">
        <v>0.19</v>
      </c>
      <c r="AI257" t="n">
        <v>9.58</v>
      </c>
      <c r="AJ257" t="n">
        <v>0</v>
      </c>
      <c r="AK257" t="n">
        <v>16.99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57.07</v>
      </c>
      <c r="AV257" t="n">
        <v>0</v>
      </c>
      <c r="AW257" t="n">
        <v>144.01</v>
      </c>
      <c r="AX257" t="inlineStr">
        <is>
          <t>settled</t>
        </is>
      </c>
      <c r="AY257" t="inlineStr">
        <is>
          <t>NA</t>
        </is>
      </c>
      <c r="AZ257" t="inlineStr">
        <is>
          <t>NA</t>
        </is>
      </c>
      <c r="BA257" t="n">
        <v>0</v>
      </c>
      <c r="BB257" t="inlineStr">
        <is>
          <t>aff79f8a6e7cba297a86476ef1e4be1564f00dec2bd565deaeadf002955cd545</t>
        </is>
      </c>
    </row>
    <row r="258">
      <c r="A258" t="inlineStr">
        <is>
          <t>1288</t>
        </is>
      </c>
      <c r="B258" t="inlineStr">
        <is>
          <t>7627626288</t>
        </is>
      </c>
      <c r="C258" t="inlineStr">
        <is>
          <t>2025-12-27 22:41:50</t>
        </is>
      </c>
      <c r="D258" t="inlineStr">
        <is>
          <t>52</t>
        </is>
      </c>
      <c r="E258" t="inlineStr">
        <is>
          <t>Sha Sha - Shandaar Shawarma</t>
        </is>
      </c>
      <c r="F258" t="inlineStr">
        <is>
          <t>18557902</t>
        </is>
      </c>
      <c r="G258" t="inlineStr">
        <is>
          <t>30% off upto ₹75 (2025-06-25 - 2031-01-01)</t>
        </is>
      </c>
      <c r="H258" t="inlineStr">
        <is>
          <t>ONLINE</t>
        </is>
      </c>
      <c r="I258" t="inlineStr">
        <is>
          <t>DELIVERED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O2</t>
        </is>
      </c>
      <c r="N258" t="inlineStr">
        <is>
          <t>36</t>
        </is>
      </c>
      <c r="O258" t="n">
        <v>229</v>
      </c>
      <c r="P258" t="n">
        <v>3.5</v>
      </c>
      <c r="Q258" t="n">
        <v>0</v>
      </c>
      <c r="R258" t="n">
        <v>68.7</v>
      </c>
      <c r="S258" t="n">
        <v>0</v>
      </c>
      <c r="T258" t="n">
        <v>0</v>
      </c>
      <c r="U258" t="n">
        <v>0</v>
      </c>
      <c r="V258" t="n">
        <v>8.19</v>
      </c>
      <c r="W258" t="n">
        <v>171.99</v>
      </c>
      <c r="X258" t="n">
        <v>163.8</v>
      </c>
      <c r="Y258" t="n">
        <v>19</v>
      </c>
      <c r="Z258" t="n">
        <v>31.12</v>
      </c>
      <c r="AA258" t="n">
        <v>3.16</v>
      </c>
      <c r="AB258" t="n">
        <v>34.28</v>
      </c>
      <c r="AC258" t="n">
        <v>6.17</v>
      </c>
      <c r="AD258" t="n">
        <v>0</v>
      </c>
      <c r="AE258" t="n">
        <v>163.8</v>
      </c>
      <c r="AF258" t="n">
        <v>0</v>
      </c>
      <c r="AG258" t="n">
        <v>0</v>
      </c>
      <c r="AH258" t="n">
        <v>0.16</v>
      </c>
      <c r="AI258" t="n">
        <v>8.199999999999999</v>
      </c>
      <c r="AJ258" t="n">
        <v>-0.01</v>
      </c>
      <c r="AK258" t="n">
        <v>14.53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48.81</v>
      </c>
      <c r="AV258" t="n">
        <v>0</v>
      </c>
      <c r="AW258" t="n">
        <v>123.18</v>
      </c>
      <c r="AX258" t="inlineStr">
        <is>
          <t>settled</t>
        </is>
      </c>
      <c r="AY258" t="inlineStr">
        <is>
          <t>NA</t>
        </is>
      </c>
      <c r="AZ258" t="inlineStr">
        <is>
          <t>NA</t>
        </is>
      </c>
      <c r="BA258" t="n">
        <v>0</v>
      </c>
      <c r="BB258" t="inlineStr">
        <is>
          <t>2bbc31bbec3c0a4ea4e924d4aa7ad19ddbf6c65db21b0eb4fe8b54287e1a55ad</t>
        </is>
      </c>
    </row>
    <row r="259">
      <c r="A259" t="inlineStr">
        <is>
          <t>1289</t>
        </is>
      </c>
      <c r="B259" t="inlineStr">
        <is>
          <t>7626593297</t>
        </is>
      </c>
      <c r="C259" t="inlineStr">
        <is>
          <t>2025-12-27 23:53:58</t>
        </is>
      </c>
      <c r="D259" t="inlineStr">
        <is>
          <t>52</t>
        </is>
      </c>
      <c r="E259" t="inlineStr">
        <is>
          <t>Sha Sha - Shandaar Shawarma</t>
        </is>
      </c>
      <c r="F259" t="inlineStr">
        <is>
          <t>18557902</t>
        </is>
      </c>
      <c r="G259" t="inlineStr">
        <is>
          <t>30% off upto ₹75 (2025-06-25 - 2031-01-01)</t>
        </is>
      </c>
      <c r="H259" t="inlineStr">
        <is>
          <t>ONLINE</t>
        </is>
      </c>
      <c r="I259" t="inlineStr">
        <is>
          <t>DELIVERED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O2</t>
        </is>
      </c>
      <c r="N259" t="inlineStr">
        <is>
          <t>36</t>
        </is>
      </c>
      <c r="O259" t="n">
        <v>219</v>
      </c>
      <c r="P259" t="n">
        <v>3.5</v>
      </c>
      <c r="Q259" t="n">
        <v>0</v>
      </c>
      <c r="R259" t="n">
        <v>65.7</v>
      </c>
      <c r="S259" t="n">
        <v>0</v>
      </c>
      <c r="T259" t="n">
        <v>0</v>
      </c>
      <c r="U259" t="n">
        <v>0</v>
      </c>
      <c r="V259" t="n">
        <v>7.84</v>
      </c>
      <c r="W259" t="n">
        <v>164.64</v>
      </c>
      <c r="X259" t="n">
        <v>156.8</v>
      </c>
      <c r="Y259" t="n">
        <v>19</v>
      </c>
      <c r="Z259" t="n">
        <v>29.79</v>
      </c>
      <c r="AA259" t="n">
        <v>3.03</v>
      </c>
      <c r="AB259" t="n">
        <v>32.82</v>
      </c>
      <c r="AC259" t="n">
        <v>5.91</v>
      </c>
      <c r="AD259" t="n">
        <v>0</v>
      </c>
      <c r="AE259" t="n">
        <v>156.8</v>
      </c>
      <c r="AF259" t="n">
        <v>0</v>
      </c>
      <c r="AG259" t="n">
        <v>0</v>
      </c>
      <c r="AH259" t="n">
        <v>0.16</v>
      </c>
      <c r="AI259" t="n">
        <v>7.85</v>
      </c>
      <c r="AJ259" t="n">
        <v>-0.01</v>
      </c>
      <c r="AK259" t="n">
        <v>13.92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46.74</v>
      </c>
      <c r="AV259" t="n">
        <v>0</v>
      </c>
      <c r="AW259" t="n">
        <v>117.9</v>
      </c>
      <c r="AX259" t="inlineStr">
        <is>
          <t>settled</t>
        </is>
      </c>
      <c r="AY259" t="inlineStr">
        <is>
          <t>NA</t>
        </is>
      </c>
      <c r="AZ259" t="inlineStr">
        <is>
          <t>NA</t>
        </is>
      </c>
      <c r="BA259" t="n">
        <v>0</v>
      </c>
      <c r="BB259" t="inlineStr">
        <is>
          <t>827ae6b419f83241cd747769701b52ee26422320c1b38ccd02a02ec848163a4a</t>
        </is>
      </c>
    </row>
    <row r="260">
      <c r="A260" t="inlineStr">
        <is>
          <t>1290</t>
        </is>
      </c>
      <c r="B260" t="inlineStr">
        <is>
          <t>7620771010</t>
        </is>
      </c>
      <c r="C260" t="inlineStr">
        <is>
          <t>2025-12-28 00:22:02</t>
        </is>
      </c>
      <c r="D260" t="inlineStr">
        <is>
          <t>52</t>
        </is>
      </c>
      <c r="E260" t="inlineStr">
        <is>
          <t>Sha Sha - Shandaar Shawarma</t>
        </is>
      </c>
      <c r="F260" t="inlineStr">
        <is>
          <t>18557902</t>
        </is>
      </c>
      <c r="G260" t="inlineStr">
        <is>
          <t>30% off upto ₹75 (2025-06-25 - 2031-01-01)</t>
        </is>
      </c>
      <c r="H260" t="inlineStr">
        <is>
          <t>ONLINE</t>
        </is>
      </c>
      <c r="I260" t="inlineStr">
        <is>
          <t>DELIVERED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O2</t>
        </is>
      </c>
      <c r="N260" t="inlineStr">
        <is>
          <t>36</t>
        </is>
      </c>
      <c r="O260" t="n">
        <v>355</v>
      </c>
      <c r="P260" t="n">
        <v>3.5</v>
      </c>
      <c r="Q260" t="n">
        <v>0</v>
      </c>
      <c r="R260" t="n">
        <v>75</v>
      </c>
      <c r="S260" t="n">
        <v>0</v>
      </c>
      <c r="T260" t="n">
        <v>0</v>
      </c>
      <c r="U260" t="n">
        <v>0</v>
      </c>
      <c r="V260" t="n">
        <v>14.18</v>
      </c>
      <c r="W260" t="n">
        <v>297.68</v>
      </c>
      <c r="X260" t="n">
        <v>283.5</v>
      </c>
      <c r="Y260" t="n">
        <v>19</v>
      </c>
      <c r="Z260" t="n">
        <v>53.86</v>
      </c>
      <c r="AA260" t="n">
        <v>5.48</v>
      </c>
      <c r="AB260" t="n">
        <v>59.34</v>
      </c>
      <c r="AC260" t="n">
        <v>10.68</v>
      </c>
      <c r="AD260" t="n">
        <v>0</v>
      </c>
      <c r="AE260" t="n">
        <v>283.5</v>
      </c>
      <c r="AF260" t="n">
        <v>0</v>
      </c>
      <c r="AG260" t="n">
        <v>0</v>
      </c>
      <c r="AH260" t="n">
        <v>0.28</v>
      </c>
      <c r="AI260" t="n">
        <v>14.18</v>
      </c>
      <c r="AJ260" t="n">
        <v>0</v>
      </c>
      <c r="AK260" t="n">
        <v>25.14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84.48</v>
      </c>
      <c r="AV260" t="n">
        <v>0</v>
      </c>
      <c r="AW260" t="n">
        <v>213.2</v>
      </c>
      <c r="AX260" t="inlineStr">
        <is>
          <t>settled</t>
        </is>
      </c>
      <c r="AY260" t="inlineStr">
        <is>
          <t>NA</t>
        </is>
      </c>
      <c r="AZ260" t="inlineStr">
        <is>
          <t>NA</t>
        </is>
      </c>
      <c r="BA260" t="n">
        <v>0</v>
      </c>
      <c r="BB260" t="inlineStr">
        <is>
          <t>c234766eb0b94f6ed6607bd12b69e5b2322b1ad4ec02614d904c242e1681169a</t>
        </is>
      </c>
    </row>
    <row r="261">
      <c r="A261" t="inlineStr">
        <is>
          <t>1291</t>
        </is>
      </c>
      <c r="B261" t="inlineStr">
        <is>
          <t>7627295938</t>
        </is>
      </c>
      <c r="C261" t="inlineStr">
        <is>
          <t>2025-12-28 00:28:38</t>
        </is>
      </c>
      <c r="D261" t="inlineStr">
        <is>
          <t>52</t>
        </is>
      </c>
      <c r="E261" t="inlineStr">
        <is>
          <t>Sha Sha - Shandaar Shawarma</t>
        </is>
      </c>
      <c r="F261" t="inlineStr">
        <is>
          <t>18557902</t>
        </is>
      </c>
      <c r="G261" t="inlineStr">
        <is>
          <t>30% off upto ₹75 (2025-06-25 - 2031-01-01)</t>
        </is>
      </c>
      <c r="H261" t="inlineStr">
        <is>
          <t>ONLINE</t>
        </is>
      </c>
      <c r="I261" t="inlineStr">
        <is>
          <t>DELIVERED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O2</t>
        </is>
      </c>
      <c r="N261" t="inlineStr">
        <is>
          <t>36</t>
        </is>
      </c>
      <c r="O261" t="n">
        <v>355</v>
      </c>
      <c r="P261" t="n">
        <v>3.5</v>
      </c>
      <c r="Q261" t="n">
        <v>0</v>
      </c>
      <c r="R261" t="n">
        <v>75</v>
      </c>
      <c r="S261" t="n">
        <v>0</v>
      </c>
      <c r="T261" t="n">
        <v>0</v>
      </c>
      <c r="U261" t="n">
        <v>0</v>
      </c>
      <c r="V261" t="n">
        <v>14.18</v>
      </c>
      <c r="W261" t="n">
        <v>297.68</v>
      </c>
      <c r="X261" t="n">
        <v>283.5</v>
      </c>
      <c r="Y261" t="n">
        <v>19</v>
      </c>
      <c r="Z261" t="n">
        <v>53.86</v>
      </c>
      <c r="AA261" t="n">
        <v>5.48</v>
      </c>
      <c r="AB261" t="n">
        <v>59.34</v>
      </c>
      <c r="AC261" t="n">
        <v>10.68</v>
      </c>
      <c r="AD261" t="n">
        <v>0</v>
      </c>
      <c r="AE261" t="n">
        <v>283.5</v>
      </c>
      <c r="AF261" t="n">
        <v>0</v>
      </c>
      <c r="AG261" t="n">
        <v>0</v>
      </c>
      <c r="AH261" t="n">
        <v>0.28</v>
      </c>
      <c r="AI261" t="n">
        <v>14.18</v>
      </c>
      <c r="AJ261" t="n">
        <v>0</v>
      </c>
      <c r="AK261" t="n">
        <v>25.14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84.48</v>
      </c>
      <c r="AV261" t="n">
        <v>0</v>
      </c>
      <c r="AW261" t="n">
        <v>213.2</v>
      </c>
      <c r="AX261" t="inlineStr">
        <is>
          <t>settled</t>
        </is>
      </c>
      <c r="AY261" t="inlineStr">
        <is>
          <t>NA</t>
        </is>
      </c>
      <c r="AZ261" t="inlineStr">
        <is>
          <t>NA</t>
        </is>
      </c>
      <c r="BA261" t="n">
        <v>0</v>
      </c>
      <c r="BB261" t="inlineStr">
        <is>
          <t>1e7a3e54c05779bc3ab6e46c1c77d7a86ae06432fb3a81cbf0fd80cc68131dc5</t>
        </is>
      </c>
    </row>
    <row r="262">
      <c r="A262" t="inlineStr">
        <is>
          <t>1292</t>
        </is>
      </c>
      <c r="B262" t="inlineStr">
        <is>
          <t>7628464917</t>
        </is>
      </c>
      <c r="C262" t="inlineStr">
        <is>
          <t>2025-12-28 00:38:08</t>
        </is>
      </c>
      <c r="D262" t="inlineStr">
        <is>
          <t>52</t>
        </is>
      </c>
      <c r="E262" t="inlineStr">
        <is>
          <t>Sha Sha - Shandaar Shawarma</t>
        </is>
      </c>
      <c r="F262" t="inlineStr">
        <is>
          <t>18557902</t>
        </is>
      </c>
      <c r="G262" t="inlineStr">
        <is>
          <t>NA</t>
        </is>
      </c>
      <c r="H262" t="inlineStr">
        <is>
          <t>ONLINE</t>
        </is>
      </c>
      <c r="I262" t="inlineStr">
        <is>
          <t>DELIVERED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O2</t>
        </is>
      </c>
      <c r="N262" t="inlineStr">
        <is>
          <t>36</t>
        </is>
      </c>
      <c r="O262" t="n">
        <v>229</v>
      </c>
      <c r="P262" t="n">
        <v>3.5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11.63</v>
      </c>
      <c r="W262" t="n">
        <v>244.13</v>
      </c>
      <c r="X262" t="n">
        <v>232.5</v>
      </c>
      <c r="Y262" t="n">
        <v>19</v>
      </c>
      <c r="Z262" t="n">
        <v>44.18</v>
      </c>
      <c r="AA262" t="n">
        <v>4.49</v>
      </c>
      <c r="AB262" t="n">
        <v>48.67</v>
      </c>
      <c r="AC262" t="n">
        <v>8.76</v>
      </c>
      <c r="AD262" t="n">
        <v>0</v>
      </c>
      <c r="AE262" t="n">
        <v>232.5</v>
      </c>
      <c r="AF262" t="n">
        <v>0</v>
      </c>
      <c r="AG262" t="n">
        <v>0</v>
      </c>
      <c r="AH262" t="n">
        <v>0.23</v>
      </c>
      <c r="AI262" t="n">
        <v>11.63</v>
      </c>
      <c r="AJ262" t="n">
        <v>0</v>
      </c>
      <c r="AK262" t="n">
        <v>20.62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69.29000000000001</v>
      </c>
      <c r="AV262" t="n">
        <v>0</v>
      </c>
      <c r="AW262" t="n">
        <v>174.84</v>
      </c>
      <c r="AX262" t="inlineStr">
        <is>
          <t>settled</t>
        </is>
      </c>
      <c r="AY262" t="inlineStr">
        <is>
          <t>NA</t>
        </is>
      </c>
      <c r="AZ262" t="inlineStr">
        <is>
          <t>NA</t>
        </is>
      </c>
      <c r="BA262" t="n">
        <v>0</v>
      </c>
      <c r="BB262" t="inlineStr">
        <is>
          <t>183f2bc48ddf3e913094503d59cadda9edc28fe6346a3870a1b6f0b8dfa45165</t>
        </is>
      </c>
    </row>
    <row r="263">
      <c r="A263" t="inlineStr">
        <is>
          <t>1293</t>
        </is>
      </c>
      <c r="B263" t="inlineStr">
        <is>
          <t>7623746341</t>
        </is>
      </c>
      <c r="C263" t="inlineStr">
        <is>
          <t>2025-12-28 00:54:11</t>
        </is>
      </c>
      <c r="D263" t="inlineStr">
        <is>
          <t>52</t>
        </is>
      </c>
      <c r="E263" t="inlineStr">
        <is>
          <t>Sha Sha - Shandaar Shawarma</t>
        </is>
      </c>
      <c r="F263" t="inlineStr">
        <is>
          <t>18557902</t>
        </is>
      </c>
      <c r="G263" t="inlineStr">
        <is>
          <t>30% off upto ₹75 (2025-06-25 - 2031-01-01)</t>
        </is>
      </c>
      <c r="H263" t="inlineStr">
        <is>
          <t>ONLINE</t>
        </is>
      </c>
      <c r="I263" t="inlineStr">
        <is>
          <t>DELIVERED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O2</t>
        </is>
      </c>
      <c r="N263" t="inlineStr">
        <is>
          <t>36</t>
        </is>
      </c>
      <c r="O263" t="n">
        <v>229</v>
      </c>
      <c r="P263" t="n">
        <v>3.5</v>
      </c>
      <c r="Q263" t="n">
        <v>0</v>
      </c>
      <c r="R263" t="n">
        <v>68.7</v>
      </c>
      <c r="S263" t="n">
        <v>0</v>
      </c>
      <c r="T263" t="n">
        <v>0</v>
      </c>
      <c r="U263" t="n">
        <v>0</v>
      </c>
      <c r="V263" t="n">
        <v>8.19</v>
      </c>
      <c r="W263" t="n">
        <v>171.99</v>
      </c>
      <c r="X263" t="n">
        <v>163.8</v>
      </c>
      <c r="Y263" t="n">
        <v>19</v>
      </c>
      <c r="Z263" t="n">
        <v>31.12</v>
      </c>
      <c r="AA263" t="n">
        <v>3.16</v>
      </c>
      <c r="AB263" t="n">
        <v>34.28</v>
      </c>
      <c r="AC263" t="n">
        <v>6.17</v>
      </c>
      <c r="AD263" t="n">
        <v>0</v>
      </c>
      <c r="AE263" t="n">
        <v>163.8</v>
      </c>
      <c r="AF263" t="n">
        <v>0</v>
      </c>
      <c r="AG263" t="n">
        <v>0</v>
      </c>
      <c r="AH263" t="n">
        <v>0.16</v>
      </c>
      <c r="AI263" t="n">
        <v>8.199999999999999</v>
      </c>
      <c r="AJ263" t="n">
        <v>-0.01</v>
      </c>
      <c r="AK263" t="n">
        <v>14.53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48.81</v>
      </c>
      <c r="AV263" t="n">
        <v>0</v>
      </c>
      <c r="AW263" t="n">
        <v>123.18</v>
      </c>
      <c r="AX263" t="inlineStr">
        <is>
          <t>settled</t>
        </is>
      </c>
      <c r="AY263" t="inlineStr">
        <is>
          <t>NA</t>
        </is>
      </c>
      <c r="AZ263" t="inlineStr">
        <is>
          <t>NA</t>
        </is>
      </c>
      <c r="BA263" t="n">
        <v>0</v>
      </c>
      <c r="BB263" t="inlineStr">
        <is>
          <t>57ab683591bad669c9ba8a897c0efcbc7bdb97b188482a9c2951bd77e12690e9</t>
        </is>
      </c>
    </row>
    <row r="264">
      <c r="A264" t="inlineStr">
        <is>
          <t>1294</t>
        </is>
      </c>
      <c r="B264" t="inlineStr">
        <is>
          <t>7626105295</t>
        </is>
      </c>
      <c r="C264" t="inlineStr">
        <is>
          <t>2025-12-28 00:56:50</t>
        </is>
      </c>
      <c r="D264" t="inlineStr">
        <is>
          <t>52</t>
        </is>
      </c>
      <c r="E264" t="inlineStr">
        <is>
          <t>Sha Sha - Shandaar Shawarma</t>
        </is>
      </c>
      <c r="F264" t="inlineStr">
        <is>
          <t>18557902</t>
        </is>
      </c>
      <c r="G264" t="inlineStr">
        <is>
          <t>30% off upto ₹75 (2025-06-25 - 2031-01-01)</t>
        </is>
      </c>
      <c r="H264" t="inlineStr">
        <is>
          <t>ONLINE</t>
        </is>
      </c>
      <c r="I264" t="inlineStr">
        <is>
          <t>DELIVERED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O2</t>
        </is>
      </c>
      <c r="N264" t="inlineStr">
        <is>
          <t>36</t>
        </is>
      </c>
      <c r="O264" t="n">
        <v>229</v>
      </c>
      <c r="P264" t="n">
        <v>3.5</v>
      </c>
      <c r="Q264" t="n">
        <v>0</v>
      </c>
      <c r="R264" t="n">
        <v>68.7</v>
      </c>
      <c r="S264" t="n">
        <v>0</v>
      </c>
      <c r="T264" t="n">
        <v>0</v>
      </c>
      <c r="U264" t="n">
        <v>0</v>
      </c>
      <c r="V264" t="n">
        <v>8.19</v>
      </c>
      <c r="W264" t="n">
        <v>171.99</v>
      </c>
      <c r="X264" t="n">
        <v>163.8</v>
      </c>
      <c r="Y264" t="n">
        <v>19</v>
      </c>
      <c r="Z264" t="n">
        <v>31.12</v>
      </c>
      <c r="AA264" t="n">
        <v>3.16</v>
      </c>
      <c r="AB264" t="n">
        <v>34.28</v>
      </c>
      <c r="AC264" t="n">
        <v>6.17</v>
      </c>
      <c r="AD264" t="n">
        <v>0</v>
      </c>
      <c r="AE264" t="n">
        <v>163.8</v>
      </c>
      <c r="AF264" t="n">
        <v>0</v>
      </c>
      <c r="AG264" t="n">
        <v>0</v>
      </c>
      <c r="AH264" t="n">
        <v>0.16</v>
      </c>
      <c r="AI264" t="n">
        <v>8.199999999999999</v>
      </c>
      <c r="AJ264" t="n">
        <v>-0.01</v>
      </c>
      <c r="AK264" t="n">
        <v>14.53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48.81</v>
      </c>
      <c r="AV264" t="n">
        <v>0</v>
      </c>
      <c r="AW264" t="n">
        <v>123.18</v>
      </c>
      <c r="AX264" t="inlineStr">
        <is>
          <t>settled</t>
        </is>
      </c>
      <c r="AY264" t="inlineStr">
        <is>
          <t>NA</t>
        </is>
      </c>
      <c r="AZ264" t="inlineStr">
        <is>
          <t>NA</t>
        </is>
      </c>
      <c r="BA264" t="n">
        <v>0</v>
      </c>
      <c r="BB264" t="inlineStr">
        <is>
          <t>dd51b3c75f8ab6ac3ac38b90cb3e27b1f9ea49daf18056b09c04a86e0b718b2a</t>
        </is>
      </c>
    </row>
    <row r="265">
      <c r="A265" t="inlineStr">
        <is>
          <t>1295</t>
        </is>
      </c>
      <c r="B265" t="inlineStr">
        <is>
          <t>7621490691</t>
        </is>
      </c>
      <c r="C265" t="inlineStr">
        <is>
          <t>2025-12-28 02:07:19</t>
        </is>
      </c>
      <c r="D265" t="inlineStr">
        <is>
          <t>52</t>
        </is>
      </c>
      <c r="E265" t="inlineStr">
        <is>
          <t>Sha Sha - Shandaar Shawarma</t>
        </is>
      </c>
      <c r="F265" t="inlineStr">
        <is>
          <t>18557902</t>
        </is>
      </c>
      <c r="G265" t="inlineStr">
        <is>
          <t>30% off upto ₹75 (2025-06-25 - 2031-01-01)</t>
        </is>
      </c>
      <c r="H265" t="inlineStr">
        <is>
          <t>ONLINE</t>
        </is>
      </c>
      <c r="I265" t="inlineStr">
        <is>
          <t>DELIVERED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O2</t>
        </is>
      </c>
      <c r="N265" t="inlineStr">
        <is>
          <t>36</t>
        </is>
      </c>
      <c r="O265" t="n">
        <v>229</v>
      </c>
      <c r="P265" t="n">
        <v>3.5</v>
      </c>
      <c r="Q265" t="n">
        <v>0</v>
      </c>
      <c r="R265" t="n">
        <v>68.7</v>
      </c>
      <c r="S265" t="n">
        <v>0</v>
      </c>
      <c r="T265" t="n">
        <v>0</v>
      </c>
      <c r="U265" t="n">
        <v>0</v>
      </c>
      <c r="V265" t="n">
        <v>8.19</v>
      </c>
      <c r="W265" t="n">
        <v>171.99</v>
      </c>
      <c r="X265" t="n">
        <v>163.8</v>
      </c>
      <c r="Y265" t="n">
        <v>19</v>
      </c>
      <c r="Z265" t="n">
        <v>31.12</v>
      </c>
      <c r="AA265" t="n">
        <v>3.16</v>
      </c>
      <c r="AB265" t="n">
        <v>34.28</v>
      </c>
      <c r="AC265" t="n">
        <v>6.17</v>
      </c>
      <c r="AD265" t="n">
        <v>0</v>
      </c>
      <c r="AE265" t="n">
        <v>163.8</v>
      </c>
      <c r="AF265" t="n">
        <v>0</v>
      </c>
      <c r="AG265" t="n">
        <v>0</v>
      </c>
      <c r="AH265" t="n">
        <v>0.16</v>
      </c>
      <c r="AI265" t="n">
        <v>8.199999999999999</v>
      </c>
      <c r="AJ265" t="n">
        <v>-0.01</v>
      </c>
      <c r="AK265" t="n">
        <v>14.53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48.81</v>
      </c>
      <c r="AV265" t="n">
        <v>0</v>
      </c>
      <c r="AW265" t="n">
        <v>123.18</v>
      </c>
      <c r="AX265" t="inlineStr">
        <is>
          <t>settled</t>
        </is>
      </c>
      <c r="AY265" t="inlineStr">
        <is>
          <t>NA</t>
        </is>
      </c>
      <c r="AZ265" t="inlineStr">
        <is>
          <t>NA</t>
        </is>
      </c>
      <c r="BA265" t="n">
        <v>0</v>
      </c>
      <c r="BB265" t="inlineStr">
        <is>
          <t>ed4ae7feaee05f9d0e3b07fd4eb2a703e0d49e6c6b49dfb71afb00065573912d</t>
        </is>
      </c>
    </row>
    <row r="266">
      <c r="A266" t="inlineStr">
        <is>
          <t>1296</t>
        </is>
      </c>
      <c r="B266" t="inlineStr">
        <is>
          <t>7625725685</t>
        </is>
      </c>
      <c r="C266" t="inlineStr">
        <is>
          <t>2025-12-28 02:24:00</t>
        </is>
      </c>
      <c r="D266" t="inlineStr">
        <is>
          <t>52</t>
        </is>
      </c>
      <c r="E266" t="inlineStr">
        <is>
          <t>Sha Sha - Shandaar Shawarma</t>
        </is>
      </c>
      <c r="F266" t="inlineStr">
        <is>
          <t>18557902</t>
        </is>
      </c>
      <c r="G266" t="inlineStr">
        <is>
          <t>30% off upto ₹75 (2025-06-25 - 2031-01-01)</t>
        </is>
      </c>
      <c r="H266" t="inlineStr">
        <is>
          <t>ONLINE</t>
        </is>
      </c>
      <c r="I266" t="inlineStr">
        <is>
          <t>CANCELLED</t>
        </is>
      </c>
      <c r="J266" t="inlineStr">
        <is>
          <t>100%</t>
        </is>
      </c>
      <c r="K266" t="inlineStr">
        <is>
          <t>Delivery partner not responding</t>
        </is>
      </c>
      <c r="L266" t="inlineStr">
        <is>
          <t>Order picked up by rider</t>
        </is>
      </c>
      <c r="M266" t="inlineStr">
        <is>
          <t>O2</t>
        </is>
      </c>
      <c r="N266" t="inlineStr">
        <is>
          <t>NA</t>
        </is>
      </c>
      <c r="O266" t="n">
        <v>289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289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163.56</v>
      </c>
      <c r="AW266" t="n">
        <v>163.56</v>
      </c>
      <c r="AX266" t="inlineStr">
        <is>
          <t>settled</t>
        </is>
      </c>
      <c r="AY266" t="inlineStr">
        <is>
          <t>NA</t>
        </is>
      </c>
      <c r="AZ266" t="inlineStr">
        <is>
          <t>NA</t>
        </is>
      </c>
      <c r="BA266" t="n">
        <v>0</v>
      </c>
      <c r="BB266" t="inlineStr">
        <is>
          <t>NA</t>
        </is>
      </c>
    </row>
    <row r="267">
      <c r="A267" t="inlineStr">
        <is>
          <t>1297</t>
        </is>
      </c>
      <c r="B267" t="inlineStr">
        <is>
          <t>7628780440</t>
        </is>
      </c>
      <c r="C267" t="inlineStr">
        <is>
          <t>2025-12-28 02:56:01</t>
        </is>
      </c>
      <c r="D267" t="inlineStr">
        <is>
          <t>52</t>
        </is>
      </c>
      <c r="E267" t="inlineStr">
        <is>
          <t>Sha Sha - Shandaar Shawarma</t>
        </is>
      </c>
      <c r="F267" t="inlineStr">
        <is>
          <t>18557902</t>
        </is>
      </c>
      <c r="G267" t="inlineStr">
        <is>
          <t>30% off upto ₹75 (2025-06-25 - 2031-01-01)</t>
        </is>
      </c>
      <c r="H267" t="inlineStr">
        <is>
          <t>ONLINE</t>
        </is>
      </c>
      <c r="I267" t="inlineStr">
        <is>
          <t>DELIVERED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O2</t>
        </is>
      </c>
      <c r="N267" t="inlineStr">
        <is>
          <t>36</t>
        </is>
      </c>
      <c r="O267" t="n">
        <v>229</v>
      </c>
      <c r="P267" t="n">
        <v>3.5</v>
      </c>
      <c r="Q267" t="n">
        <v>0</v>
      </c>
      <c r="R267" t="n">
        <v>68.7</v>
      </c>
      <c r="S267" t="n">
        <v>0</v>
      </c>
      <c r="T267" t="n">
        <v>0</v>
      </c>
      <c r="U267" t="n">
        <v>0</v>
      </c>
      <c r="V267" t="n">
        <v>8.19</v>
      </c>
      <c r="W267" t="n">
        <v>171.99</v>
      </c>
      <c r="X267" t="n">
        <v>163.8</v>
      </c>
      <c r="Y267" t="n">
        <v>19</v>
      </c>
      <c r="Z267" t="n">
        <v>31.12</v>
      </c>
      <c r="AA267" t="n">
        <v>3.16</v>
      </c>
      <c r="AB267" t="n">
        <v>34.28</v>
      </c>
      <c r="AC267" t="n">
        <v>6.17</v>
      </c>
      <c r="AD267" t="n">
        <v>0</v>
      </c>
      <c r="AE267" t="n">
        <v>163.8</v>
      </c>
      <c r="AF267" t="n">
        <v>0</v>
      </c>
      <c r="AG267" t="n">
        <v>0</v>
      </c>
      <c r="AH267" t="n">
        <v>0.16</v>
      </c>
      <c r="AI267" t="n">
        <v>8.199999999999999</v>
      </c>
      <c r="AJ267" t="n">
        <v>-0.01</v>
      </c>
      <c r="AK267" t="n">
        <v>14.53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48.81</v>
      </c>
      <c r="AV267" t="n">
        <v>0</v>
      </c>
      <c r="AW267" t="n">
        <v>123.18</v>
      </c>
      <c r="AX267" t="inlineStr">
        <is>
          <t>settled</t>
        </is>
      </c>
      <c r="AY267" t="inlineStr">
        <is>
          <t>NA</t>
        </is>
      </c>
      <c r="AZ267" t="inlineStr">
        <is>
          <t>NA</t>
        </is>
      </c>
      <c r="BA267" t="n">
        <v>0</v>
      </c>
      <c r="BB267" t="inlineStr">
        <is>
          <t>4c64893c3c389e82205f887f0b2e3ac655183fd20ff4347732e17ae48d0897db</t>
        </is>
      </c>
    </row>
    <row r="268">
      <c r="A268" t="inlineStr">
        <is>
          <t>1298</t>
        </is>
      </c>
      <c r="B268" t="inlineStr">
        <is>
          <t>7618722284</t>
        </is>
      </c>
      <c r="C268" t="inlineStr">
        <is>
          <t>2025-12-28 03:04:48</t>
        </is>
      </c>
      <c r="D268" t="inlineStr">
        <is>
          <t>52</t>
        </is>
      </c>
      <c r="E268" t="inlineStr">
        <is>
          <t>Sha Sha - Shandaar Shawarma</t>
        </is>
      </c>
      <c r="F268" t="inlineStr">
        <is>
          <t>18557902</t>
        </is>
      </c>
      <c r="G268" t="inlineStr">
        <is>
          <t>30% off upto ₹75 (2025-06-25 - 2031-01-01)</t>
        </is>
      </c>
      <c r="H268" t="inlineStr">
        <is>
          <t>ONLINE</t>
        </is>
      </c>
      <c r="I268" t="inlineStr">
        <is>
          <t>DELIVERED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O2</t>
        </is>
      </c>
      <c r="N268" t="inlineStr">
        <is>
          <t>36</t>
        </is>
      </c>
      <c r="O268" t="n">
        <v>487</v>
      </c>
      <c r="P268" t="n">
        <v>3.5</v>
      </c>
      <c r="Q268" t="n">
        <v>0</v>
      </c>
      <c r="R268" t="n">
        <v>75</v>
      </c>
      <c r="S268" t="n">
        <v>0</v>
      </c>
      <c r="T268" t="n">
        <v>0</v>
      </c>
      <c r="U268" t="n">
        <v>0</v>
      </c>
      <c r="V268" t="n">
        <v>20.78</v>
      </c>
      <c r="W268" t="n">
        <v>436.28</v>
      </c>
      <c r="X268" t="n">
        <v>415.5</v>
      </c>
      <c r="Y268" t="n">
        <v>19</v>
      </c>
      <c r="Z268" t="n">
        <v>78.94</v>
      </c>
      <c r="AA268" t="n">
        <v>8.029999999999999</v>
      </c>
      <c r="AB268" t="n">
        <v>86.97</v>
      </c>
      <c r="AC268" t="n">
        <v>15.66</v>
      </c>
      <c r="AD268" t="n">
        <v>0</v>
      </c>
      <c r="AE268" t="n">
        <v>415.5</v>
      </c>
      <c r="AF268" t="n">
        <v>0</v>
      </c>
      <c r="AG268" t="n">
        <v>0</v>
      </c>
      <c r="AH268" t="n">
        <v>0.42</v>
      </c>
      <c r="AI268" t="n">
        <v>20.78</v>
      </c>
      <c r="AJ268" t="n">
        <v>0</v>
      </c>
      <c r="AK268" t="n">
        <v>36.86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123.83</v>
      </c>
      <c r="AV268" t="n">
        <v>0</v>
      </c>
      <c r="AW268" t="n">
        <v>312.45</v>
      </c>
      <c r="AX268" t="inlineStr">
        <is>
          <t>settled</t>
        </is>
      </c>
      <c r="AY268" t="inlineStr">
        <is>
          <t>NA</t>
        </is>
      </c>
      <c r="AZ268" t="inlineStr">
        <is>
          <t>NA</t>
        </is>
      </c>
      <c r="BA268" t="n">
        <v>0</v>
      </c>
      <c r="BB268" t="inlineStr">
        <is>
          <t>887a1327cdb36208daa0e71aa37961e17e524b9aff6f1c392d0c8f10fa37f028</t>
        </is>
      </c>
    </row>
    <row r="269">
      <c r="A269" t="inlineStr">
        <is>
          <t>1299</t>
        </is>
      </c>
      <c r="B269" t="inlineStr">
        <is>
          <t>7619297658</t>
        </is>
      </c>
      <c r="C269" t="inlineStr">
        <is>
          <t>2025-12-28 03:05:01</t>
        </is>
      </c>
      <c r="D269" t="inlineStr">
        <is>
          <t>52</t>
        </is>
      </c>
      <c r="E269" t="inlineStr">
        <is>
          <t>Sha Sha - Shandaar Shawarma</t>
        </is>
      </c>
      <c r="F269" t="inlineStr">
        <is>
          <t>18557902</t>
        </is>
      </c>
      <c r="G269" t="inlineStr">
        <is>
          <t>30% off upto ₹75 (2025-06-25 - 2031-01-01)</t>
        </is>
      </c>
      <c r="H269" t="inlineStr">
        <is>
          <t>ONLINE</t>
        </is>
      </c>
      <c r="I269" t="inlineStr">
        <is>
          <t>DELIVERED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O2</t>
        </is>
      </c>
      <c r="N269" t="inlineStr">
        <is>
          <t>36</t>
        </is>
      </c>
      <c r="O269" t="n">
        <v>448</v>
      </c>
      <c r="P269" t="n">
        <v>3.5</v>
      </c>
      <c r="Q269" t="n">
        <v>0</v>
      </c>
      <c r="R269" t="n">
        <v>75</v>
      </c>
      <c r="S269" t="n">
        <v>0</v>
      </c>
      <c r="T269" t="n">
        <v>0</v>
      </c>
      <c r="U269" t="n">
        <v>0</v>
      </c>
      <c r="V269" t="n">
        <v>18.83</v>
      </c>
      <c r="W269" t="n">
        <v>395.33</v>
      </c>
      <c r="X269" t="n">
        <v>376.5</v>
      </c>
      <c r="Y269" t="n">
        <v>19</v>
      </c>
      <c r="Z269" t="n">
        <v>71.54000000000001</v>
      </c>
      <c r="AA269" t="n">
        <v>7.27</v>
      </c>
      <c r="AB269" t="n">
        <v>78.81</v>
      </c>
      <c r="AC269" t="n">
        <v>14.19</v>
      </c>
      <c r="AD269" t="n">
        <v>0</v>
      </c>
      <c r="AE269" t="n">
        <v>376.5</v>
      </c>
      <c r="AF269" t="n">
        <v>0</v>
      </c>
      <c r="AG269" t="n">
        <v>0</v>
      </c>
      <c r="AH269" t="n">
        <v>0.38</v>
      </c>
      <c r="AI269" t="n">
        <v>18.83</v>
      </c>
      <c r="AJ269" t="n">
        <v>0</v>
      </c>
      <c r="AK269" t="n">
        <v>33.4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112.21</v>
      </c>
      <c r="AV269" t="n">
        <v>0</v>
      </c>
      <c r="AW269" t="n">
        <v>283.12</v>
      </c>
      <c r="AX269" t="inlineStr">
        <is>
          <t>settled</t>
        </is>
      </c>
      <c r="AY269" t="inlineStr">
        <is>
          <t>NA</t>
        </is>
      </c>
      <c r="AZ269" t="inlineStr">
        <is>
          <t>NA</t>
        </is>
      </c>
      <c r="BA269" t="n">
        <v>0</v>
      </c>
      <c r="BB269" t="inlineStr">
        <is>
          <t>91c955cd9c7e0470f264055a8829f4b3a3c32405b58149699a313902017884bf</t>
        </is>
      </c>
    </row>
    <row r="270">
      <c r="A270" t="inlineStr">
        <is>
          <t>1300</t>
        </is>
      </c>
      <c r="B270" t="inlineStr">
        <is>
          <t>7626961731</t>
        </is>
      </c>
      <c r="C270" t="inlineStr">
        <is>
          <t>2025-12-28 12:51:55</t>
        </is>
      </c>
      <c r="D270" t="inlineStr">
        <is>
          <t>52</t>
        </is>
      </c>
      <c r="E270" t="inlineStr">
        <is>
          <t>Sha Sha - Shandaar Shawarma</t>
        </is>
      </c>
      <c r="F270" t="inlineStr">
        <is>
          <t>18557902</t>
        </is>
      </c>
      <c r="G270" t="inlineStr">
        <is>
          <t>NA</t>
        </is>
      </c>
      <c r="H270" t="inlineStr">
        <is>
          <t>ONLINE</t>
        </is>
      </c>
      <c r="I270" t="inlineStr">
        <is>
          <t>DELIVERED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O2</t>
        </is>
      </c>
      <c r="N270" t="inlineStr">
        <is>
          <t>36</t>
        </is>
      </c>
      <c r="O270" t="n">
        <v>219</v>
      </c>
      <c r="P270" t="n">
        <v>3.5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11.13</v>
      </c>
      <c r="W270" t="n">
        <v>233.63</v>
      </c>
      <c r="X270" t="n">
        <v>222.5</v>
      </c>
      <c r="Y270" t="n">
        <v>19</v>
      </c>
      <c r="Z270" t="n">
        <v>42.28</v>
      </c>
      <c r="AA270" t="n">
        <v>4.3</v>
      </c>
      <c r="AB270" t="n">
        <v>46.58</v>
      </c>
      <c r="AC270" t="n">
        <v>8.380000000000001</v>
      </c>
      <c r="AD270" t="n">
        <v>0</v>
      </c>
      <c r="AE270" t="n">
        <v>222.5</v>
      </c>
      <c r="AF270" t="n">
        <v>0</v>
      </c>
      <c r="AG270" t="n">
        <v>0</v>
      </c>
      <c r="AH270" t="n">
        <v>0.22</v>
      </c>
      <c r="AI270" t="n">
        <v>11.13</v>
      </c>
      <c r="AJ270" t="n">
        <v>0</v>
      </c>
      <c r="AK270" t="n">
        <v>19.73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66.31</v>
      </c>
      <c r="AV270" t="n">
        <v>0</v>
      </c>
      <c r="AW270" t="n">
        <v>167.32</v>
      </c>
      <c r="AX270" t="inlineStr">
        <is>
          <t>settled</t>
        </is>
      </c>
      <c r="AY270" t="inlineStr">
        <is>
          <t>NA</t>
        </is>
      </c>
      <c r="AZ270" t="inlineStr">
        <is>
          <t>NA</t>
        </is>
      </c>
      <c r="BA270" t="n">
        <v>0</v>
      </c>
      <c r="BB270" t="inlineStr">
        <is>
          <t>64d00286fd41287bf905a8aa638ba059b60db45e48a424168b815be510e836c1</t>
        </is>
      </c>
    </row>
    <row r="271">
      <c r="A271" t="inlineStr">
        <is>
          <t>1301</t>
        </is>
      </c>
      <c r="B271" t="inlineStr">
        <is>
          <t>7628325314</t>
        </is>
      </c>
      <c r="C271" t="inlineStr">
        <is>
          <t>2025-12-28 13:17:21</t>
        </is>
      </c>
      <c r="D271" t="inlineStr">
        <is>
          <t>52</t>
        </is>
      </c>
      <c r="E271" t="inlineStr">
        <is>
          <t>Sha Sha - Shandaar Shawarma</t>
        </is>
      </c>
      <c r="F271" t="inlineStr">
        <is>
          <t>18557902</t>
        </is>
      </c>
      <c r="G271" t="inlineStr">
        <is>
          <t>30% off upto ₹75 (2025-06-25 - 2031-01-01)</t>
        </is>
      </c>
      <c r="H271" t="inlineStr">
        <is>
          <t>ONLINE</t>
        </is>
      </c>
      <c r="I271" t="inlineStr">
        <is>
          <t>DELIVERED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O2</t>
        </is>
      </c>
      <c r="N271" t="inlineStr">
        <is>
          <t>36</t>
        </is>
      </c>
      <c r="O271" t="n">
        <v>564</v>
      </c>
      <c r="P271" t="n">
        <v>3.5</v>
      </c>
      <c r="Q271" t="n">
        <v>0</v>
      </c>
      <c r="R271" t="n">
        <v>75</v>
      </c>
      <c r="S271" t="n">
        <v>0</v>
      </c>
      <c r="T271" t="n">
        <v>0</v>
      </c>
      <c r="U271" t="n">
        <v>0</v>
      </c>
      <c r="V271" t="n">
        <v>24.63</v>
      </c>
      <c r="W271" t="n">
        <v>517.13</v>
      </c>
      <c r="X271" t="n">
        <v>492.5</v>
      </c>
      <c r="Y271" t="n">
        <v>19</v>
      </c>
      <c r="Z271" t="n">
        <v>93.58</v>
      </c>
      <c r="AA271" t="n">
        <v>9.52</v>
      </c>
      <c r="AB271" t="n">
        <v>103.1</v>
      </c>
      <c r="AC271" t="n">
        <v>18.55</v>
      </c>
      <c r="AD271" t="n">
        <v>0</v>
      </c>
      <c r="AE271" t="n">
        <v>492.5</v>
      </c>
      <c r="AF271" t="n">
        <v>0</v>
      </c>
      <c r="AG271" t="n">
        <v>0</v>
      </c>
      <c r="AH271" t="n">
        <v>0.49</v>
      </c>
      <c r="AI271" t="n">
        <v>24.63</v>
      </c>
      <c r="AJ271" t="n">
        <v>0</v>
      </c>
      <c r="AK271" t="n">
        <v>43.67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146.77</v>
      </c>
      <c r="AV271" t="n">
        <v>0</v>
      </c>
      <c r="AW271" t="n">
        <v>370.36</v>
      </c>
      <c r="AX271" t="inlineStr">
        <is>
          <t>settled</t>
        </is>
      </c>
      <c r="AY271" t="inlineStr">
        <is>
          <t>NA</t>
        </is>
      </c>
      <c r="AZ271" t="inlineStr">
        <is>
          <t>NA</t>
        </is>
      </c>
      <c r="BA271" t="n">
        <v>0</v>
      </c>
      <c r="BB271" t="inlineStr">
        <is>
          <t>a02f8f353f9232d6f6ed4fe5f844a2375e34453dfb9cfc74e49d87d244e4d0cf</t>
        </is>
      </c>
    </row>
    <row r="272">
      <c r="A272" t="inlineStr">
        <is>
          <t>1302</t>
        </is>
      </c>
      <c r="B272" t="inlineStr">
        <is>
          <t>7629366701</t>
        </is>
      </c>
      <c r="C272" t="inlineStr">
        <is>
          <t>2025-12-28 13:37:21</t>
        </is>
      </c>
      <c r="D272" t="inlineStr">
        <is>
          <t>52</t>
        </is>
      </c>
      <c r="E272" t="inlineStr">
        <is>
          <t>Sha Sha - Shandaar Shawarma</t>
        </is>
      </c>
      <c r="F272" t="inlineStr">
        <is>
          <t>18557902</t>
        </is>
      </c>
      <c r="G272" t="inlineStr">
        <is>
          <t>30% off upto ₹75 (2025-06-25 - 2031-01-01)</t>
        </is>
      </c>
      <c r="H272" t="inlineStr">
        <is>
          <t>ONLINE</t>
        </is>
      </c>
      <c r="I272" t="inlineStr">
        <is>
          <t>DELIVERED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O2</t>
        </is>
      </c>
      <c r="N272" t="inlineStr">
        <is>
          <t>36</t>
        </is>
      </c>
      <c r="O272" t="n">
        <v>355</v>
      </c>
      <c r="P272" t="n">
        <v>3.5</v>
      </c>
      <c r="Q272" t="n">
        <v>0</v>
      </c>
      <c r="R272" t="n">
        <v>75</v>
      </c>
      <c r="S272" t="n">
        <v>0</v>
      </c>
      <c r="T272" t="n">
        <v>0</v>
      </c>
      <c r="U272" t="n">
        <v>0</v>
      </c>
      <c r="V272" t="n">
        <v>14.18</v>
      </c>
      <c r="W272" t="n">
        <v>297.68</v>
      </c>
      <c r="X272" t="n">
        <v>283.5</v>
      </c>
      <c r="Y272" t="n">
        <v>19</v>
      </c>
      <c r="Z272" t="n">
        <v>53.86</v>
      </c>
      <c r="AA272" t="n">
        <v>5.48</v>
      </c>
      <c r="AB272" t="n">
        <v>59.34</v>
      </c>
      <c r="AC272" t="n">
        <v>10.68</v>
      </c>
      <c r="AD272" t="n">
        <v>0</v>
      </c>
      <c r="AE272" t="n">
        <v>283.5</v>
      </c>
      <c r="AF272" t="n">
        <v>0</v>
      </c>
      <c r="AG272" t="n">
        <v>0</v>
      </c>
      <c r="AH272" t="n">
        <v>0.28</v>
      </c>
      <c r="AI272" t="n">
        <v>14.18</v>
      </c>
      <c r="AJ272" t="n">
        <v>0</v>
      </c>
      <c r="AK272" t="n">
        <v>25.14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84.48</v>
      </c>
      <c r="AV272" t="n">
        <v>0</v>
      </c>
      <c r="AW272" t="n">
        <v>213.2</v>
      </c>
      <c r="AX272" t="inlineStr">
        <is>
          <t>settled</t>
        </is>
      </c>
      <c r="AY272" t="inlineStr">
        <is>
          <t>NA</t>
        </is>
      </c>
      <c r="AZ272" t="inlineStr">
        <is>
          <t>NA</t>
        </is>
      </c>
      <c r="BA272" t="n">
        <v>0</v>
      </c>
      <c r="BB272" t="inlineStr">
        <is>
          <t>5e9269a24bb690c8c60bbf4edb44e5de8387d279fc36951bc947b83fb51db656</t>
        </is>
      </c>
    </row>
    <row r="273">
      <c r="A273" t="inlineStr">
        <is>
          <t>1303</t>
        </is>
      </c>
      <c r="B273" t="inlineStr">
        <is>
          <t>7622968849</t>
        </is>
      </c>
      <c r="C273" t="inlineStr">
        <is>
          <t>2025-12-28 14:08:36</t>
        </is>
      </c>
      <c r="D273" t="inlineStr">
        <is>
          <t>52</t>
        </is>
      </c>
      <c r="E273" t="inlineStr">
        <is>
          <t>Sha Sha - Shandaar Shawarma</t>
        </is>
      </c>
      <c r="F273" t="inlineStr">
        <is>
          <t>18557902</t>
        </is>
      </c>
      <c r="G273" t="inlineStr">
        <is>
          <t>30% off upto ₹75 (2025-06-25 - 2031-01-01)</t>
        </is>
      </c>
      <c r="H273" t="inlineStr">
        <is>
          <t>ONLINE</t>
        </is>
      </c>
      <c r="I273" t="inlineStr">
        <is>
          <t>DELIVERED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O2</t>
        </is>
      </c>
      <c r="N273" t="inlineStr">
        <is>
          <t>36</t>
        </is>
      </c>
      <c r="O273" t="n">
        <v>229</v>
      </c>
      <c r="P273" t="n">
        <v>3.5</v>
      </c>
      <c r="Q273" t="n">
        <v>0</v>
      </c>
      <c r="R273" t="n">
        <v>68.7</v>
      </c>
      <c r="S273" t="n">
        <v>0</v>
      </c>
      <c r="T273" t="n">
        <v>0</v>
      </c>
      <c r="U273" t="n">
        <v>0</v>
      </c>
      <c r="V273" t="n">
        <v>8.19</v>
      </c>
      <c r="W273" t="n">
        <v>171.99</v>
      </c>
      <c r="X273" t="n">
        <v>163.8</v>
      </c>
      <c r="Y273" t="n">
        <v>19</v>
      </c>
      <c r="Z273" t="n">
        <v>31.12</v>
      </c>
      <c r="AA273" t="n">
        <v>3.16</v>
      </c>
      <c r="AB273" t="n">
        <v>34.28</v>
      </c>
      <c r="AC273" t="n">
        <v>6.17</v>
      </c>
      <c r="AD273" t="n">
        <v>0</v>
      </c>
      <c r="AE273" t="n">
        <v>163.8</v>
      </c>
      <c r="AF273" t="n">
        <v>0</v>
      </c>
      <c r="AG273" t="n">
        <v>0</v>
      </c>
      <c r="AH273" t="n">
        <v>0.16</v>
      </c>
      <c r="AI273" t="n">
        <v>8.199999999999999</v>
      </c>
      <c r="AJ273" t="n">
        <v>-0.01</v>
      </c>
      <c r="AK273" t="n">
        <v>14.53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48.81</v>
      </c>
      <c r="AV273" t="n">
        <v>0</v>
      </c>
      <c r="AW273" t="n">
        <v>123.18</v>
      </c>
      <c r="AX273" t="inlineStr">
        <is>
          <t>settled</t>
        </is>
      </c>
      <c r="AY273" t="inlineStr">
        <is>
          <t>NA</t>
        </is>
      </c>
      <c r="AZ273" t="inlineStr">
        <is>
          <t>NA</t>
        </is>
      </c>
      <c r="BA273" t="n">
        <v>0</v>
      </c>
      <c r="BB273" t="inlineStr">
        <is>
          <t>fd81908c144a336a97eea19c0b9d5d6f64bd0f3fe81b739c9e9023745c2f4d4d</t>
        </is>
      </c>
    </row>
    <row r="274">
      <c r="A274" t="inlineStr">
        <is>
          <t>1304</t>
        </is>
      </c>
      <c r="B274" t="inlineStr">
        <is>
          <t>7628046885</t>
        </is>
      </c>
      <c r="C274" t="inlineStr">
        <is>
          <t>2025-12-28 14:23:44</t>
        </is>
      </c>
      <c r="D274" t="inlineStr">
        <is>
          <t>52</t>
        </is>
      </c>
      <c r="E274" t="inlineStr">
        <is>
          <t>Sha Sha - Shandaar Shawarma</t>
        </is>
      </c>
      <c r="F274" t="inlineStr">
        <is>
          <t>18557902</t>
        </is>
      </c>
      <c r="G274" t="inlineStr">
        <is>
          <t>30% off upto ₹75 (2025-06-25 - 2031-01-01)</t>
        </is>
      </c>
      <c r="H274" t="inlineStr">
        <is>
          <t>ONLINE</t>
        </is>
      </c>
      <c r="I274" t="inlineStr">
        <is>
          <t>DELIVERED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O2</t>
        </is>
      </c>
      <c r="N274" t="inlineStr">
        <is>
          <t>36</t>
        </is>
      </c>
      <c r="O274" t="n">
        <v>229</v>
      </c>
      <c r="P274" t="n">
        <v>3.5</v>
      </c>
      <c r="Q274" t="n">
        <v>0</v>
      </c>
      <c r="R274" t="n">
        <v>68.7</v>
      </c>
      <c r="S274" t="n">
        <v>0</v>
      </c>
      <c r="T274" t="n">
        <v>0</v>
      </c>
      <c r="U274" t="n">
        <v>0</v>
      </c>
      <c r="V274" t="n">
        <v>8.19</v>
      </c>
      <c r="W274" t="n">
        <v>171.99</v>
      </c>
      <c r="X274" t="n">
        <v>163.8</v>
      </c>
      <c r="Y274" t="n">
        <v>19</v>
      </c>
      <c r="Z274" t="n">
        <v>31.12</v>
      </c>
      <c r="AA274" t="n">
        <v>3.16</v>
      </c>
      <c r="AB274" t="n">
        <v>34.28</v>
      </c>
      <c r="AC274" t="n">
        <v>6.17</v>
      </c>
      <c r="AD274" t="n">
        <v>0</v>
      </c>
      <c r="AE274" t="n">
        <v>163.8</v>
      </c>
      <c r="AF274" t="n">
        <v>0</v>
      </c>
      <c r="AG274" t="n">
        <v>0</v>
      </c>
      <c r="AH274" t="n">
        <v>0.16</v>
      </c>
      <c r="AI274" t="n">
        <v>8.199999999999999</v>
      </c>
      <c r="AJ274" t="n">
        <v>-0.01</v>
      </c>
      <c r="AK274" t="n">
        <v>14.53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48.81</v>
      </c>
      <c r="AV274" t="n">
        <v>0</v>
      </c>
      <c r="AW274" t="n">
        <v>123.18</v>
      </c>
      <c r="AX274" t="inlineStr">
        <is>
          <t>settled</t>
        </is>
      </c>
      <c r="AY274" t="inlineStr">
        <is>
          <t>NA</t>
        </is>
      </c>
      <c r="AZ274" t="inlineStr">
        <is>
          <t>NA</t>
        </is>
      </c>
      <c r="BA274" t="n">
        <v>0</v>
      </c>
      <c r="BB274" t="inlineStr">
        <is>
          <t>9c60b81b6db3169ea9f8c3d5da752e20bb1a7568e91bf0472363c09c8e399c17</t>
        </is>
      </c>
    </row>
    <row r="275">
      <c r="A275" t="inlineStr">
        <is>
          <t>1305</t>
        </is>
      </c>
      <c r="B275" t="inlineStr">
        <is>
          <t>7623793092</t>
        </is>
      </c>
      <c r="C275" t="inlineStr">
        <is>
          <t>2025-12-28 15:22:04</t>
        </is>
      </c>
      <c r="D275" t="inlineStr">
        <is>
          <t>52</t>
        </is>
      </c>
      <c r="E275" t="inlineStr">
        <is>
          <t>Sha Sha - Shandaar Shawarma</t>
        </is>
      </c>
      <c r="F275" t="inlineStr">
        <is>
          <t>18557902</t>
        </is>
      </c>
      <c r="G275" t="inlineStr">
        <is>
          <t>30% off upto ₹75 (2025-06-25 - 2031-01-01)</t>
        </is>
      </c>
      <c r="H275" t="inlineStr">
        <is>
          <t>ONLINE</t>
        </is>
      </c>
      <c r="I275" t="inlineStr">
        <is>
          <t>DELIVERED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O2</t>
        </is>
      </c>
      <c r="N275" t="inlineStr">
        <is>
          <t>36</t>
        </is>
      </c>
      <c r="O275" t="n">
        <v>229</v>
      </c>
      <c r="P275" t="n">
        <v>3.5</v>
      </c>
      <c r="Q275" t="n">
        <v>0</v>
      </c>
      <c r="R275" t="n">
        <v>68.7</v>
      </c>
      <c r="S275" t="n">
        <v>0</v>
      </c>
      <c r="T275" t="n">
        <v>0</v>
      </c>
      <c r="U275" t="n">
        <v>0</v>
      </c>
      <c r="V275" t="n">
        <v>8.19</v>
      </c>
      <c r="W275" t="n">
        <v>171.99</v>
      </c>
      <c r="X275" t="n">
        <v>163.8</v>
      </c>
      <c r="Y275" t="n">
        <v>19</v>
      </c>
      <c r="Z275" t="n">
        <v>31.12</v>
      </c>
      <c r="AA275" t="n">
        <v>3.16</v>
      </c>
      <c r="AB275" t="n">
        <v>34.28</v>
      </c>
      <c r="AC275" t="n">
        <v>6.17</v>
      </c>
      <c r="AD275" t="n">
        <v>0</v>
      </c>
      <c r="AE275" t="n">
        <v>163.8</v>
      </c>
      <c r="AF275" t="n">
        <v>0</v>
      </c>
      <c r="AG275" t="n">
        <v>0</v>
      </c>
      <c r="AH275" t="n">
        <v>0.16</v>
      </c>
      <c r="AI275" t="n">
        <v>8.199999999999999</v>
      </c>
      <c r="AJ275" t="n">
        <v>-0.01</v>
      </c>
      <c r="AK275" t="n">
        <v>14.53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48.81</v>
      </c>
      <c r="AV275" t="n">
        <v>0</v>
      </c>
      <c r="AW275" t="n">
        <v>123.18</v>
      </c>
      <c r="AX275" t="inlineStr">
        <is>
          <t>settled</t>
        </is>
      </c>
      <c r="AY275" t="inlineStr">
        <is>
          <t>NA</t>
        </is>
      </c>
      <c r="AZ275" t="inlineStr">
        <is>
          <t>NA</t>
        </is>
      </c>
      <c r="BA275" t="n">
        <v>0</v>
      </c>
      <c r="BB275" t="inlineStr">
        <is>
          <t>897a918318924767ba8cb7fce1871ecae0e6cf2c2b3459f613b82b50a5df0642</t>
        </is>
      </c>
    </row>
    <row r="276">
      <c r="A276" t="inlineStr">
        <is>
          <t>1306</t>
        </is>
      </c>
      <c r="B276" t="inlineStr">
        <is>
          <t>7626908805</t>
        </is>
      </c>
      <c r="C276" t="inlineStr">
        <is>
          <t>2025-12-28 15:41:34</t>
        </is>
      </c>
      <c r="D276" t="inlineStr">
        <is>
          <t>52</t>
        </is>
      </c>
      <c r="E276" t="inlineStr">
        <is>
          <t>Sha Sha - Shandaar Shawarma</t>
        </is>
      </c>
      <c r="F276" t="inlineStr">
        <is>
          <t>18557902</t>
        </is>
      </c>
      <c r="G276" t="inlineStr">
        <is>
          <t>NA</t>
        </is>
      </c>
      <c r="H276" t="inlineStr">
        <is>
          <t>ONLINE</t>
        </is>
      </c>
      <c r="I276" t="inlineStr">
        <is>
          <t>DELIVERED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O2</t>
        </is>
      </c>
      <c r="N276" t="inlineStr">
        <is>
          <t>36</t>
        </is>
      </c>
      <c r="O276" t="n">
        <v>229</v>
      </c>
      <c r="P276" t="n">
        <v>3.5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11.63</v>
      </c>
      <c r="W276" t="n">
        <v>244.13</v>
      </c>
      <c r="X276" t="n">
        <v>232.5</v>
      </c>
      <c r="Y276" t="n">
        <v>19</v>
      </c>
      <c r="Z276" t="n">
        <v>44.18</v>
      </c>
      <c r="AA276" t="n">
        <v>4.49</v>
      </c>
      <c r="AB276" t="n">
        <v>48.67</v>
      </c>
      <c r="AC276" t="n">
        <v>8.76</v>
      </c>
      <c r="AD276" t="n">
        <v>0</v>
      </c>
      <c r="AE276" t="n">
        <v>232.5</v>
      </c>
      <c r="AF276" t="n">
        <v>0</v>
      </c>
      <c r="AG276" t="n">
        <v>0</v>
      </c>
      <c r="AH276" t="n">
        <v>0.23</v>
      </c>
      <c r="AI276" t="n">
        <v>11.63</v>
      </c>
      <c r="AJ276" t="n">
        <v>0</v>
      </c>
      <c r="AK276" t="n">
        <v>20.62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69.29000000000001</v>
      </c>
      <c r="AV276" t="n">
        <v>0</v>
      </c>
      <c r="AW276" t="n">
        <v>174.84</v>
      </c>
      <c r="AX276" t="inlineStr">
        <is>
          <t>settled</t>
        </is>
      </c>
      <c r="AY276" t="inlineStr">
        <is>
          <t>NA</t>
        </is>
      </c>
      <c r="AZ276" t="inlineStr">
        <is>
          <t>NA</t>
        </is>
      </c>
      <c r="BA276" t="n">
        <v>0</v>
      </c>
      <c r="BB276" t="inlineStr">
        <is>
          <t>405f1663d68c1d99dee37bc8771a8dc29fd1ec6504d063efbe1edf53bb558f3a</t>
        </is>
      </c>
    </row>
    <row r="277">
      <c r="A277" t="inlineStr">
        <is>
          <t>1307</t>
        </is>
      </c>
      <c r="B277" t="inlineStr">
        <is>
          <t>7621351885</t>
        </is>
      </c>
      <c r="C277" t="inlineStr">
        <is>
          <t>2025-12-28 15:45:57</t>
        </is>
      </c>
      <c r="D277" t="inlineStr">
        <is>
          <t>52</t>
        </is>
      </c>
      <c r="E277" t="inlineStr">
        <is>
          <t>Sha Sha - Shandaar Shawarma</t>
        </is>
      </c>
      <c r="F277" t="inlineStr">
        <is>
          <t>18557902</t>
        </is>
      </c>
      <c r="G277" t="inlineStr">
        <is>
          <t>NA</t>
        </is>
      </c>
      <c r="H277" t="inlineStr">
        <is>
          <t>ONLINE</t>
        </is>
      </c>
      <c r="I277" t="inlineStr">
        <is>
          <t>DELIVERED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O2</t>
        </is>
      </c>
      <c r="N277" t="inlineStr">
        <is>
          <t>36</t>
        </is>
      </c>
      <c r="O277" t="n">
        <v>229</v>
      </c>
      <c r="P277" t="n">
        <v>3.5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11.63</v>
      </c>
      <c r="W277" t="n">
        <v>244.13</v>
      </c>
      <c r="X277" t="n">
        <v>232.5</v>
      </c>
      <c r="Y277" t="n">
        <v>19</v>
      </c>
      <c r="Z277" t="n">
        <v>44.18</v>
      </c>
      <c r="AA277" t="n">
        <v>4.49</v>
      </c>
      <c r="AB277" t="n">
        <v>48.67</v>
      </c>
      <c r="AC277" t="n">
        <v>8.76</v>
      </c>
      <c r="AD277" t="n">
        <v>0</v>
      </c>
      <c r="AE277" t="n">
        <v>232.5</v>
      </c>
      <c r="AF277" t="n">
        <v>0</v>
      </c>
      <c r="AG277" t="n">
        <v>0</v>
      </c>
      <c r="AH277" t="n">
        <v>0.23</v>
      </c>
      <c r="AI277" t="n">
        <v>11.63</v>
      </c>
      <c r="AJ277" t="n">
        <v>0</v>
      </c>
      <c r="AK277" t="n">
        <v>20.62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69.29000000000001</v>
      </c>
      <c r="AV277" t="n">
        <v>0</v>
      </c>
      <c r="AW277" t="n">
        <v>174.84</v>
      </c>
      <c r="AX277" t="inlineStr">
        <is>
          <t>settled</t>
        </is>
      </c>
      <c r="AY277" t="inlineStr">
        <is>
          <t>NA</t>
        </is>
      </c>
      <c r="AZ277" t="inlineStr">
        <is>
          <t>NA</t>
        </is>
      </c>
      <c r="BA277" t="n">
        <v>0</v>
      </c>
      <c r="BB277" t="inlineStr">
        <is>
          <t>2e19f45d494968dade1d59450f24ea900efa7dfb5dd62780a35c84226662049a</t>
        </is>
      </c>
    </row>
    <row r="278">
      <c r="A278" t="inlineStr">
        <is>
          <t>1308</t>
        </is>
      </c>
      <c r="B278" t="inlineStr">
        <is>
          <t>7623830271</t>
        </is>
      </c>
      <c r="C278" t="inlineStr">
        <is>
          <t>2025-12-28 15:49:09</t>
        </is>
      </c>
      <c r="D278" t="inlineStr">
        <is>
          <t>52</t>
        </is>
      </c>
      <c r="E278" t="inlineStr">
        <is>
          <t>Sha Sha - Shandaar Shawarma</t>
        </is>
      </c>
      <c r="F278" t="inlineStr">
        <is>
          <t>18557902</t>
        </is>
      </c>
      <c r="G278" t="inlineStr">
        <is>
          <t>NA</t>
        </is>
      </c>
      <c r="H278" t="inlineStr">
        <is>
          <t>ONLINE</t>
        </is>
      </c>
      <c r="I278" t="inlineStr">
        <is>
          <t>DELIVERED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O2</t>
        </is>
      </c>
      <c r="N278" t="inlineStr">
        <is>
          <t>36</t>
        </is>
      </c>
      <c r="O278" t="n">
        <v>229</v>
      </c>
      <c r="P278" t="n">
        <v>3.5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11.63</v>
      </c>
      <c r="W278" t="n">
        <v>244.13</v>
      </c>
      <c r="X278" t="n">
        <v>232.5</v>
      </c>
      <c r="Y278" t="n">
        <v>19</v>
      </c>
      <c r="Z278" t="n">
        <v>44.18</v>
      </c>
      <c r="AA278" t="n">
        <v>4.49</v>
      </c>
      <c r="AB278" t="n">
        <v>48.67</v>
      </c>
      <c r="AC278" t="n">
        <v>8.76</v>
      </c>
      <c r="AD278" t="n">
        <v>0</v>
      </c>
      <c r="AE278" t="n">
        <v>232.5</v>
      </c>
      <c r="AF278" t="n">
        <v>0</v>
      </c>
      <c r="AG278" t="n">
        <v>0</v>
      </c>
      <c r="AH278" t="n">
        <v>0.23</v>
      </c>
      <c r="AI278" t="n">
        <v>11.63</v>
      </c>
      <c r="AJ278" t="n">
        <v>0</v>
      </c>
      <c r="AK278" t="n">
        <v>20.62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69.29000000000001</v>
      </c>
      <c r="AV278" t="n">
        <v>0</v>
      </c>
      <c r="AW278" t="n">
        <v>174.84</v>
      </c>
      <c r="AX278" t="inlineStr">
        <is>
          <t>settled</t>
        </is>
      </c>
      <c r="AY278" t="inlineStr">
        <is>
          <t>NA</t>
        </is>
      </c>
      <c r="AZ278" t="inlineStr">
        <is>
          <t>NA</t>
        </is>
      </c>
      <c r="BA278" t="n">
        <v>0</v>
      </c>
      <c r="BB278" t="inlineStr">
        <is>
          <t>2e19f45d494968dade1d59450f24ea900efa7dfb5dd62780a35c84226662049a</t>
        </is>
      </c>
    </row>
    <row r="279">
      <c r="A279" t="inlineStr">
        <is>
          <t>1309</t>
        </is>
      </c>
      <c r="B279" t="inlineStr">
        <is>
          <t>7624400872</t>
        </is>
      </c>
      <c r="C279" t="inlineStr">
        <is>
          <t>2025-12-28 15:56:56</t>
        </is>
      </c>
      <c r="D279" t="inlineStr">
        <is>
          <t>52</t>
        </is>
      </c>
      <c r="E279" t="inlineStr">
        <is>
          <t>Sha Sha - Shandaar Shawarma</t>
        </is>
      </c>
      <c r="F279" t="inlineStr">
        <is>
          <t>18557902</t>
        </is>
      </c>
      <c r="G279" t="inlineStr">
        <is>
          <t>NA</t>
        </is>
      </c>
      <c r="H279" t="inlineStr">
        <is>
          <t>ONLINE</t>
        </is>
      </c>
      <c r="I279" t="inlineStr">
        <is>
          <t>DELIVERED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O2</t>
        </is>
      </c>
      <c r="N279" t="inlineStr">
        <is>
          <t>36</t>
        </is>
      </c>
      <c r="O279" t="n">
        <v>219</v>
      </c>
      <c r="P279" t="n">
        <v>3.5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11.13</v>
      </c>
      <c r="W279" t="n">
        <v>233.63</v>
      </c>
      <c r="X279" t="n">
        <v>222.5</v>
      </c>
      <c r="Y279" t="n">
        <v>19</v>
      </c>
      <c r="Z279" t="n">
        <v>42.28</v>
      </c>
      <c r="AA279" t="n">
        <v>4.3</v>
      </c>
      <c r="AB279" t="n">
        <v>46.58</v>
      </c>
      <c r="AC279" t="n">
        <v>8.380000000000001</v>
      </c>
      <c r="AD279" t="n">
        <v>0</v>
      </c>
      <c r="AE279" t="n">
        <v>222.5</v>
      </c>
      <c r="AF279" t="n">
        <v>0</v>
      </c>
      <c r="AG279" t="n">
        <v>0</v>
      </c>
      <c r="AH279" t="n">
        <v>0.22</v>
      </c>
      <c r="AI279" t="n">
        <v>11.13</v>
      </c>
      <c r="AJ279" t="n">
        <v>0</v>
      </c>
      <c r="AK279" t="n">
        <v>19.73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66.31</v>
      </c>
      <c r="AV279" t="n">
        <v>0</v>
      </c>
      <c r="AW279" t="n">
        <v>167.32</v>
      </c>
      <c r="AX279" t="inlineStr">
        <is>
          <t>settled</t>
        </is>
      </c>
      <c r="AY279" t="inlineStr">
        <is>
          <t>NA</t>
        </is>
      </c>
      <c r="AZ279" t="inlineStr">
        <is>
          <t>NA</t>
        </is>
      </c>
      <c r="BA279" t="n">
        <v>0</v>
      </c>
      <c r="BB279" t="inlineStr">
        <is>
          <t>25a7da0d30de9a2f29033343cb266c51dde8e16f012716f296853a65e82f2cab</t>
        </is>
      </c>
    </row>
    <row r="280">
      <c r="A280" t="inlineStr">
        <is>
          <t>1310</t>
        </is>
      </c>
      <c r="B280" t="inlineStr">
        <is>
          <t>7626312621</t>
        </is>
      </c>
      <c r="C280" t="inlineStr">
        <is>
          <t>2025-12-28 16:39:49</t>
        </is>
      </c>
      <c r="D280" t="inlineStr">
        <is>
          <t>52</t>
        </is>
      </c>
      <c r="E280" t="inlineStr">
        <is>
          <t>Sha Sha - Shandaar Shawarma</t>
        </is>
      </c>
      <c r="F280" t="inlineStr">
        <is>
          <t>18557902</t>
        </is>
      </c>
      <c r="G280" t="inlineStr">
        <is>
          <t>30% off upto ₹75 (2025-06-25 - 2031-01-01)</t>
        </is>
      </c>
      <c r="H280" t="inlineStr">
        <is>
          <t>ONLINE</t>
        </is>
      </c>
      <c r="I280" t="inlineStr">
        <is>
          <t>DELIVERED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O2</t>
        </is>
      </c>
      <c r="N280" t="inlineStr">
        <is>
          <t>36</t>
        </is>
      </c>
      <c r="O280" t="n">
        <v>258</v>
      </c>
      <c r="P280" t="n">
        <v>3.5</v>
      </c>
      <c r="Q280" t="n">
        <v>0</v>
      </c>
      <c r="R280" t="n">
        <v>75</v>
      </c>
      <c r="S280" t="n">
        <v>0</v>
      </c>
      <c r="T280" t="n">
        <v>0</v>
      </c>
      <c r="U280" t="n">
        <v>0</v>
      </c>
      <c r="V280" t="n">
        <v>9.33</v>
      </c>
      <c r="W280" t="n">
        <v>195.83</v>
      </c>
      <c r="X280" t="n">
        <v>186.5</v>
      </c>
      <c r="Y280" t="n">
        <v>19</v>
      </c>
      <c r="Z280" t="n">
        <v>35.44</v>
      </c>
      <c r="AA280" t="n">
        <v>3.6</v>
      </c>
      <c r="AB280" t="n">
        <v>39.04</v>
      </c>
      <c r="AC280" t="n">
        <v>7.03</v>
      </c>
      <c r="AD280" t="n">
        <v>0</v>
      </c>
      <c r="AE280" t="n">
        <v>186.5</v>
      </c>
      <c r="AF280" t="n">
        <v>0</v>
      </c>
      <c r="AG280" t="n">
        <v>0</v>
      </c>
      <c r="AH280" t="n">
        <v>0.19</v>
      </c>
      <c r="AI280" t="n">
        <v>9.33</v>
      </c>
      <c r="AJ280" t="n">
        <v>0</v>
      </c>
      <c r="AK280" t="n">
        <v>16.55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55.59</v>
      </c>
      <c r="AV280" t="n">
        <v>0</v>
      </c>
      <c r="AW280" t="n">
        <v>140.24</v>
      </c>
      <c r="AX280" t="inlineStr">
        <is>
          <t>settled</t>
        </is>
      </c>
      <c r="AY280" t="inlineStr">
        <is>
          <t>NA</t>
        </is>
      </c>
      <c r="AZ280" t="inlineStr">
        <is>
          <t>NA</t>
        </is>
      </c>
      <c r="BA280" t="n">
        <v>0</v>
      </c>
      <c r="BB280" t="inlineStr">
        <is>
          <t>65533112fa5760306066cf879d415afa5f105def07fcc833dcd0bc8e278c5d85</t>
        </is>
      </c>
    </row>
    <row r="281">
      <c r="A281" t="inlineStr">
        <is>
          <t>1311</t>
        </is>
      </c>
      <c r="B281" t="inlineStr">
        <is>
          <t>7621592381</t>
        </is>
      </c>
      <c r="C281" t="inlineStr">
        <is>
          <t>2025-12-28 17:35:12</t>
        </is>
      </c>
      <c r="D281" t="inlineStr">
        <is>
          <t>52</t>
        </is>
      </c>
      <c r="E281" t="inlineStr">
        <is>
          <t>Sha Sha - Shandaar Shawarma</t>
        </is>
      </c>
      <c r="F281" t="inlineStr">
        <is>
          <t>18557902</t>
        </is>
      </c>
      <c r="G281" t="inlineStr">
        <is>
          <t>30% off upto ₹75 (2025-06-25 - 2031-01-01)</t>
        </is>
      </c>
      <c r="H281" t="inlineStr">
        <is>
          <t>ONLINE</t>
        </is>
      </c>
      <c r="I281" t="inlineStr">
        <is>
          <t>DELIVERED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O2</t>
        </is>
      </c>
      <c r="N281" t="inlineStr">
        <is>
          <t>36</t>
        </is>
      </c>
      <c r="O281" t="n">
        <v>229</v>
      </c>
      <c r="P281" t="n">
        <v>3.5</v>
      </c>
      <c r="Q281" t="n">
        <v>0</v>
      </c>
      <c r="R281" t="n">
        <v>68.7</v>
      </c>
      <c r="S281" t="n">
        <v>0</v>
      </c>
      <c r="T281" t="n">
        <v>0</v>
      </c>
      <c r="U281" t="n">
        <v>0</v>
      </c>
      <c r="V281" t="n">
        <v>8.19</v>
      </c>
      <c r="W281" t="n">
        <v>171.99</v>
      </c>
      <c r="X281" t="n">
        <v>163.8</v>
      </c>
      <c r="Y281" t="n">
        <v>19</v>
      </c>
      <c r="Z281" t="n">
        <v>31.12</v>
      </c>
      <c r="AA281" t="n">
        <v>3.16</v>
      </c>
      <c r="AB281" t="n">
        <v>34.28</v>
      </c>
      <c r="AC281" t="n">
        <v>6.17</v>
      </c>
      <c r="AD281" t="n">
        <v>0</v>
      </c>
      <c r="AE281" t="n">
        <v>163.8</v>
      </c>
      <c r="AF281" t="n">
        <v>0</v>
      </c>
      <c r="AG281" t="n">
        <v>0</v>
      </c>
      <c r="AH281" t="n">
        <v>0.16</v>
      </c>
      <c r="AI281" t="n">
        <v>8.199999999999999</v>
      </c>
      <c r="AJ281" t="n">
        <v>-0.01</v>
      </c>
      <c r="AK281" t="n">
        <v>14.53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48.81</v>
      </c>
      <c r="AV281" t="n">
        <v>0</v>
      </c>
      <c r="AW281" t="n">
        <v>123.18</v>
      </c>
      <c r="AX281" t="inlineStr">
        <is>
          <t>settled</t>
        </is>
      </c>
      <c r="AY281" t="inlineStr">
        <is>
          <t>NA</t>
        </is>
      </c>
      <c r="AZ281" t="inlineStr">
        <is>
          <t>NA</t>
        </is>
      </c>
      <c r="BA281" t="n">
        <v>0</v>
      </c>
      <c r="BB281" t="inlineStr">
        <is>
          <t>60187559de2db862b4e25910cbe5a78042f567acdd45a1ad341ab8daa6042f1a</t>
        </is>
      </c>
    </row>
    <row r="282">
      <c r="A282" t="inlineStr">
        <is>
          <t>1312</t>
        </is>
      </c>
      <c r="B282" t="inlineStr">
        <is>
          <t>7623486953</t>
        </is>
      </c>
      <c r="C282" t="inlineStr">
        <is>
          <t>2025-12-28 17:48:18</t>
        </is>
      </c>
      <c r="D282" t="inlineStr">
        <is>
          <t>52</t>
        </is>
      </c>
      <c r="E282" t="inlineStr">
        <is>
          <t>Sha Sha - Shandaar Shawarma</t>
        </is>
      </c>
      <c r="F282" t="inlineStr">
        <is>
          <t>18557902</t>
        </is>
      </c>
      <c r="G282" t="inlineStr">
        <is>
          <t>30% off upto ₹75 (2025-06-25 - 2031-01-01)</t>
        </is>
      </c>
      <c r="H282" t="inlineStr">
        <is>
          <t>ONLINE</t>
        </is>
      </c>
      <c r="I282" t="inlineStr">
        <is>
          <t>DELIVERED</t>
        </is>
      </c>
      <c r="J282" t="inlineStr">
        <is>
          <t>NA</t>
        </is>
      </c>
      <c r="K282" t="inlineStr">
        <is>
          <t>NA</t>
        </is>
      </c>
      <c r="L282" t="inlineStr">
        <is>
          <t>NA</t>
        </is>
      </c>
      <c r="M282" t="inlineStr">
        <is>
          <t>O2</t>
        </is>
      </c>
      <c r="N282" t="inlineStr">
        <is>
          <t>36</t>
        </is>
      </c>
      <c r="O282" t="n">
        <v>229</v>
      </c>
      <c r="P282" t="n">
        <v>3.5</v>
      </c>
      <c r="Q282" t="n">
        <v>0</v>
      </c>
      <c r="R282" t="n">
        <v>68.7</v>
      </c>
      <c r="S282" t="n">
        <v>0</v>
      </c>
      <c r="T282" t="n">
        <v>0</v>
      </c>
      <c r="U282" t="n">
        <v>0</v>
      </c>
      <c r="V282" t="n">
        <v>8.19</v>
      </c>
      <c r="W282" t="n">
        <v>171.99</v>
      </c>
      <c r="X282" t="n">
        <v>163.8</v>
      </c>
      <c r="Y282" t="n">
        <v>19</v>
      </c>
      <c r="Z282" t="n">
        <v>31.12</v>
      </c>
      <c r="AA282" t="n">
        <v>3.16</v>
      </c>
      <c r="AB282" t="n">
        <v>34.28</v>
      </c>
      <c r="AC282" t="n">
        <v>6.17</v>
      </c>
      <c r="AD282" t="n">
        <v>0</v>
      </c>
      <c r="AE282" t="n">
        <v>163.8</v>
      </c>
      <c r="AF282" t="n">
        <v>0</v>
      </c>
      <c r="AG282" t="n">
        <v>0</v>
      </c>
      <c r="AH282" t="n">
        <v>0.16</v>
      </c>
      <c r="AI282" t="n">
        <v>8.199999999999999</v>
      </c>
      <c r="AJ282" t="n">
        <v>-0.01</v>
      </c>
      <c r="AK282" t="n">
        <v>14.53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48.81</v>
      </c>
      <c r="AV282" t="n">
        <v>0</v>
      </c>
      <c r="AW282" t="n">
        <v>123.18</v>
      </c>
      <c r="AX282" t="inlineStr">
        <is>
          <t>settled</t>
        </is>
      </c>
      <c r="AY282" t="inlineStr">
        <is>
          <t>NA</t>
        </is>
      </c>
      <c r="AZ282" t="inlineStr">
        <is>
          <t>NA</t>
        </is>
      </c>
      <c r="BA282" t="n">
        <v>0</v>
      </c>
      <c r="BB282" t="inlineStr">
        <is>
          <t>52998f86b7e56036849ca883982de23e73c640468df6abb2875262671032860c</t>
        </is>
      </c>
    </row>
    <row r="283">
      <c r="A283" t="inlineStr">
        <is>
          <t>1313</t>
        </is>
      </c>
      <c r="B283" t="inlineStr">
        <is>
          <t>7628906198</t>
        </is>
      </c>
      <c r="C283" t="inlineStr">
        <is>
          <t>2025-12-28 18:31:03</t>
        </is>
      </c>
      <c r="D283" t="inlineStr">
        <is>
          <t>52</t>
        </is>
      </c>
      <c r="E283" t="inlineStr">
        <is>
          <t>Sha Sha - Shandaar Shawarma</t>
        </is>
      </c>
      <c r="F283" t="inlineStr">
        <is>
          <t>18557902</t>
        </is>
      </c>
      <c r="G283" t="inlineStr">
        <is>
          <t>30% off upto ₹75 (2025-06-25 - 2031-01-01)</t>
        </is>
      </c>
      <c r="H283" t="inlineStr">
        <is>
          <t>ONLINE</t>
        </is>
      </c>
      <c r="I283" t="inlineStr">
        <is>
          <t>DELIVERED</t>
        </is>
      </c>
      <c r="J283" t="inlineStr">
        <is>
          <t>NA</t>
        </is>
      </c>
      <c r="K283" t="inlineStr">
        <is>
          <t>NA</t>
        </is>
      </c>
      <c r="L283" t="inlineStr">
        <is>
          <t>NA</t>
        </is>
      </c>
      <c r="M283" t="inlineStr">
        <is>
          <t>O2</t>
        </is>
      </c>
      <c r="N283" t="inlineStr">
        <is>
          <t>36</t>
        </is>
      </c>
      <c r="O283" t="n">
        <v>219</v>
      </c>
      <c r="P283" t="n">
        <v>3.5</v>
      </c>
      <c r="Q283" t="n">
        <v>0</v>
      </c>
      <c r="R283" t="n">
        <v>65.7</v>
      </c>
      <c r="S283" t="n">
        <v>0</v>
      </c>
      <c r="T283" t="n">
        <v>0</v>
      </c>
      <c r="U283" t="n">
        <v>0</v>
      </c>
      <c r="V283" t="n">
        <v>7.84</v>
      </c>
      <c r="W283" t="n">
        <v>164.64</v>
      </c>
      <c r="X283" t="n">
        <v>156.8</v>
      </c>
      <c r="Y283" t="n">
        <v>19</v>
      </c>
      <c r="Z283" t="n">
        <v>29.79</v>
      </c>
      <c r="AA283" t="n">
        <v>3.03</v>
      </c>
      <c r="AB283" t="n">
        <v>32.82</v>
      </c>
      <c r="AC283" t="n">
        <v>5.91</v>
      </c>
      <c r="AD283" t="n">
        <v>0</v>
      </c>
      <c r="AE283" t="n">
        <v>156.8</v>
      </c>
      <c r="AF283" t="n">
        <v>0</v>
      </c>
      <c r="AG283" t="n">
        <v>0</v>
      </c>
      <c r="AH283" t="n">
        <v>0.16</v>
      </c>
      <c r="AI283" t="n">
        <v>7.85</v>
      </c>
      <c r="AJ283" t="n">
        <v>-0.01</v>
      </c>
      <c r="AK283" t="n">
        <v>13.92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46.74</v>
      </c>
      <c r="AV283" t="n">
        <v>0</v>
      </c>
      <c r="AW283" t="n">
        <v>117.9</v>
      </c>
      <c r="AX283" t="inlineStr">
        <is>
          <t>settled</t>
        </is>
      </c>
      <c r="AY283" t="inlineStr">
        <is>
          <t>NA</t>
        </is>
      </c>
      <c r="AZ283" t="inlineStr">
        <is>
          <t>NA</t>
        </is>
      </c>
      <c r="BA283" t="n">
        <v>0</v>
      </c>
      <c r="BB283" t="inlineStr">
        <is>
          <t>b105d1b978c3491294ffd5e3f4184b93a1708cabf4ff6c952736469b5b2f704e</t>
        </is>
      </c>
    </row>
    <row r="284">
      <c r="A284" t="inlineStr">
        <is>
          <t>1314</t>
        </is>
      </c>
      <c r="B284" t="inlineStr">
        <is>
          <t>7618781657</t>
        </is>
      </c>
      <c r="C284" t="inlineStr">
        <is>
          <t>2025-12-28 19:33:22</t>
        </is>
      </c>
      <c r="D284" t="inlineStr">
        <is>
          <t>52</t>
        </is>
      </c>
      <c r="E284" t="inlineStr">
        <is>
          <t>Sha Sha - Shandaar Shawarma</t>
        </is>
      </c>
      <c r="F284" t="inlineStr">
        <is>
          <t>18557902</t>
        </is>
      </c>
      <c r="G284" t="inlineStr">
        <is>
          <t>30% off upto ₹75 (2025-06-25 - 2031-01-01)</t>
        </is>
      </c>
      <c r="H284" t="inlineStr">
        <is>
          <t>ONLINE</t>
        </is>
      </c>
      <c r="I284" t="inlineStr">
        <is>
          <t>DELIVERED</t>
        </is>
      </c>
      <c r="J284" t="inlineStr">
        <is>
          <t>NA</t>
        </is>
      </c>
      <c r="K284" t="inlineStr">
        <is>
          <t>NA</t>
        </is>
      </c>
      <c r="L284" t="inlineStr">
        <is>
          <t>NA</t>
        </is>
      </c>
      <c r="M284" t="inlineStr">
        <is>
          <t>O2</t>
        </is>
      </c>
      <c r="N284" t="inlineStr">
        <is>
          <t>36</t>
        </is>
      </c>
      <c r="O284" t="n">
        <v>219</v>
      </c>
      <c r="P284" t="n">
        <v>3.5</v>
      </c>
      <c r="Q284" t="n">
        <v>0</v>
      </c>
      <c r="R284" t="n">
        <v>65.7</v>
      </c>
      <c r="S284" t="n">
        <v>0</v>
      </c>
      <c r="T284" t="n">
        <v>0</v>
      </c>
      <c r="U284" t="n">
        <v>0</v>
      </c>
      <c r="V284" t="n">
        <v>7.84</v>
      </c>
      <c r="W284" t="n">
        <v>164.64</v>
      </c>
      <c r="X284" t="n">
        <v>156.8</v>
      </c>
      <c r="Y284" t="n">
        <v>19</v>
      </c>
      <c r="Z284" t="n">
        <v>29.79</v>
      </c>
      <c r="AA284" t="n">
        <v>3.03</v>
      </c>
      <c r="AB284" t="n">
        <v>32.82</v>
      </c>
      <c r="AC284" t="n">
        <v>5.91</v>
      </c>
      <c r="AD284" t="n">
        <v>0</v>
      </c>
      <c r="AE284" t="n">
        <v>156.8</v>
      </c>
      <c r="AF284" t="n">
        <v>0</v>
      </c>
      <c r="AG284" t="n">
        <v>0</v>
      </c>
      <c r="AH284" t="n">
        <v>0.16</v>
      </c>
      <c r="AI284" t="n">
        <v>7.85</v>
      </c>
      <c r="AJ284" t="n">
        <v>-0.01</v>
      </c>
      <c r="AK284" t="n">
        <v>13.92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46.74</v>
      </c>
      <c r="AV284" t="n">
        <v>0</v>
      </c>
      <c r="AW284" t="n">
        <v>117.9</v>
      </c>
      <c r="AX284" t="inlineStr">
        <is>
          <t>settled</t>
        </is>
      </c>
      <c r="AY284" t="inlineStr">
        <is>
          <t>NA</t>
        </is>
      </c>
      <c r="AZ284" t="inlineStr">
        <is>
          <t>NA</t>
        </is>
      </c>
      <c r="BA284" t="n">
        <v>0</v>
      </c>
      <c r="BB284" t="inlineStr">
        <is>
          <t>6ec418f9ade4496b2ac01147f2fab3a872ef170ce1c29c0ccb3747134e9dd679</t>
        </is>
      </c>
    </row>
    <row r="285">
      <c r="A285" t="inlineStr">
        <is>
          <t>1315</t>
        </is>
      </c>
      <c r="B285" t="inlineStr">
        <is>
          <t>7630885767</t>
        </is>
      </c>
      <c r="C285" t="inlineStr">
        <is>
          <t>2025-12-28 19:33:41</t>
        </is>
      </c>
      <c r="D285" t="inlineStr">
        <is>
          <t>52</t>
        </is>
      </c>
      <c r="E285" t="inlineStr">
        <is>
          <t>Sha Sha - Shandaar Shawarma</t>
        </is>
      </c>
      <c r="F285" t="inlineStr">
        <is>
          <t>18557902</t>
        </is>
      </c>
      <c r="G285" t="inlineStr">
        <is>
          <t>30% off upto ₹75 (2025-06-25 - 2031-01-01)</t>
        </is>
      </c>
      <c r="H285" t="inlineStr">
        <is>
          <t>ONLINE</t>
        </is>
      </c>
      <c r="I285" t="inlineStr">
        <is>
          <t>DELIVERED</t>
        </is>
      </c>
      <c r="J285" t="inlineStr">
        <is>
          <t>NA</t>
        </is>
      </c>
      <c r="K285" t="inlineStr">
        <is>
          <t>NA</t>
        </is>
      </c>
      <c r="L285" t="inlineStr">
        <is>
          <t>NA</t>
        </is>
      </c>
      <c r="M285" t="inlineStr">
        <is>
          <t>O2</t>
        </is>
      </c>
      <c r="N285" t="inlineStr">
        <is>
          <t>36</t>
        </is>
      </c>
      <c r="O285" t="n">
        <v>219</v>
      </c>
      <c r="P285" t="n">
        <v>3.5</v>
      </c>
      <c r="Q285" t="n">
        <v>0</v>
      </c>
      <c r="R285" t="n">
        <v>65.7</v>
      </c>
      <c r="S285" t="n">
        <v>0</v>
      </c>
      <c r="T285" t="n">
        <v>0</v>
      </c>
      <c r="U285" t="n">
        <v>0</v>
      </c>
      <c r="V285" t="n">
        <v>7.84</v>
      </c>
      <c r="W285" t="n">
        <v>164.64</v>
      </c>
      <c r="X285" t="n">
        <v>156.8</v>
      </c>
      <c r="Y285" t="n">
        <v>19</v>
      </c>
      <c r="Z285" t="n">
        <v>29.79</v>
      </c>
      <c r="AA285" t="n">
        <v>3.03</v>
      </c>
      <c r="AB285" t="n">
        <v>32.82</v>
      </c>
      <c r="AC285" t="n">
        <v>5.91</v>
      </c>
      <c r="AD285" t="n">
        <v>0</v>
      </c>
      <c r="AE285" t="n">
        <v>156.8</v>
      </c>
      <c r="AF285" t="n">
        <v>0</v>
      </c>
      <c r="AG285" t="n">
        <v>0</v>
      </c>
      <c r="AH285" t="n">
        <v>0.16</v>
      </c>
      <c r="AI285" t="n">
        <v>7.85</v>
      </c>
      <c r="AJ285" t="n">
        <v>-0.01</v>
      </c>
      <c r="AK285" t="n">
        <v>13.92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46.74</v>
      </c>
      <c r="AV285" t="n">
        <v>0</v>
      </c>
      <c r="AW285" t="n">
        <v>117.9</v>
      </c>
      <c r="AX285" t="inlineStr">
        <is>
          <t>settled</t>
        </is>
      </c>
      <c r="AY285" t="inlineStr">
        <is>
          <t>NA</t>
        </is>
      </c>
      <c r="AZ285" t="inlineStr">
        <is>
          <t>NA</t>
        </is>
      </c>
      <c r="BA285" t="n">
        <v>0</v>
      </c>
      <c r="BB285" t="inlineStr">
        <is>
          <t>abc6f37cfe303ea2d65954d6449b3604d699d9e42f99d27338a94d01d0577221</t>
        </is>
      </c>
    </row>
    <row r="286">
      <c r="A286" t="inlineStr">
        <is>
          <t>1316</t>
        </is>
      </c>
      <c r="B286" t="inlineStr">
        <is>
          <t>7628360923</t>
        </is>
      </c>
      <c r="C286" t="inlineStr">
        <is>
          <t>2025-12-28 20:17:36</t>
        </is>
      </c>
      <c r="D286" t="inlineStr">
        <is>
          <t>52</t>
        </is>
      </c>
      <c r="E286" t="inlineStr">
        <is>
          <t>Sha Sha - Shandaar Shawarma</t>
        </is>
      </c>
      <c r="F286" t="inlineStr">
        <is>
          <t>18557902</t>
        </is>
      </c>
      <c r="G286" t="inlineStr">
        <is>
          <t>30% off upto ₹75 (2025-06-25 - 2031-01-01)</t>
        </is>
      </c>
      <c r="H286" t="inlineStr">
        <is>
          <t>ONLINE</t>
        </is>
      </c>
      <c r="I286" t="inlineStr">
        <is>
          <t>DELIVERED</t>
        </is>
      </c>
      <c r="J286" t="inlineStr">
        <is>
          <t>NA</t>
        </is>
      </c>
      <c r="K286" t="inlineStr">
        <is>
          <t>NA</t>
        </is>
      </c>
      <c r="L286" t="inlineStr">
        <is>
          <t>NA</t>
        </is>
      </c>
      <c r="M286" t="inlineStr">
        <is>
          <t>O2</t>
        </is>
      </c>
      <c r="N286" t="inlineStr">
        <is>
          <t>36</t>
        </is>
      </c>
      <c r="O286" t="n">
        <v>355</v>
      </c>
      <c r="P286" t="n">
        <v>3.5</v>
      </c>
      <c r="Q286" t="n">
        <v>0</v>
      </c>
      <c r="R286" t="n">
        <v>75</v>
      </c>
      <c r="S286" t="n">
        <v>0</v>
      </c>
      <c r="T286" t="n">
        <v>0</v>
      </c>
      <c r="U286" t="n">
        <v>0</v>
      </c>
      <c r="V286" t="n">
        <v>14.18</v>
      </c>
      <c r="W286" t="n">
        <v>297.68</v>
      </c>
      <c r="X286" t="n">
        <v>283.5</v>
      </c>
      <c r="Y286" t="n">
        <v>19</v>
      </c>
      <c r="Z286" t="n">
        <v>53.86</v>
      </c>
      <c r="AA286" t="n">
        <v>5.48</v>
      </c>
      <c r="AB286" t="n">
        <v>59.34</v>
      </c>
      <c r="AC286" t="n">
        <v>10.68</v>
      </c>
      <c r="AD286" t="n">
        <v>0</v>
      </c>
      <c r="AE286" t="n">
        <v>283.5</v>
      </c>
      <c r="AF286" t="n">
        <v>0</v>
      </c>
      <c r="AG286" t="n">
        <v>0</v>
      </c>
      <c r="AH286" t="n">
        <v>0.28</v>
      </c>
      <c r="AI286" t="n">
        <v>14.18</v>
      </c>
      <c r="AJ286" t="n">
        <v>0</v>
      </c>
      <c r="AK286" t="n">
        <v>25.14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84.48</v>
      </c>
      <c r="AV286" t="n">
        <v>0</v>
      </c>
      <c r="AW286" t="n">
        <v>213.2</v>
      </c>
      <c r="AX286" t="inlineStr">
        <is>
          <t>settled</t>
        </is>
      </c>
      <c r="AY286" t="inlineStr">
        <is>
          <t>NA</t>
        </is>
      </c>
      <c r="AZ286" t="inlineStr">
        <is>
          <t>NA</t>
        </is>
      </c>
      <c r="BA286" t="n">
        <v>0</v>
      </c>
      <c r="BB286" t="inlineStr">
        <is>
          <t>08f7fb8c9b34de191093cb4ea335fc67de976c66e9c117ed63db7f1f0528aa4c</t>
        </is>
      </c>
    </row>
    <row r="287">
      <c r="A287" t="inlineStr">
        <is>
          <t>1317</t>
        </is>
      </c>
      <c r="B287" t="inlineStr">
        <is>
          <t>7631253221</t>
        </is>
      </c>
      <c r="C287" t="inlineStr">
        <is>
          <t>2025-12-28 20:37:03</t>
        </is>
      </c>
      <c r="D287" t="inlineStr">
        <is>
          <t>52</t>
        </is>
      </c>
      <c r="E287" t="inlineStr">
        <is>
          <t>Sha Sha - Shandaar Shawarma</t>
        </is>
      </c>
      <c r="F287" t="inlineStr">
        <is>
          <t>18557902</t>
        </is>
      </c>
      <c r="G287" t="inlineStr">
        <is>
          <t>30% off upto ₹75 (2025-06-25 - 2031-01-01)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NA</t>
        </is>
      </c>
      <c r="K287" t="inlineStr">
        <is>
          <t>NA</t>
        </is>
      </c>
      <c r="L287" t="inlineStr">
        <is>
          <t>NA</t>
        </is>
      </c>
      <c r="M287" t="inlineStr">
        <is>
          <t>O2</t>
        </is>
      </c>
      <c r="N287" t="inlineStr">
        <is>
          <t>36</t>
        </is>
      </c>
      <c r="O287" t="n">
        <v>229</v>
      </c>
      <c r="P287" t="n">
        <v>3.5</v>
      </c>
      <c r="Q287" t="n">
        <v>0</v>
      </c>
      <c r="R287" t="n">
        <v>68.7</v>
      </c>
      <c r="S287" t="n">
        <v>0</v>
      </c>
      <c r="T287" t="n">
        <v>0</v>
      </c>
      <c r="U287" t="n">
        <v>0</v>
      </c>
      <c r="V287" t="n">
        <v>8.19</v>
      </c>
      <c r="W287" t="n">
        <v>171.99</v>
      </c>
      <c r="X287" t="n">
        <v>163.8</v>
      </c>
      <c r="Y287" t="n">
        <v>19</v>
      </c>
      <c r="Z287" t="n">
        <v>31.12</v>
      </c>
      <c r="AA287" t="n">
        <v>3.16</v>
      </c>
      <c r="AB287" t="n">
        <v>34.28</v>
      </c>
      <c r="AC287" t="n">
        <v>6.17</v>
      </c>
      <c r="AD287" t="n">
        <v>0</v>
      </c>
      <c r="AE287" t="n">
        <v>163.8</v>
      </c>
      <c r="AF287" t="n">
        <v>0</v>
      </c>
      <c r="AG287" t="n">
        <v>0</v>
      </c>
      <c r="AH287" t="n">
        <v>0.16</v>
      </c>
      <c r="AI287" t="n">
        <v>8.199999999999999</v>
      </c>
      <c r="AJ287" t="n">
        <v>-0.01</v>
      </c>
      <c r="AK287" t="n">
        <v>14.53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48.81</v>
      </c>
      <c r="AV287" t="n">
        <v>0</v>
      </c>
      <c r="AW287" t="n">
        <v>123.18</v>
      </c>
      <c r="AX287" t="inlineStr">
        <is>
          <t>settled</t>
        </is>
      </c>
      <c r="AY287" t="inlineStr">
        <is>
          <t>NA</t>
        </is>
      </c>
      <c r="AZ287" t="inlineStr">
        <is>
          <t>NA</t>
        </is>
      </c>
      <c r="BA287" t="n">
        <v>0</v>
      </c>
      <c r="BB287" t="inlineStr">
        <is>
          <t>57a21cc73e8f4d8b6908a4a0649e469429c2ee14bba648ddc44b4cf6f25d7d38</t>
        </is>
      </c>
    </row>
    <row r="288">
      <c r="A288" t="inlineStr">
        <is>
          <t>1318</t>
        </is>
      </c>
      <c r="B288" t="inlineStr">
        <is>
          <t>7612055914</t>
        </is>
      </c>
      <c r="C288" t="inlineStr">
        <is>
          <t>2025-12-28 20:40:59</t>
        </is>
      </c>
      <c r="D288" t="inlineStr">
        <is>
          <t>52</t>
        </is>
      </c>
      <c r="E288" t="inlineStr">
        <is>
          <t>Sha Sha - Shandaar Shawarma</t>
        </is>
      </c>
      <c r="F288" t="inlineStr">
        <is>
          <t>18557902</t>
        </is>
      </c>
      <c r="G288" t="inlineStr">
        <is>
          <t>30% off upto ₹75 (2025-06-25 - 2031-01-01)</t>
        </is>
      </c>
      <c r="H288" t="inlineStr">
        <is>
          <t>ONLINE</t>
        </is>
      </c>
      <c r="I288" t="inlineStr">
        <is>
          <t>DELIVERED</t>
        </is>
      </c>
      <c r="J288" t="inlineStr">
        <is>
          <t>NA</t>
        </is>
      </c>
      <c r="K288" t="inlineStr">
        <is>
          <t>NA</t>
        </is>
      </c>
      <c r="L288" t="inlineStr">
        <is>
          <t>NA</t>
        </is>
      </c>
      <c r="M288" t="inlineStr">
        <is>
          <t>O2</t>
        </is>
      </c>
      <c r="N288" t="inlineStr">
        <is>
          <t>36</t>
        </is>
      </c>
      <c r="O288" t="n">
        <v>229</v>
      </c>
      <c r="P288" t="n">
        <v>3.5</v>
      </c>
      <c r="Q288" t="n">
        <v>0</v>
      </c>
      <c r="R288" t="n">
        <v>68.7</v>
      </c>
      <c r="S288" t="n">
        <v>0</v>
      </c>
      <c r="T288" t="n">
        <v>0</v>
      </c>
      <c r="U288" t="n">
        <v>0</v>
      </c>
      <c r="V288" t="n">
        <v>8.19</v>
      </c>
      <c r="W288" t="n">
        <v>171.99</v>
      </c>
      <c r="X288" t="n">
        <v>163.8</v>
      </c>
      <c r="Y288" t="n">
        <v>19</v>
      </c>
      <c r="Z288" t="n">
        <v>31.12</v>
      </c>
      <c r="AA288" t="n">
        <v>3.16</v>
      </c>
      <c r="AB288" t="n">
        <v>34.28</v>
      </c>
      <c r="AC288" t="n">
        <v>6.17</v>
      </c>
      <c r="AD288" t="n">
        <v>0</v>
      </c>
      <c r="AE288" t="n">
        <v>163.8</v>
      </c>
      <c r="AF288" t="n">
        <v>0</v>
      </c>
      <c r="AG288" t="n">
        <v>0</v>
      </c>
      <c r="AH288" t="n">
        <v>0.16</v>
      </c>
      <c r="AI288" t="n">
        <v>8.199999999999999</v>
      </c>
      <c r="AJ288" t="n">
        <v>-0.01</v>
      </c>
      <c r="AK288" t="n">
        <v>14.53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48.81</v>
      </c>
      <c r="AV288" t="n">
        <v>0</v>
      </c>
      <c r="AW288" t="n">
        <v>123.18</v>
      </c>
      <c r="AX288" t="inlineStr">
        <is>
          <t>settled</t>
        </is>
      </c>
      <c r="AY288" t="inlineStr">
        <is>
          <t>NA</t>
        </is>
      </c>
      <c r="AZ288" t="inlineStr">
        <is>
          <t>NA</t>
        </is>
      </c>
      <c r="BA288" t="n">
        <v>0</v>
      </c>
      <c r="BB288" t="inlineStr">
        <is>
          <t>20eb9860d1c5cec48428ae776b84983823bcfc0bac44280173a518c9ed02d1fa</t>
        </is>
      </c>
    </row>
    <row r="289">
      <c r="A289" t="inlineStr">
        <is>
          <t>1319</t>
        </is>
      </c>
      <c r="B289" t="inlineStr">
        <is>
          <t>7631044263</t>
        </is>
      </c>
      <c r="C289" t="inlineStr">
        <is>
          <t>2025-12-28 20:56:54</t>
        </is>
      </c>
      <c r="D289" t="inlineStr">
        <is>
          <t>52</t>
        </is>
      </c>
      <c r="E289" t="inlineStr">
        <is>
          <t>Sha Sha - Shandaar Shawarma</t>
        </is>
      </c>
      <c r="F289" t="inlineStr">
        <is>
          <t>18557902</t>
        </is>
      </c>
      <c r="G289" t="inlineStr">
        <is>
          <t>NA</t>
        </is>
      </c>
      <c r="H289" t="inlineStr">
        <is>
          <t>ONLINE</t>
        </is>
      </c>
      <c r="I289" t="inlineStr">
        <is>
          <t>DELIVERED</t>
        </is>
      </c>
      <c r="J289" t="inlineStr">
        <is>
          <t>NA</t>
        </is>
      </c>
      <c r="K289" t="inlineStr">
        <is>
          <t>NA</t>
        </is>
      </c>
      <c r="L289" t="inlineStr">
        <is>
          <t>NA</t>
        </is>
      </c>
      <c r="M289" t="inlineStr">
        <is>
          <t>O2</t>
        </is>
      </c>
      <c r="N289" t="inlineStr">
        <is>
          <t>36</t>
        </is>
      </c>
      <c r="O289" t="n">
        <v>229</v>
      </c>
      <c r="P289" t="n">
        <v>3.5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11.63</v>
      </c>
      <c r="W289" t="n">
        <v>244.13</v>
      </c>
      <c r="X289" t="n">
        <v>232.5</v>
      </c>
      <c r="Y289" t="n">
        <v>19</v>
      </c>
      <c r="Z289" t="n">
        <v>44.18</v>
      </c>
      <c r="AA289" t="n">
        <v>4.49</v>
      </c>
      <c r="AB289" t="n">
        <v>48.67</v>
      </c>
      <c r="AC289" t="n">
        <v>8.76</v>
      </c>
      <c r="AD289" t="n">
        <v>0</v>
      </c>
      <c r="AE289" t="n">
        <v>232.5</v>
      </c>
      <c r="AF289" t="n">
        <v>0</v>
      </c>
      <c r="AG289" t="n">
        <v>0</v>
      </c>
      <c r="AH289" t="n">
        <v>0.23</v>
      </c>
      <c r="AI289" t="n">
        <v>11.63</v>
      </c>
      <c r="AJ289" t="n">
        <v>0</v>
      </c>
      <c r="AK289" t="n">
        <v>20.62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69.29000000000001</v>
      </c>
      <c r="AV289" t="n">
        <v>0</v>
      </c>
      <c r="AW289" t="n">
        <v>174.84</v>
      </c>
      <c r="AX289" t="inlineStr">
        <is>
          <t>settled</t>
        </is>
      </c>
      <c r="AY289" t="inlineStr">
        <is>
          <t>NA</t>
        </is>
      </c>
      <c r="AZ289" t="inlineStr">
        <is>
          <t>NA</t>
        </is>
      </c>
      <c r="BA289" t="n">
        <v>0</v>
      </c>
      <c r="BB289" t="inlineStr">
        <is>
          <t>f4e9abdaf5d1a7533497d71cfd71d5559ed87d984d9ddc367a4f384d17c9090d</t>
        </is>
      </c>
    </row>
    <row r="290">
      <c r="A290" t="inlineStr">
        <is>
          <t>1320</t>
        </is>
      </c>
      <c r="B290" t="inlineStr">
        <is>
          <t>7629219404</t>
        </is>
      </c>
      <c r="C290" t="inlineStr">
        <is>
          <t>2025-12-28 21:05:54</t>
        </is>
      </c>
      <c r="D290" t="inlineStr">
        <is>
          <t>52</t>
        </is>
      </c>
      <c r="E290" t="inlineStr">
        <is>
          <t>Sha Sha - Shandaar Shawarma</t>
        </is>
      </c>
      <c r="F290" t="inlineStr">
        <is>
          <t>18557902</t>
        </is>
      </c>
      <c r="G290" t="inlineStr">
        <is>
          <t>NA</t>
        </is>
      </c>
      <c r="H290" t="inlineStr">
        <is>
          <t>ONLINE</t>
        </is>
      </c>
      <c r="I290" t="inlineStr">
        <is>
          <t>DELIVERED</t>
        </is>
      </c>
      <c r="J290" t="inlineStr">
        <is>
          <t>NA</t>
        </is>
      </c>
      <c r="K290" t="inlineStr">
        <is>
          <t>NA</t>
        </is>
      </c>
      <c r="L290" t="inlineStr">
        <is>
          <t>NA</t>
        </is>
      </c>
      <c r="M290" t="inlineStr">
        <is>
          <t>O2</t>
        </is>
      </c>
      <c r="N290" t="inlineStr">
        <is>
          <t>36</t>
        </is>
      </c>
      <c r="O290" t="n">
        <v>229</v>
      </c>
      <c r="P290" t="n">
        <v>3.5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11.63</v>
      </c>
      <c r="W290" t="n">
        <v>244.13</v>
      </c>
      <c r="X290" t="n">
        <v>232.5</v>
      </c>
      <c r="Y290" t="n">
        <v>19</v>
      </c>
      <c r="Z290" t="n">
        <v>44.18</v>
      </c>
      <c r="AA290" t="n">
        <v>4.49</v>
      </c>
      <c r="AB290" t="n">
        <v>48.67</v>
      </c>
      <c r="AC290" t="n">
        <v>8.76</v>
      </c>
      <c r="AD290" t="n">
        <v>0</v>
      </c>
      <c r="AE290" t="n">
        <v>232.5</v>
      </c>
      <c r="AF290" t="n">
        <v>0</v>
      </c>
      <c r="AG290" t="n">
        <v>0</v>
      </c>
      <c r="AH290" t="n">
        <v>0.23</v>
      </c>
      <c r="AI290" t="n">
        <v>11.63</v>
      </c>
      <c r="AJ290" t="n">
        <v>0</v>
      </c>
      <c r="AK290" t="n">
        <v>20.62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69.29000000000001</v>
      </c>
      <c r="AV290" t="n">
        <v>0</v>
      </c>
      <c r="AW290" t="n">
        <v>174.84</v>
      </c>
      <c r="AX290" t="inlineStr">
        <is>
          <t>settled</t>
        </is>
      </c>
      <c r="AY290" t="inlineStr">
        <is>
          <t>NA</t>
        </is>
      </c>
      <c r="AZ290" t="inlineStr">
        <is>
          <t>NA</t>
        </is>
      </c>
      <c r="BA290" t="n">
        <v>0</v>
      </c>
      <c r="BB290" t="inlineStr">
        <is>
          <t>7bc53f8aab04ba44a32506f35680dc15af37711b745205706c519c1b1b658c0d</t>
        </is>
      </c>
    </row>
    <row r="291">
      <c r="A291" t="inlineStr">
        <is>
          <t>1321</t>
        </is>
      </c>
      <c r="B291" t="inlineStr">
        <is>
          <t>7631087954</t>
        </is>
      </c>
      <c r="C291" t="inlineStr">
        <is>
          <t>2025-12-28 21:06:28</t>
        </is>
      </c>
      <c r="D291" t="inlineStr">
        <is>
          <t>52</t>
        </is>
      </c>
      <c r="E291" t="inlineStr">
        <is>
          <t>Sha Sha - Shandaar Shawarma</t>
        </is>
      </c>
      <c r="F291" t="inlineStr">
        <is>
          <t>18557902</t>
        </is>
      </c>
      <c r="G291" t="inlineStr">
        <is>
          <t>30% off upto ₹75 (2025-06-25 - 2031-01-01)</t>
        </is>
      </c>
      <c r="H291" t="inlineStr">
        <is>
          <t>ONLINE</t>
        </is>
      </c>
      <c r="I291" t="inlineStr">
        <is>
          <t>DELIVERED</t>
        </is>
      </c>
      <c r="J291" t="inlineStr">
        <is>
          <t>NA</t>
        </is>
      </c>
      <c r="K291" t="inlineStr">
        <is>
          <t>NA</t>
        </is>
      </c>
      <c r="L291" t="inlineStr">
        <is>
          <t>NA</t>
        </is>
      </c>
      <c r="M291" t="inlineStr">
        <is>
          <t>O2</t>
        </is>
      </c>
      <c r="N291" t="inlineStr">
        <is>
          <t>36</t>
        </is>
      </c>
      <c r="O291" t="n">
        <v>355</v>
      </c>
      <c r="P291" t="n">
        <v>3.5</v>
      </c>
      <c r="Q291" t="n">
        <v>0</v>
      </c>
      <c r="R291" t="n">
        <v>75</v>
      </c>
      <c r="S291" t="n">
        <v>0</v>
      </c>
      <c r="T291" t="n">
        <v>0</v>
      </c>
      <c r="U291" t="n">
        <v>0</v>
      </c>
      <c r="V291" t="n">
        <v>14.18</v>
      </c>
      <c r="W291" t="n">
        <v>297.68</v>
      </c>
      <c r="X291" t="n">
        <v>283.5</v>
      </c>
      <c r="Y291" t="n">
        <v>19</v>
      </c>
      <c r="Z291" t="n">
        <v>53.86</v>
      </c>
      <c r="AA291" t="n">
        <v>5.48</v>
      </c>
      <c r="AB291" t="n">
        <v>59.34</v>
      </c>
      <c r="AC291" t="n">
        <v>10.68</v>
      </c>
      <c r="AD291" t="n">
        <v>0</v>
      </c>
      <c r="AE291" t="n">
        <v>283.5</v>
      </c>
      <c r="AF291" t="n">
        <v>0</v>
      </c>
      <c r="AG291" t="n">
        <v>0</v>
      </c>
      <c r="AH291" t="n">
        <v>0.28</v>
      </c>
      <c r="AI291" t="n">
        <v>14.18</v>
      </c>
      <c r="AJ291" t="n">
        <v>0</v>
      </c>
      <c r="AK291" t="n">
        <v>25.14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84.48</v>
      </c>
      <c r="AV291" t="n">
        <v>0</v>
      </c>
      <c r="AW291" t="n">
        <v>213.2</v>
      </c>
      <c r="AX291" t="inlineStr">
        <is>
          <t>settled</t>
        </is>
      </c>
      <c r="AY291" t="inlineStr">
        <is>
          <t>NA</t>
        </is>
      </c>
      <c r="AZ291" t="inlineStr">
        <is>
          <t>NA</t>
        </is>
      </c>
      <c r="BA291" t="n">
        <v>0</v>
      </c>
      <c r="BB291" t="inlineStr">
        <is>
          <t>daa1f0c3bb86660e4fe870c8d689f548b64fdc7ec739458118ade744c9f71a93</t>
        </is>
      </c>
    </row>
    <row r="292">
      <c r="A292" t="inlineStr">
        <is>
          <t>1322</t>
        </is>
      </c>
      <c r="B292" t="inlineStr">
        <is>
          <t>7626814686</t>
        </is>
      </c>
      <c r="C292" t="inlineStr">
        <is>
          <t>2025-12-28 21:09:38</t>
        </is>
      </c>
      <c r="D292" t="inlineStr">
        <is>
          <t>52</t>
        </is>
      </c>
      <c r="E292" t="inlineStr">
        <is>
          <t>Sha Sha - Shandaar Shawarma</t>
        </is>
      </c>
      <c r="F292" t="inlineStr">
        <is>
          <t>18557902</t>
        </is>
      </c>
      <c r="G292" t="inlineStr">
        <is>
          <t>NA</t>
        </is>
      </c>
      <c r="H292" t="inlineStr">
        <is>
          <t>ONLINE</t>
        </is>
      </c>
      <c r="I292" t="inlineStr">
        <is>
          <t>DELIVERED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O2</t>
        </is>
      </c>
      <c r="N292" t="inlineStr">
        <is>
          <t>36</t>
        </is>
      </c>
      <c r="O292" t="n">
        <v>219</v>
      </c>
      <c r="P292" t="n">
        <v>3.5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11.13</v>
      </c>
      <c r="W292" t="n">
        <v>233.63</v>
      </c>
      <c r="X292" t="n">
        <v>222.5</v>
      </c>
      <c r="Y292" t="n">
        <v>19</v>
      </c>
      <c r="Z292" t="n">
        <v>42.28</v>
      </c>
      <c r="AA292" t="n">
        <v>4.3</v>
      </c>
      <c r="AB292" t="n">
        <v>46.58</v>
      </c>
      <c r="AC292" t="n">
        <v>8.380000000000001</v>
      </c>
      <c r="AD292" t="n">
        <v>0</v>
      </c>
      <c r="AE292" t="n">
        <v>222.5</v>
      </c>
      <c r="AF292" t="n">
        <v>0</v>
      </c>
      <c r="AG292" t="n">
        <v>0</v>
      </c>
      <c r="AH292" t="n">
        <v>0.22</v>
      </c>
      <c r="AI292" t="n">
        <v>11.13</v>
      </c>
      <c r="AJ292" t="n">
        <v>0</v>
      </c>
      <c r="AK292" t="n">
        <v>19.73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66.31</v>
      </c>
      <c r="AV292" t="n">
        <v>0</v>
      </c>
      <c r="AW292" t="n">
        <v>167.32</v>
      </c>
      <c r="AX292" t="inlineStr">
        <is>
          <t>settled</t>
        </is>
      </c>
      <c r="AY292" t="inlineStr">
        <is>
          <t>NA</t>
        </is>
      </c>
      <c r="AZ292" t="inlineStr">
        <is>
          <t>NA</t>
        </is>
      </c>
      <c r="BA292" t="n">
        <v>0</v>
      </c>
      <c r="BB292" t="inlineStr">
        <is>
          <t>71dde612861b51ebfbf01b7eb1edb4e60ef4ce5c082781d72f7556cf78b6900b</t>
        </is>
      </c>
    </row>
    <row r="293">
      <c r="A293" t="inlineStr">
        <is>
          <t>1323</t>
        </is>
      </c>
      <c r="B293" t="inlineStr">
        <is>
          <t>7631316346</t>
        </is>
      </c>
      <c r="C293" t="inlineStr">
        <is>
          <t>2025-12-28 21:26:30</t>
        </is>
      </c>
      <c r="D293" t="inlineStr">
        <is>
          <t>52</t>
        </is>
      </c>
      <c r="E293" t="inlineStr">
        <is>
          <t>Sha Sha - Shandaar Shawarma</t>
        </is>
      </c>
      <c r="F293" t="inlineStr">
        <is>
          <t>18557902</t>
        </is>
      </c>
      <c r="G293" t="inlineStr">
        <is>
          <t>NA</t>
        </is>
      </c>
      <c r="H293" t="inlineStr">
        <is>
          <t>ONLINE</t>
        </is>
      </c>
      <c r="I293" t="inlineStr">
        <is>
          <t>DELIVERED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O2</t>
        </is>
      </c>
      <c r="N293" t="inlineStr">
        <is>
          <t>36</t>
        </is>
      </c>
      <c r="O293" t="n">
        <v>229</v>
      </c>
      <c r="P293" t="n">
        <v>3.5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11.63</v>
      </c>
      <c r="W293" t="n">
        <v>244.13</v>
      </c>
      <c r="X293" t="n">
        <v>232.5</v>
      </c>
      <c r="Y293" t="n">
        <v>19</v>
      </c>
      <c r="Z293" t="n">
        <v>44.18</v>
      </c>
      <c r="AA293" t="n">
        <v>4.49</v>
      </c>
      <c r="AB293" t="n">
        <v>48.67</v>
      </c>
      <c r="AC293" t="n">
        <v>8.76</v>
      </c>
      <c r="AD293" t="n">
        <v>0</v>
      </c>
      <c r="AE293" t="n">
        <v>232.5</v>
      </c>
      <c r="AF293" t="n">
        <v>0</v>
      </c>
      <c r="AG293" t="n">
        <v>0</v>
      </c>
      <c r="AH293" t="n">
        <v>0.23</v>
      </c>
      <c r="AI293" t="n">
        <v>11.63</v>
      </c>
      <c r="AJ293" t="n">
        <v>0</v>
      </c>
      <c r="AK293" t="n">
        <v>20.62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69.29000000000001</v>
      </c>
      <c r="AV293" t="n">
        <v>0</v>
      </c>
      <c r="AW293" t="n">
        <v>174.84</v>
      </c>
      <c r="AX293" t="inlineStr">
        <is>
          <t>settled</t>
        </is>
      </c>
      <c r="AY293" t="inlineStr">
        <is>
          <t>NA</t>
        </is>
      </c>
      <c r="AZ293" t="inlineStr">
        <is>
          <t>NA</t>
        </is>
      </c>
      <c r="BA293" t="n">
        <v>0</v>
      </c>
      <c r="BB293" t="inlineStr">
        <is>
          <t>91c9cd9672284e078e8d700234c54b3ee76d45c537b2851b4911477c3a994c91</t>
        </is>
      </c>
    </row>
    <row r="294">
      <c r="A294" t="inlineStr">
        <is>
          <t>1324</t>
        </is>
      </c>
      <c r="B294" t="inlineStr">
        <is>
          <t>7631517206</t>
        </is>
      </c>
      <c r="C294" t="inlineStr">
        <is>
          <t>2025-12-28 21:47:09</t>
        </is>
      </c>
      <c r="D294" t="inlineStr">
        <is>
          <t>52</t>
        </is>
      </c>
      <c r="E294" t="inlineStr">
        <is>
          <t>Sha Sha - Shandaar Shawarma</t>
        </is>
      </c>
      <c r="F294" t="inlineStr">
        <is>
          <t>18557902</t>
        </is>
      </c>
      <c r="G294" t="inlineStr">
        <is>
          <t>NA</t>
        </is>
      </c>
      <c r="H294" t="inlineStr">
        <is>
          <t>ONLINE</t>
        </is>
      </c>
      <c r="I294" t="inlineStr">
        <is>
          <t>DELIVERED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O2</t>
        </is>
      </c>
      <c r="N294" t="inlineStr">
        <is>
          <t>36</t>
        </is>
      </c>
      <c r="O294" t="n">
        <v>219</v>
      </c>
      <c r="P294" t="n">
        <v>3.5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11.13</v>
      </c>
      <c r="W294" t="n">
        <v>233.63</v>
      </c>
      <c r="X294" t="n">
        <v>222.5</v>
      </c>
      <c r="Y294" t="n">
        <v>19</v>
      </c>
      <c r="Z294" t="n">
        <v>42.28</v>
      </c>
      <c r="AA294" t="n">
        <v>4.3</v>
      </c>
      <c r="AB294" t="n">
        <v>46.58</v>
      </c>
      <c r="AC294" t="n">
        <v>8.380000000000001</v>
      </c>
      <c r="AD294" t="n">
        <v>0</v>
      </c>
      <c r="AE294" t="n">
        <v>222.5</v>
      </c>
      <c r="AF294" t="n">
        <v>0</v>
      </c>
      <c r="AG294" t="n">
        <v>0</v>
      </c>
      <c r="AH294" t="n">
        <v>0.22</v>
      </c>
      <c r="AI294" t="n">
        <v>11.13</v>
      </c>
      <c r="AJ294" t="n">
        <v>0</v>
      </c>
      <c r="AK294" t="n">
        <v>19.73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66.31</v>
      </c>
      <c r="AV294" t="n">
        <v>0</v>
      </c>
      <c r="AW294" t="n">
        <v>167.32</v>
      </c>
      <c r="AX294" t="inlineStr">
        <is>
          <t>settled</t>
        </is>
      </c>
      <c r="AY294" t="inlineStr">
        <is>
          <t>NA</t>
        </is>
      </c>
      <c r="AZ294" t="inlineStr">
        <is>
          <t>NA</t>
        </is>
      </c>
      <c r="BA294" t="n">
        <v>0</v>
      </c>
      <c r="BB294" t="inlineStr">
        <is>
          <t>a5413a6acbbc7a4b35c91efd219c9fb14e8cc5b52a81306056e168ce5e0d87d8</t>
        </is>
      </c>
    </row>
    <row r="295">
      <c r="A295" t="inlineStr">
        <is>
          <t>1325</t>
        </is>
      </c>
      <c r="B295" t="inlineStr">
        <is>
          <t>7628264658</t>
        </is>
      </c>
      <c r="C295" t="inlineStr">
        <is>
          <t>2025-12-28 22:32:29</t>
        </is>
      </c>
      <c r="D295" t="inlineStr">
        <is>
          <t>52</t>
        </is>
      </c>
      <c r="E295" t="inlineStr">
        <is>
          <t>Sha Sha - Shandaar Shawarma</t>
        </is>
      </c>
      <c r="F295" t="inlineStr">
        <is>
          <t>18557902</t>
        </is>
      </c>
      <c r="G295" t="inlineStr">
        <is>
          <t>30% off upto ₹75 (2025-06-25 - 2031-01-01)</t>
        </is>
      </c>
      <c r="H295" t="inlineStr">
        <is>
          <t>ONLINE</t>
        </is>
      </c>
      <c r="I295" t="inlineStr">
        <is>
          <t>DELIVERED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O2</t>
        </is>
      </c>
      <c r="N295" t="inlineStr">
        <is>
          <t>36</t>
        </is>
      </c>
      <c r="O295" t="n">
        <v>345</v>
      </c>
      <c r="P295" t="n">
        <v>3.5</v>
      </c>
      <c r="Q295" t="n">
        <v>0</v>
      </c>
      <c r="R295" t="n">
        <v>75</v>
      </c>
      <c r="S295" t="n">
        <v>0</v>
      </c>
      <c r="T295" t="n">
        <v>0</v>
      </c>
      <c r="U295" t="n">
        <v>0</v>
      </c>
      <c r="V295" t="n">
        <v>13.68</v>
      </c>
      <c r="W295" t="n">
        <v>287.18</v>
      </c>
      <c r="X295" t="n">
        <v>273.5</v>
      </c>
      <c r="Y295" t="n">
        <v>19</v>
      </c>
      <c r="Z295" t="n">
        <v>51.96</v>
      </c>
      <c r="AA295" t="n">
        <v>5.28</v>
      </c>
      <c r="AB295" t="n">
        <v>57.24</v>
      </c>
      <c r="AC295" t="n">
        <v>10.3</v>
      </c>
      <c r="AD295" t="n">
        <v>0</v>
      </c>
      <c r="AE295" t="n">
        <v>273.5</v>
      </c>
      <c r="AF295" t="n">
        <v>0</v>
      </c>
      <c r="AG295" t="n">
        <v>0</v>
      </c>
      <c r="AH295" t="n">
        <v>0.27</v>
      </c>
      <c r="AI295" t="n">
        <v>13.68</v>
      </c>
      <c r="AJ295" t="n">
        <v>0</v>
      </c>
      <c r="AK295" t="n">
        <v>24.25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81.48999999999999</v>
      </c>
      <c r="AV295" t="n">
        <v>0</v>
      </c>
      <c r="AW295" t="n">
        <v>205.69</v>
      </c>
      <c r="AX295" t="inlineStr">
        <is>
          <t>settled</t>
        </is>
      </c>
      <c r="AY295" t="inlineStr">
        <is>
          <t>NA</t>
        </is>
      </c>
      <c r="AZ295" t="inlineStr">
        <is>
          <t>NA</t>
        </is>
      </c>
      <c r="BA295" t="n">
        <v>0</v>
      </c>
      <c r="BB295" t="inlineStr">
        <is>
          <t>9c1a98d3227ef6413cf514353c2a2af497e3a40ebb525e7075ece871977cf496</t>
        </is>
      </c>
    </row>
    <row r="296">
      <c r="A296" t="inlineStr">
        <is>
          <t>1326</t>
        </is>
      </c>
      <c r="B296" t="inlineStr">
        <is>
          <t>7597517970</t>
        </is>
      </c>
      <c r="C296" t="inlineStr">
        <is>
          <t>2025-12-28 22:33:45</t>
        </is>
      </c>
      <c r="D296" t="inlineStr">
        <is>
          <t>52</t>
        </is>
      </c>
      <c r="E296" t="inlineStr">
        <is>
          <t>Sha Sha - Shandaar Shawarma</t>
        </is>
      </c>
      <c r="F296" t="inlineStr">
        <is>
          <t>18557902</t>
        </is>
      </c>
      <c r="G296" t="inlineStr">
        <is>
          <t>30% off upto ₹75 (2025-06-25 - 2031-01-01)</t>
        </is>
      </c>
      <c r="H296" t="inlineStr">
        <is>
          <t>ONLINE</t>
        </is>
      </c>
      <c r="I296" t="inlineStr">
        <is>
          <t>DELIVERED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O2</t>
        </is>
      </c>
      <c r="N296" t="inlineStr">
        <is>
          <t>36</t>
        </is>
      </c>
      <c r="O296" t="n">
        <v>229</v>
      </c>
      <c r="P296" t="n">
        <v>3.5</v>
      </c>
      <c r="Q296" t="n">
        <v>0</v>
      </c>
      <c r="R296" t="n">
        <v>68.7</v>
      </c>
      <c r="S296" t="n">
        <v>0</v>
      </c>
      <c r="T296" t="n">
        <v>0</v>
      </c>
      <c r="U296" t="n">
        <v>0</v>
      </c>
      <c r="V296" t="n">
        <v>8.19</v>
      </c>
      <c r="W296" t="n">
        <v>171.99</v>
      </c>
      <c r="X296" t="n">
        <v>163.8</v>
      </c>
      <c r="Y296" t="n">
        <v>19</v>
      </c>
      <c r="Z296" t="n">
        <v>31.12</v>
      </c>
      <c r="AA296" t="n">
        <v>3.16</v>
      </c>
      <c r="AB296" t="n">
        <v>34.28</v>
      </c>
      <c r="AC296" t="n">
        <v>6.17</v>
      </c>
      <c r="AD296" t="n">
        <v>0</v>
      </c>
      <c r="AE296" t="n">
        <v>163.8</v>
      </c>
      <c r="AF296" t="n">
        <v>0</v>
      </c>
      <c r="AG296" t="n">
        <v>0</v>
      </c>
      <c r="AH296" t="n">
        <v>0.16</v>
      </c>
      <c r="AI296" t="n">
        <v>8.199999999999999</v>
      </c>
      <c r="AJ296" t="n">
        <v>-0.01</v>
      </c>
      <c r="AK296" t="n">
        <v>14.53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48.81</v>
      </c>
      <c r="AV296" t="n">
        <v>0</v>
      </c>
      <c r="AW296" t="n">
        <v>123.18</v>
      </c>
      <c r="AX296" t="inlineStr">
        <is>
          <t>settled</t>
        </is>
      </c>
      <c r="AY296" t="inlineStr">
        <is>
          <t>NA</t>
        </is>
      </c>
      <c r="AZ296" t="inlineStr">
        <is>
          <t>NA</t>
        </is>
      </c>
      <c r="BA296" t="n">
        <v>0</v>
      </c>
      <c r="BB296" t="inlineStr">
        <is>
          <t>adfb58b73279855d969f37fe9ce70be0bf3fb2c88a7d28a107f9470a13239146</t>
        </is>
      </c>
    </row>
    <row r="297">
      <c r="A297" t="inlineStr">
        <is>
          <t>1327</t>
        </is>
      </c>
      <c r="B297" t="inlineStr">
        <is>
          <t>7620096216</t>
        </is>
      </c>
      <c r="C297" t="inlineStr">
        <is>
          <t>2025-12-28 22:33:58</t>
        </is>
      </c>
      <c r="D297" t="inlineStr">
        <is>
          <t>52</t>
        </is>
      </c>
      <c r="E297" t="inlineStr">
        <is>
          <t>Sha Sha - Shandaar Shawarma</t>
        </is>
      </c>
      <c r="F297" t="inlineStr">
        <is>
          <t>18557902</t>
        </is>
      </c>
      <c r="G297" t="inlineStr">
        <is>
          <t>30% off upto ₹75 (2025-06-25 - 2031-01-01)</t>
        </is>
      </c>
      <c r="H297" t="inlineStr">
        <is>
          <t>ONLINE</t>
        </is>
      </c>
      <c r="I297" t="inlineStr">
        <is>
          <t>DELIVERED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O2</t>
        </is>
      </c>
      <c r="N297" t="inlineStr">
        <is>
          <t>36</t>
        </is>
      </c>
      <c r="O297" t="n">
        <v>229</v>
      </c>
      <c r="P297" t="n">
        <v>3.5</v>
      </c>
      <c r="Q297" t="n">
        <v>0</v>
      </c>
      <c r="R297" t="n">
        <v>68.7</v>
      </c>
      <c r="S297" t="n">
        <v>0</v>
      </c>
      <c r="T297" t="n">
        <v>0</v>
      </c>
      <c r="U297" t="n">
        <v>0</v>
      </c>
      <c r="V297" t="n">
        <v>8.19</v>
      </c>
      <c r="W297" t="n">
        <v>171.99</v>
      </c>
      <c r="X297" t="n">
        <v>163.8</v>
      </c>
      <c r="Y297" t="n">
        <v>19</v>
      </c>
      <c r="Z297" t="n">
        <v>31.12</v>
      </c>
      <c r="AA297" t="n">
        <v>3.16</v>
      </c>
      <c r="AB297" t="n">
        <v>34.28</v>
      </c>
      <c r="AC297" t="n">
        <v>6.17</v>
      </c>
      <c r="AD297" t="n">
        <v>0</v>
      </c>
      <c r="AE297" t="n">
        <v>163.8</v>
      </c>
      <c r="AF297" t="n">
        <v>0</v>
      </c>
      <c r="AG297" t="n">
        <v>0</v>
      </c>
      <c r="AH297" t="n">
        <v>0.16</v>
      </c>
      <c r="AI297" t="n">
        <v>8.199999999999999</v>
      </c>
      <c r="AJ297" t="n">
        <v>-0.01</v>
      </c>
      <c r="AK297" t="n">
        <v>14.53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48.81</v>
      </c>
      <c r="AV297" t="n">
        <v>0</v>
      </c>
      <c r="AW297" t="n">
        <v>123.18</v>
      </c>
      <c r="AX297" t="inlineStr">
        <is>
          <t>settled</t>
        </is>
      </c>
      <c r="AY297" t="inlineStr">
        <is>
          <t>NA</t>
        </is>
      </c>
      <c r="AZ297" t="inlineStr">
        <is>
          <t>NA</t>
        </is>
      </c>
      <c r="BA297" t="n">
        <v>0</v>
      </c>
      <c r="BB297" t="inlineStr">
        <is>
          <t>da382e4cf534c8ab5019e902765514020385a92eef3ddd29fbcc919bfef30836</t>
        </is>
      </c>
    </row>
    <row r="298">
      <c r="A298" t="inlineStr">
        <is>
          <t>1328</t>
        </is>
      </c>
      <c r="B298" t="inlineStr">
        <is>
          <t>7631973067</t>
        </is>
      </c>
      <c r="C298" t="inlineStr">
        <is>
          <t>2025-12-28 22:48:52</t>
        </is>
      </c>
      <c r="D298" t="inlineStr">
        <is>
          <t>52</t>
        </is>
      </c>
      <c r="E298" t="inlineStr">
        <is>
          <t>Sha Sha - Shandaar Shawarma</t>
        </is>
      </c>
      <c r="F298" t="inlineStr">
        <is>
          <t>18557902</t>
        </is>
      </c>
      <c r="G298" t="inlineStr">
        <is>
          <t>30% off upto ₹75 (2025-06-25 - 2031-01-01)</t>
        </is>
      </c>
      <c r="H298" t="inlineStr">
        <is>
          <t>ONLINE</t>
        </is>
      </c>
      <c r="I298" t="inlineStr">
        <is>
          <t>DELIVERED</t>
        </is>
      </c>
      <c r="J298" t="inlineStr">
        <is>
          <t>NA</t>
        </is>
      </c>
      <c r="K298" t="inlineStr">
        <is>
          <t>NA</t>
        </is>
      </c>
      <c r="L298" t="inlineStr">
        <is>
          <t>NA</t>
        </is>
      </c>
      <c r="M298" t="inlineStr">
        <is>
          <t>O2</t>
        </is>
      </c>
      <c r="N298" t="inlineStr">
        <is>
          <t>36</t>
        </is>
      </c>
      <c r="O298" t="n">
        <v>229</v>
      </c>
      <c r="P298" t="n">
        <v>3.5</v>
      </c>
      <c r="Q298" t="n">
        <v>0</v>
      </c>
      <c r="R298" t="n">
        <v>68.7</v>
      </c>
      <c r="S298" t="n">
        <v>0</v>
      </c>
      <c r="T298" t="n">
        <v>0</v>
      </c>
      <c r="U298" t="n">
        <v>0</v>
      </c>
      <c r="V298" t="n">
        <v>8.19</v>
      </c>
      <c r="W298" t="n">
        <v>171.99</v>
      </c>
      <c r="X298" t="n">
        <v>163.8</v>
      </c>
      <c r="Y298" t="n">
        <v>19</v>
      </c>
      <c r="Z298" t="n">
        <v>31.12</v>
      </c>
      <c r="AA298" t="n">
        <v>3.16</v>
      </c>
      <c r="AB298" t="n">
        <v>34.28</v>
      </c>
      <c r="AC298" t="n">
        <v>6.17</v>
      </c>
      <c r="AD298" t="n">
        <v>0</v>
      </c>
      <c r="AE298" t="n">
        <v>163.8</v>
      </c>
      <c r="AF298" t="n">
        <v>0</v>
      </c>
      <c r="AG298" t="n">
        <v>0</v>
      </c>
      <c r="AH298" t="n">
        <v>0.16</v>
      </c>
      <c r="AI298" t="n">
        <v>8.199999999999999</v>
      </c>
      <c r="AJ298" t="n">
        <v>-0.01</v>
      </c>
      <c r="AK298" t="n">
        <v>14.53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48.81</v>
      </c>
      <c r="AV298" t="n">
        <v>0</v>
      </c>
      <c r="AW298" t="n">
        <v>123.18</v>
      </c>
      <c r="AX298" t="inlineStr">
        <is>
          <t>settled</t>
        </is>
      </c>
      <c r="AY298" t="inlineStr">
        <is>
          <t>NA</t>
        </is>
      </c>
      <c r="AZ298" t="inlineStr">
        <is>
          <t>NA</t>
        </is>
      </c>
      <c r="BA298" t="n">
        <v>0</v>
      </c>
      <c r="BB298" t="inlineStr">
        <is>
          <t>cced21294a761e8e520d3f723af908adf3bedcfdce1f6051f03037bf5aa364a8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B120"/>
  <sheetViews>
    <sheetView workbookViewId="0">
      <selection activeCell="A1" sqref="A1"/>
    </sheetView>
  </sheetViews>
  <sheetFormatPr baseColWidth="8" defaultRowHeight="15"/>
  <sheetData>
    <row r="1">
      <c r="O1" t="n">
        <v>229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229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</row>
    <row r="2">
      <c r="O2" t="n">
        <v>33137</v>
      </c>
      <c r="P2" t="n">
        <v>399</v>
      </c>
      <c r="Q2" t="n">
        <v>0</v>
      </c>
      <c r="R2" t="n">
        <v>6757.799999999993</v>
      </c>
      <c r="S2" t="n">
        <v>0</v>
      </c>
      <c r="T2" t="n">
        <v>0</v>
      </c>
      <c r="U2" t="n">
        <v>0</v>
      </c>
      <c r="V2" t="n">
        <v>1339.160000000001</v>
      </c>
      <c r="W2" t="n">
        <v>28117.36000000006</v>
      </c>
      <c r="X2" t="n">
        <v>26778.19999999997</v>
      </c>
      <c r="Y2" t="n">
        <v>2166</v>
      </c>
      <c r="Z2" t="n">
        <v>5087.909999999993</v>
      </c>
      <c r="AA2" t="n">
        <v>517.1300000000005</v>
      </c>
      <c r="AB2" t="n">
        <v>5605.040000000001</v>
      </c>
      <c r="AC2" t="n">
        <v>1008.899999999998</v>
      </c>
      <c r="AD2" t="n">
        <v>0</v>
      </c>
      <c r="AE2" t="n">
        <v>26778.19999999997</v>
      </c>
      <c r="AF2" t="n">
        <v>0</v>
      </c>
      <c r="AG2" t="n">
        <v>0</v>
      </c>
      <c r="AH2" t="n">
        <v>26.67000000000001</v>
      </c>
      <c r="AI2" t="n">
        <v>1339.800000000001</v>
      </c>
      <c r="AJ2" t="n">
        <v>-0.6400000000000003</v>
      </c>
      <c r="AK2" t="n">
        <v>2375.37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7980.410000000003</v>
      </c>
      <c r="AV2" t="n">
        <v>0</v>
      </c>
      <c r="AW2" t="n">
        <v>20136.95000000001</v>
      </c>
      <c r="AX2" t="n">
        <v>0</v>
      </c>
      <c r="AY2" t="n">
        <v>0</v>
      </c>
      <c r="AZ2" t="n">
        <v>0</v>
      </c>
      <c r="BA2" t="n">
        <v>20136.95000000001</v>
      </c>
      <c r="BB2" t="n">
        <v>0</v>
      </c>
    </row>
    <row r="3">
      <c r="O3" t="n">
        <v>39101.66</v>
      </c>
      <c r="P3" t="n">
        <v>470.82</v>
      </c>
      <c r="Q3" t="n">
        <v>0</v>
      </c>
      <c r="R3" t="n">
        <v>7974.203999999992</v>
      </c>
      <c r="S3" t="n">
        <v>0</v>
      </c>
      <c r="T3" t="n">
        <v>0</v>
      </c>
      <c r="U3" t="n">
        <v>0</v>
      </c>
      <c r="V3" t="n">
        <v>1580.208800000002</v>
      </c>
      <c r="W3" t="n">
        <v>33178.48480000006</v>
      </c>
      <c r="X3" t="n">
        <v>31598.27599999996</v>
      </c>
      <c r="Y3" t="n">
        <v>2555.88</v>
      </c>
      <c r="Z3" t="n">
        <v>6003.733799999991</v>
      </c>
      <c r="AA3" t="n">
        <v>610.2134000000005</v>
      </c>
      <c r="AB3" t="n">
        <v>6613.947200000001</v>
      </c>
      <c r="AC3" t="n">
        <v>1190.501999999998</v>
      </c>
      <c r="AD3" t="n">
        <v>0</v>
      </c>
      <c r="AE3" t="n">
        <v>31598.27599999996</v>
      </c>
      <c r="AF3" t="n">
        <v>0</v>
      </c>
      <c r="AG3" t="n">
        <v>0</v>
      </c>
      <c r="AH3" t="n">
        <v>31.47060000000001</v>
      </c>
      <c r="AI3" t="n">
        <v>1580.964000000001</v>
      </c>
      <c r="AJ3" t="n">
        <v>-0.7552000000000003</v>
      </c>
      <c r="AK3" t="n">
        <v>2802.9366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9416.883800000003</v>
      </c>
      <c r="AV3" t="n">
        <v>0</v>
      </c>
      <c r="AW3" t="n">
        <v>23761.60100000001</v>
      </c>
      <c r="AX3" t="n">
        <v>0</v>
      </c>
      <c r="AY3" t="n">
        <v>0</v>
      </c>
      <c r="AZ3" t="n">
        <v>0</v>
      </c>
      <c r="BA3" t="n">
        <v>23761.60100000001</v>
      </c>
      <c r="BB3" t="n">
        <v>0</v>
      </c>
    </row>
    <row r="4">
      <c r="O4" t="n">
        <v>33366</v>
      </c>
      <c r="P4" t="n">
        <v>399</v>
      </c>
      <c r="Q4" t="n">
        <v>0</v>
      </c>
      <c r="R4" t="n">
        <v>6757.799999999993</v>
      </c>
      <c r="S4" t="n">
        <v>0</v>
      </c>
      <c r="T4" t="n">
        <v>0</v>
      </c>
      <c r="U4" t="n">
        <v>0</v>
      </c>
      <c r="V4" t="n">
        <v>1339.160000000001</v>
      </c>
      <c r="W4" t="n">
        <v>28346.36000000006</v>
      </c>
      <c r="X4" t="n">
        <v>26778.19999999997</v>
      </c>
      <c r="Y4" t="n">
        <v>2166</v>
      </c>
      <c r="Z4" t="n">
        <v>5087.909999999993</v>
      </c>
      <c r="AA4" t="n">
        <v>517.1300000000005</v>
      </c>
      <c r="AB4" t="n">
        <v>5605.040000000001</v>
      </c>
      <c r="AC4" t="n">
        <v>1008.899999999998</v>
      </c>
      <c r="AD4" t="n">
        <v>0</v>
      </c>
      <c r="AE4" t="n">
        <v>26778.19999999997</v>
      </c>
      <c r="AF4" t="n">
        <v>0</v>
      </c>
      <c r="AG4" t="n">
        <v>0</v>
      </c>
      <c r="AH4" t="n">
        <v>26.67000000000001</v>
      </c>
      <c r="AI4" t="n">
        <v>1339.800000000001</v>
      </c>
      <c r="AJ4" t="n">
        <v>-0.6400000000000003</v>
      </c>
      <c r="AK4" t="n">
        <v>2375.37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7980.410000000003</v>
      </c>
      <c r="AV4" t="n">
        <v>0</v>
      </c>
      <c r="AW4" t="n">
        <v>20136.95000000001</v>
      </c>
      <c r="AX4" t="n">
        <v>0</v>
      </c>
      <c r="AY4" t="n">
        <v>0</v>
      </c>
      <c r="AZ4" t="n">
        <v>0</v>
      </c>
      <c r="BA4" t="n">
        <v>20136.95000000001</v>
      </c>
      <c r="BB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[Promo]</t>
        </is>
      </c>
      <c r="S5" t="inlineStr">
        <is>
          <t>Restaurant Discount [BOGO, Freebies, Gold, Brand pack &amp; others]</t>
        </is>
      </c>
      <c r="T5" t="inlineStr">
        <is>
          <t xml:space="preserve">Brand pack subscription fee </t>
        </is>
      </c>
      <c r="U5" t="inlineStr">
        <is>
          <t xml:space="preserve">Delivery charge discount 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(excludes customer GST)
[(A) + (7) - (8) - (6) - (3)]</t>
        </is>
      </c>
      <c r="Y5" t="inlineStr">
        <is>
          <t>Service fees %</t>
        </is>
      </c>
      <c r="Z5" t="inlineStr">
        <is>
          <t>Service fee
[ (9) * (10) ]</t>
        </is>
      </c>
      <c r="AA5" t="inlineStr">
        <is>
          <t>Payment mechanism fee</t>
        </is>
      </c>
      <c r="AB5" t="inlineStr">
        <is>
          <t>Service fee &amp; payment mechanism fees
[(11) + (12)]</t>
        </is>
      </c>
      <c r="AC5" t="inlineStr">
        <is>
          <t>Taxes on service &amp; payment mechanism fees
(B) * 18%</t>
        </is>
      </c>
      <c r="AD5" t="inlineStr">
        <is>
          <t>Applicable amount for TCS</t>
        </is>
      </c>
      <c r="AE5" t="inlineStr">
        <is>
          <t>Applicable amount for 9(5)</t>
        </is>
      </c>
      <c r="AF5" t="inlineStr">
        <is>
          <t>Tax collected at source</t>
        </is>
      </c>
      <c r="AG5" t="inlineStr">
        <is>
          <t>TCS IGST amount</t>
        </is>
      </c>
      <c r="AH5" t="inlineStr">
        <is>
          <t>TDS 194O amount</t>
        </is>
      </c>
      <c r="AI5" t="inlineStr">
        <is>
          <t>GST paid by Zomato on behalf of restaurant - under section 9(5)</t>
        </is>
      </c>
      <c r="AJ5" t="inlineStr">
        <is>
          <t>GST to be paid by Restaurant partner to Govt.</t>
        </is>
      </c>
      <c r="AK5" t="inlineStr">
        <is>
          <t>Government charges
[(13) + (16) + (17) + (18) + (19)]</t>
        </is>
      </c>
      <c r="AL5" t="inlineStr">
        <is>
          <t>Customer Compensation/Recoupment</t>
        </is>
      </c>
      <c r="AM5" t="inlineStr">
        <is>
          <t>Delivery Charges Recovery</t>
        </is>
      </c>
      <c r="AN5" t="inlineStr">
        <is>
          <t>Amount received in cash (on self delivery orders)</t>
        </is>
      </c>
      <c r="AO5" t="inlineStr">
        <is>
          <t>Credit note/(Debit Note) adjustment</t>
        </is>
      </c>
      <c r="AP5" t="inlineStr">
        <is>
          <t>Promo recovery adjustment</t>
        </is>
      </c>
      <c r="AQ5" t="inlineStr">
        <is>
          <t>Extra Inventory Ads and Misc. (order level deduction)</t>
        </is>
      </c>
      <c r="AR5" t="inlineStr">
        <is>
          <t>Brand loyalty points redemption</t>
        </is>
      </c>
      <c r="AS5" t="inlineStr">
        <is>
          <t>Express Order Fee</t>
        </is>
      </c>
      <c r="AT5" t="inlineStr">
        <is>
          <t>Other order-level deductions
[(21) + (22) + (23) + (24) + (25) + (26) + (27) + (28)]</t>
        </is>
      </c>
      <c r="AU5" t="inlineStr">
        <is>
          <t>Net Deductions
(B) + (C) + (D)</t>
        </is>
      </c>
      <c r="AV5" t="inlineStr">
        <is>
          <t>Net Additions 
(cancellation refund for cancelled orders/Tip for Kitchen Staff for delivered orders)</t>
        </is>
      </c>
      <c r="AW5" t="inlineStr">
        <is>
          <t>Order level Payout
(A) - (E) + (F)</t>
        </is>
      </c>
      <c r="AX5" t="inlineStr">
        <is>
          <t>Settlement status</t>
        </is>
      </c>
      <c r="AY5" t="inlineStr">
        <is>
          <t>Settlement date</t>
        </is>
      </c>
      <c r="AZ5" t="inlineStr">
        <is>
          <t>Bank UTR</t>
        </is>
      </c>
      <c r="BA5" t="inlineStr">
        <is>
          <t>Unsettled Amount</t>
        </is>
      </c>
      <c r="BB5" t="inlineStr">
        <is>
          <t>Customer ID</t>
        </is>
      </c>
    </row>
    <row r="6">
      <c r="A6" t="inlineStr">
        <is>
          <t>1329</t>
        </is>
      </c>
      <c r="B6" t="inlineStr">
        <is>
          <t>7627298348</t>
        </is>
      </c>
      <c r="C6" t="inlineStr">
        <is>
          <t>2025-12-29 00:06:11</t>
        </is>
      </c>
      <c r="D6" t="inlineStr">
        <is>
          <t>1</t>
        </is>
      </c>
      <c r="E6" t="inlineStr">
        <is>
          <t>Sha Sha - Shandaar Shawarma</t>
        </is>
      </c>
      <c r="F6" t="inlineStr">
        <is>
          <t>18557902</t>
        </is>
      </c>
      <c r="G6" t="inlineStr">
        <is>
          <t>NA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36</t>
        </is>
      </c>
      <c r="O6" t="n">
        <v>219</v>
      </c>
      <c r="P6" t="n">
        <v>3.5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11.13</v>
      </c>
      <c r="W6" t="n">
        <v>233.63</v>
      </c>
      <c r="X6" t="n">
        <v>222.5</v>
      </c>
      <c r="Y6" t="n">
        <v>19</v>
      </c>
      <c r="Z6" t="n">
        <v>42.28</v>
      </c>
      <c r="AA6" t="n">
        <v>4.3</v>
      </c>
      <c r="AB6" t="n">
        <v>46.58</v>
      </c>
      <c r="AC6" t="n">
        <v>8.380000000000001</v>
      </c>
      <c r="AD6" t="n">
        <v>0</v>
      </c>
      <c r="AE6" t="n">
        <v>222.5</v>
      </c>
      <c r="AF6" t="n">
        <v>0</v>
      </c>
      <c r="AG6" t="n">
        <v>0</v>
      </c>
      <c r="AH6" t="n">
        <v>0.22</v>
      </c>
      <c r="AI6" t="n">
        <v>11.13</v>
      </c>
      <c r="AJ6" t="n">
        <v>0</v>
      </c>
      <c r="AK6" t="n">
        <v>19.73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66.31</v>
      </c>
      <c r="AV6" t="n">
        <v>0</v>
      </c>
      <c r="AW6" t="n">
        <v>167.32</v>
      </c>
      <c r="AX6" t="inlineStr">
        <is>
          <t>pending</t>
        </is>
      </c>
      <c r="AY6" t="inlineStr">
        <is>
          <t>NA</t>
        </is>
      </c>
      <c r="AZ6" t="inlineStr">
        <is>
          <t>NA</t>
        </is>
      </c>
      <c r="BA6" t="n">
        <v>167.32</v>
      </c>
      <c r="BB6" t="inlineStr">
        <is>
          <t>b52ddd28365af5e1641ce5e51625d590f1230bddc6951aa4275cbae432b7e926</t>
        </is>
      </c>
    </row>
    <row r="7">
      <c r="A7" t="inlineStr">
        <is>
          <t>1330</t>
        </is>
      </c>
      <c r="B7" t="inlineStr">
        <is>
          <t>7630160197</t>
        </is>
      </c>
      <c r="C7" t="inlineStr">
        <is>
          <t>2025-12-29 00:07:55</t>
        </is>
      </c>
      <c r="D7" t="inlineStr">
        <is>
          <t>1</t>
        </is>
      </c>
      <c r="E7" t="inlineStr">
        <is>
          <t>Sha Sha - Shandaar Shawarma</t>
        </is>
      </c>
      <c r="F7" t="inlineStr">
        <is>
          <t>18557902</t>
        </is>
      </c>
      <c r="G7" t="inlineStr">
        <is>
          <t>30% off upto ₹75 (2025-06-25 - 2031-01-01)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36</t>
        </is>
      </c>
      <c r="O7" t="n">
        <v>229</v>
      </c>
      <c r="P7" t="n">
        <v>3.5</v>
      </c>
      <c r="Q7" t="n">
        <v>0</v>
      </c>
      <c r="R7" t="n">
        <v>68.7</v>
      </c>
      <c r="S7" t="n">
        <v>0</v>
      </c>
      <c r="T7" t="n">
        <v>0</v>
      </c>
      <c r="U7" t="n">
        <v>0</v>
      </c>
      <c r="V7" t="n">
        <v>8.19</v>
      </c>
      <c r="W7" t="n">
        <v>171.99</v>
      </c>
      <c r="X7" t="n">
        <v>163.8</v>
      </c>
      <c r="Y7" t="n">
        <v>19</v>
      </c>
      <c r="Z7" t="n">
        <v>31.12</v>
      </c>
      <c r="AA7" t="n">
        <v>3.16</v>
      </c>
      <c r="AB7" t="n">
        <v>34.28</v>
      </c>
      <c r="AC7" t="n">
        <v>6.17</v>
      </c>
      <c r="AD7" t="n">
        <v>0</v>
      </c>
      <c r="AE7" t="n">
        <v>163.8</v>
      </c>
      <c r="AF7" t="n">
        <v>0</v>
      </c>
      <c r="AG7" t="n">
        <v>0</v>
      </c>
      <c r="AH7" t="n">
        <v>0.16</v>
      </c>
      <c r="AI7" t="n">
        <v>8.199999999999999</v>
      </c>
      <c r="AJ7" t="n">
        <v>-0.01</v>
      </c>
      <c r="AK7" t="n">
        <v>14.53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48.81</v>
      </c>
      <c r="AV7" t="n">
        <v>0</v>
      </c>
      <c r="AW7" t="n">
        <v>123.18</v>
      </c>
      <c r="AX7" t="inlineStr">
        <is>
          <t>pending</t>
        </is>
      </c>
      <c r="AY7" t="inlineStr">
        <is>
          <t>NA</t>
        </is>
      </c>
      <c r="AZ7" t="inlineStr">
        <is>
          <t>NA</t>
        </is>
      </c>
      <c r="BA7" t="n">
        <v>123.18</v>
      </c>
      <c r="BB7" t="inlineStr">
        <is>
          <t>a39817aeaee6a6991ce2fc31128c474079bf29eba06129b46137ecd1a333d03a</t>
        </is>
      </c>
    </row>
    <row r="8">
      <c r="A8" t="inlineStr">
        <is>
          <t>1331</t>
        </is>
      </c>
      <c r="B8" t="inlineStr">
        <is>
          <t>7631989950</t>
        </is>
      </c>
      <c r="C8" t="inlineStr">
        <is>
          <t>2025-12-29 00:33:27</t>
        </is>
      </c>
      <c r="D8" t="inlineStr">
        <is>
          <t>1</t>
        </is>
      </c>
      <c r="E8" t="inlineStr">
        <is>
          <t>Sha Sha - Shandaar Shawarma</t>
        </is>
      </c>
      <c r="F8" t="inlineStr">
        <is>
          <t>18557902</t>
        </is>
      </c>
      <c r="G8" t="inlineStr">
        <is>
          <t>30% off upto ₹75 (2025-06-25 - 2031-01-01)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36</t>
        </is>
      </c>
      <c r="O8" t="n">
        <v>229</v>
      </c>
      <c r="P8" t="n">
        <v>3.5</v>
      </c>
      <c r="Q8" t="n">
        <v>0</v>
      </c>
      <c r="R8" t="n">
        <v>68.7</v>
      </c>
      <c r="S8" t="n">
        <v>0</v>
      </c>
      <c r="T8" t="n">
        <v>0</v>
      </c>
      <c r="U8" t="n">
        <v>0</v>
      </c>
      <c r="V8" t="n">
        <v>8.19</v>
      </c>
      <c r="W8" t="n">
        <v>171.99</v>
      </c>
      <c r="X8" t="n">
        <v>163.8</v>
      </c>
      <c r="Y8" t="n">
        <v>19</v>
      </c>
      <c r="Z8" t="n">
        <v>31.12</v>
      </c>
      <c r="AA8" t="n">
        <v>3.16</v>
      </c>
      <c r="AB8" t="n">
        <v>34.28</v>
      </c>
      <c r="AC8" t="n">
        <v>6.17</v>
      </c>
      <c r="AD8" t="n">
        <v>0</v>
      </c>
      <c r="AE8" t="n">
        <v>163.8</v>
      </c>
      <c r="AF8" t="n">
        <v>0</v>
      </c>
      <c r="AG8" t="n">
        <v>0</v>
      </c>
      <c r="AH8" t="n">
        <v>0.16</v>
      </c>
      <c r="AI8" t="n">
        <v>8.199999999999999</v>
      </c>
      <c r="AJ8" t="n">
        <v>-0.01</v>
      </c>
      <c r="AK8" t="n">
        <v>14.53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48.81</v>
      </c>
      <c r="AV8" t="n">
        <v>0</v>
      </c>
      <c r="AW8" t="n">
        <v>123.18</v>
      </c>
      <c r="AX8" t="inlineStr">
        <is>
          <t>pending</t>
        </is>
      </c>
      <c r="AY8" t="inlineStr">
        <is>
          <t>NA</t>
        </is>
      </c>
      <c r="AZ8" t="inlineStr">
        <is>
          <t>NA</t>
        </is>
      </c>
      <c r="BA8" t="n">
        <v>123.18</v>
      </c>
      <c r="BB8" t="inlineStr">
        <is>
          <t>2c40b43811deeaf97d2c548ebed00f7f803f0783c19b9553f8c497ef6e0807dd</t>
        </is>
      </c>
    </row>
    <row r="9">
      <c r="A9" t="inlineStr">
        <is>
          <t>1332</t>
        </is>
      </c>
      <c r="B9" t="inlineStr">
        <is>
          <t>7622994587</t>
        </is>
      </c>
      <c r="C9" t="inlineStr">
        <is>
          <t>2025-12-29 01:09:24</t>
        </is>
      </c>
      <c r="D9" t="inlineStr">
        <is>
          <t>1</t>
        </is>
      </c>
      <c r="E9" t="inlineStr">
        <is>
          <t>Sha Sha - Shandaar Shawarma</t>
        </is>
      </c>
      <c r="F9" t="inlineStr">
        <is>
          <t>18557902</t>
        </is>
      </c>
      <c r="G9" t="inlineStr">
        <is>
          <t>30% off upto ₹75 (2025-06-25 - 2031-01-01)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O2</t>
        </is>
      </c>
      <c r="N9" t="inlineStr">
        <is>
          <t>36</t>
        </is>
      </c>
      <c r="O9" t="n">
        <v>229</v>
      </c>
      <c r="P9" t="n">
        <v>3.5</v>
      </c>
      <c r="Q9" t="n">
        <v>0</v>
      </c>
      <c r="R9" t="n">
        <v>68.7</v>
      </c>
      <c r="S9" t="n">
        <v>0</v>
      </c>
      <c r="T9" t="n">
        <v>0</v>
      </c>
      <c r="U9" t="n">
        <v>0</v>
      </c>
      <c r="V9" t="n">
        <v>8.19</v>
      </c>
      <c r="W9" t="n">
        <v>171.99</v>
      </c>
      <c r="X9" t="n">
        <v>163.8</v>
      </c>
      <c r="Y9" t="n">
        <v>19</v>
      </c>
      <c r="Z9" t="n">
        <v>31.12</v>
      </c>
      <c r="AA9" t="n">
        <v>3.16</v>
      </c>
      <c r="AB9" t="n">
        <v>34.28</v>
      </c>
      <c r="AC9" t="n">
        <v>6.17</v>
      </c>
      <c r="AD9" t="n">
        <v>0</v>
      </c>
      <c r="AE9" t="n">
        <v>163.8</v>
      </c>
      <c r="AF9" t="n">
        <v>0</v>
      </c>
      <c r="AG9" t="n">
        <v>0</v>
      </c>
      <c r="AH9" t="n">
        <v>0.16</v>
      </c>
      <c r="AI9" t="n">
        <v>8.199999999999999</v>
      </c>
      <c r="AJ9" t="n">
        <v>-0.01</v>
      </c>
      <c r="AK9" t="n">
        <v>14.53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48.81</v>
      </c>
      <c r="AV9" t="n">
        <v>0</v>
      </c>
      <c r="AW9" t="n">
        <v>123.18</v>
      </c>
      <c r="AX9" t="inlineStr">
        <is>
          <t>pending</t>
        </is>
      </c>
      <c r="AY9" t="inlineStr">
        <is>
          <t>NA</t>
        </is>
      </c>
      <c r="AZ9" t="inlineStr">
        <is>
          <t>NA</t>
        </is>
      </c>
      <c r="BA9" t="n">
        <v>123.18</v>
      </c>
      <c r="BB9" t="inlineStr">
        <is>
          <t>d679fca97540551daf9f3e2bb04cd72951a2f400717a57f5577b54b547a167a2</t>
        </is>
      </c>
    </row>
    <row r="10">
      <c r="A10" t="inlineStr">
        <is>
          <t>1333</t>
        </is>
      </c>
      <c r="B10" t="inlineStr">
        <is>
          <t>7625704361</t>
        </is>
      </c>
      <c r="C10" t="inlineStr">
        <is>
          <t>2025-12-29 01:10:29</t>
        </is>
      </c>
      <c r="D10" t="inlineStr">
        <is>
          <t>1</t>
        </is>
      </c>
      <c r="E10" t="inlineStr">
        <is>
          <t>Sha Sha - Shandaar Shawarma</t>
        </is>
      </c>
      <c r="F10" t="inlineStr">
        <is>
          <t>18557902</t>
        </is>
      </c>
      <c r="G10" t="inlineStr">
        <is>
          <t>30% off upto ₹75 (2025-06-25 - 2031-01-01)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36</t>
        </is>
      </c>
      <c r="O10" t="n">
        <v>229</v>
      </c>
      <c r="P10" t="n">
        <v>3.5</v>
      </c>
      <c r="Q10" t="n">
        <v>0</v>
      </c>
      <c r="R10" t="n">
        <v>68.7</v>
      </c>
      <c r="S10" t="n">
        <v>0</v>
      </c>
      <c r="T10" t="n">
        <v>0</v>
      </c>
      <c r="U10" t="n">
        <v>0</v>
      </c>
      <c r="V10" t="n">
        <v>8.19</v>
      </c>
      <c r="W10" t="n">
        <v>171.99</v>
      </c>
      <c r="X10" t="n">
        <v>163.8</v>
      </c>
      <c r="Y10" t="n">
        <v>19</v>
      </c>
      <c r="Z10" t="n">
        <v>31.12</v>
      </c>
      <c r="AA10" t="n">
        <v>3.16</v>
      </c>
      <c r="AB10" t="n">
        <v>34.28</v>
      </c>
      <c r="AC10" t="n">
        <v>6.17</v>
      </c>
      <c r="AD10" t="n">
        <v>0</v>
      </c>
      <c r="AE10" t="n">
        <v>163.8</v>
      </c>
      <c r="AF10" t="n">
        <v>0</v>
      </c>
      <c r="AG10" t="n">
        <v>0</v>
      </c>
      <c r="AH10" t="n">
        <v>0.16</v>
      </c>
      <c r="AI10" t="n">
        <v>8.199999999999999</v>
      </c>
      <c r="AJ10" t="n">
        <v>-0.01</v>
      </c>
      <c r="AK10" t="n">
        <v>14.53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48.81</v>
      </c>
      <c r="AV10" t="n">
        <v>0</v>
      </c>
      <c r="AW10" t="n">
        <v>123.18</v>
      </c>
      <c r="AX10" t="inlineStr">
        <is>
          <t>pending</t>
        </is>
      </c>
      <c r="AY10" t="inlineStr">
        <is>
          <t>NA</t>
        </is>
      </c>
      <c r="AZ10" t="inlineStr">
        <is>
          <t>NA</t>
        </is>
      </c>
      <c r="BA10" t="n">
        <v>123.18</v>
      </c>
      <c r="BB10" t="inlineStr">
        <is>
          <t>ee42452f84666edbcf2cececb10851ea580ca8fa2d3cb6b22b3017c75a81b044</t>
        </is>
      </c>
    </row>
    <row r="11">
      <c r="A11" t="inlineStr">
        <is>
          <t>1334</t>
        </is>
      </c>
      <c r="B11" t="inlineStr">
        <is>
          <t>7626489175</t>
        </is>
      </c>
      <c r="C11" t="inlineStr">
        <is>
          <t>2025-12-29 01:15:31</t>
        </is>
      </c>
      <c r="D11" t="inlineStr">
        <is>
          <t>1</t>
        </is>
      </c>
      <c r="E11" t="inlineStr">
        <is>
          <t>Sha Sha - Shandaar Shawarma</t>
        </is>
      </c>
      <c r="F11" t="inlineStr">
        <is>
          <t>18557902</t>
        </is>
      </c>
      <c r="G11" t="inlineStr">
        <is>
          <t>30% off upto ₹75 (2025-06-25 - 2031-01-01)</t>
        </is>
      </c>
      <c r="H11" t="inlineStr">
        <is>
          <t>ONLINE</t>
        </is>
      </c>
      <c r="I11" t="inlineStr">
        <is>
          <t>DELIVERED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O2</t>
        </is>
      </c>
      <c r="N11" t="inlineStr">
        <is>
          <t>36</t>
        </is>
      </c>
      <c r="O11" t="n">
        <v>438</v>
      </c>
      <c r="P11" t="n">
        <v>3.5</v>
      </c>
      <c r="Q11" t="n">
        <v>0</v>
      </c>
      <c r="R11" t="n">
        <v>75</v>
      </c>
      <c r="S11" t="n">
        <v>0</v>
      </c>
      <c r="T11" t="n">
        <v>0</v>
      </c>
      <c r="U11" t="n">
        <v>0</v>
      </c>
      <c r="V11" t="n">
        <v>18.33</v>
      </c>
      <c r="W11" t="n">
        <v>384.83</v>
      </c>
      <c r="X11" t="n">
        <v>366.5</v>
      </c>
      <c r="Y11" t="n">
        <v>19</v>
      </c>
      <c r="Z11" t="n">
        <v>69.64</v>
      </c>
      <c r="AA11" t="n">
        <v>7.08</v>
      </c>
      <c r="AB11" t="n">
        <v>76.72</v>
      </c>
      <c r="AC11" t="n">
        <v>13.81</v>
      </c>
      <c r="AD11" t="n">
        <v>0</v>
      </c>
      <c r="AE11" t="n">
        <v>366.5</v>
      </c>
      <c r="AF11" t="n">
        <v>0</v>
      </c>
      <c r="AG11" t="n">
        <v>0</v>
      </c>
      <c r="AH11" t="n">
        <v>0.37</v>
      </c>
      <c r="AI11" t="n">
        <v>18.33</v>
      </c>
      <c r="AJ11" t="n">
        <v>0</v>
      </c>
      <c r="AK11" t="n">
        <v>32.51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109.23</v>
      </c>
      <c r="AV11" t="n">
        <v>0</v>
      </c>
      <c r="AW11" t="n">
        <v>275.6</v>
      </c>
      <c r="AX11" t="inlineStr">
        <is>
          <t>pending</t>
        </is>
      </c>
      <c r="AY11" t="inlineStr">
        <is>
          <t>NA</t>
        </is>
      </c>
      <c r="AZ11" t="inlineStr">
        <is>
          <t>NA</t>
        </is>
      </c>
      <c r="BA11" t="n">
        <v>275.6</v>
      </c>
      <c r="BB11" t="inlineStr">
        <is>
          <t>3e4eb44acf84c199de0787b4ed5b5e9e3ca6b52894cbf9fa6eba67e7d1ef17bb</t>
        </is>
      </c>
    </row>
    <row r="12">
      <c r="A12" t="inlineStr">
        <is>
          <t>1335</t>
        </is>
      </c>
      <c r="B12" t="inlineStr">
        <is>
          <t>7627213659</t>
        </is>
      </c>
      <c r="C12" t="inlineStr">
        <is>
          <t>2025-12-29 01:21:28</t>
        </is>
      </c>
      <c r="D12" t="inlineStr">
        <is>
          <t>1</t>
        </is>
      </c>
      <c r="E12" t="inlineStr">
        <is>
          <t>Sha Sha - Shandaar Shawarma</t>
        </is>
      </c>
      <c r="F12" t="inlineStr">
        <is>
          <t>18557902</t>
        </is>
      </c>
      <c r="G12" t="inlineStr">
        <is>
          <t>30% off upto ₹75 (2025-06-25 - 2031-01-01)</t>
        </is>
      </c>
      <c r="H12" t="inlineStr">
        <is>
          <t>ONLINE</t>
        </is>
      </c>
      <c r="I12" t="inlineStr">
        <is>
          <t>DELIVERED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O2</t>
        </is>
      </c>
      <c r="N12" t="inlineStr">
        <is>
          <t>36</t>
        </is>
      </c>
      <c r="O12" t="n">
        <v>229</v>
      </c>
      <c r="P12" t="n">
        <v>3.5</v>
      </c>
      <c r="Q12" t="n">
        <v>0</v>
      </c>
      <c r="R12" t="n">
        <v>68.7</v>
      </c>
      <c r="S12" t="n">
        <v>0</v>
      </c>
      <c r="T12" t="n">
        <v>0</v>
      </c>
      <c r="U12" t="n">
        <v>0</v>
      </c>
      <c r="V12" t="n">
        <v>8.19</v>
      </c>
      <c r="W12" t="n">
        <v>171.99</v>
      </c>
      <c r="X12" t="n">
        <v>163.8</v>
      </c>
      <c r="Y12" t="n">
        <v>19</v>
      </c>
      <c r="Z12" t="n">
        <v>31.12</v>
      </c>
      <c r="AA12" t="n">
        <v>3.16</v>
      </c>
      <c r="AB12" t="n">
        <v>34.28</v>
      </c>
      <c r="AC12" t="n">
        <v>6.17</v>
      </c>
      <c r="AD12" t="n">
        <v>0</v>
      </c>
      <c r="AE12" t="n">
        <v>163.8</v>
      </c>
      <c r="AF12" t="n">
        <v>0</v>
      </c>
      <c r="AG12" t="n">
        <v>0</v>
      </c>
      <c r="AH12" t="n">
        <v>0.16</v>
      </c>
      <c r="AI12" t="n">
        <v>8.199999999999999</v>
      </c>
      <c r="AJ12" t="n">
        <v>-0.01</v>
      </c>
      <c r="AK12" t="n">
        <v>14.53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48.81</v>
      </c>
      <c r="AV12" t="n">
        <v>0</v>
      </c>
      <c r="AW12" t="n">
        <v>123.18</v>
      </c>
      <c r="AX12" t="inlineStr">
        <is>
          <t>pending</t>
        </is>
      </c>
      <c r="AY12" t="inlineStr">
        <is>
          <t>NA</t>
        </is>
      </c>
      <c r="AZ12" t="inlineStr">
        <is>
          <t>NA</t>
        </is>
      </c>
      <c r="BA12" t="n">
        <v>123.18</v>
      </c>
      <c r="BB12" t="inlineStr">
        <is>
          <t>f59205a6412cd5d8fe633658ae0da95767dd06ef0e84e3115f815110c4b1996e</t>
        </is>
      </c>
    </row>
    <row r="13">
      <c r="A13" t="inlineStr">
        <is>
          <t>1336</t>
        </is>
      </c>
      <c r="B13" t="inlineStr">
        <is>
          <t>7629180195</t>
        </is>
      </c>
      <c r="C13" t="inlineStr">
        <is>
          <t>2025-12-29 01:43:49</t>
        </is>
      </c>
      <c r="D13" t="inlineStr">
        <is>
          <t>1</t>
        </is>
      </c>
      <c r="E13" t="inlineStr">
        <is>
          <t>Sha Sha - Shandaar Shawarma</t>
        </is>
      </c>
      <c r="F13" t="inlineStr">
        <is>
          <t>18557902</t>
        </is>
      </c>
      <c r="G13" t="inlineStr">
        <is>
          <t>30% off upto ₹75 (2025-06-25 - 2031-01-01)</t>
        </is>
      </c>
      <c r="H13" t="inlineStr">
        <is>
          <t>ONLINE</t>
        </is>
      </c>
      <c r="I13" t="inlineStr">
        <is>
          <t>DELIVERED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O2</t>
        </is>
      </c>
      <c r="N13" t="inlineStr">
        <is>
          <t>36</t>
        </is>
      </c>
      <c r="O13" t="n">
        <v>229</v>
      </c>
      <c r="P13" t="n">
        <v>3.5</v>
      </c>
      <c r="Q13" t="n">
        <v>0</v>
      </c>
      <c r="R13" t="n">
        <v>68.7</v>
      </c>
      <c r="S13" t="n">
        <v>0</v>
      </c>
      <c r="T13" t="n">
        <v>0</v>
      </c>
      <c r="U13" t="n">
        <v>0</v>
      </c>
      <c r="V13" t="n">
        <v>8.19</v>
      </c>
      <c r="W13" t="n">
        <v>171.99</v>
      </c>
      <c r="X13" t="n">
        <v>163.8</v>
      </c>
      <c r="Y13" t="n">
        <v>19</v>
      </c>
      <c r="Z13" t="n">
        <v>31.12</v>
      </c>
      <c r="AA13" t="n">
        <v>3.16</v>
      </c>
      <c r="AB13" t="n">
        <v>34.28</v>
      </c>
      <c r="AC13" t="n">
        <v>6.17</v>
      </c>
      <c r="AD13" t="n">
        <v>0</v>
      </c>
      <c r="AE13" t="n">
        <v>163.8</v>
      </c>
      <c r="AF13" t="n">
        <v>0</v>
      </c>
      <c r="AG13" t="n">
        <v>0</v>
      </c>
      <c r="AH13" t="n">
        <v>0.16</v>
      </c>
      <c r="AI13" t="n">
        <v>8.199999999999999</v>
      </c>
      <c r="AJ13" t="n">
        <v>-0.01</v>
      </c>
      <c r="AK13" t="n">
        <v>14.53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48.81</v>
      </c>
      <c r="AV13" t="n">
        <v>0</v>
      </c>
      <c r="AW13" t="n">
        <v>123.18</v>
      </c>
      <c r="AX13" t="inlineStr">
        <is>
          <t>pending</t>
        </is>
      </c>
      <c r="AY13" t="inlineStr">
        <is>
          <t>NA</t>
        </is>
      </c>
      <c r="AZ13" t="inlineStr">
        <is>
          <t>NA</t>
        </is>
      </c>
      <c r="BA13" t="n">
        <v>123.18</v>
      </c>
      <c r="BB13" t="inlineStr">
        <is>
          <t>ac959b86336b04b06bbbb58e74886ff52a964329cfc7eafa2e6b99e2490579d1</t>
        </is>
      </c>
    </row>
    <row r="14">
      <c r="A14" t="inlineStr">
        <is>
          <t>1337</t>
        </is>
      </c>
      <c r="B14" t="inlineStr">
        <is>
          <t>7630075935</t>
        </is>
      </c>
      <c r="C14" t="inlineStr">
        <is>
          <t>2025-12-29 02:53:37</t>
        </is>
      </c>
      <c r="D14" t="inlineStr">
        <is>
          <t>1</t>
        </is>
      </c>
      <c r="E14" t="inlineStr">
        <is>
          <t>Sha Sha - Shandaar Shawarma</t>
        </is>
      </c>
      <c r="F14" t="inlineStr">
        <is>
          <t>18557902</t>
        </is>
      </c>
      <c r="G14" t="inlineStr">
        <is>
          <t>30% off upto ₹75 (2025-06-25 - 2031-01-01)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36</t>
        </is>
      </c>
      <c r="O14" t="n">
        <v>458</v>
      </c>
      <c r="P14" t="n">
        <v>3.5</v>
      </c>
      <c r="Q14" t="n">
        <v>0</v>
      </c>
      <c r="R14" t="n">
        <v>75</v>
      </c>
      <c r="S14" t="n">
        <v>0</v>
      </c>
      <c r="T14" t="n">
        <v>0</v>
      </c>
      <c r="U14" t="n">
        <v>0</v>
      </c>
      <c r="V14" t="n">
        <v>19.33</v>
      </c>
      <c r="W14" t="n">
        <v>405.83</v>
      </c>
      <c r="X14" t="n">
        <v>386.5</v>
      </c>
      <c r="Y14" t="n">
        <v>19</v>
      </c>
      <c r="Z14" t="n">
        <v>73.44</v>
      </c>
      <c r="AA14" t="n">
        <v>7.47</v>
      </c>
      <c r="AB14" t="n">
        <v>80.91</v>
      </c>
      <c r="AC14" t="n">
        <v>14.56</v>
      </c>
      <c r="AD14" t="n">
        <v>0</v>
      </c>
      <c r="AE14" t="n">
        <v>386.5</v>
      </c>
      <c r="AF14" t="n">
        <v>0</v>
      </c>
      <c r="AG14" t="n">
        <v>0</v>
      </c>
      <c r="AH14" t="n">
        <v>0.39</v>
      </c>
      <c r="AI14" t="n">
        <v>19.33</v>
      </c>
      <c r="AJ14" t="n">
        <v>0</v>
      </c>
      <c r="AK14" t="n">
        <v>34.28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115.19</v>
      </c>
      <c r="AV14" t="n">
        <v>0</v>
      </c>
      <c r="AW14" t="n">
        <v>290.64</v>
      </c>
      <c r="AX14" t="inlineStr">
        <is>
          <t>pending</t>
        </is>
      </c>
      <c r="AY14" t="inlineStr">
        <is>
          <t>NA</t>
        </is>
      </c>
      <c r="AZ14" t="inlineStr">
        <is>
          <t>NA</t>
        </is>
      </c>
      <c r="BA14" t="n">
        <v>290.64</v>
      </c>
      <c r="BB14" t="inlineStr">
        <is>
          <t>945287452aa5ad11f87700251aaf0044c7c8a7c57c42b16a7c26635b23a5fde2</t>
        </is>
      </c>
    </row>
    <row r="15">
      <c r="A15" t="inlineStr">
        <is>
          <t>1338</t>
        </is>
      </c>
      <c r="B15" t="inlineStr">
        <is>
          <t>7629439072</t>
        </is>
      </c>
      <c r="C15" t="inlineStr">
        <is>
          <t>2025-12-29 02:55:48</t>
        </is>
      </c>
      <c r="D15" t="inlineStr">
        <is>
          <t>1</t>
        </is>
      </c>
      <c r="E15" t="inlineStr">
        <is>
          <t>Sha Sha - Shandaar Shawarma</t>
        </is>
      </c>
      <c r="F15" t="inlineStr">
        <is>
          <t>18557902</t>
        </is>
      </c>
      <c r="G15" t="inlineStr">
        <is>
          <t>30% off upto ₹75 (2025-06-25 - 2031-01-01)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36</t>
        </is>
      </c>
      <c r="O15" t="n">
        <v>229</v>
      </c>
      <c r="P15" t="n">
        <v>3.5</v>
      </c>
      <c r="Q15" t="n">
        <v>0</v>
      </c>
      <c r="R15" t="n">
        <v>68.7</v>
      </c>
      <c r="S15" t="n">
        <v>0</v>
      </c>
      <c r="T15" t="n">
        <v>0</v>
      </c>
      <c r="U15" t="n">
        <v>0</v>
      </c>
      <c r="V15" t="n">
        <v>8.19</v>
      </c>
      <c r="W15" t="n">
        <v>171.99</v>
      </c>
      <c r="X15" t="n">
        <v>163.8</v>
      </c>
      <c r="Y15" t="n">
        <v>19</v>
      </c>
      <c r="Z15" t="n">
        <v>31.12</v>
      </c>
      <c r="AA15" t="n">
        <v>3.16</v>
      </c>
      <c r="AB15" t="n">
        <v>34.28</v>
      </c>
      <c r="AC15" t="n">
        <v>6.17</v>
      </c>
      <c r="AD15" t="n">
        <v>0</v>
      </c>
      <c r="AE15" t="n">
        <v>163.8</v>
      </c>
      <c r="AF15" t="n">
        <v>0</v>
      </c>
      <c r="AG15" t="n">
        <v>0</v>
      </c>
      <c r="AH15" t="n">
        <v>0.16</v>
      </c>
      <c r="AI15" t="n">
        <v>8.199999999999999</v>
      </c>
      <c r="AJ15" t="n">
        <v>-0.01</v>
      </c>
      <c r="AK15" t="n">
        <v>14.53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48.81</v>
      </c>
      <c r="AV15" t="n">
        <v>0</v>
      </c>
      <c r="AW15" t="n">
        <v>123.18</v>
      </c>
      <c r="AX15" t="inlineStr">
        <is>
          <t>pending</t>
        </is>
      </c>
      <c r="AY15" t="inlineStr">
        <is>
          <t>NA</t>
        </is>
      </c>
      <c r="AZ15" t="inlineStr">
        <is>
          <t>NA</t>
        </is>
      </c>
      <c r="BA15" t="n">
        <v>123.18</v>
      </c>
      <c r="BB15" t="inlineStr">
        <is>
          <t>0979936789ebba9999edb062312bf8c5646a59a822925a3cbacce9ed536795de</t>
        </is>
      </c>
    </row>
    <row r="16">
      <c r="A16" t="inlineStr">
        <is>
          <t>1339</t>
        </is>
      </c>
      <c r="B16" t="inlineStr">
        <is>
          <t>7628657878</t>
        </is>
      </c>
      <c r="C16" t="inlineStr">
        <is>
          <t>2025-12-29 03:26:40</t>
        </is>
      </c>
      <c r="D16" t="inlineStr">
        <is>
          <t>1</t>
        </is>
      </c>
      <c r="E16" t="inlineStr">
        <is>
          <t>Sha Sha - Shandaar Shawarma</t>
        </is>
      </c>
      <c r="F16" t="inlineStr">
        <is>
          <t>18557902</t>
        </is>
      </c>
      <c r="G16" t="inlineStr">
        <is>
          <t>30% off upto ₹75 (2025-06-25 - 2031-01-01)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36</t>
        </is>
      </c>
      <c r="O16" t="n">
        <v>219</v>
      </c>
      <c r="P16" t="n">
        <v>3.5</v>
      </c>
      <c r="Q16" t="n">
        <v>0</v>
      </c>
      <c r="R16" t="n">
        <v>65.7</v>
      </c>
      <c r="S16" t="n">
        <v>0</v>
      </c>
      <c r="T16" t="n">
        <v>0</v>
      </c>
      <c r="U16" t="n">
        <v>0</v>
      </c>
      <c r="V16" t="n">
        <v>7.84</v>
      </c>
      <c r="W16" t="n">
        <v>164.64</v>
      </c>
      <c r="X16" t="n">
        <v>156.8</v>
      </c>
      <c r="Y16" t="n">
        <v>19</v>
      </c>
      <c r="Z16" t="n">
        <v>29.79</v>
      </c>
      <c r="AA16" t="n">
        <v>3.03</v>
      </c>
      <c r="AB16" t="n">
        <v>32.82</v>
      </c>
      <c r="AC16" t="n">
        <v>5.91</v>
      </c>
      <c r="AD16" t="n">
        <v>0</v>
      </c>
      <c r="AE16" t="n">
        <v>156.8</v>
      </c>
      <c r="AF16" t="n">
        <v>0</v>
      </c>
      <c r="AG16" t="n">
        <v>0</v>
      </c>
      <c r="AH16" t="n">
        <v>0.16</v>
      </c>
      <c r="AI16" t="n">
        <v>7.85</v>
      </c>
      <c r="AJ16" t="n">
        <v>-0.01</v>
      </c>
      <c r="AK16" t="n">
        <v>13.92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46.74</v>
      </c>
      <c r="AV16" t="n">
        <v>0</v>
      </c>
      <c r="AW16" t="n">
        <v>117.9</v>
      </c>
      <c r="AX16" t="inlineStr">
        <is>
          <t>pending</t>
        </is>
      </c>
      <c r="AY16" t="inlineStr">
        <is>
          <t>NA</t>
        </is>
      </c>
      <c r="AZ16" t="inlineStr">
        <is>
          <t>NA</t>
        </is>
      </c>
      <c r="BA16" t="n">
        <v>117.9</v>
      </c>
      <c r="BB16" t="inlineStr">
        <is>
          <t>c9228306f109933681c677df6011aae6d5fb256da584108caf344dd62263fdb0</t>
        </is>
      </c>
    </row>
    <row r="17">
      <c r="A17" t="inlineStr">
        <is>
          <t>1340</t>
        </is>
      </c>
      <c r="B17" t="inlineStr">
        <is>
          <t>7632064206</t>
        </is>
      </c>
      <c r="C17" t="inlineStr">
        <is>
          <t>2025-12-29 03:56:37</t>
        </is>
      </c>
      <c r="D17" t="inlineStr">
        <is>
          <t>1</t>
        </is>
      </c>
      <c r="E17" t="inlineStr">
        <is>
          <t>Sha Sha - Shandaar Shawarma</t>
        </is>
      </c>
      <c r="F17" t="inlineStr">
        <is>
          <t>18557902</t>
        </is>
      </c>
      <c r="G17" t="inlineStr">
        <is>
          <t>30% off upto ₹75 (2025-06-25 - 2031-01-01)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36</t>
        </is>
      </c>
      <c r="O17" t="n">
        <v>229</v>
      </c>
      <c r="P17" t="n">
        <v>3.5</v>
      </c>
      <c r="Q17" t="n">
        <v>0</v>
      </c>
      <c r="R17" t="n">
        <v>68.7</v>
      </c>
      <c r="S17" t="n">
        <v>0</v>
      </c>
      <c r="T17" t="n">
        <v>0</v>
      </c>
      <c r="U17" t="n">
        <v>0</v>
      </c>
      <c r="V17" t="n">
        <v>8.19</v>
      </c>
      <c r="W17" t="n">
        <v>171.99</v>
      </c>
      <c r="X17" t="n">
        <v>163.8</v>
      </c>
      <c r="Y17" t="n">
        <v>19</v>
      </c>
      <c r="Z17" t="n">
        <v>31.12</v>
      </c>
      <c r="AA17" t="n">
        <v>3.16</v>
      </c>
      <c r="AB17" t="n">
        <v>34.28</v>
      </c>
      <c r="AC17" t="n">
        <v>6.17</v>
      </c>
      <c r="AD17" t="n">
        <v>0</v>
      </c>
      <c r="AE17" t="n">
        <v>163.8</v>
      </c>
      <c r="AF17" t="n">
        <v>0</v>
      </c>
      <c r="AG17" t="n">
        <v>0</v>
      </c>
      <c r="AH17" t="n">
        <v>0.16</v>
      </c>
      <c r="AI17" t="n">
        <v>8.199999999999999</v>
      </c>
      <c r="AJ17" t="n">
        <v>-0.01</v>
      </c>
      <c r="AK17" t="n">
        <v>14.53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48.81</v>
      </c>
      <c r="AV17" t="n">
        <v>0</v>
      </c>
      <c r="AW17" t="n">
        <v>123.18</v>
      </c>
      <c r="AX17" t="inlineStr">
        <is>
          <t>pending</t>
        </is>
      </c>
      <c r="AY17" t="inlineStr">
        <is>
          <t>NA</t>
        </is>
      </c>
      <c r="AZ17" t="inlineStr">
        <is>
          <t>NA</t>
        </is>
      </c>
      <c r="BA17" t="n">
        <v>123.18</v>
      </c>
      <c r="BB17" t="inlineStr">
        <is>
          <t>713847dc42b86d834f871ed63b57d3df368288e9f483ef6816a7f4ef3c55dd50</t>
        </is>
      </c>
    </row>
    <row r="18">
      <c r="A18" t="inlineStr">
        <is>
          <t>1341</t>
        </is>
      </c>
      <c r="B18" t="inlineStr">
        <is>
          <t>7629363686</t>
        </is>
      </c>
      <c r="C18" t="inlineStr">
        <is>
          <t>2025-12-29 04:02:54</t>
        </is>
      </c>
      <c r="D18" t="inlineStr">
        <is>
          <t>1</t>
        </is>
      </c>
      <c r="E18" t="inlineStr">
        <is>
          <t>Sha Sha - Shandaar Shawarma</t>
        </is>
      </c>
      <c r="F18" t="inlineStr">
        <is>
          <t>18557902</t>
        </is>
      </c>
      <c r="G18" t="inlineStr">
        <is>
          <t>30% off upto ₹75 (2025-06-25 - 2031-01-01)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36</t>
        </is>
      </c>
      <c r="O18" t="n">
        <v>229</v>
      </c>
      <c r="P18" t="n">
        <v>3.5</v>
      </c>
      <c r="Q18" t="n">
        <v>0</v>
      </c>
      <c r="R18" t="n">
        <v>68.7</v>
      </c>
      <c r="S18" t="n">
        <v>0</v>
      </c>
      <c r="T18" t="n">
        <v>0</v>
      </c>
      <c r="U18" t="n">
        <v>0</v>
      </c>
      <c r="V18" t="n">
        <v>8.19</v>
      </c>
      <c r="W18" t="n">
        <v>171.99</v>
      </c>
      <c r="X18" t="n">
        <v>163.8</v>
      </c>
      <c r="Y18" t="n">
        <v>19</v>
      </c>
      <c r="Z18" t="n">
        <v>31.12</v>
      </c>
      <c r="AA18" t="n">
        <v>3.16</v>
      </c>
      <c r="AB18" t="n">
        <v>34.28</v>
      </c>
      <c r="AC18" t="n">
        <v>6.17</v>
      </c>
      <c r="AD18" t="n">
        <v>0</v>
      </c>
      <c r="AE18" t="n">
        <v>163.8</v>
      </c>
      <c r="AF18" t="n">
        <v>0</v>
      </c>
      <c r="AG18" t="n">
        <v>0</v>
      </c>
      <c r="AH18" t="n">
        <v>0.16</v>
      </c>
      <c r="AI18" t="n">
        <v>8.199999999999999</v>
      </c>
      <c r="AJ18" t="n">
        <v>-0.01</v>
      </c>
      <c r="AK18" t="n">
        <v>14.53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48.81</v>
      </c>
      <c r="AV18" t="n">
        <v>0</v>
      </c>
      <c r="AW18" t="n">
        <v>123.18</v>
      </c>
      <c r="AX18" t="inlineStr">
        <is>
          <t>pending</t>
        </is>
      </c>
      <c r="AY18" t="inlineStr">
        <is>
          <t>NA</t>
        </is>
      </c>
      <c r="AZ18" t="inlineStr">
        <is>
          <t>NA</t>
        </is>
      </c>
      <c r="BA18" t="n">
        <v>123.18</v>
      </c>
      <c r="BB18" t="inlineStr">
        <is>
          <t>1b7830f015e2ee5d386f52501c6b0122dfe36c3afb50f153d665d054556a1080</t>
        </is>
      </c>
    </row>
    <row r="19">
      <c r="A19" t="inlineStr">
        <is>
          <t>1342</t>
        </is>
      </c>
      <c r="B19" t="inlineStr">
        <is>
          <t>7631858159</t>
        </is>
      </c>
      <c r="C19" t="inlineStr">
        <is>
          <t>2025-12-29 12:07:45</t>
        </is>
      </c>
      <c r="D19" t="inlineStr">
        <is>
          <t>1</t>
        </is>
      </c>
      <c r="E19" t="inlineStr">
        <is>
          <t>Sha Sha - Shandaar Shawarma</t>
        </is>
      </c>
      <c r="F19" t="inlineStr">
        <is>
          <t>18557902</t>
        </is>
      </c>
      <c r="G19" t="inlineStr">
        <is>
          <t>30% off upto ₹75 (2025-06-25 - 2031-01-01)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36</t>
        </is>
      </c>
      <c r="O19" t="n">
        <v>219</v>
      </c>
      <c r="P19" t="n">
        <v>3.5</v>
      </c>
      <c r="Q19" t="n">
        <v>0</v>
      </c>
      <c r="R19" t="n">
        <v>65.7</v>
      </c>
      <c r="S19" t="n">
        <v>0</v>
      </c>
      <c r="T19" t="n">
        <v>0</v>
      </c>
      <c r="U19" t="n">
        <v>0</v>
      </c>
      <c r="V19" t="n">
        <v>7.84</v>
      </c>
      <c r="W19" t="n">
        <v>164.64</v>
      </c>
      <c r="X19" t="n">
        <v>156.8</v>
      </c>
      <c r="Y19" t="n">
        <v>19</v>
      </c>
      <c r="Z19" t="n">
        <v>29.79</v>
      </c>
      <c r="AA19" t="n">
        <v>3.03</v>
      </c>
      <c r="AB19" t="n">
        <v>32.82</v>
      </c>
      <c r="AC19" t="n">
        <v>5.91</v>
      </c>
      <c r="AD19" t="n">
        <v>0</v>
      </c>
      <c r="AE19" t="n">
        <v>156.8</v>
      </c>
      <c r="AF19" t="n">
        <v>0</v>
      </c>
      <c r="AG19" t="n">
        <v>0</v>
      </c>
      <c r="AH19" t="n">
        <v>0.16</v>
      </c>
      <c r="AI19" t="n">
        <v>7.85</v>
      </c>
      <c r="AJ19" t="n">
        <v>-0.01</v>
      </c>
      <c r="AK19" t="n">
        <v>13.92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46.74</v>
      </c>
      <c r="AV19" t="n">
        <v>0</v>
      </c>
      <c r="AW19" t="n">
        <v>117.9</v>
      </c>
      <c r="AX19" t="inlineStr">
        <is>
          <t>pending</t>
        </is>
      </c>
      <c r="AY19" t="inlineStr">
        <is>
          <t>NA</t>
        </is>
      </c>
      <c r="AZ19" t="inlineStr">
        <is>
          <t>NA</t>
        </is>
      </c>
      <c r="BA19" t="n">
        <v>117.9</v>
      </c>
      <c r="BB19" t="inlineStr">
        <is>
          <t>daded40875692c00d62a80d83216aba959026229f5e643748055923ec7bb28d7</t>
        </is>
      </c>
    </row>
    <row r="20">
      <c r="A20" t="inlineStr">
        <is>
          <t>1343</t>
        </is>
      </c>
      <c r="B20" t="inlineStr">
        <is>
          <t>7630032798</t>
        </is>
      </c>
      <c r="C20" t="inlineStr">
        <is>
          <t>2025-12-29 13:32:31</t>
        </is>
      </c>
      <c r="D20" t="inlineStr">
        <is>
          <t>1</t>
        </is>
      </c>
      <c r="E20" t="inlineStr">
        <is>
          <t>Sha Sha - Shandaar Shawarma</t>
        </is>
      </c>
      <c r="F20" t="inlineStr">
        <is>
          <t>18557902</t>
        </is>
      </c>
      <c r="G20" t="inlineStr">
        <is>
          <t>30% off upto ₹75 (2025-06-25 - 2031-01-01)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36</t>
        </is>
      </c>
      <c r="O20" t="n">
        <v>229</v>
      </c>
      <c r="P20" t="n">
        <v>3.5</v>
      </c>
      <c r="Q20" t="n">
        <v>0</v>
      </c>
      <c r="R20" t="n">
        <v>68.7</v>
      </c>
      <c r="S20" t="n">
        <v>0</v>
      </c>
      <c r="T20" t="n">
        <v>0</v>
      </c>
      <c r="U20" t="n">
        <v>0</v>
      </c>
      <c r="V20" t="n">
        <v>8.19</v>
      </c>
      <c r="W20" t="n">
        <v>171.99</v>
      </c>
      <c r="X20" t="n">
        <v>163.8</v>
      </c>
      <c r="Y20" t="n">
        <v>19</v>
      </c>
      <c r="Z20" t="n">
        <v>31.12</v>
      </c>
      <c r="AA20" t="n">
        <v>3.16</v>
      </c>
      <c r="AB20" t="n">
        <v>34.28</v>
      </c>
      <c r="AC20" t="n">
        <v>6.17</v>
      </c>
      <c r="AD20" t="n">
        <v>0</v>
      </c>
      <c r="AE20" t="n">
        <v>163.8</v>
      </c>
      <c r="AF20" t="n">
        <v>0</v>
      </c>
      <c r="AG20" t="n">
        <v>0</v>
      </c>
      <c r="AH20" t="n">
        <v>0.16</v>
      </c>
      <c r="AI20" t="n">
        <v>8.199999999999999</v>
      </c>
      <c r="AJ20" t="n">
        <v>-0.01</v>
      </c>
      <c r="AK20" t="n">
        <v>14.53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48.81</v>
      </c>
      <c r="AV20" t="n">
        <v>0</v>
      </c>
      <c r="AW20" t="n">
        <v>123.18</v>
      </c>
      <c r="AX20" t="inlineStr">
        <is>
          <t>pending</t>
        </is>
      </c>
      <c r="AY20" t="inlineStr">
        <is>
          <t>NA</t>
        </is>
      </c>
      <c r="AZ20" t="inlineStr">
        <is>
          <t>NA</t>
        </is>
      </c>
      <c r="BA20" t="n">
        <v>123.18</v>
      </c>
      <c r="BB20" t="inlineStr">
        <is>
          <t>e741ca1a25d56a84a49d3ab66cd3312661b8240697b3e04c5afd634811662d31</t>
        </is>
      </c>
    </row>
    <row r="21">
      <c r="A21" t="inlineStr">
        <is>
          <t>1344</t>
        </is>
      </c>
      <c r="B21" t="inlineStr">
        <is>
          <t>7632542320</t>
        </is>
      </c>
      <c r="C21" t="inlineStr">
        <is>
          <t>2025-12-29 16:14:19</t>
        </is>
      </c>
      <c r="D21" t="inlineStr">
        <is>
          <t>1</t>
        </is>
      </c>
      <c r="E21" t="inlineStr">
        <is>
          <t>Sha Sha - Shandaar Shawarma</t>
        </is>
      </c>
      <c r="F21" t="inlineStr">
        <is>
          <t>18557902</t>
        </is>
      </c>
      <c r="G21" t="inlineStr">
        <is>
          <t>NA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36</t>
        </is>
      </c>
      <c r="O21" t="n">
        <v>229</v>
      </c>
      <c r="P21" t="n">
        <v>3.5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11.63</v>
      </c>
      <c r="W21" t="n">
        <v>244.13</v>
      </c>
      <c r="X21" t="n">
        <v>232.5</v>
      </c>
      <c r="Y21" t="n">
        <v>19</v>
      </c>
      <c r="Z21" t="n">
        <v>44.18</v>
      </c>
      <c r="AA21" t="n">
        <v>4.49</v>
      </c>
      <c r="AB21" t="n">
        <v>48.67</v>
      </c>
      <c r="AC21" t="n">
        <v>8.76</v>
      </c>
      <c r="AD21" t="n">
        <v>0</v>
      </c>
      <c r="AE21" t="n">
        <v>232.5</v>
      </c>
      <c r="AF21" t="n">
        <v>0</v>
      </c>
      <c r="AG21" t="n">
        <v>0</v>
      </c>
      <c r="AH21" t="n">
        <v>0.23</v>
      </c>
      <c r="AI21" t="n">
        <v>11.63</v>
      </c>
      <c r="AJ21" t="n">
        <v>0</v>
      </c>
      <c r="AK21" t="n">
        <v>20.62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69.29000000000001</v>
      </c>
      <c r="AV21" t="n">
        <v>0</v>
      </c>
      <c r="AW21" t="n">
        <v>174.84</v>
      </c>
      <c r="AX21" t="inlineStr">
        <is>
          <t>pending</t>
        </is>
      </c>
      <c r="AY21" t="inlineStr">
        <is>
          <t>NA</t>
        </is>
      </c>
      <c r="AZ21" t="inlineStr">
        <is>
          <t>NA</t>
        </is>
      </c>
      <c r="BA21" t="n">
        <v>174.84</v>
      </c>
      <c r="BB21" t="inlineStr">
        <is>
          <t>f8384bbd9f52bac5e60dc795e259fa7787862768ecf6631c4849249f4a4266e3</t>
        </is>
      </c>
    </row>
    <row r="22">
      <c r="A22" t="inlineStr">
        <is>
          <t>1345</t>
        </is>
      </c>
      <c r="B22" t="inlineStr">
        <is>
          <t>7625539159</t>
        </is>
      </c>
      <c r="C22" t="inlineStr">
        <is>
          <t>2025-12-29 16:57:01</t>
        </is>
      </c>
      <c r="D22" t="inlineStr">
        <is>
          <t>1</t>
        </is>
      </c>
      <c r="E22" t="inlineStr">
        <is>
          <t>Sha Sha - Shandaar Shawarma</t>
        </is>
      </c>
      <c r="F22" t="inlineStr">
        <is>
          <t>18557902</t>
        </is>
      </c>
      <c r="G22" t="inlineStr">
        <is>
          <t>30% off upto ₹75 (2025-06-25 - 2031-01-01)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36</t>
        </is>
      </c>
      <c r="O22" t="n">
        <v>229</v>
      </c>
      <c r="P22" t="n">
        <v>3.5</v>
      </c>
      <c r="Q22" t="n">
        <v>0</v>
      </c>
      <c r="R22" t="n">
        <v>68.7</v>
      </c>
      <c r="S22" t="n">
        <v>0</v>
      </c>
      <c r="T22" t="n">
        <v>0</v>
      </c>
      <c r="U22" t="n">
        <v>0</v>
      </c>
      <c r="V22" t="n">
        <v>8.19</v>
      </c>
      <c r="W22" t="n">
        <v>171.99</v>
      </c>
      <c r="X22" t="n">
        <v>163.8</v>
      </c>
      <c r="Y22" t="n">
        <v>19</v>
      </c>
      <c r="Z22" t="n">
        <v>31.12</v>
      </c>
      <c r="AA22" t="n">
        <v>3.16</v>
      </c>
      <c r="AB22" t="n">
        <v>34.28</v>
      </c>
      <c r="AC22" t="n">
        <v>6.17</v>
      </c>
      <c r="AD22" t="n">
        <v>0</v>
      </c>
      <c r="AE22" t="n">
        <v>163.8</v>
      </c>
      <c r="AF22" t="n">
        <v>0</v>
      </c>
      <c r="AG22" t="n">
        <v>0</v>
      </c>
      <c r="AH22" t="n">
        <v>0.16</v>
      </c>
      <c r="AI22" t="n">
        <v>8.199999999999999</v>
      </c>
      <c r="AJ22" t="n">
        <v>-0.01</v>
      </c>
      <c r="AK22" t="n">
        <v>14.53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48.81</v>
      </c>
      <c r="AV22" t="n">
        <v>0</v>
      </c>
      <c r="AW22" t="n">
        <v>123.18</v>
      </c>
      <c r="AX22" t="inlineStr">
        <is>
          <t>pending</t>
        </is>
      </c>
      <c r="AY22" t="inlineStr">
        <is>
          <t>NA</t>
        </is>
      </c>
      <c r="AZ22" t="inlineStr">
        <is>
          <t>NA</t>
        </is>
      </c>
      <c r="BA22" t="n">
        <v>123.18</v>
      </c>
      <c r="BB22" t="inlineStr">
        <is>
          <t>008e50fe53ecdb948bdd1bbfe93ad77b01b555b8ff52f55e624b2dc685c201fb</t>
        </is>
      </c>
    </row>
    <row r="23">
      <c r="A23" t="inlineStr">
        <is>
          <t>1346</t>
        </is>
      </c>
      <c r="B23" t="inlineStr">
        <is>
          <t>7603460982</t>
        </is>
      </c>
      <c r="C23" t="inlineStr">
        <is>
          <t>2025-12-29 17:01:15</t>
        </is>
      </c>
      <c r="D23" t="inlineStr">
        <is>
          <t>1</t>
        </is>
      </c>
      <c r="E23" t="inlineStr">
        <is>
          <t>Sha Sha - Shandaar Shawarma</t>
        </is>
      </c>
      <c r="F23" t="inlineStr">
        <is>
          <t>18557902</t>
        </is>
      </c>
      <c r="G23" t="inlineStr">
        <is>
          <t>30% off upto ₹75 (2025-06-25 - 2031-01-01)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36</t>
        </is>
      </c>
      <c r="O23" t="n">
        <v>229</v>
      </c>
      <c r="P23" t="n">
        <v>3.5</v>
      </c>
      <c r="Q23" t="n">
        <v>0</v>
      </c>
      <c r="R23" t="n">
        <v>68.7</v>
      </c>
      <c r="S23" t="n">
        <v>0</v>
      </c>
      <c r="T23" t="n">
        <v>0</v>
      </c>
      <c r="U23" t="n">
        <v>0</v>
      </c>
      <c r="V23" t="n">
        <v>8.19</v>
      </c>
      <c r="W23" t="n">
        <v>171.99</v>
      </c>
      <c r="X23" t="n">
        <v>163.8</v>
      </c>
      <c r="Y23" t="n">
        <v>19</v>
      </c>
      <c r="Z23" t="n">
        <v>31.12</v>
      </c>
      <c r="AA23" t="n">
        <v>3.16</v>
      </c>
      <c r="AB23" t="n">
        <v>34.28</v>
      </c>
      <c r="AC23" t="n">
        <v>6.17</v>
      </c>
      <c r="AD23" t="n">
        <v>0</v>
      </c>
      <c r="AE23" t="n">
        <v>163.8</v>
      </c>
      <c r="AF23" t="n">
        <v>0</v>
      </c>
      <c r="AG23" t="n">
        <v>0</v>
      </c>
      <c r="AH23" t="n">
        <v>0.16</v>
      </c>
      <c r="AI23" t="n">
        <v>8.199999999999999</v>
      </c>
      <c r="AJ23" t="n">
        <v>-0.01</v>
      </c>
      <c r="AK23" t="n">
        <v>14.53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48.81</v>
      </c>
      <c r="AV23" t="n">
        <v>0</v>
      </c>
      <c r="AW23" t="n">
        <v>123.18</v>
      </c>
      <c r="AX23" t="inlineStr">
        <is>
          <t>pending</t>
        </is>
      </c>
      <c r="AY23" t="inlineStr">
        <is>
          <t>NA</t>
        </is>
      </c>
      <c r="AZ23" t="inlineStr">
        <is>
          <t>NA</t>
        </is>
      </c>
      <c r="BA23" t="n">
        <v>123.18</v>
      </c>
      <c r="BB23" t="inlineStr">
        <is>
          <t>f57a69833aa5fd20debd206207b24a02acf99f12dcdb7c0c2139dac55cb8031e</t>
        </is>
      </c>
    </row>
    <row r="24">
      <c r="A24" t="inlineStr">
        <is>
          <t>1347</t>
        </is>
      </c>
      <c r="B24" t="inlineStr">
        <is>
          <t>7631918189</t>
        </is>
      </c>
      <c r="C24" t="inlineStr">
        <is>
          <t>2025-12-29 17:02:24</t>
        </is>
      </c>
      <c r="D24" t="inlineStr">
        <is>
          <t>1</t>
        </is>
      </c>
      <c r="E24" t="inlineStr">
        <is>
          <t>Sha Sha - Shandaar Shawarma</t>
        </is>
      </c>
      <c r="F24" t="inlineStr">
        <is>
          <t>18557902</t>
        </is>
      </c>
      <c r="G24" t="inlineStr">
        <is>
          <t>30% off upto ₹75 (2025-06-25 - 2031-01-01)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36</t>
        </is>
      </c>
      <c r="O24" t="n">
        <v>229</v>
      </c>
      <c r="P24" t="n">
        <v>3.5</v>
      </c>
      <c r="Q24" t="n">
        <v>0</v>
      </c>
      <c r="R24" t="n">
        <v>68.7</v>
      </c>
      <c r="S24" t="n">
        <v>0</v>
      </c>
      <c r="T24" t="n">
        <v>0</v>
      </c>
      <c r="U24" t="n">
        <v>0</v>
      </c>
      <c r="V24" t="n">
        <v>8.19</v>
      </c>
      <c r="W24" t="n">
        <v>171.99</v>
      </c>
      <c r="X24" t="n">
        <v>163.8</v>
      </c>
      <c r="Y24" t="n">
        <v>19</v>
      </c>
      <c r="Z24" t="n">
        <v>31.12</v>
      </c>
      <c r="AA24" t="n">
        <v>3.16</v>
      </c>
      <c r="AB24" t="n">
        <v>34.28</v>
      </c>
      <c r="AC24" t="n">
        <v>6.17</v>
      </c>
      <c r="AD24" t="n">
        <v>0</v>
      </c>
      <c r="AE24" t="n">
        <v>163.8</v>
      </c>
      <c r="AF24" t="n">
        <v>0</v>
      </c>
      <c r="AG24" t="n">
        <v>0</v>
      </c>
      <c r="AH24" t="n">
        <v>0.16</v>
      </c>
      <c r="AI24" t="n">
        <v>8.199999999999999</v>
      </c>
      <c r="AJ24" t="n">
        <v>-0.01</v>
      </c>
      <c r="AK24" t="n">
        <v>14.53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48.81</v>
      </c>
      <c r="AV24" t="n">
        <v>0</v>
      </c>
      <c r="AW24" t="n">
        <v>123.18</v>
      </c>
      <c r="AX24" t="inlineStr">
        <is>
          <t>pending</t>
        </is>
      </c>
      <c r="AY24" t="inlineStr">
        <is>
          <t>NA</t>
        </is>
      </c>
      <c r="AZ24" t="inlineStr">
        <is>
          <t>NA</t>
        </is>
      </c>
      <c r="BA24" t="n">
        <v>123.18</v>
      </c>
      <c r="BB24" t="inlineStr">
        <is>
          <t>4032c5e8bb23b27a76a0fc35b270386f3caea06a0b8edc244326e4d7b7f83108</t>
        </is>
      </c>
    </row>
    <row r="25">
      <c r="A25" t="inlineStr">
        <is>
          <t>1348</t>
        </is>
      </c>
      <c r="B25" t="inlineStr">
        <is>
          <t>7629312382</t>
        </is>
      </c>
      <c r="C25" t="inlineStr">
        <is>
          <t>2025-12-29 18:10:55</t>
        </is>
      </c>
      <c r="D25" t="inlineStr">
        <is>
          <t>1</t>
        </is>
      </c>
      <c r="E25" t="inlineStr">
        <is>
          <t>Sha Sha - Shandaar Shawarma</t>
        </is>
      </c>
      <c r="F25" t="inlineStr">
        <is>
          <t>18557902</t>
        </is>
      </c>
      <c r="G25" t="inlineStr">
        <is>
          <t>30% off upto ₹75 (2025-06-25 - 2031-01-01)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36</t>
        </is>
      </c>
      <c r="O25" t="n">
        <v>229</v>
      </c>
      <c r="P25" t="n">
        <v>3.5</v>
      </c>
      <c r="Q25" t="n">
        <v>0</v>
      </c>
      <c r="R25" t="n">
        <v>68.7</v>
      </c>
      <c r="S25" t="n">
        <v>0</v>
      </c>
      <c r="T25" t="n">
        <v>0</v>
      </c>
      <c r="U25" t="n">
        <v>0</v>
      </c>
      <c r="V25" t="n">
        <v>8.19</v>
      </c>
      <c r="W25" t="n">
        <v>171.99</v>
      </c>
      <c r="X25" t="n">
        <v>163.8</v>
      </c>
      <c r="Y25" t="n">
        <v>19</v>
      </c>
      <c r="Z25" t="n">
        <v>31.12</v>
      </c>
      <c r="AA25" t="n">
        <v>3.16</v>
      </c>
      <c r="AB25" t="n">
        <v>34.28</v>
      </c>
      <c r="AC25" t="n">
        <v>6.17</v>
      </c>
      <c r="AD25" t="n">
        <v>0</v>
      </c>
      <c r="AE25" t="n">
        <v>163.8</v>
      </c>
      <c r="AF25" t="n">
        <v>0</v>
      </c>
      <c r="AG25" t="n">
        <v>0</v>
      </c>
      <c r="AH25" t="n">
        <v>0.16</v>
      </c>
      <c r="AI25" t="n">
        <v>8.199999999999999</v>
      </c>
      <c r="AJ25" t="n">
        <v>-0.01</v>
      </c>
      <c r="AK25" t="n">
        <v>14.53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48.81</v>
      </c>
      <c r="AV25" t="n">
        <v>0</v>
      </c>
      <c r="AW25" t="n">
        <v>123.18</v>
      </c>
      <c r="AX25" t="inlineStr">
        <is>
          <t>pending</t>
        </is>
      </c>
      <c r="AY25" t="inlineStr">
        <is>
          <t>NA</t>
        </is>
      </c>
      <c r="AZ25" t="inlineStr">
        <is>
          <t>NA</t>
        </is>
      </c>
      <c r="BA25" t="n">
        <v>123.18</v>
      </c>
      <c r="BB25" t="inlineStr">
        <is>
          <t>a5854d15c4f20f49fd806e6abd153de1380749133f156d1f576026e658881d0c</t>
        </is>
      </c>
    </row>
    <row r="26">
      <c r="A26" t="inlineStr">
        <is>
          <t>1349</t>
        </is>
      </c>
      <c r="B26" t="inlineStr">
        <is>
          <t>7633420388</t>
        </is>
      </c>
      <c r="C26" t="inlineStr">
        <is>
          <t>2025-12-29 18:21:33</t>
        </is>
      </c>
      <c r="D26" t="inlineStr">
        <is>
          <t>1</t>
        </is>
      </c>
      <c r="E26" t="inlineStr">
        <is>
          <t>Sha Sha - Shandaar Shawarma</t>
        </is>
      </c>
      <c r="F26" t="inlineStr">
        <is>
          <t>18557902</t>
        </is>
      </c>
      <c r="G26" t="inlineStr">
        <is>
          <t>30% off upto ₹75 (2025-06-25 - 2031-01-01)</t>
        </is>
      </c>
      <c r="H26" t="inlineStr">
        <is>
          <t>ONLINE</t>
        </is>
      </c>
      <c r="I26" t="inlineStr">
        <is>
          <t>DELIVERED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O2</t>
        </is>
      </c>
      <c r="N26" t="inlineStr">
        <is>
          <t>36</t>
        </is>
      </c>
      <c r="O26" t="n">
        <v>258</v>
      </c>
      <c r="P26" t="n">
        <v>3.5</v>
      </c>
      <c r="Q26" t="n">
        <v>0</v>
      </c>
      <c r="R26" t="n">
        <v>75</v>
      </c>
      <c r="S26" t="n">
        <v>0</v>
      </c>
      <c r="T26" t="n">
        <v>0</v>
      </c>
      <c r="U26" t="n">
        <v>0</v>
      </c>
      <c r="V26" t="n">
        <v>9.33</v>
      </c>
      <c r="W26" t="n">
        <v>195.83</v>
      </c>
      <c r="X26" t="n">
        <v>186.5</v>
      </c>
      <c r="Y26" t="n">
        <v>19</v>
      </c>
      <c r="Z26" t="n">
        <v>35.44</v>
      </c>
      <c r="AA26" t="n">
        <v>3.6</v>
      </c>
      <c r="AB26" t="n">
        <v>39.04</v>
      </c>
      <c r="AC26" t="n">
        <v>7.03</v>
      </c>
      <c r="AD26" t="n">
        <v>0</v>
      </c>
      <c r="AE26" t="n">
        <v>186.5</v>
      </c>
      <c r="AF26" t="n">
        <v>0</v>
      </c>
      <c r="AG26" t="n">
        <v>0</v>
      </c>
      <c r="AH26" t="n">
        <v>0.19</v>
      </c>
      <c r="AI26" t="n">
        <v>9.33</v>
      </c>
      <c r="AJ26" t="n">
        <v>0</v>
      </c>
      <c r="AK26" t="n">
        <v>16.55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55.59</v>
      </c>
      <c r="AV26" t="n">
        <v>0</v>
      </c>
      <c r="AW26" t="n">
        <v>140.24</v>
      </c>
      <c r="AX26" t="inlineStr">
        <is>
          <t>pending</t>
        </is>
      </c>
      <c r="AY26" t="inlineStr">
        <is>
          <t>NA</t>
        </is>
      </c>
      <c r="AZ26" t="inlineStr">
        <is>
          <t>NA</t>
        </is>
      </c>
      <c r="BA26" t="n">
        <v>140.24</v>
      </c>
      <c r="BB26" t="inlineStr">
        <is>
          <t>fd970acbcada5673e1ede41082d5ed3d8bda4bfefa8ba6bb8fb28024f76eaaa2</t>
        </is>
      </c>
    </row>
    <row r="27">
      <c r="A27" t="inlineStr">
        <is>
          <t>1350</t>
        </is>
      </c>
      <c r="B27" t="inlineStr">
        <is>
          <t>7622825884</t>
        </is>
      </c>
      <c r="C27" t="inlineStr">
        <is>
          <t>2025-12-29 18:32:31</t>
        </is>
      </c>
      <c r="D27" t="inlineStr">
        <is>
          <t>1</t>
        </is>
      </c>
      <c r="E27" t="inlineStr">
        <is>
          <t>Sha Sha - Shandaar Shawarma</t>
        </is>
      </c>
      <c r="F27" t="inlineStr">
        <is>
          <t>18557902</t>
        </is>
      </c>
      <c r="G27" t="inlineStr">
        <is>
          <t>30% off upto ₹75 (2025-06-25 - 2031-01-01)</t>
        </is>
      </c>
      <c r="H27" t="inlineStr">
        <is>
          <t>ONLINE</t>
        </is>
      </c>
      <c r="I27" t="inlineStr">
        <is>
          <t>DELIVERED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O2</t>
        </is>
      </c>
      <c r="N27" t="inlineStr">
        <is>
          <t>36</t>
        </is>
      </c>
      <c r="O27" t="n">
        <v>219</v>
      </c>
      <c r="P27" t="n">
        <v>3.5</v>
      </c>
      <c r="Q27" t="n">
        <v>0</v>
      </c>
      <c r="R27" t="n">
        <v>65.7</v>
      </c>
      <c r="S27" t="n">
        <v>0</v>
      </c>
      <c r="T27" t="n">
        <v>0</v>
      </c>
      <c r="U27" t="n">
        <v>0</v>
      </c>
      <c r="V27" t="n">
        <v>7.84</v>
      </c>
      <c r="W27" t="n">
        <v>164.64</v>
      </c>
      <c r="X27" t="n">
        <v>156.8</v>
      </c>
      <c r="Y27" t="n">
        <v>19</v>
      </c>
      <c r="Z27" t="n">
        <v>29.79</v>
      </c>
      <c r="AA27" t="n">
        <v>3.03</v>
      </c>
      <c r="AB27" t="n">
        <v>32.82</v>
      </c>
      <c r="AC27" t="n">
        <v>5.91</v>
      </c>
      <c r="AD27" t="n">
        <v>0</v>
      </c>
      <c r="AE27" t="n">
        <v>156.8</v>
      </c>
      <c r="AF27" t="n">
        <v>0</v>
      </c>
      <c r="AG27" t="n">
        <v>0</v>
      </c>
      <c r="AH27" t="n">
        <v>0.16</v>
      </c>
      <c r="AI27" t="n">
        <v>7.85</v>
      </c>
      <c r="AJ27" t="n">
        <v>-0.01</v>
      </c>
      <c r="AK27" t="n">
        <v>13.92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46.74</v>
      </c>
      <c r="AV27" t="n">
        <v>0</v>
      </c>
      <c r="AW27" t="n">
        <v>117.9</v>
      </c>
      <c r="AX27" t="inlineStr">
        <is>
          <t>pending</t>
        </is>
      </c>
      <c r="AY27" t="inlineStr">
        <is>
          <t>NA</t>
        </is>
      </c>
      <c r="AZ27" t="inlineStr">
        <is>
          <t>NA</t>
        </is>
      </c>
      <c r="BA27" t="n">
        <v>117.9</v>
      </c>
      <c r="BB27" t="inlineStr">
        <is>
          <t>4ed4490f9973648691aa5face3c9c58bb5a0f4b7c9abf11fff4eb30ff4db0883</t>
        </is>
      </c>
    </row>
    <row r="28">
      <c r="A28" t="inlineStr">
        <is>
          <t>1351</t>
        </is>
      </c>
      <c r="B28" t="inlineStr">
        <is>
          <t>7631014093</t>
        </is>
      </c>
      <c r="C28" t="inlineStr">
        <is>
          <t>2025-12-29 18:56:24</t>
        </is>
      </c>
      <c r="D28" t="inlineStr">
        <is>
          <t>1</t>
        </is>
      </c>
      <c r="E28" t="inlineStr">
        <is>
          <t>Sha Sha - Shandaar Shawarma</t>
        </is>
      </c>
      <c r="F28" t="inlineStr">
        <is>
          <t>18557902</t>
        </is>
      </c>
      <c r="G28" t="inlineStr">
        <is>
          <t>30% off upto ₹75 (2025-06-25 - 2031-01-01)</t>
        </is>
      </c>
      <c r="H28" t="inlineStr">
        <is>
          <t>ONLINE</t>
        </is>
      </c>
      <c r="I28" t="inlineStr">
        <is>
          <t>DELIVERED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O2</t>
        </is>
      </c>
      <c r="N28" t="inlineStr">
        <is>
          <t>36</t>
        </is>
      </c>
      <c r="O28" t="n">
        <v>526</v>
      </c>
      <c r="P28" t="n">
        <v>3.5</v>
      </c>
      <c r="Q28" t="n">
        <v>0</v>
      </c>
      <c r="R28" t="n">
        <v>75</v>
      </c>
      <c r="S28" t="n">
        <v>0</v>
      </c>
      <c r="T28" t="n">
        <v>0</v>
      </c>
      <c r="U28" t="n">
        <v>0</v>
      </c>
      <c r="V28" t="n">
        <v>22.73</v>
      </c>
      <c r="W28" t="n">
        <v>477.23</v>
      </c>
      <c r="X28" t="n">
        <v>454.5</v>
      </c>
      <c r="Y28" t="n">
        <v>19</v>
      </c>
      <c r="Z28" t="n">
        <v>86.36</v>
      </c>
      <c r="AA28" t="n">
        <v>8.779999999999999</v>
      </c>
      <c r="AB28" t="n">
        <v>95.14</v>
      </c>
      <c r="AC28" t="n">
        <v>17.12</v>
      </c>
      <c r="AD28" t="n">
        <v>0</v>
      </c>
      <c r="AE28" t="n">
        <v>454.5</v>
      </c>
      <c r="AF28" t="n">
        <v>0</v>
      </c>
      <c r="AG28" t="n">
        <v>0</v>
      </c>
      <c r="AH28" t="n">
        <v>0.45</v>
      </c>
      <c r="AI28" t="n">
        <v>22.73</v>
      </c>
      <c r="AJ28" t="n">
        <v>0</v>
      </c>
      <c r="AK28" t="n">
        <v>40.3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135.44</v>
      </c>
      <c r="AV28" t="n">
        <v>0</v>
      </c>
      <c r="AW28" t="n">
        <v>341.79</v>
      </c>
      <c r="AX28" t="inlineStr">
        <is>
          <t>pending</t>
        </is>
      </c>
      <c r="AY28" t="inlineStr">
        <is>
          <t>NA</t>
        </is>
      </c>
      <c r="AZ28" t="inlineStr">
        <is>
          <t>NA</t>
        </is>
      </c>
      <c r="BA28" t="n">
        <v>341.79</v>
      </c>
      <c r="BB28" t="inlineStr">
        <is>
          <t>6e90f92e0f2903c0f3349597ea885c0ff8304e24b67cefc4acec23f27b7204ff</t>
        </is>
      </c>
    </row>
    <row r="29">
      <c r="A29" t="inlineStr">
        <is>
          <t>1352</t>
        </is>
      </c>
      <c r="B29" t="inlineStr">
        <is>
          <t>7628978016</t>
        </is>
      </c>
      <c r="C29" t="inlineStr">
        <is>
          <t>2025-12-29 19:24:19</t>
        </is>
      </c>
      <c r="D29" t="inlineStr">
        <is>
          <t>1</t>
        </is>
      </c>
      <c r="E29" t="inlineStr">
        <is>
          <t>Sha Sha - Shandaar Shawarma</t>
        </is>
      </c>
      <c r="F29" t="inlineStr">
        <is>
          <t>18557902</t>
        </is>
      </c>
      <c r="G29" t="inlineStr">
        <is>
          <t>NA</t>
        </is>
      </c>
      <c r="H29" t="inlineStr">
        <is>
          <t>ONLINE</t>
        </is>
      </c>
      <c r="I29" t="inlineStr">
        <is>
          <t>DELIVERED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O2</t>
        </is>
      </c>
      <c r="N29" t="inlineStr">
        <is>
          <t>36</t>
        </is>
      </c>
      <c r="O29" t="n">
        <v>229</v>
      </c>
      <c r="P29" t="n">
        <v>3.5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11.63</v>
      </c>
      <c r="W29" t="n">
        <v>244.13</v>
      </c>
      <c r="X29" t="n">
        <v>232.5</v>
      </c>
      <c r="Y29" t="n">
        <v>19</v>
      </c>
      <c r="Z29" t="n">
        <v>44.18</v>
      </c>
      <c r="AA29" t="n">
        <v>4.49</v>
      </c>
      <c r="AB29" t="n">
        <v>48.67</v>
      </c>
      <c r="AC29" t="n">
        <v>8.76</v>
      </c>
      <c r="AD29" t="n">
        <v>0</v>
      </c>
      <c r="AE29" t="n">
        <v>232.5</v>
      </c>
      <c r="AF29" t="n">
        <v>0</v>
      </c>
      <c r="AG29" t="n">
        <v>0</v>
      </c>
      <c r="AH29" t="n">
        <v>0.23</v>
      </c>
      <c r="AI29" t="n">
        <v>11.63</v>
      </c>
      <c r="AJ29" t="n">
        <v>0</v>
      </c>
      <c r="AK29" t="n">
        <v>20.62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69.29000000000001</v>
      </c>
      <c r="AV29" t="n">
        <v>0</v>
      </c>
      <c r="AW29" t="n">
        <v>174.84</v>
      </c>
      <c r="AX29" t="inlineStr">
        <is>
          <t>pending</t>
        </is>
      </c>
      <c r="AY29" t="inlineStr">
        <is>
          <t>NA</t>
        </is>
      </c>
      <c r="AZ29" t="inlineStr">
        <is>
          <t>NA</t>
        </is>
      </c>
      <c r="BA29" t="n">
        <v>174.84</v>
      </c>
      <c r="BB29" t="inlineStr">
        <is>
          <t>aca3ea8829f35f32eeb9c617b1f572fd528973fe5d98cd8653b3eae979a66190</t>
        </is>
      </c>
    </row>
    <row r="30">
      <c r="A30" t="inlineStr">
        <is>
          <t>1353</t>
        </is>
      </c>
      <c r="B30" t="inlineStr">
        <is>
          <t>7625898039</t>
        </is>
      </c>
      <c r="C30" t="inlineStr">
        <is>
          <t>2025-12-29 19:25:46</t>
        </is>
      </c>
      <c r="D30" t="inlineStr">
        <is>
          <t>1</t>
        </is>
      </c>
      <c r="E30" t="inlineStr">
        <is>
          <t>Sha Sha - Shandaar Shawarma</t>
        </is>
      </c>
      <c r="F30" t="inlineStr">
        <is>
          <t>18557902</t>
        </is>
      </c>
      <c r="G30" t="inlineStr">
        <is>
          <t>NA</t>
        </is>
      </c>
      <c r="H30" t="inlineStr">
        <is>
          <t>ONLINE</t>
        </is>
      </c>
      <c r="I30" t="inlineStr">
        <is>
          <t>DELIVERED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O2</t>
        </is>
      </c>
      <c r="N30" t="inlineStr">
        <is>
          <t>36</t>
        </is>
      </c>
      <c r="O30" t="n">
        <v>229</v>
      </c>
      <c r="P30" t="n">
        <v>3.5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11.63</v>
      </c>
      <c r="W30" t="n">
        <v>244.13</v>
      </c>
      <c r="X30" t="n">
        <v>232.5</v>
      </c>
      <c r="Y30" t="n">
        <v>19</v>
      </c>
      <c r="Z30" t="n">
        <v>44.18</v>
      </c>
      <c r="AA30" t="n">
        <v>4.49</v>
      </c>
      <c r="AB30" t="n">
        <v>48.67</v>
      </c>
      <c r="AC30" t="n">
        <v>8.76</v>
      </c>
      <c r="AD30" t="n">
        <v>0</v>
      </c>
      <c r="AE30" t="n">
        <v>232.5</v>
      </c>
      <c r="AF30" t="n">
        <v>0</v>
      </c>
      <c r="AG30" t="n">
        <v>0</v>
      </c>
      <c r="AH30" t="n">
        <v>0.23</v>
      </c>
      <c r="AI30" t="n">
        <v>11.63</v>
      </c>
      <c r="AJ30" t="n">
        <v>0</v>
      </c>
      <c r="AK30" t="n">
        <v>20.62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69.29000000000001</v>
      </c>
      <c r="AV30" t="n">
        <v>0</v>
      </c>
      <c r="AW30" t="n">
        <v>174.84</v>
      </c>
      <c r="AX30" t="inlineStr">
        <is>
          <t>pending</t>
        </is>
      </c>
      <c r="AY30" t="inlineStr">
        <is>
          <t>NA</t>
        </is>
      </c>
      <c r="AZ30" t="inlineStr">
        <is>
          <t>NA</t>
        </is>
      </c>
      <c r="BA30" t="n">
        <v>174.84</v>
      </c>
      <c r="BB30" t="inlineStr">
        <is>
          <t>84420ac98509b83684275c703ee79f51833e372477be7223eb1b92fd145456d9</t>
        </is>
      </c>
    </row>
    <row r="31">
      <c r="A31" t="inlineStr">
        <is>
          <t>1354</t>
        </is>
      </c>
      <c r="B31" t="inlineStr">
        <is>
          <t>7631216096</t>
        </is>
      </c>
      <c r="C31" t="inlineStr">
        <is>
          <t>2025-12-29 20:22:48</t>
        </is>
      </c>
      <c r="D31" t="inlineStr">
        <is>
          <t>1</t>
        </is>
      </c>
      <c r="E31" t="inlineStr">
        <is>
          <t>Sha Sha - Shandaar Shawarma</t>
        </is>
      </c>
      <c r="F31" t="inlineStr">
        <is>
          <t>18557902</t>
        </is>
      </c>
      <c r="G31" t="inlineStr">
        <is>
          <t>NA</t>
        </is>
      </c>
      <c r="H31" t="inlineStr">
        <is>
          <t>ONLINE</t>
        </is>
      </c>
      <c r="I31" t="inlineStr">
        <is>
          <t>DELIVERED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O2</t>
        </is>
      </c>
      <c r="N31" t="inlineStr">
        <is>
          <t>36</t>
        </is>
      </c>
      <c r="O31" t="n">
        <v>219</v>
      </c>
      <c r="P31" t="n">
        <v>3.5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11.13</v>
      </c>
      <c r="W31" t="n">
        <v>233.63</v>
      </c>
      <c r="X31" t="n">
        <v>222.5</v>
      </c>
      <c r="Y31" t="n">
        <v>19</v>
      </c>
      <c r="Z31" t="n">
        <v>42.28</v>
      </c>
      <c r="AA31" t="n">
        <v>4.3</v>
      </c>
      <c r="AB31" t="n">
        <v>46.58</v>
      </c>
      <c r="AC31" t="n">
        <v>8.380000000000001</v>
      </c>
      <c r="AD31" t="n">
        <v>0</v>
      </c>
      <c r="AE31" t="n">
        <v>222.5</v>
      </c>
      <c r="AF31" t="n">
        <v>0</v>
      </c>
      <c r="AG31" t="n">
        <v>0</v>
      </c>
      <c r="AH31" t="n">
        <v>0.22</v>
      </c>
      <c r="AI31" t="n">
        <v>11.13</v>
      </c>
      <c r="AJ31" t="n">
        <v>0</v>
      </c>
      <c r="AK31" t="n">
        <v>19.73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66.31</v>
      </c>
      <c r="AV31" t="n">
        <v>0</v>
      </c>
      <c r="AW31" t="n">
        <v>167.32</v>
      </c>
      <c r="AX31" t="inlineStr">
        <is>
          <t>pending</t>
        </is>
      </c>
      <c r="AY31" t="inlineStr">
        <is>
          <t>NA</t>
        </is>
      </c>
      <c r="AZ31" t="inlineStr">
        <is>
          <t>NA</t>
        </is>
      </c>
      <c r="BA31" t="n">
        <v>167.32</v>
      </c>
      <c r="BB31" t="inlineStr">
        <is>
          <t>d3b87c6db1e96c7fc472ce4edcd3e9f435a9c69cb4cce59b44c9fe6b6fc9dcf5</t>
        </is>
      </c>
    </row>
    <row r="32">
      <c r="A32" t="inlineStr">
        <is>
          <t>1355</t>
        </is>
      </c>
      <c r="B32" t="inlineStr">
        <is>
          <t>7633012312</t>
        </is>
      </c>
      <c r="C32" t="inlineStr">
        <is>
          <t>2025-12-29 20:25:01</t>
        </is>
      </c>
      <c r="D32" t="inlineStr">
        <is>
          <t>1</t>
        </is>
      </c>
      <c r="E32" t="inlineStr">
        <is>
          <t>Sha Sha - Shandaar Shawarma</t>
        </is>
      </c>
      <c r="F32" t="inlineStr">
        <is>
          <t>18557902</t>
        </is>
      </c>
      <c r="G32" t="inlineStr">
        <is>
          <t>30% off upto ₹75 (2025-06-25 - 2031-01-01)</t>
        </is>
      </c>
      <c r="H32" t="inlineStr">
        <is>
          <t>ONLINE</t>
        </is>
      </c>
      <c r="I32" t="inlineStr">
        <is>
          <t>DELIVERED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O2</t>
        </is>
      </c>
      <c r="N32" t="inlineStr">
        <is>
          <t>36</t>
        </is>
      </c>
      <c r="O32" t="n">
        <v>219</v>
      </c>
      <c r="P32" t="n">
        <v>3.5</v>
      </c>
      <c r="Q32" t="n">
        <v>0</v>
      </c>
      <c r="R32" t="n">
        <v>65.7</v>
      </c>
      <c r="S32" t="n">
        <v>0</v>
      </c>
      <c r="T32" t="n">
        <v>0</v>
      </c>
      <c r="U32" t="n">
        <v>0</v>
      </c>
      <c r="V32" t="n">
        <v>7.84</v>
      </c>
      <c r="W32" t="n">
        <v>164.64</v>
      </c>
      <c r="X32" t="n">
        <v>156.8</v>
      </c>
      <c r="Y32" t="n">
        <v>19</v>
      </c>
      <c r="Z32" t="n">
        <v>29.79</v>
      </c>
      <c r="AA32" t="n">
        <v>3.03</v>
      </c>
      <c r="AB32" t="n">
        <v>32.82</v>
      </c>
      <c r="AC32" t="n">
        <v>5.91</v>
      </c>
      <c r="AD32" t="n">
        <v>0</v>
      </c>
      <c r="AE32" t="n">
        <v>156.8</v>
      </c>
      <c r="AF32" t="n">
        <v>0</v>
      </c>
      <c r="AG32" t="n">
        <v>0</v>
      </c>
      <c r="AH32" t="n">
        <v>0.16</v>
      </c>
      <c r="AI32" t="n">
        <v>7.85</v>
      </c>
      <c r="AJ32" t="n">
        <v>-0.01</v>
      </c>
      <c r="AK32" t="n">
        <v>13.92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46.74</v>
      </c>
      <c r="AV32" t="n">
        <v>0</v>
      </c>
      <c r="AW32" t="n">
        <v>117.9</v>
      </c>
      <c r="AX32" t="inlineStr">
        <is>
          <t>pending</t>
        </is>
      </c>
      <c r="AY32" t="inlineStr">
        <is>
          <t>NA</t>
        </is>
      </c>
      <c r="AZ32" t="inlineStr">
        <is>
          <t>NA</t>
        </is>
      </c>
      <c r="BA32" t="n">
        <v>117.9</v>
      </c>
      <c r="BB32" t="inlineStr">
        <is>
          <t>d565a351bac72ef1d1f241c5d35740b36f0bdb451a9000eeca11c9741875dbfb</t>
        </is>
      </c>
    </row>
    <row r="33">
      <c r="A33" t="inlineStr">
        <is>
          <t>1356</t>
        </is>
      </c>
      <c r="B33" t="inlineStr">
        <is>
          <t>7630214283</t>
        </is>
      </c>
      <c r="C33" t="inlineStr">
        <is>
          <t>2025-12-29 20:34:03</t>
        </is>
      </c>
      <c r="D33" t="inlineStr">
        <is>
          <t>1</t>
        </is>
      </c>
      <c r="E33" t="inlineStr">
        <is>
          <t>Sha Sha - Shandaar Shawarma</t>
        </is>
      </c>
      <c r="F33" t="inlineStr">
        <is>
          <t>18557902</t>
        </is>
      </c>
      <c r="G33" t="inlineStr">
        <is>
          <t>30% off upto ₹75 (2025-06-25 - 2031-01-01)</t>
        </is>
      </c>
      <c r="H33" t="inlineStr">
        <is>
          <t>ONLINE</t>
        </is>
      </c>
      <c r="I33" t="inlineStr">
        <is>
          <t>DELIVERED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O2</t>
        </is>
      </c>
      <c r="N33" t="inlineStr">
        <is>
          <t>36</t>
        </is>
      </c>
      <c r="O33" t="n">
        <v>687</v>
      </c>
      <c r="P33" t="n">
        <v>3.5</v>
      </c>
      <c r="Q33" t="n">
        <v>0</v>
      </c>
      <c r="R33" t="n">
        <v>75</v>
      </c>
      <c r="S33" t="n">
        <v>0</v>
      </c>
      <c r="T33" t="n">
        <v>0</v>
      </c>
      <c r="U33" t="n">
        <v>0</v>
      </c>
      <c r="V33" t="n">
        <v>30.78</v>
      </c>
      <c r="W33" t="n">
        <v>646.28</v>
      </c>
      <c r="X33" t="n">
        <v>615.5</v>
      </c>
      <c r="Y33" t="n">
        <v>19</v>
      </c>
      <c r="Z33" t="n">
        <v>116.94</v>
      </c>
      <c r="AA33" t="n">
        <v>11.89</v>
      </c>
      <c r="AB33" t="n">
        <v>128.83</v>
      </c>
      <c r="AC33" t="n">
        <v>23.19</v>
      </c>
      <c r="AD33" t="n">
        <v>0</v>
      </c>
      <c r="AE33" t="n">
        <v>615.5</v>
      </c>
      <c r="AF33" t="n">
        <v>0</v>
      </c>
      <c r="AG33" t="n">
        <v>0</v>
      </c>
      <c r="AH33" t="n">
        <v>0.62</v>
      </c>
      <c r="AI33" t="n">
        <v>30.78</v>
      </c>
      <c r="AJ33" t="n">
        <v>0</v>
      </c>
      <c r="AK33" t="n">
        <v>54.59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183.42</v>
      </c>
      <c r="AV33" t="n">
        <v>0</v>
      </c>
      <c r="AW33" t="n">
        <v>462.86</v>
      </c>
      <c r="AX33" t="inlineStr">
        <is>
          <t>pending</t>
        </is>
      </c>
      <c r="AY33" t="inlineStr">
        <is>
          <t>NA</t>
        </is>
      </c>
      <c r="AZ33" t="inlineStr">
        <is>
          <t>NA</t>
        </is>
      </c>
      <c r="BA33" t="n">
        <v>462.86</v>
      </c>
      <c r="BB33" t="inlineStr">
        <is>
          <t>237cddc79219795a29384629b137d8ceaaf62a676306deebcaf29b69c74b8eea</t>
        </is>
      </c>
    </row>
    <row r="34">
      <c r="A34" t="inlineStr">
        <is>
          <t>1357</t>
        </is>
      </c>
      <c r="B34" t="inlineStr">
        <is>
          <t>7631347454</t>
        </is>
      </c>
      <c r="C34" t="inlineStr">
        <is>
          <t>2025-12-29 20:58:12</t>
        </is>
      </c>
      <c r="D34" t="inlineStr">
        <is>
          <t>1</t>
        </is>
      </c>
      <c r="E34" t="inlineStr">
        <is>
          <t>Sha Sha - Shandaar Shawarma</t>
        </is>
      </c>
      <c r="F34" t="inlineStr">
        <is>
          <t>18557902</t>
        </is>
      </c>
      <c r="G34" t="inlineStr">
        <is>
          <t>30% off upto ₹75 (2025-06-25 - 2031-01-01)</t>
        </is>
      </c>
      <c r="H34" t="inlineStr">
        <is>
          <t>ONLINE</t>
        </is>
      </c>
      <c r="I34" t="inlineStr">
        <is>
          <t>DELIVERED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O2</t>
        </is>
      </c>
      <c r="N34" t="inlineStr">
        <is>
          <t>36</t>
        </is>
      </c>
      <c r="O34" t="n">
        <v>368</v>
      </c>
      <c r="P34" t="n">
        <v>3.5</v>
      </c>
      <c r="Q34" t="n">
        <v>0</v>
      </c>
      <c r="R34" t="n">
        <v>75</v>
      </c>
      <c r="S34" t="n">
        <v>0</v>
      </c>
      <c r="T34" t="n">
        <v>0</v>
      </c>
      <c r="U34" t="n">
        <v>0</v>
      </c>
      <c r="V34" t="n">
        <v>14.83</v>
      </c>
      <c r="W34" t="n">
        <v>311.33</v>
      </c>
      <c r="X34" t="n">
        <v>296.5</v>
      </c>
      <c r="Y34" t="n">
        <v>19</v>
      </c>
      <c r="Z34" t="n">
        <v>56.34</v>
      </c>
      <c r="AA34" t="n">
        <v>5.73</v>
      </c>
      <c r="AB34" t="n">
        <v>62.07</v>
      </c>
      <c r="AC34" t="n">
        <v>11.17</v>
      </c>
      <c r="AD34" t="n">
        <v>0</v>
      </c>
      <c r="AE34" t="n">
        <v>296.5</v>
      </c>
      <c r="AF34" t="n">
        <v>0</v>
      </c>
      <c r="AG34" t="n">
        <v>0</v>
      </c>
      <c r="AH34" t="n">
        <v>0.3</v>
      </c>
      <c r="AI34" t="n">
        <v>14.83</v>
      </c>
      <c r="AJ34" t="n">
        <v>0</v>
      </c>
      <c r="AK34" t="n">
        <v>26.3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88.37</v>
      </c>
      <c r="AV34" t="n">
        <v>0</v>
      </c>
      <c r="AW34" t="n">
        <v>222.96</v>
      </c>
      <c r="AX34" t="inlineStr">
        <is>
          <t>pending</t>
        </is>
      </c>
      <c r="AY34" t="inlineStr">
        <is>
          <t>NA</t>
        </is>
      </c>
      <c r="AZ34" t="inlineStr">
        <is>
          <t>NA</t>
        </is>
      </c>
      <c r="BA34" t="n">
        <v>222.96</v>
      </c>
      <c r="BB34" t="inlineStr">
        <is>
          <t>35143427691d665f965b1fae676be1b0fa82afa393940f647785f89613f5325f</t>
        </is>
      </c>
    </row>
    <row r="35">
      <c r="A35" t="inlineStr">
        <is>
          <t>1358</t>
        </is>
      </c>
      <c r="B35" t="inlineStr">
        <is>
          <t>7632013707</t>
        </is>
      </c>
      <c r="C35" t="inlineStr">
        <is>
          <t>2025-12-29 21:59:53</t>
        </is>
      </c>
      <c r="D35" t="inlineStr">
        <is>
          <t>1</t>
        </is>
      </c>
      <c r="E35" t="inlineStr">
        <is>
          <t>Sha Sha - Shandaar Shawarma</t>
        </is>
      </c>
      <c r="F35" t="inlineStr">
        <is>
          <t>18557902</t>
        </is>
      </c>
      <c r="G35" t="inlineStr">
        <is>
          <t>30% off upto ₹75 (2025-06-25 - 2031-01-01)</t>
        </is>
      </c>
      <c r="H35" t="inlineStr">
        <is>
          <t>ONLINE</t>
        </is>
      </c>
      <c r="I35" t="inlineStr">
        <is>
          <t>DELIVERED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O2</t>
        </is>
      </c>
      <c r="N35" t="inlineStr">
        <is>
          <t>36</t>
        </is>
      </c>
      <c r="O35" t="n">
        <v>229</v>
      </c>
      <c r="P35" t="n">
        <v>3.5</v>
      </c>
      <c r="Q35" t="n">
        <v>0</v>
      </c>
      <c r="R35" t="n">
        <v>68.7</v>
      </c>
      <c r="S35" t="n">
        <v>0</v>
      </c>
      <c r="T35" t="n">
        <v>0</v>
      </c>
      <c r="U35" t="n">
        <v>0</v>
      </c>
      <c r="V35" t="n">
        <v>8.19</v>
      </c>
      <c r="W35" t="n">
        <v>171.99</v>
      </c>
      <c r="X35" t="n">
        <v>163.8</v>
      </c>
      <c r="Y35" t="n">
        <v>19</v>
      </c>
      <c r="Z35" t="n">
        <v>31.12</v>
      </c>
      <c r="AA35" t="n">
        <v>3.16</v>
      </c>
      <c r="AB35" t="n">
        <v>34.28</v>
      </c>
      <c r="AC35" t="n">
        <v>6.17</v>
      </c>
      <c r="AD35" t="n">
        <v>0</v>
      </c>
      <c r="AE35" t="n">
        <v>163.8</v>
      </c>
      <c r="AF35" t="n">
        <v>0</v>
      </c>
      <c r="AG35" t="n">
        <v>0</v>
      </c>
      <c r="AH35" t="n">
        <v>0.16</v>
      </c>
      <c r="AI35" t="n">
        <v>8.199999999999999</v>
      </c>
      <c r="AJ35" t="n">
        <v>-0.01</v>
      </c>
      <c r="AK35" t="n">
        <v>14.53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48.81</v>
      </c>
      <c r="AV35" t="n">
        <v>0</v>
      </c>
      <c r="AW35" t="n">
        <v>123.18</v>
      </c>
      <c r="AX35" t="inlineStr">
        <is>
          <t>pending</t>
        </is>
      </c>
      <c r="AY35" t="inlineStr">
        <is>
          <t>NA</t>
        </is>
      </c>
      <c r="AZ35" t="inlineStr">
        <is>
          <t>NA</t>
        </is>
      </c>
      <c r="BA35" t="n">
        <v>123.18</v>
      </c>
      <c r="BB35" t="inlineStr">
        <is>
          <t>6bc11850a83e9f9149515528244e4cab7766284978933d4553c27e78d99324cf</t>
        </is>
      </c>
    </row>
    <row r="36">
      <c r="A36" t="inlineStr">
        <is>
          <t>1359</t>
        </is>
      </c>
      <c r="B36" t="inlineStr">
        <is>
          <t>7633494949</t>
        </is>
      </c>
      <c r="C36" t="inlineStr">
        <is>
          <t>2025-12-29 22:01:31</t>
        </is>
      </c>
      <c r="D36" t="inlineStr">
        <is>
          <t>1</t>
        </is>
      </c>
      <c r="E36" t="inlineStr">
        <is>
          <t>Sha Sha - Shandaar Shawarma</t>
        </is>
      </c>
      <c r="F36" t="inlineStr">
        <is>
          <t>18557902</t>
        </is>
      </c>
      <c r="G36" t="inlineStr">
        <is>
          <t>30% off upto ₹75 (2025-06-25 - 2031-01-01)</t>
        </is>
      </c>
      <c r="H36" t="inlineStr">
        <is>
          <t>ONLINE</t>
        </is>
      </c>
      <c r="I36" t="inlineStr">
        <is>
          <t>DELIVERED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O2</t>
        </is>
      </c>
      <c r="N36" t="inlineStr">
        <is>
          <t>36</t>
        </is>
      </c>
      <c r="O36" t="n">
        <v>384</v>
      </c>
      <c r="P36" t="n">
        <v>3.5</v>
      </c>
      <c r="Q36" t="n">
        <v>0</v>
      </c>
      <c r="R36" t="n">
        <v>75</v>
      </c>
      <c r="S36" t="n">
        <v>0</v>
      </c>
      <c r="T36" t="n">
        <v>0</v>
      </c>
      <c r="U36" t="n">
        <v>0</v>
      </c>
      <c r="V36" t="n">
        <v>15.63</v>
      </c>
      <c r="W36" t="n">
        <v>328.13</v>
      </c>
      <c r="X36" t="n">
        <v>312.5</v>
      </c>
      <c r="Y36" t="n">
        <v>19</v>
      </c>
      <c r="Z36" t="n">
        <v>59.38</v>
      </c>
      <c r="AA36" t="n">
        <v>6.04</v>
      </c>
      <c r="AB36" t="n">
        <v>65.42</v>
      </c>
      <c r="AC36" t="n">
        <v>11.78</v>
      </c>
      <c r="AD36" t="n">
        <v>0</v>
      </c>
      <c r="AE36" t="n">
        <v>312.5</v>
      </c>
      <c r="AF36" t="n">
        <v>0</v>
      </c>
      <c r="AG36" t="n">
        <v>0</v>
      </c>
      <c r="AH36" t="n">
        <v>0.31</v>
      </c>
      <c r="AI36" t="n">
        <v>15.63</v>
      </c>
      <c r="AJ36" t="n">
        <v>0</v>
      </c>
      <c r="AK36" t="n">
        <v>27.72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93.14</v>
      </c>
      <c r="AV36" t="n">
        <v>0</v>
      </c>
      <c r="AW36" t="n">
        <v>234.99</v>
      </c>
      <c r="AX36" t="inlineStr">
        <is>
          <t>pending</t>
        </is>
      </c>
      <c r="AY36" t="inlineStr">
        <is>
          <t>NA</t>
        </is>
      </c>
      <c r="AZ36" t="inlineStr">
        <is>
          <t>NA</t>
        </is>
      </c>
      <c r="BA36" t="n">
        <v>234.99</v>
      </c>
      <c r="BB36" t="inlineStr">
        <is>
          <t>5bb2bd41bb02e270c4de7f15a73d9d03f93fff7176a1c8cc37d581ef8f415d11</t>
        </is>
      </c>
    </row>
    <row r="37">
      <c r="A37" t="inlineStr">
        <is>
          <t>1360</t>
        </is>
      </c>
      <c r="B37" t="inlineStr">
        <is>
          <t>7629765312</t>
        </is>
      </c>
      <c r="C37" t="inlineStr">
        <is>
          <t>2025-12-29 22:25:09</t>
        </is>
      </c>
      <c r="D37" t="inlineStr">
        <is>
          <t>1</t>
        </is>
      </c>
      <c r="E37" t="inlineStr">
        <is>
          <t>Sha Sha - Shandaar Shawarma</t>
        </is>
      </c>
      <c r="F37" t="inlineStr">
        <is>
          <t>18557902</t>
        </is>
      </c>
      <c r="G37" t="inlineStr">
        <is>
          <t>30% off upto ₹75 (2025-06-25 - 2031-01-01)</t>
        </is>
      </c>
      <c r="H37" t="inlineStr">
        <is>
          <t>ONLINE</t>
        </is>
      </c>
      <c r="I37" t="inlineStr">
        <is>
          <t>DELIVERED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O2</t>
        </is>
      </c>
      <c r="N37" t="inlineStr">
        <is>
          <t>36</t>
        </is>
      </c>
      <c r="O37" t="n">
        <v>876</v>
      </c>
      <c r="P37" t="n">
        <v>3.5</v>
      </c>
      <c r="Q37" t="n">
        <v>0</v>
      </c>
      <c r="R37" t="n">
        <v>75</v>
      </c>
      <c r="S37" t="n">
        <v>0</v>
      </c>
      <c r="T37" t="n">
        <v>0</v>
      </c>
      <c r="U37" t="n">
        <v>0</v>
      </c>
      <c r="V37" t="n">
        <v>40.23</v>
      </c>
      <c r="W37" t="n">
        <v>844.73</v>
      </c>
      <c r="X37" t="n">
        <v>804.5</v>
      </c>
      <c r="Y37" t="n">
        <v>19</v>
      </c>
      <c r="Z37" t="n">
        <v>152.86</v>
      </c>
      <c r="AA37" t="n">
        <v>15.54</v>
      </c>
      <c r="AB37" t="n">
        <v>168.4</v>
      </c>
      <c r="AC37" t="n">
        <v>30.31</v>
      </c>
      <c r="AD37" t="n">
        <v>0</v>
      </c>
      <c r="AE37" t="n">
        <v>804.5</v>
      </c>
      <c r="AF37" t="n">
        <v>0</v>
      </c>
      <c r="AG37" t="n">
        <v>0</v>
      </c>
      <c r="AH37" t="n">
        <v>0.8</v>
      </c>
      <c r="AI37" t="n">
        <v>40.23</v>
      </c>
      <c r="AJ37" t="n">
        <v>0</v>
      </c>
      <c r="AK37" t="n">
        <v>71.34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239.74</v>
      </c>
      <c r="AV37" t="n">
        <v>0</v>
      </c>
      <c r="AW37" t="n">
        <v>604.99</v>
      </c>
      <c r="AX37" t="inlineStr">
        <is>
          <t>pending</t>
        </is>
      </c>
      <c r="AY37" t="inlineStr">
        <is>
          <t>NA</t>
        </is>
      </c>
      <c r="AZ37" t="inlineStr">
        <is>
          <t>NA</t>
        </is>
      </c>
      <c r="BA37" t="n">
        <v>604.99</v>
      </c>
      <c r="BB37" t="inlineStr">
        <is>
          <t>a352103d9c35770e7350e3bb84a59c645c83c02e628ccfceca931ce3dba7d805</t>
        </is>
      </c>
    </row>
    <row r="38">
      <c r="A38" t="inlineStr">
        <is>
          <t>1361</t>
        </is>
      </c>
      <c r="B38" t="inlineStr">
        <is>
          <t>7633354485</t>
        </is>
      </c>
      <c r="C38" t="inlineStr">
        <is>
          <t>2025-12-29 22:55:45</t>
        </is>
      </c>
      <c r="D38" t="inlineStr">
        <is>
          <t>1</t>
        </is>
      </c>
      <c r="E38" t="inlineStr">
        <is>
          <t>Sha Sha - Shandaar Shawarma</t>
        </is>
      </c>
      <c r="F38" t="inlineStr">
        <is>
          <t>18557902</t>
        </is>
      </c>
      <c r="G38" t="inlineStr">
        <is>
          <t>30% off upto ₹75 (2025-06-25 - 2031-01-01)</t>
        </is>
      </c>
      <c r="H38" t="inlineStr">
        <is>
          <t>ONLINE</t>
        </is>
      </c>
      <c r="I38" t="inlineStr">
        <is>
          <t>DELIVERED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O2</t>
        </is>
      </c>
      <c r="N38" t="inlineStr">
        <is>
          <t>36</t>
        </is>
      </c>
      <c r="O38" t="n">
        <v>407</v>
      </c>
      <c r="P38" t="n">
        <v>3.5</v>
      </c>
      <c r="Q38" t="n">
        <v>0</v>
      </c>
      <c r="R38" t="n">
        <v>75</v>
      </c>
      <c r="S38" t="n">
        <v>0</v>
      </c>
      <c r="T38" t="n">
        <v>0</v>
      </c>
      <c r="U38" t="n">
        <v>0</v>
      </c>
      <c r="V38" t="n">
        <v>16.78</v>
      </c>
      <c r="W38" t="n">
        <v>352.28</v>
      </c>
      <c r="X38" t="n">
        <v>335.5</v>
      </c>
      <c r="Y38" t="n">
        <v>19</v>
      </c>
      <c r="Z38" t="n">
        <v>63.74</v>
      </c>
      <c r="AA38" t="n">
        <v>6.48</v>
      </c>
      <c r="AB38" t="n">
        <v>70.22</v>
      </c>
      <c r="AC38" t="n">
        <v>12.64</v>
      </c>
      <c r="AD38" t="n">
        <v>0</v>
      </c>
      <c r="AE38" t="n">
        <v>335.5</v>
      </c>
      <c r="AF38" t="n">
        <v>0</v>
      </c>
      <c r="AG38" t="n">
        <v>0</v>
      </c>
      <c r="AH38" t="n">
        <v>0.34</v>
      </c>
      <c r="AI38" t="n">
        <v>16.78</v>
      </c>
      <c r="AJ38" t="n">
        <v>0</v>
      </c>
      <c r="AK38" t="n">
        <v>29.76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99.98</v>
      </c>
      <c r="AV38" t="n">
        <v>0</v>
      </c>
      <c r="AW38" t="n">
        <v>252.3</v>
      </c>
      <c r="AX38" t="inlineStr">
        <is>
          <t>pending</t>
        </is>
      </c>
      <c r="AY38" t="inlineStr">
        <is>
          <t>NA</t>
        </is>
      </c>
      <c r="AZ38" t="inlineStr">
        <is>
          <t>NA</t>
        </is>
      </c>
      <c r="BA38" t="n">
        <v>252.3</v>
      </c>
      <c r="BB38" t="inlineStr">
        <is>
          <t>d7c8b64754fcbc3aa6cf2135d0a23660b9bb85f7200fc0b5161e9796861106a6</t>
        </is>
      </c>
    </row>
    <row r="39">
      <c r="A39" t="inlineStr">
        <is>
          <t>1362</t>
        </is>
      </c>
      <c r="B39" t="inlineStr">
        <is>
          <t>7633583672</t>
        </is>
      </c>
      <c r="C39" t="inlineStr">
        <is>
          <t>2025-12-29 23:03:09</t>
        </is>
      </c>
      <c r="D39" t="inlineStr">
        <is>
          <t>1</t>
        </is>
      </c>
      <c r="E39" t="inlineStr">
        <is>
          <t>Sha Sha - Shandaar Shawarma</t>
        </is>
      </c>
      <c r="F39" t="inlineStr">
        <is>
          <t>18557902</t>
        </is>
      </c>
      <c r="G39" t="inlineStr">
        <is>
          <t>30% off upto ₹75 (2025-06-25 - 2031-01-01)</t>
        </is>
      </c>
      <c r="H39" t="inlineStr">
        <is>
          <t>ONLINE</t>
        </is>
      </c>
      <c r="I39" t="inlineStr">
        <is>
          <t>DELIVERED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O2</t>
        </is>
      </c>
      <c r="N39" t="inlineStr">
        <is>
          <t>36</t>
        </is>
      </c>
      <c r="O39" t="n">
        <v>358</v>
      </c>
      <c r="P39" t="n">
        <v>3.5</v>
      </c>
      <c r="Q39" t="n">
        <v>0</v>
      </c>
      <c r="R39" t="n">
        <v>75</v>
      </c>
      <c r="S39" t="n">
        <v>0</v>
      </c>
      <c r="T39" t="n">
        <v>0</v>
      </c>
      <c r="U39" t="n">
        <v>0</v>
      </c>
      <c r="V39" t="n">
        <v>14.33</v>
      </c>
      <c r="W39" t="n">
        <v>300.83</v>
      </c>
      <c r="X39" t="n">
        <v>286.5</v>
      </c>
      <c r="Y39" t="n">
        <v>19</v>
      </c>
      <c r="Z39" t="n">
        <v>54.44</v>
      </c>
      <c r="AA39" t="n">
        <v>5.54</v>
      </c>
      <c r="AB39" t="n">
        <v>59.98</v>
      </c>
      <c r="AC39" t="n">
        <v>10.8</v>
      </c>
      <c r="AD39" t="n">
        <v>0</v>
      </c>
      <c r="AE39" t="n">
        <v>286.5</v>
      </c>
      <c r="AF39" t="n">
        <v>0</v>
      </c>
      <c r="AG39" t="n">
        <v>0</v>
      </c>
      <c r="AH39" t="n">
        <v>0.29</v>
      </c>
      <c r="AI39" t="n">
        <v>14.33</v>
      </c>
      <c r="AJ39" t="n">
        <v>0</v>
      </c>
      <c r="AK39" t="n">
        <v>25.42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85.40000000000001</v>
      </c>
      <c r="AV39" t="n">
        <v>0</v>
      </c>
      <c r="AW39" t="n">
        <v>215.43</v>
      </c>
      <c r="AX39" t="inlineStr">
        <is>
          <t>pending</t>
        </is>
      </c>
      <c r="AY39" t="inlineStr">
        <is>
          <t>NA</t>
        </is>
      </c>
      <c r="AZ39" t="inlineStr">
        <is>
          <t>NA</t>
        </is>
      </c>
      <c r="BA39" t="n">
        <v>215.43</v>
      </c>
      <c r="BB39" t="inlineStr">
        <is>
          <t>3e909bf5c34d0bcba43621b553c6f9dfe644bc087d1db375c34566fd2b0194da</t>
        </is>
      </c>
    </row>
    <row r="40">
      <c r="A40" t="inlineStr">
        <is>
          <t>1363</t>
        </is>
      </c>
      <c r="B40" t="inlineStr">
        <is>
          <t>7634036084</t>
        </is>
      </c>
      <c r="C40" t="inlineStr">
        <is>
          <t>2025-12-29 23:09:21</t>
        </is>
      </c>
      <c r="D40" t="inlineStr">
        <is>
          <t>1</t>
        </is>
      </c>
      <c r="E40" t="inlineStr">
        <is>
          <t>Sha Sha - Shandaar Shawarma</t>
        </is>
      </c>
      <c r="F40" t="inlineStr">
        <is>
          <t>18557902</t>
        </is>
      </c>
      <c r="G40" t="inlineStr">
        <is>
          <t>30% off upto ₹75 (2025-06-25 - 2031-01-01)</t>
        </is>
      </c>
      <c r="H40" t="inlineStr">
        <is>
          <t>ONLINE</t>
        </is>
      </c>
      <c r="I40" t="inlineStr">
        <is>
          <t>DELIVERED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O2</t>
        </is>
      </c>
      <c r="N40" t="inlineStr">
        <is>
          <t>36</t>
        </is>
      </c>
      <c r="O40" t="n">
        <v>229</v>
      </c>
      <c r="P40" t="n">
        <v>3.5</v>
      </c>
      <c r="Q40" t="n">
        <v>0</v>
      </c>
      <c r="R40" t="n">
        <v>68.7</v>
      </c>
      <c r="S40" t="n">
        <v>0</v>
      </c>
      <c r="T40" t="n">
        <v>0</v>
      </c>
      <c r="U40" t="n">
        <v>0</v>
      </c>
      <c r="V40" t="n">
        <v>8.19</v>
      </c>
      <c r="W40" t="n">
        <v>171.99</v>
      </c>
      <c r="X40" t="n">
        <v>163.8</v>
      </c>
      <c r="Y40" t="n">
        <v>19</v>
      </c>
      <c r="Z40" t="n">
        <v>31.12</v>
      </c>
      <c r="AA40" t="n">
        <v>3.16</v>
      </c>
      <c r="AB40" t="n">
        <v>34.28</v>
      </c>
      <c r="AC40" t="n">
        <v>6.17</v>
      </c>
      <c r="AD40" t="n">
        <v>0</v>
      </c>
      <c r="AE40" t="n">
        <v>163.8</v>
      </c>
      <c r="AF40" t="n">
        <v>0</v>
      </c>
      <c r="AG40" t="n">
        <v>0</v>
      </c>
      <c r="AH40" t="n">
        <v>0.16</v>
      </c>
      <c r="AI40" t="n">
        <v>8.199999999999999</v>
      </c>
      <c r="AJ40" t="n">
        <v>-0.01</v>
      </c>
      <c r="AK40" t="n">
        <v>14.53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48.81</v>
      </c>
      <c r="AV40" t="n">
        <v>0</v>
      </c>
      <c r="AW40" t="n">
        <v>123.18</v>
      </c>
      <c r="AX40" t="inlineStr">
        <is>
          <t>pending</t>
        </is>
      </c>
      <c r="AY40" t="inlineStr">
        <is>
          <t>NA</t>
        </is>
      </c>
      <c r="AZ40" t="inlineStr">
        <is>
          <t>NA</t>
        </is>
      </c>
      <c r="BA40" t="n">
        <v>123.18</v>
      </c>
      <c r="BB40" t="inlineStr">
        <is>
          <t>18bc1f1e563cfcf3375dfef91583e368e7b7f362be7fb6af6e930da87e0bed06</t>
        </is>
      </c>
    </row>
    <row r="41">
      <c r="A41" t="inlineStr">
        <is>
          <t>1364</t>
        </is>
      </c>
      <c r="B41" t="inlineStr">
        <is>
          <t>7632632626</t>
        </is>
      </c>
      <c r="C41" t="inlineStr">
        <is>
          <t>2025-12-29 23:28:11</t>
        </is>
      </c>
      <c r="D41" t="inlineStr">
        <is>
          <t>1</t>
        </is>
      </c>
      <c r="E41" t="inlineStr">
        <is>
          <t>Sha Sha - Shandaar Shawarma</t>
        </is>
      </c>
      <c r="F41" t="inlineStr">
        <is>
          <t>18557902</t>
        </is>
      </c>
      <c r="G41" t="inlineStr">
        <is>
          <t>30% off upto ₹75 (2025-06-25 - 2031-01-01)</t>
        </is>
      </c>
      <c r="H41" t="inlineStr">
        <is>
          <t>ONLINE</t>
        </is>
      </c>
      <c r="I41" t="inlineStr">
        <is>
          <t>DELIVERED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O2</t>
        </is>
      </c>
      <c r="N41" t="inlineStr">
        <is>
          <t>36</t>
        </is>
      </c>
      <c r="O41" t="n">
        <v>229</v>
      </c>
      <c r="P41" t="n">
        <v>3.5</v>
      </c>
      <c r="Q41" t="n">
        <v>0</v>
      </c>
      <c r="R41" t="n">
        <v>68.7</v>
      </c>
      <c r="S41" t="n">
        <v>0</v>
      </c>
      <c r="T41" t="n">
        <v>0</v>
      </c>
      <c r="U41" t="n">
        <v>0</v>
      </c>
      <c r="V41" t="n">
        <v>8.19</v>
      </c>
      <c r="W41" t="n">
        <v>171.99</v>
      </c>
      <c r="X41" t="n">
        <v>163.8</v>
      </c>
      <c r="Y41" t="n">
        <v>19</v>
      </c>
      <c r="Z41" t="n">
        <v>31.12</v>
      </c>
      <c r="AA41" t="n">
        <v>3.16</v>
      </c>
      <c r="AB41" t="n">
        <v>34.28</v>
      </c>
      <c r="AC41" t="n">
        <v>6.17</v>
      </c>
      <c r="AD41" t="n">
        <v>0</v>
      </c>
      <c r="AE41" t="n">
        <v>163.8</v>
      </c>
      <c r="AF41" t="n">
        <v>0</v>
      </c>
      <c r="AG41" t="n">
        <v>0</v>
      </c>
      <c r="AH41" t="n">
        <v>0.16</v>
      </c>
      <c r="AI41" t="n">
        <v>8.199999999999999</v>
      </c>
      <c r="AJ41" t="n">
        <v>-0.01</v>
      </c>
      <c r="AK41" t="n">
        <v>14.53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48.81</v>
      </c>
      <c r="AV41" t="n">
        <v>0</v>
      </c>
      <c r="AW41" t="n">
        <v>123.18</v>
      </c>
      <c r="AX41" t="inlineStr">
        <is>
          <t>pending</t>
        </is>
      </c>
      <c r="AY41" t="inlineStr">
        <is>
          <t>NA</t>
        </is>
      </c>
      <c r="AZ41" t="inlineStr">
        <is>
          <t>NA</t>
        </is>
      </c>
      <c r="BA41" t="n">
        <v>123.18</v>
      </c>
      <c r="BB41" t="inlineStr">
        <is>
          <t>72234a1980ff795483ff5c8aaa2781a31b061fc0afe463028d0297d8b29f3585</t>
        </is>
      </c>
    </row>
    <row r="42">
      <c r="A42" t="inlineStr">
        <is>
          <t>1365</t>
        </is>
      </c>
      <c r="B42" t="inlineStr">
        <is>
          <t>7603349907</t>
        </is>
      </c>
      <c r="C42" t="inlineStr">
        <is>
          <t>2025-12-29 23:30:21</t>
        </is>
      </c>
      <c r="D42" t="inlineStr">
        <is>
          <t>1</t>
        </is>
      </c>
      <c r="E42" t="inlineStr">
        <is>
          <t>Sha Sha - Shandaar Shawarma</t>
        </is>
      </c>
      <c r="F42" t="inlineStr">
        <is>
          <t>18557902</t>
        </is>
      </c>
      <c r="G42" t="inlineStr">
        <is>
          <t>30% off upto ₹75 (2025-06-25 - 2031-01-01)</t>
        </is>
      </c>
      <c r="H42" t="inlineStr">
        <is>
          <t>ONLINE</t>
        </is>
      </c>
      <c r="I42" t="inlineStr">
        <is>
          <t>DELIVERED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O2</t>
        </is>
      </c>
      <c r="N42" t="inlineStr">
        <is>
          <t>36</t>
        </is>
      </c>
      <c r="O42" t="n">
        <v>458</v>
      </c>
      <c r="P42" t="n">
        <v>3.5</v>
      </c>
      <c r="Q42" t="n">
        <v>0</v>
      </c>
      <c r="R42" t="n">
        <v>75</v>
      </c>
      <c r="S42" t="n">
        <v>0</v>
      </c>
      <c r="T42" t="n">
        <v>0</v>
      </c>
      <c r="U42" t="n">
        <v>0</v>
      </c>
      <c r="V42" t="n">
        <v>19.33</v>
      </c>
      <c r="W42" t="n">
        <v>405.83</v>
      </c>
      <c r="X42" t="n">
        <v>386.5</v>
      </c>
      <c r="Y42" t="n">
        <v>19</v>
      </c>
      <c r="Z42" t="n">
        <v>73.44</v>
      </c>
      <c r="AA42" t="n">
        <v>7.47</v>
      </c>
      <c r="AB42" t="n">
        <v>80.91</v>
      </c>
      <c r="AC42" t="n">
        <v>14.56</v>
      </c>
      <c r="AD42" t="n">
        <v>0</v>
      </c>
      <c r="AE42" t="n">
        <v>386.5</v>
      </c>
      <c r="AF42" t="n">
        <v>0</v>
      </c>
      <c r="AG42" t="n">
        <v>0</v>
      </c>
      <c r="AH42" t="n">
        <v>0.39</v>
      </c>
      <c r="AI42" t="n">
        <v>19.33</v>
      </c>
      <c r="AJ42" t="n">
        <v>0</v>
      </c>
      <c r="AK42" t="n">
        <v>34.28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115.19</v>
      </c>
      <c r="AV42" t="n">
        <v>0</v>
      </c>
      <c r="AW42" t="n">
        <v>290.64</v>
      </c>
      <c r="AX42" t="inlineStr">
        <is>
          <t>pending</t>
        </is>
      </c>
      <c r="AY42" t="inlineStr">
        <is>
          <t>NA</t>
        </is>
      </c>
      <c r="AZ42" t="inlineStr">
        <is>
          <t>NA</t>
        </is>
      </c>
      <c r="BA42" t="n">
        <v>290.64</v>
      </c>
      <c r="BB42" t="inlineStr">
        <is>
          <t>d8b04610af5de38f398e84339241e0ae54756359bac17fecab41709efd45cb0f</t>
        </is>
      </c>
    </row>
    <row r="43">
      <c r="A43" t="inlineStr">
        <is>
          <t>1366</t>
        </is>
      </c>
      <c r="B43" t="inlineStr">
        <is>
          <t>7633670630</t>
        </is>
      </c>
      <c r="C43" t="inlineStr">
        <is>
          <t>2025-12-30 00:00:55</t>
        </is>
      </c>
      <c r="D43" t="inlineStr">
        <is>
          <t>1</t>
        </is>
      </c>
      <c r="E43" t="inlineStr">
        <is>
          <t>Sha Sha - Shandaar Shawarma</t>
        </is>
      </c>
      <c r="F43" t="inlineStr">
        <is>
          <t>18557902</t>
        </is>
      </c>
      <c r="G43" t="inlineStr">
        <is>
          <t>30% off upto ₹75 (2025-06-25 - 2031-01-01)</t>
        </is>
      </c>
      <c r="H43" t="inlineStr">
        <is>
          <t>ONLINE</t>
        </is>
      </c>
      <c r="I43" t="inlineStr">
        <is>
          <t>DELIVERED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O2</t>
        </is>
      </c>
      <c r="N43" t="inlineStr">
        <is>
          <t>36</t>
        </is>
      </c>
      <c r="O43" t="n">
        <v>229</v>
      </c>
      <c r="P43" t="n">
        <v>3.5</v>
      </c>
      <c r="Q43" t="n">
        <v>0</v>
      </c>
      <c r="R43" t="n">
        <v>68.7</v>
      </c>
      <c r="S43" t="n">
        <v>0</v>
      </c>
      <c r="T43" t="n">
        <v>0</v>
      </c>
      <c r="U43" t="n">
        <v>0</v>
      </c>
      <c r="V43" t="n">
        <v>8.19</v>
      </c>
      <c r="W43" t="n">
        <v>171.99</v>
      </c>
      <c r="X43" t="n">
        <v>163.8</v>
      </c>
      <c r="Y43" t="n">
        <v>19</v>
      </c>
      <c r="Z43" t="n">
        <v>31.12</v>
      </c>
      <c r="AA43" t="n">
        <v>3.16</v>
      </c>
      <c r="AB43" t="n">
        <v>34.28</v>
      </c>
      <c r="AC43" t="n">
        <v>6.17</v>
      </c>
      <c r="AD43" t="n">
        <v>0</v>
      </c>
      <c r="AE43" t="n">
        <v>163.8</v>
      </c>
      <c r="AF43" t="n">
        <v>0</v>
      </c>
      <c r="AG43" t="n">
        <v>0</v>
      </c>
      <c r="AH43" t="n">
        <v>0.16</v>
      </c>
      <c r="AI43" t="n">
        <v>8.199999999999999</v>
      </c>
      <c r="AJ43" t="n">
        <v>-0.01</v>
      </c>
      <c r="AK43" t="n">
        <v>14.53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48.81</v>
      </c>
      <c r="AV43" t="n">
        <v>0</v>
      </c>
      <c r="AW43" t="n">
        <v>123.18</v>
      </c>
      <c r="AX43" t="inlineStr">
        <is>
          <t>pending</t>
        </is>
      </c>
      <c r="AY43" t="inlineStr">
        <is>
          <t>NA</t>
        </is>
      </c>
      <c r="AZ43" t="inlineStr">
        <is>
          <t>NA</t>
        </is>
      </c>
      <c r="BA43" t="n">
        <v>123.18</v>
      </c>
      <c r="BB43" t="inlineStr">
        <is>
          <t>58120ca7cf09dbcd0a98a863ac0426c4c70a4d6046afb330550e4814fc0ec4b7</t>
        </is>
      </c>
    </row>
    <row r="44">
      <c r="A44" t="inlineStr">
        <is>
          <t>1367</t>
        </is>
      </c>
      <c r="B44" t="inlineStr">
        <is>
          <t>7631389071</t>
        </is>
      </c>
      <c r="C44" t="inlineStr">
        <is>
          <t>2025-12-30 00:37:13</t>
        </is>
      </c>
      <c r="D44" t="inlineStr">
        <is>
          <t>1</t>
        </is>
      </c>
      <c r="E44" t="inlineStr">
        <is>
          <t>Sha Sha - Shandaar Shawarma</t>
        </is>
      </c>
      <c r="F44" t="inlineStr">
        <is>
          <t>18557902</t>
        </is>
      </c>
      <c r="G44" t="inlineStr">
        <is>
          <t>30% off upto ₹75 (2025-06-25 - 2031-01-01)</t>
        </is>
      </c>
      <c r="H44" t="inlineStr">
        <is>
          <t>ONLINE</t>
        </is>
      </c>
      <c r="I44" t="inlineStr">
        <is>
          <t>DELIVERED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O2</t>
        </is>
      </c>
      <c r="N44" t="inlineStr">
        <is>
          <t>36</t>
        </is>
      </c>
      <c r="O44" t="n">
        <v>229</v>
      </c>
      <c r="P44" t="n">
        <v>3.5</v>
      </c>
      <c r="Q44" t="n">
        <v>0</v>
      </c>
      <c r="R44" t="n">
        <v>68.7</v>
      </c>
      <c r="S44" t="n">
        <v>0</v>
      </c>
      <c r="T44" t="n">
        <v>0</v>
      </c>
      <c r="U44" t="n">
        <v>0</v>
      </c>
      <c r="V44" t="n">
        <v>8.19</v>
      </c>
      <c r="W44" t="n">
        <v>171.99</v>
      </c>
      <c r="X44" t="n">
        <v>163.8</v>
      </c>
      <c r="Y44" t="n">
        <v>19</v>
      </c>
      <c r="Z44" t="n">
        <v>31.12</v>
      </c>
      <c r="AA44" t="n">
        <v>3.16</v>
      </c>
      <c r="AB44" t="n">
        <v>34.28</v>
      </c>
      <c r="AC44" t="n">
        <v>6.17</v>
      </c>
      <c r="AD44" t="n">
        <v>0</v>
      </c>
      <c r="AE44" t="n">
        <v>163.8</v>
      </c>
      <c r="AF44" t="n">
        <v>0</v>
      </c>
      <c r="AG44" t="n">
        <v>0</v>
      </c>
      <c r="AH44" t="n">
        <v>0.16</v>
      </c>
      <c r="AI44" t="n">
        <v>8.199999999999999</v>
      </c>
      <c r="AJ44" t="n">
        <v>-0.01</v>
      </c>
      <c r="AK44" t="n">
        <v>14.53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48.81</v>
      </c>
      <c r="AV44" t="n">
        <v>0</v>
      </c>
      <c r="AW44" t="n">
        <v>123.18</v>
      </c>
      <c r="AX44" t="inlineStr">
        <is>
          <t>pending</t>
        </is>
      </c>
      <c r="AY44" t="inlineStr">
        <is>
          <t>NA</t>
        </is>
      </c>
      <c r="AZ44" t="inlineStr">
        <is>
          <t>NA</t>
        </is>
      </c>
      <c r="BA44" t="n">
        <v>123.18</v>
      </c>
      <c r="BB44" t="inlineStr">
        <is>
          <t>d453cbdf7bd40d75e55fed3b7bd11cececee5f1e13d77e62b581a0bb82402e00</t>
        </is>
      </c>
    </row>
    <row r="45">
      <c r="A45" t="inlineStr">
        <is>
          <t>1368</t>
        </is>
      </c>
      <c r="B45" t="inlineStr">
        <is>
          <t>7634457150</t>
        </is>
      </c>
      <c r="C45" t="inlineStr">
        <is>
          <t>2025-12-30 00:37:30</t>
        </is>
      </c>
      <c r="D45" t="inlineStr">
        <is>
          <t>1</t>
        </is>
      </c>
      <c r="E45" t="inlineStr">
        <is>
          <t>Sha Sha - Shandaar Shawarma</t>
        </is>
      </c>
      <c r="F45" t="inlineStr">
        <is>
          <t>18557902</t>
        </is>
      </c>
      <c r="G45" t="inlineStr">
        <is>
          <t>NA</t>
        </is>
      </c>
      <c r="H45" t="inlineStr">
        <is>
          <t>ONLINE</t>
        </is>
      </c>
      <c r="I45" t="inlineStr">
        <is>
          <t>DELIVERED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O2</t>
        </is>
      </c>
      <c r="N45" t="inlineStr">
        <is>
          <t>36</t>
        </is>
      </c>
      <c r="O45" t="n">
        <v>438</v>
      </c>
      <c r="P45" t="n">
        <v>3.5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22.08</v>
      </c>
      <c r="W45" t="n">
        <v>463.58</v>
      </c>
      <c r="X45" t="n">
        <v>441.5</v>
      </c>
      <c r="Y45" t="n">
        <v>19</v>
      </c>
      <c r="Z45" t="n">
        <v>83.88</v>
      </c>
      <c r="AA45" t="n">
        <v>8.529999999999999</v>
      </c>
      <c r="AB45" t="n">
        <v>92.41</v>
      </c>
      <c r="AC45" t="n">
        <v>16.64</v>
      </c>
      <c r="AD45" t="n">
        <v>0</v>
      </c>
      <c r="AE45" t="n">
        <v>441.5</v>
      </c>
      <c r="AF45" t="n">
        <v>0</v>
      </c>
      <c r="AG45" t="n">
        <v>0</v>
      </c>
      <c r="AH45" t="n">
        <v>0.44</v>
      </c>
      <c r="AI45" t="n">
        <v>22.08</v>
      </c>
      <c r="AJ45" t="n">
        <v>0</v>
      </c>
      <c r="AK45" t="n">
        <v>39.16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131.57</v>
      </c>
      <c r="AV45" t="n">
        <v>0</v>
      </c>
      <c r="AW45" t="n">
        <v>332.01</v>
      </c>
      <c r="AX45" t="inlineStr">
        <is>
          <t>pending</t>
        </is>
      </c>
      <c r="AY45" t="inlineStr">
        <is>
          <t>NA</t>
        </is>
      </c>
      <c r="AZ45" t="inlineStr">
        <is>
          <t>NA</t>
        </is>
      </c>
      <c r="BA45" t="n">
        <v>332.01</v>
      </c>
      <c r="BB45" t="inlineStr">
        <is>
          <t>d338f1d537ffacdf29765b8da320edc90ffe569e5a398a2481fe497f3ff7aa14</t>
        </is>
      </c>
    </row>
    <row r="46">
      <c r="A46" t="inlineStr">
        <is>
          <t>1369</t>
        </is>
      </c>
      <c r="B46" t="inlineStr">
        <is>
          <t>7635540647</t>
        </is>
      </c>
      <c r="C46" t="inlineStr">
        <is>
          <t>2025-12-30 01:39:09</t>
        </is>
      </c>
      <c r="D46" t="inlineStr">
        <is>
          <t>1</t>
        </is>
      </c>
      <c r="E46" t="inlineStr">
        <is>
          <t>Sha Sha - Shandaar Shawarma</t>
        </is>
      </c>
      <c r="F46" t="inlineStr">
        <is>
          <t>18557902</t>
        </is>
      </c>
      <c r="G46" t="inlineStr">
        <is>
          <t>NA</t>
        </is>
      </c>
      <c r="H46" t="inlineStr">
        <is>
          <t>ONLINE</t>
        </is>
      </c>
      <c r="I46" t="inlineStr">
        <is>
          <t>DELIVERED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O2</t>
        </is>
      </c>
      <c r="N46" t="inlineStr">
        <is>
          <t>36</t>
        </is>
      </c>
      <c r="O46" t="n">
        <v>219</v>
      </c>
      <c r="P46" t="n">
        <v>3.5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11.13</v>
      </c>
      <c r="W46" t="n">
        <v>233.63</v>
      </c>
      <c r="X46" t="n">
        <v>222.5</v>
      </c>
      <c r="Y46" t="n">
        <v>19</v>
      </c>
      <c r="Z46" t="n">
        <v>42.28</v>
      </c>
      <c r="AA46" t="n">
        <v>4.3</v>
      </c>
      <c r="AB46" t="n">
        <v>46.58</v>
      </c>
      <c r="AC46" t="n">
        <v>8.380000000000001</v>
      </c>
      <c r="AD46" t="n">
        <v>0</v>
      </c>
      <c r="AE46" t="n">
        <v>222.5</v>
      </c>
      <c r="AF46" t="n">
        <v>0</v>
      </c>
      <c r="AG46" t="n">
        <v>0</v>
      </c>
      <c r="AH46" t="n">
        <v>0.22</v>
      </c>
      <c r="AI46" t="n">
        <v>11.13</v>
      </c>
      <c r="AJ46" t="n">
        <v>0</v>
      </c>
      <c r="AK46" t="n">
        <v>19.73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66.31</v>
      </c>
      <c r="AV46" t="n">
        <v>0</v>
      </c>
      <c r="AW46" t="n">
        <v>167.32</v>
      </c>
      <c r="AX46" t="inlineStr">
        <is>
          <t>pending</t>
        </is>
      </c>
      <c r="AY46" t="inlineStr">
        <is>
          <t>NA</t>
        </is>
      </c>
      <c r="AZ46" t="inlineStr">
        <is>
          <t>NA</t>
        </is>
      </c>
      <c r="BA46" t="n">
        <v>167.32</v>
      </c>
      <c r="BB46" t="inlineStr">
        <is>
          <t>a7052d35b12c3ab50d06c08b92a482f5d1f1df8646b595a9a7bd6bbca5645975</t>
        </is>
      </c>
    </row>
    <row r="47">
      <c r="A47" t="inlineStr">
        <is>
          <t>1370</t>
        </is>
      </c>
      <c r="B47" t="inlineStr">
        <is>
          <t>7634556462</t>
        </is>
      </c>
      <c r="C47" t="inlineStr">
        <is>
          <t>2025-12-30 01:41:03</t>
        </is>
      </c>
      <c r="D47" t="inlineStr">
        <is>
          <t>1</t>
        </is>
      </c>
      <c r="E47" t="inlineStr">
        <is>
          <t>Sha Sha - Shandaar Shawarma</t>
        </is>
      </c>
      <c r="F47" t="inlineStr">
        <is>
          <t>18557902</t>
        </is>
      </c>
      <c r="G47" t="inlineStr">
        <is>
          <t>30% off upto ₹75 (2025-06-25 - 2031-01-01)</t>
        </is>
      </c>
      <c r="H47" t="inlineStr">
        <is>
          <t>ONLINE</t>
        </is>
      </c>
      <c r="I47" t="inlineStr">
        <is>
          <t>DELIVERED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O2</t>
        </is>
      </c>
      <c r="N47" t="inlineStr">
        <is>
          <t>36</t>
        </is>
      </c>
      <c r="O47" t="n">
        <v>567</v>
      </c>
      <c r="P47" t="n">
        <v>3.5</v>
      </c>
      <c r="Q47" t="n">
        <v>0</v>
      </c>
      <c r="R47" t="n">
        <v>75</v>
      </c>
      <c r="S47" t="n">
        <v>0</v>
      </c>
      <c r="T47" t="n">
        <v>0</v>
      </c>
      <c r="U47" t="n">
        <v>0</v>
      </c>
      <c r="V47" t="n">
        <v>24.78</v>
      </c>
      <c r="W47" t="n">
        <v>520.28</v>
      </c>
      <c r="X47" t="n">
        <v>495.5</v>
      </c>
      <c r="Y47" t="n">
        <v>19</v>
      </c>
      <c r="Z47" t="n">
        <v>94.14</v>
      </c>
      <c r="AA47" t="n">
        <v>9.57</v>
      </c>
      <c r="AB47" t="n">
        <v>103.71</v>
      </c>
      <c r="AC47" t="n">
        <v>18.67</v>
      </c>
      <c r="AD47" t="n">
        <v>0</v>
      </c>
      <c r="AE47" t="n">
        <v>495.5</v>
      </c>
      <c r="AF47" t="n">
        <v>0</v>
      </c>
      <c r="AG47" t="n">
        <v>0</v>
      </c>
      <c r="AH47" t="n">
        <v>0.5</v>
      </c>
      <c r="AI47" t="n">
        <v>24.78</v>
      </c>
      <c r="AJ47" t="n">
        <v>0</v>
      </c>
      <c r="AK47" t="n">
        <v>43.95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147.66</v>
      </c>
      <c r="AV47" t="n">
        <v>0</v>
      </c>
      <c r="AW47" t="n">
        <v>372.62</v>
      </c>
      <c r="AX47" t="inlineStr">
        <is>
          <t>pending</t>
        </is>
      </c>
      <c r="AY47" t="inlineStr">
        <is>
          <t>NA</t>
        </is>
      </c>
      <c r="AZ47" t="inlineStr">
        <is>
          <t>NA</t>
        </is>
      </c>
      <c r="BA47" t="n">
        <v>372.62</v>
      </c>
      <c r="BB47" t="inlineStr">
        <is>
          <t>e85a0202a669e6e7a0f959eeb38fc157bc29366bf2c8a7097e85fc733dd17647</t>
        </is>
      </c>
    </row>
    <row r="48">
      <c r="A48" t="inlineStr">
        <is>
          <t>1371</t>
        </is>
      </c>
      <c r="B48" t="inlineStr">
        <is>
          <t>7633474728</t>
        </is>
      </c>
      <c r="C48" t="inlineStr">
        <is>
          <t>2025-12-30 01:41:48</t>
        </is>
      </c>
      <c r="D48" t="inlineStr">
        <is>
          <t>1</t>
        </is>
      </c>
      <c r="E48" t="inlineStr">
        <is>
          <t>Sha Sha - Shandaar Shawarma</t>
        </is>
      </c>
      <c r="F48" t="inlineStr">
        <is>
          <t>18557902</t>
        </is>
      </c>
      <c r="G48" t="inlineStr">
        <is>
          <t>30% off upto ₹75 (2025-06-25 - 2031-01-01)</t>
        </is>
      </c>
      <c r="H48" t="inlineStr">
        <is>
          <t>ONLINE</t>
        </is>
      </c>
      <c r="I48" t="inlineStr">
        <is>
          <t>DELIVERED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O2</t>
        </is>
      </c>
      <c r="N48" t="inlineStr">
        <is>
          <t>36</t>
        </is>
      </c>
      <c r="O48" t="n">
        <v>229</v>
      </c>
      <c r="P48" t="n">
        <v>3.5</v>
      </c>
      <c r="Q48" t="n">
        <v>0</v>
      </c>
      <c r="R48" t="n">
        <v>68.7</v>
      </c>
      <c r="S48" t="n">
        <v>0</v>
      </c>
      <c r="T48" t="n">
        <v>0</v>
      </c>
      <c r="U48" t="n">
        <v>0</v>
      </c>
      <c r="V48" t="n">
        <v>8.19</v>
      </c>
      <c r="W48" t="n">
        <v>171.99</v>
      </c>
      <c r="X48" t="n">
        <v>163.8</v>
      </c>
      <c r="Y48" t="n">
        <v>19</v>
      </c>
      <c r="Z48" t="n">
        <v>31.12</v>
      </c>
      <c r="AA48" t="n">
        <v>3.16</v>
      </c>
      <c r="AB48" t="n">
        <v>34.28</v>
      </c>
      <c r="AC48" t="n">
        <v>6.17</v>
      </c>
      <c r="AD48" t="n">
        <v>0</v>
      </c>
      <c r="AE48" t="n">
        <v>163.8</v>
      </c>
      <c r="AF48" t="n">
        <v>0</v>
      </c>
      <c r="AG48" t="n">
        <v>0</v>
      </c>
      <c r="AH48" t="n">
        <v>0.16</v>
      </c>
      <c r="AI48" t="n">
        <v>8.199999999999999</v>
      </c>
      <c r="AJ48" t="n">
        <v>-0.01</v>
      </c>
      <c r="AK48" t="n">
        <v>14.53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48.81</v>
      </c>
      <c r="AV48" t="n">
        <v>0</v>
      </c>
      <c r="AW48" t="n">
        <v>123.18</v>
      </c>
      <c r="AX48" t="inlineStr">
        <is>
          <t>pending</t>
        </is>
      </c>
      <c r="AY48" t="inlineStr">
        <is>
          <t>NA</t>
        </is>
      </c>
      <c r="AZ48" t="inlineStr">
        <is>
          <t>NA</t>
        </is>
      </c>
      <c r="BA48" t="n">
        <v>123.18</v>
      </c>
      <c r="BB48" t="inlineStr">
        <is>
          <t>c628003961645c851c7c83dfc7282a80a3dfa1a415a17481b3bdda49038e1951</t>
        </is>
      </c>
    </row>
    <row r="49">
      <c r="A49" t="inlineStr">
        <is>
          <t>1372</t>
        </is>
      </c>
      <c r="B49" t="inlineStr">
        <is>
          <t>7631762731</t>
        </is>
      </c>
      <c r="C49" t="inlineStr">
        <is>
          <t>2025-12-30 01:49:51</t>
        </is>
      </c>
      <c r="D49" t="inlineStr">
        <is>
          <t>1</t>
        </is>
      </c>
      <c r="E49" t="inlineStr">
        <is>
          <t>Sha Sha - Shandaar Shawarma</t>
        </is>
      </c>
      <c r="F49" t="inlineStr">
        <is>
          <t>18557902</t>
        </is>
      </c>
      <c r="G49" t="inlineStr">
        <is>
          <t>30% off upto ₹75 (2025-06-25 - 2031-01-01)</t>
        </is>
      </c>
      <c r="H49" t="inlineStr">
        <is>
          <t>ONLINE</t>
        </is>
      </c>
      <c r="I49" t="inlineStr">
        <is>
          <t>DELIVERED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O2</t>
        </is>
      </c>
      <c r="N49" t="inlineStr">
        <is>
          <t>36</t>
        </is>
      </c>
      <c r="O49" t="n">
        <v>289</v>
      </c>
      <c r="P49" t="n">
        <v>3.5</v>
      </c>
      <c r="Q49" t="n">
        <v>0</v>
      </c>
      <c r="R49" t="n">
        <v>75</v>
      </c>
      <c r="S49" t="n">
        <v>0</v>
      </c>
      <c r="T49" t="n">
        <v>0</v>
      </c>
      <c r="U49" t="n">
        <v>0</v>
      </c>
      <c r="V49" t="n">
        <v>10.88</v>
      </c>
      <c r="W49" t="n">
        <v>228.38</v>
      </c>
      <c r="X49" t="n">
        <v>217.5</v>
      </c>
      <c r="Y49" t="n">
        <v>19</v>
      </c>
      <c r="Z49" t="n">
        <v>41.32</v>
      </c>
      <c r="AA49" t="n">
        <v>4.2</v>
      </c>
      <c r="AB49" t="n">
        <v>45.52</v>
      </c>
      <c r="AC49" t="n">
        <v>8.199999999999999</v>
      </c>
      <c r="AD49" t="n">
        <v>0</v>
      </c>
      <c r="AE49" t="n">
        <v>217.5</v>
      </c>
      <c r="AF49" t="n">
        <v>0</v>
      </c>
      <c r="AG49" t="n">
        <v>0</v>
      </c>
      <c r="AH49" t="n">
        <v>0.22</v>
      </c>
      <c r="AI49" t="n">
        <v>10.88</v>
      </c>
      <c r="AJ49" t="n">
        <v>0</v>
      </c>
      <c r="AK49" t="n">
        <v>19.3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64.81999999999999</v>
      </c>
      <c r="AV49" t="n">
        <v>0</v>
      </c>
      <c r="AW49" t="n">
        <v>163.56</v>
      </c>
      <c r="AX49" t="inlineStr">
        <is>
          <t>pending</t>
        </is>
      </c>
      <c r="AY49" t="inlineStr">
        <is>
          <t>NA</t>
        </is>
      </c>
      <c r="AZ49" t="inlineStr">
        <is>
          <t>NA</t>
        </is>
      </c>
      <c r="BA49" t="n">
        <v>163.56</v>
      </c>
      <c r="BB49" t="inlineStr">
        <is>
          <t>9fc15dd4b2c4f10edba5d26b6c37f3d89d72d98be9100bf05ecb7bf52199101d</t>
        </is>
      </c>
    </row>
    <row r="50">
      <c r="A50" t="inlineStr">
        <is>
          <t>1373</t>
        </is>
      </c>
      <c r="B50" t="inlineStr">
        <is>
          <t>7613972370</t>
        </is>
      </c>
      <c r="C50" t="inlineStr">
        <is>
          <t>2025-12-30 02:01:53</t>
        </is>
      </c>
      <c r="D50" t="inlineStr">
        <is>
          <t>1</t>
        </is>
      </c>
      <c r="E50" t="inlineStr">
        <is>
          <t>Sha Sha - Shandaar Shawarma</t>
        </is>
      </c>
      <c r="F50" t="inlineStr">
        <is>
          <t>18557902</t>
        </is>
      </c>
      <c r="G50" t="inlineStr">
        <is>
          <t>30% off upto ₹75 (2025-06-25 - 2031-01-01)</t>
        </is>
      </c>
      <c r="H50" t="inlineStr">
        <is>
          <t>ONLINE</t>
        </is>
      </c>
      <c r="I50" t="inlineStr">
        <is>
          <t>DELIVERED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O2</t>
        </is>
      </c>
      <c r="N50" t="inlineStr">
        <is>
          <t>36</t>
        </is>
      </c>
      <c r="O50" t="n">
        <v>229</v>
      </c>
      <c r="P50" t="n">
        <v>3.5</v>
      </c>
      <c r="Q50" t="n">
        <v>0</v>
      </c>
      <c r="R50" t="n">
        <v>68.7</v>
      </c>
      <c r="S50" t="n">
        <v>0</v>
      </c>
      <c r="T50" t="n">
        <v>0</v>
      </c>
      <c r="U50" t="n">
        <v>0</v>
      </c>
      <c r="V50" t="n">
        <v>8.19</v>
      </c>
      <c r="W50" t="n">
        <v>171.99</v>
      </c>
      <c r="X50" t="n">
        <v>163.8</v>
      </c>
      <c r="Y50" t="n">
        <v>19</v>
      </c>
      <c r="Z50" t="n">
        <v>31.12</v>
      </c>
      <c r="AA50" t="n">
        <v>3.16</v>
      </c>
      <c r="AB50" t="n">
        <v>34.28</v>
      </c>
      <c r="AC50" t="n">
        <v>6.17</v>
      </c>
      <c r="AD50" t="n">
        <v>0</v>
      </c>
      <c r="AE50" t="n">
        <v>163.8</v>
      </c>
      <c r="AF50" t="n">
        <v>0</v>
      </c>
      <c r="AG50" t="n">
        <v>0</v>
      </c>
      <c r="AH50" t="n">
        <v>0.16</v>
      </c>
      <c r="AI50" t="n">
        <v>8.199999999999999</v>
      </c>
      <c r="AJ50" t="n">
        <v>-0.01</v>
      </c>
      <c r="AK50" t="n">
        <v>14.53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48.81</v>
      </c>
      <c r="AV50" t="n">
        <v>0</v>
      </c>
      <c r="AW50" t="n">
        <v>123.18</v>
      </c>
      <c r="AX50" t="inlineStr">
        <is>
          <t>pending</t>
        </is>
      </c>
      <c r="AY50" t="inlineStr">
        <is>
          <t>NA</t>
        </is>
      </c>
      <c r="AZ50" t="inlineStr">
        <is>
          <t>NA</t>
        </is>
      </c>
      <c r="BA50" t="n">
        <v>123.18</v>
      </c>
      <c r="BB50" t="inlineStr">
        <is>
          <t>0979936789ebba9999edb062312bf8c5646a59a822925a3cbacce9ed536795de</t>
        </is>
      </c>
    </row>
    <row r="51">
      <c r="A51" t="inlineStr">
        <is>
          <t>1374</t>
        </is>
      </c>
      <c r="B51" t="inlineStr">
        <is>
          <t>7629028246</t>
        </is>
      </c>
      <c r="C51" t="inlineStr">
        <is>
          <t>2025-12-30 02:27:15</t>
        </is>
      </c>
      <c r="D51" t="inlineStr">
        <is>
          <t>1</t>
        </is>
      </c>
      <c r="E51" t="inlineStr">
        <is>
          <t>Sha Sha - Shandaar Shawarma</t>
        </is>
      </c>
      <c r="F51" t="inlineStr">
        <is>
          <t>18557902</t>
        </is>
      </c>
      <c r="G51" t="inlineStr">
        <is>
          <t>30% off upto ₹75 (2025-06-25 - 2031-01-01)</t>
        </is>
      </c>
      <c r="H51" t="inlineStr">
        <is>
          <t>ONLINE</t>
        </is>
      </c>
      <c r="I51" t="inlineStr">
        <is>
          <t>DELIVERED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O2</t>
        </is>
      </c>
      <c r="N51" t="inlineStr">
        <is>
          <t>36</t>
        </is>
      </c>
      <c r="O51" t="n">
        <v>229</v>
      </c>
      <c r="P51" t="n">
        <v>3.5</v>
      </c>
      <c r="Q51" t="n">
        <v>0</v>
      </c>
      <c r="R51" t="n">
        <v>68.7</v>
      </c>
      <c r="S51" t="n">
        <v>0</v>
      </c>
      <c r="T51" t="n">
        <v>0</v>
      </c>
      <c r="U51" t="n">
        <v>0</v>
      </c>
      <c r="V51" t="n">
        <v>8.19</v>
      </c>
      <c r="W51" t="n">
        <v>171.99</v>
      </c>
      <c r="X51" t="n">
        <v>163.8</v>
      </c>
      <c r="Y51" t="n">
        <v>19</v>
      </c>
      <c r="Z51" t="n">
        <v>31.12</v>
      </c>
      <c r="AA51" t="n">
        <v>3.16</v>
      </c>
      <c r="AB51" t="n">
        <v>34.28</v>
      </c>
      <c r="AC51" t="n">
        <v>6.17</v>
      </c>
      <c r="AD51" t="n">
        <v>0</v>
      </c>
      <c r="AE51" t="n">
        <v>163.8</v>
      </c>
      <c r="AF51" t="n">
        <v>0</v>
      </c>
      <c r="AG51" t="n">
        <v>0</v>
      </c>
      <c r="AH51" t="n">
        <v>0.16</v>
      </c>
      <c r="AI51" t="n">
        <v>8.199999999999999</v>
      </c>
      <c r="AJ51" t="n">
        <v>-0.01</v>
      </c>
      <c r="AK51" t="n">
        <v>14.53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48.81</v>
      </c>
      <c r="AV51" t="n">
        <v>0</v>
      </c>
      <c r="AW51" t="n">
        <v>123.18</v>
      </c>
      <c r="AX51" t="inlineStr">
        <is>
          <t>pending</t>
        </is>
      </c>
      <c r="AY51" t="inlineStr">
        <is>
          <t>NA</t>
        </is>
      </c>
      <c r="AZ51" t="inlineStr">
        <is>
          <t>NA</t>
        </is>
      </c>
      <c r="BA51" t="n">
        <v>123.18</v>
      </c>
      <c r="BB51" t="inlineStr">
        <is>
          <t>deff2286ad6db095de4321a969f3985d396d36a0b55892f28fa1338a8925ea78</t>
        </is>
      </c>
    </row>
    <row r="52">
      <c r="A52" t="inlineStr">
        <is>
          <t>1375</t>
        </is>
      </c>
      <c r="B52" t="inlineStr">
        <is>
          <t>7615435852</t>
        </is>
      </c>
      <c r="C52" t="inlineStr">
        <is>
          <t>2025-12-30 02:29:15</t>
        </is>
      </c>
      <c r="D52" t="inlineStr">
        <is>
          <t>1</t>
        </is>
      </c>
      <c r="E52" t="inlineStr">
        <is>
          <t>Sha Sha - Shandaar Shawarma</t>
        </is>
      </c>
      <c r="F52" t="inlineStr">
        <is>
          <t>18557902</t>
        </is>
      </c>
      <c r="G52" t="inlineStr">
        <is>
          <t>30% off upto ₹75 (2025-06-25 - 2031-01-01)</t>
        </is>
      </c>
      <c r="H52" t="inlineStr">
        <is>
          <t>ONLINE</t>
        </is>
      </c>
      <c r="I52" t="inlineStr">
        <is>
          <t>DELIVERED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O2</t>
        </is>
      </c>
      <c r="N52" t="inlineStr">
        <is>
          <t>36</t>
        </is>
      </c>
      <c r="O52" t="n">
        <v>219</v>
      </c>
      <c r="P52" t="n">
        <v>3.5</v>
      </c>
      <c r="Q52" t="n">
        <v>0</v>
      </c>
      <c r="R52" t="n">
        <v>65.7</v>
      </c>
      <c r="S52" t="n">
        <v>0</v>
      </c>
      <c r="T52" t="n">
        <v>0</v>
      </c>
      <c r="U52" t="n">
        <v>0</v>
      </c>
      <c r="V52" t="n">
        <v>7.84</v>
      </c>
      <c r="W52" t="n">
        <v>164.64</v>
      </c>
      <c r="X52" t="n">
        <v>156.8</v>
      </c>
      <c r="Y52" t="n">
        <v>19</v>
      </c>
      <c r="Z52" t="n">
        <v>29.79</v>
      </c>
      <c r="AA52" t="n">
        <v>3.03</v>
      </c>
      <c r="AB52" t="n">
        <v>32.82</v>
      </c>
      <c r="AC52" t="n">
        <v>5.91</v>
      </c>
      <c r="AD52" t="n">
        <v>0</v>
      </c>
      <c r="AE52" t="n">
        <v>156.8</v>
      </c>
      <c r="AF52" t="n">
        <v>0</v>
      </c>
      <c r="AG52" t="n">
        <v>0</v>
      </c>
      <c r="AH52" t="n">
        <v>0.16</v>
      </c>
      <c r="AI52" t="n">
        <v>7.85</v>
      </c>
      <c r="AJ52" t="n">
        <v>-0.01</v>
      </c>
      <c r="AK52" t="n">
        <v>13.92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46.74</v>
      </c>
      <c r="AV52" t="n">
        <v>0</v>
      </c>
      <c r="AW52" t="n">
        <v>117.9</v>
      </c>
      <c r="AX52" t="inlineStr">
        <is>
          <t>pending</t>
        </is>
      </c>
      <c r="AY52" t="inlineStr">
        <is>
          <t>NA</t>
        </is>
      </c>
      <c r="AZ52" t="inlineStr">
        <is>
          <t>NA</t>
        </is>
      </c>
      <c r="BA52" t="n">
        <v>117.9</v>
      </c>
      <c r="BB52" t="inlineStr">
        <is>
          <t>3259863d6cdc2c85de8240658abd472941cd8ab32b37046b58f38681e64ff5bd</t>
        </is>
      </c>
    </row>
    <row r="53">
      <c r="A53" t="inlineStr">
        <is>
          <t>1376</t>
        </is>
      </c>
      <c r="B53" t="inlineStr">
        <is>
          <t>7631393498</t>
        </is>
      </c>
      <c r="C53" t="inlineStr">
        <is>
          <t>2025-12-30 03:34:43</t>
        </is>
      </c>
      <c r="D53" t="inlineStr">
        <is>
          <t>1</t>
        </is>
      </c>
      <c r="E53" t="inlineStr">
        <is>
          <t>Sha Sha - Shandaar Shawarma</t>
        </is>
      </c>
      <c r="F53" t="inlineStr">
        <is>
          <t>18557902</t>
        </is>
      </c>
      <c r="G53" t="inlineStr">
        <is>
          <t>30% off upto ₹75 (2025-06-25 - 2031-01-01)</t>
        </is>
      </c>
      <c r="H53" t="inlineStr">
        <is>
          <t>ONLINE</t>
        </is>
      </c>
      <c r="I53" t="inlineStr">
        <is>
          <t>DELIVERED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O2</t>
        </is>
      </c>
      <c r="N53" t="inlineStr">
        <is>
          <t>36</t>
        </is>
      </c>
      <c r="O53" t="n">
        <v>229</v>
      </c>
      <c r="P53" t="n">
        <v>3.5</v>
      </c>
      <c r="Q53" t="n">
        <v>0</v>
      </c>
      <c r="R53" t="n">
        <v>68.7</v>
      </c>
      <c r="S53" t="n">
        <v>0</v>
      </c>
      <c r="T53" t="n">
        <v>0</v>
      </c>
      <c r="U53" t="n">
        <v>0</v>
      </c>
      <c r="V53" t="n">
        <v>8.19</v>
      </c>
      <c r="W53" t="n">
        <v>171.99</v>
      </c>
      <c r="X53" t="n">
        <v>163.8</v>
      </c>
      <c r="Y53" t="n">
        <v>19</v>
      </c>
      <c r="Z53" t="n">
        <v>31.12</v>
      </c>
      <c r="AA53" t="n">
        <v>3.16</v>
      </c>
      <c r="AB53" t="n">
        <v>34.28</v>
      </c>
      <c r="AC53" t="n">
        <v>6.17</v>
      </c>
      <c r="AD53" t="n">
        <v>0</v>
      </c>
      <c r="AE53" t="n">
        <v>163.8</v>
      </c>
      <c r="AF53" t="n">
        <v>0</v>
      </c>
      <c r="AG53" t="n">
        <v>0</v>
      </c>
      <c r="AH53" t="n">
        <v>0.16</v>
      </c>
      <c r="AI53" t="n">
        <v>8.199999999999999</v>
      </c>
      <c r="AJ53" t="n">
        <v>-0.01</v>
      </c>
      <c r="AK53" t="n">
        <v>14.53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48.81</v>
      </c>
      <c r="AV53" t="n">
        <v>0</v>
      </c>
      <c r="AW53" t="n">
        <v>123.18</v>
      </c>
      <c r="AX53" t="inlineStr">
        <is>
          <t>pending</t>
        </is>
      </c>
      <c r="AY53" t="inlineStr">
        <is>
          <t>NA</t>
        </is>
      </c>
      <c r="AZ53" t="inlineStr">
        <is>
          <t>NA</t>
        </is>
      </c>
      <c r="BA53" t="n">
        <v>123.18</v>
      </c>
      <c r="BB53" t="inlineStr">
        <is>
          <t>26c33a1aaadd53fe20f74d4d41459630ff6bd27838b27f9704ad3821d47a8d65</t>
        </is>
      </c>
    </row>
    <row r="54">
      <c r="A54" t="inlineStr">
        <is>
          <t>1377</t>
        </is>
      </c>
      <c r="B54" t="inlineStr">
        <is>
          <t>7623474880</t>
        </is>
      </c>
      <c r="C54" t="inlineStr">
        <is>
          <t>2025-12-30 03:36:23</t>
        </is>
      </c>
      <c r="D54" t="inlineStr">
        <is>
          <t>1</t>
        </is>
      </c>
      <c r="E54" t="inlineStr">
        <is>
          <t>Sha Sha - Shandaar Shawarma</t>
        </is>
      </c>
      <c r="F54" t="inlineStr">
        <is>
          <t>18557902</t>
        </is>
      </c>
      <c r="G54" t="inlineStr">
        <is>
          <t>30% off upto ₹75 (2025-06-25 - 2031-01-01)</t>
        </is>
      </c>
      <c r="H54" t="inlineStr">
        <is>
          <t>ONLINE</t>
        </is>
      </c>
      <c r="I54" t="inlineStr">
        <is>
          <t>DELIVERED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O2</t>
        </is>
      </c>
      <c r="N54" t="inlineStr">
        <is>
          <t>36</t>
        </is>
      </c>
      <c r="O54" t="n">
        <v>229</v>
      </c>
      <c r="P54" t="n">
        <v>3.5</v>
      </c>
      <c r="Q54" t="n">
        <v>0</v>
      </c>
      <c r="R54" t="n">
        <v>68.7</v>
      </c>
      <c r="S54" t="n">
        <v>0</v>
      </c>
      <c r="T54" t="n">
        <v>0</v>
      </c>
      <c r="U54" t="n">
        <v>0</v>
      </c>
      <c r="V54" t="n">
        <v>8.19</v>
      </c>
      <c r="W54" t="n">
        <v>171.99</v>
      </c>
      <c r="X54" t="n">
        <v>163.8</v>
      </c>
      <c r="Y54" t="n">
        <v>19</v>
      </c>
      <c r="Z54" t="n">
        <v>31.12</v>
      </c>
      <c r="AA54" t="n">
        <v>3.16</v>
      </c>
      <c r="AB54" t="n">
        <v>34.28</v>
      </c>
      <c r="AC54" t="n">
        <v>6.17</v>
      </c>
      <c r="AD54" t="n">
        <v>0</v>
      </c>
      <c r="AE54" t="n">
        <v>163.8</v>
      </c>
      <c r="AF54" t="n">
        <v>0</v>
      </c>
      <c r="AG54" t="n">
        <v>0</v>
      </c>
      <c r="AH54" t="n">
        <v>0.16</v>
      </c>
      <c r="AI54" t="n">
        <v>8.199999999999999</v>
      </c>
      <c r="AJ54" t="n">
        <v>-0.01</v>
      </c>
      <c r="AK54" t="n">
        <v>14.53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48.81</v>
      </c>
      <c r="AV54" t="n">
        <v>0</v>
      </c>
      <c r="AW54" t="n">
        <v>123.18</v>
      </c>
      <c r="AX54" t="inlineStr">
        <is>
          <t>pending</t>
        </is>
      </c>
      <c r="AY54" t="inlineStr">
        <is>
          <t>NA</t>
        </is>
      </c>
      <c r="AZ54" t="inlineStr">
        <is>
          <t>NA</t>
        </is>
      </c>
      <c r="BA54" t="n">
        <v>123.18</v>
      </c>
      <c r="BB54" t="inlineStr">
        <is>
          <t>26c58849057eb2fc88c1bca4bc3c349705c40bd730002e842c7b69d7210c5019</t>
        </is>
      </c>
    </row>
    <row r="55">
      <c r="A55" t="inlineStr">
        <is>
          <t>1378</t>
        </is>
      </c>
      <c r="B55" t="inlineStr">
        <is>
          <t>7632195017</t>
        </is>
      </c>
      <c r="C55" t="inlineStr">
        <is>
          <t>2025-12-30 03:41:20</t>
        </is>
      </c>
      <c r="D55" t="inlineStr">
        <is>
          <t>1</t>
        </is>
      </c>
      <c r="E55" t="inlineStr">
        <is>
          <t>Sha Sha - Shandaar Shawarma</t>
        </is>
      </c>
      <c r="F55" t="inlineStr">
        <is>
          <t>18557902</t>
        </is>
      </c>
      <c r="G55" t="inlineStr">
        <is>
          <t>30% off upto ₹75 (2025-06-25 - 2031-01-01)</t>
        </is>
      </c>
      <c r="H55" t="inlineStr">
        <is>
          <t>ONLINE</t>
        </is>
      </c>
      <c r="I55" t="inlineStr">
        <is>
          <t>DELIVERED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O2</t>
        </is>
      </c>
      <c r="N55" t="inlineStr">
        <is>
          <t>36</t>
        </is>
      </c>
      <c r="O55" t="n">
        <v>229</v>
      </c>
      <c r="P55" t="n">
        <v>3.5</v>
      </c>
      <c r="Q55" t="n">
        <v>0</v>
      </c>
      <c r="R55" t="n">
        <v>68.7</v>
      </c>
      <c r="S55" t="n">
        <v>0</v>
      </c>
      <c r="T55" t="n">
        <v>0</v>
      </c>
      <c r="U55" t="n">
        <v>0</v>
      </c>
      <c r="V55" t="n">
        <v>8.19</v>
      </c>
      <c r="W55" t="n">
        <v>171.99</v>
      </c>
      <c r="X55" t="n">
        <v>163.8</v>
      </c>
      <c r="Y55" t="n">
        <v>19</v>
      </c>
      <c r="Z55" t="n">
        <v>31.12</v>
      </c>
      <c r="AA55" t="n">
        <v>3.16</v>
      </c>
      <c r="AB55" t="n">
        <v>34.28</v>
      </c>
      <c r="AC55" t="n">
        <v>6.17</v>
      </c>
      <c r="AD55" t="n">
        <v>0</v>
      </c>
      <c r="AE55" t="n">
        <v>163.8</v>
      </c>
      <c r="AF55" t="n">
        <v>0</v>
      </c>
      <c r="AG55" t="n">
        <v>0</v>
      </c>
      <c r="AH55" t="n">
        <v>0.16</v>
      </c>
      <c r="AI55" t="n">
        <v>8.199999999999999</v>
      </c>
      <c r="AJ55" t="n">
        <v>-0.01</v>
      </c>
      <c r="AK55" t="n">
        <v>14.53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48.81</v>
      </c>
      <c r="AV55" t="n">
        <v>0</v>
      </c>
      <c r="AW55" t="n">
        <v>123.18</v>
      </c>
      <c r="AX55" t="inlineStr">
        <is>
          <t>pending</t>
        </is>
      </c>
      <c r="AY55" t="inlineStr">
        <is>
          <t>NA</t>
        </is>
      </c>
      <c r="AZ55" t="inlineStr">
        <is>
          <t>NA</t>
        </is>
      </c>
      <c r="BA55" t="n">
        <v>123.18</v>
      </c>
      <c r="BB55" t="inlineStr">
        <is>
          <t>a0bf52d376b0c588faec3d296b7aa74bcb27ea6026fc2f39262830f2a722eb24</t>
        </is>
      </c>
    </row>
    <row r="56">
      <c r="A56" t="inlineStr">
        <is>
          <t>1379</t>
        </is>
      </c>
      <c r="B56" t="inlineStr">
        <is>
          <t>7619929216</t>
        </is>
      </c>
      <c r="C56" t="inlineStr">
        <is>
          <t>2025-12-30 03:59:46</t>
        </is>
      </c>
      <c r="D56" t="inlineStr">
        <is>
          <t>1</t>
        </is>
      </c>
      <c r="E56" t="inlineStr">
        <is>
          <t>Sha Sha - Shandaar Shawarma</t>
        </is>
      </c>
      <c r="F56" t="inlineStr">
        <is>
          <t>18557902</t>
        </is>
      </c>
      <c r="G56" t="inlineStr">
        <is>
          <t>NA</t>
        </is>
      </c>
      <c r="H56" t="inlineStr">
        <is>
          <t>ONLINE</t>
        </is>
      </c>
      <c r="I56" t="inlineStr">
        <is>
          <t>DELIVERED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O2</t>
        </is>
      </c>
      <c r="N56" t="inlineStr">
        <is>
          <t>36</t>
        </is>
      </c>
      <c r="O56" t="n">
        <v>229</v>
      </c>
      <c r="P56" t="n">
        <v>3.5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11.63</v>
      </c>
      <c r="W56" t="n">
        <v>244.13</v>
      </c>
      <c r="X56" t="n">
        <v>232.5</v>
      </c>
      <c r="Y56" t="n">
        <v>19</v>
      </c>
      <c r="Z56" t="n">
        <v>44.18</v>
      </c>
      <c r="AA56" t="n">
        <v>4.49</v>
      </c>
      <c r="AB56" t="n">
        <v>48.67</v>
      </c>
      <c r="AC56" t="n">
        <v>8.76</v>
      </c>
      <c r="AD56" t="n">
        <v>0</v>
      </c>
      <c r="AE56" t="n">
        <v>232.5</v>
      </c>
      <c r="AF56" t="n">
        <v>0</v>
      </c>
      <c r="AG56" t="n">
        <v>0</v>
      </c>
      <c r="AH56" t="n">
        <v>0.23</v>
      </c>
      <c r="AI56" t="n">
        <v>11.63</v>
      </c>
      <c r="AJ56" t="n">
        <v>0</v>
      </c>
      <c r="AK56" t="n">
        <v>20.62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69.29000000000001</v>
      </c>
      <c r="AV56" t="n">
        <v>0</v>
      </c>
      <c r="AW56" t="n">
        <v>174.84</v>
      </c>
      <c r="AX56" t="inlineStr">
        <is>
          <t>pending</t>
        </is>
      </c>
      <c r="AY56" t="inlineStr">
        <is>
          <t>NA</t>
        </is>
      </c>
      <c r="AZ56" t="inlineStr">
        <is>
          <t>NA</t>
        </is>
      </c>
      <c r="BA56" t="n">
        <v>174.84</v>
      </c>
      <c r="BB56" t="inlineStr">
        <is>
          <t>fb02cdfee12faf12d44f9aa0aaca2a2fa92686ad8999a79624321dbe2ec081f0</t>
        </is>
      </c>
    </row>
    <row r="57">
      <c r="A57" t="inlineStr">
        <is>
          <t>1380</t>
        </is>
      </c>
      <c r="B57" t="inlineStr">
        <is>
          <t>7632293419</t>
        </is>
      </c>
      <c r="C57" t="inlineStr">
        <is>
          <t>2025-12-30 04:37:42</t>
        </is>
      </c>
      <c r="D57" t="inlineStr">
        <is>
          <t>1</t>
        </is>
      </c>
      <c r="E57" t="inlineStr">
        <is>
          <t>Sha Sha - Shandaar Shawarma</t>
        </is>
      </c>
      <c r="F57" t="inlineStr">
        <is>
          <t>18557902</t>
        </is>
      </c>
      <c r="G57" t="inlineStr">
        <is>
          <t>30% off upto ₹75 (2025-06-25 - 2031-01-01)</t>
        </is>
      </c>
      <c r="H57" t="inlineStr">
        <is>
          <t>ONLINE</t>
        </is>
      </c>
      <c r="I57" t="inlineStr">
        <is>
          <t>DELIVERED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O2</t>
        </is>
      </c>
      <c r="N57" t="inlineStr">
        <is>
          <t>36</t>
        </is>
      </c>
      <c r="O57" t="n">
        <v>229</v>
      </c>
      <c r="P57" t="n">
        <v>3.5</v>
      </c>
      <c r="Q57" t="n">
        <v>0</v>
      </c>
      <c r="R57" t="n">
        <v>68.7</v>
      </c>
      <c r="S57" t="n">
        <v>0</v>
      </c>
      <c r="T57" t="n">
        <v>0</v>
      </c>
      <c r="U57" t="n">
        <v>0</v>
      </c>
      <c r="V57" t="n">
        <v>8.19</v>
      </c>
      <c r="W57" t="n">
        <v>171.99</v>
      </c>
      <c r="X57" t="n">
        <v>163.8</v>
      </c>
      <c r="Y57" t="n">
        <v>19</v>
      </c>
      <c r="Z57" t="n">
        <v>31.12</v>
      </c>
      <c r="AA57" t="n">
        <v>3.16</v>
      </c>
      <c r="AB57" t="n">
        <v>34.28</v>
      </c>
      <c r="AC57" t="n">
        <v>6.17</v>
      </c>
      <c r="AD57" t="n">
        <v>0</v>
      </c>
      <c r="AE57" t="n">
        <v>163.8</v>
      </c>
      <c r="AF57" t="n">
        <v>0</v>
      </c>
      <c r="AG57" t="n">
        <v>0</v>
      </c>
      <c r="AH57" t="n">
        <v>0.16</v>
      </c>
      <c r="AI57" t="n">
        <v>8.199999999999999</v>
      </c>
      <c r="AJ57" t="n">
        <v>-0.01</v>
      </c>
      <c r="AK57" t="n">
        <v>14.53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48.81</v>
      </c>
      <c r="AV57" t="n">
        <v>0</v>
      </c>
      <c r="AW57" t="n">
        <v>123.18</v>
      </c>
      <c r="AX57" t="inlineStr">
        <is>
          <t>pending</t>
        </is>
      </c>
      <c r="AY57" t="inlineStr">
        <is>
          <t>NA</t>
        </is>
      </c>
      <c r="AZ57" t="inlineStr">
        <is>
          <t>NA</t>
        </is>
      </c>
      <c r="BA57" t="n">
        <v>123.18</v>
      </c>
      <c r="BB57" t="inlineStr">
        <is>
          <t>29a96c867283775272b9fc54c8e4f479ff1c6ed831832bf202657a9386df0c4b</t>
        </is>
      </c>
    </row>
    <row r="58">
      <c r="A58" t="inlineStr">
        <is>
          <t>1381</t>
        </is>
      </c>
      <c r="B58" t="inlineStr">
        <is>
          <t>7635740792</t>
        </is>
      </c>
      <c r="C58" t="inlineStr">
        <is>
          <t>2025-12-30 13:58:21</t>
        </is>
      </c>
      <c r="D58" t="inlineStr">
        <is>
          <t>1</t>
        </is>
      </c>
      <c r="E58" t="inlineStr">
        <is>
          <t>Sha Sha - Shandaar Shawarma</t>
        </is>
      </c>
      <c r="F58" t="inlineStr">
        <is>
          <t>18557902</t>
        </is>
      </c>
      <c r="G58" t="inlineStr">
        <is>
          <t>30% off upto ₹75 (2025-06-25 - 2031-01-01)</t>
        </is>
      </c>
      <c r="H58" t="inlineStr">
        <is>
          <t>ONLINE</t>
        </is>
      </c>
      <c r="I58" t="inlineStr">
        <is>
          <t>DELIVERED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O2</t>
        </is>
      </c>
      <c r="N58" t="inlineStr">
        <is>
          <t>36</t>
        </is>
      </c>
      <c r="O58" t="n">
        <v>229</v>
      </c>
      <c r="P58" t="n">
        <v>3.5</v>
      </c>
      <c r="Q58" t="n">
        <v>0</v>
      </c>
      <c r="R58" t="n">
        <v>68.7</v>
      </c>
      <c r="S58" t="n">
        <v>0</v>
      </c>
      <c r="T58" t="n">
        <v>0</v>
      </c>
      <c r="U58" t="n">
        <v>0</v>
      </c>
      <c r="V58" t="n">
        <v>8.19</v>
      </c>
      <c r="W58" t="n">
        <v>171.99</v>
      </c>
      <c r="X58" t="n">
        <v>163.8</v>
      </c>
      <c r="Y58" t="n">
        <v>19</v>
      </c>
      <c r="Z58" t="n">
        <v>31.12</v>
      </c>
      <c r="AA58" t="n">
        <v>3.16</v>
      </c>
      <c r="AB58" t="n">
        <v>34.28</v>
      </c>
      <c r="AC58" t="n">
        <v>6.17</v>
      </c>
      <c r="AD58" t="n">
        <v>0</v>
      </c>
      <c r="AE58" t="n">
        <v>163.8</v>
      </c>
      <c r="AF58" t="n">
        <v>0</v>
      </c>
      <c r="AG58" t="n">
        <v>0</v>
      </c>
      <c r="AH58" t="n">
        <v>0.16</v>
      </c>
      <c r="AI58" t="n">
        <v>8.199999999999999</v>
      </c>
      <c r="AJ58" t="n">
        <v>-0.01</v>
      </c>
      <c r="AK58" t="n">
        <v>14.53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48.81</v>
      </c>
      <c r="AV58" t="n">
        <v>0</v>
      </c>
      <c r="AW58" t="n">
        <v>123.18</v>
      </c>
      <c r="AX58" t="inlineStr">
        <is>
          <t>pending</t>
        </is>
      </c>
      <c r="AY58" t="inlineStr">
        <is>
          <t>NA</t>
        </is>
      </c>
      <c r="AZ58" t="inlineStr">
        <is>
          <t>NA</t>
        </is>
      </c>
      <c r="BA58" t="n">
        <v>123.18</v>
      </c>
      <c r="BB58" t="inlineStr">
        <is>
          <t>5cef89cd8427a9c1d59a310fb018f8d004816f36003ded1704ed7fcfda5999eb</t>
        </is>
      </c>
    </row>
    <row r="59">
      <c r="A59" t="inlineStr">
        <is>
          <t>1382</t>
        </is>
      </c>
      <c r="B59" t="inlineStr">
        <is>
          <t>7632087620</t>
        </is>
      </c>
      <c r="C59" t="inlineStr">
        <is>
          <t>2025-12-30 14:55:04</t>
        </is>
      </c>
      <c r="D59" t="inlineStr">
        <is>
          <t>1</t>
        </is>
      </c>
      <c r="E59" t="inlineStr">
        <is>
          <t>Sha Sha - Shandaar Shawarma</t>
        </is>
      </c>
      <c r="F59" t="inlineStr">
        <is>
          <t>18557902</t>
        </is>
      </c>
      <c r="G59" t="inlineStr">
        <is>
          <t>30% off upto ₹75 (2025-06-25 - 2031-01-01)</t>
        </is>
      </c>
      <c r="H59" t="inlineStr">
        <is>
          <t>ONLINE</t>
        </is>
      </c>
      <c r="I59" t="inlineStr">
        <is>
          <t>DELIVERED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O2</t>
        </is>
      </c>
      <c r="N59" t="inlineStr">
        <is>
          <t>36</t>
        </is>
      </c>
      <c r="O59" t="n">
        <v>219</v>
      </c>
      <c r="P59" t="n">
        <v>3.5</v>
      </c>
      <c r="Q59" t="n">
        <v>0</v>
      </c>
      <c r="R59" t="n">
        <v>65.7</v>
      </c>
      <c r="S59" t="n">
        <v>0</v>
      </c>
      <c r="T59" t="n">
        <v>0</v>
      </c>
      <c r="U59" t="n">
        <v>0</v>
      </c>
      <c r="V59" t="n">
        <v>7.84</v>
      </c>
      <c r="W59" t="n">
        <v>164.64</v>
      </c>
      <c r="X59" t="n">
        <v>156.8</v>
      </c>
      <c r="Y59" t="n">
        <v>19</v>
      </c>
      <c r="Z59" t="n">
        <v>29.79</v>
      </c>
      <c r="AA59" t="n">
        <v>3.03</v>
      </c>
      <c r="AB59" t="n">
        <v>32.82</v>
      </c>
      <c r="AC59" t="n">
        <v>5.91</v>
      </c>
      <c r="AD59" t="n">
        <v>0</v>
      </c>
      <c r="AE59" t="n">
        <v>156.8</v>
      </c>
      <c r="AF59" t="n">
        <v>0</v>
      </c>
      <c r="AG59" t="n">
        <v>0</v>
      </c>
      <c r="AH59" t="n">
        <v>0.16</v>
      </c>
      <c r="AI59" t="n">
        <v>7.85</v>
      </c>
      <c r="AJ59" t="n">
        <v>-0.01</v>
      </c>
      <c r="AK59" t="n">
        <v>13.92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46.74</v>
      </c>
      <c r="AV59" t="n">
        <v>0</v>
      </c>
      <c r="AW59" t="n">
        <v>117.9</v>
      </c>
      <c r="AX59" t="inlineStr">
        <is>
          <t>pending</t>
        </is>
      </c>
      <c r="AY59" t="inlineStr">
        <is>
          <t>NA</t>
        </is>
      </c>
      <c r="AZ59" t="inlineStr">
        <is>
          <t>NA</t>
        </is>
      </c>
      <c r="BA59" t="n">
        <v>117.9</v>
      </c>
      <c r="BB59" t="inlineStr">
        <is>
          <t>9fc0d2cba7ff60ae512234a41d5e99383a380757678084687089072319607266</t>
        </is>
      </c>
    </row>
    <row r="60">
      <c r="A60" t="inlineStr">
        <is>
          <t>1383</t>
        </is>
      </c>
      <c r="B60" t="inlineStr">
        <is>
          <t>7635960686</t>
        </is>
      </c>
      <c r="C60" t="inlineStr">
        <is>
          <t>2025-12-30 15:13:40</t>
        </is>
      </c>
      <c r="D60" t="inlineStr">
        <is>
          <t>1</t>
        </is>
      </c>
      <c r="E60" t="inlineStr">
        <is>
          <t>Sha Sha - Shandaar Shawarma</t>
        </is>
      </c>
      <c r="F60" t="inlineStr">
        <is>
          <t>18557902</t>
        </is>
      </c>
      <c r="G60" t="inlineStr">
        <is>
          <t>30% off upto ₹75 (2025-06-25 - 2031-01-01)</t>
        </is>
      </c>
      <c r="H60" t="inlineStr">
        <is>
          <t>ONLINE</t>
        </is>
      </c>
      <c r="I60" t="inlineStr">
        <is>
          <t>DELIVERED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O2</t>
        </is>
      </c>
      <c r="N60" t="inlineStr">
        <is>
          <t>36</t>
        </is>
      </c>
      <c r="O60" t="n">
        <v>398</v>
      </c>
      <c r="P60" t="n">
        <v>3.5</v>
      </c>
      <c r="Q60" t="n">
        <v>0</v>
      </c>
      <c r="R60" t="n">
        <v>75</v>
      </c>
      <c r="S60" t="n">
        <v>0</v>
      </c>
      <c r="T60" t="n">
        <v>0</v>
      </c>
      <c r="U60" t="n">
        <v>0</v>
      </c>
      <c r="V60" t="n">
        <v>16.33</v>
      </c>
      <c r="W60" t="n">
        <v>342.83</v>
      </c>
      <c r="X60" t="n">
        <v>326.5</v>
      </c>
      <c r="Y60" t="n">
        <v>19</v>
      </c>
      <c r="Z60" t="n">
        <v>62.04</v>
      </c>
      <c r="AA60" t="n">
        <v>6.31</v>
      </c>
      <c r="AB60" t="n">
        <v>68.34999999999999</v>
      </c>
      <c r="AC60" t="n">
        <v>12.31</v>
      </c>
      <c r="AD60" t="n">
        <v>0</v>
      </c>
      <c r="AE60" t="n">
        <v>326.5</v>
      </c>
      <c r="AF60" t="n">
        <v>0</v>
      </c>
      <c r="AG60" t="n">
        <v>0</v>
      </c>
      <c r="AH60" t="n">
        <v>0.33</v>
      </c>
      <c r="AI60" t="n">
        <v>16.33</v>
      </c>
      <c r="AJ60" t="n">
        <v>0</v>
      </c>
      <c r="AK60" t="n">
        <v>28.97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97.31999999999999</v>
      </c>
      <c r="AV60" t="n">
        <v>0</v>
      </c>
      <c r="AW60" t="n">
        <v>245.51</v>
      </c>
      <c r="AX60" t="inlineStr">
        <is>
          <t>pending</t>
        </is>
      </c>
      <c r="AY60" t="inlineStr">
        <is>
          <t>NA</t>
        </is>
      </c>
      <c r="AZ60" t="inlineStr">
        <is>
          <t>NA</t>
        </is>
      </c>
      <c r="BA60" t="n">
        <v>245.51</v>
      </c>
      <c r="BB60" t="inlineStr">
        <is>
          <t>f6d665322b21683ef37ee398cbe49a724ca8cb1b0a18f65a555cc5c787ede14a</t>
        </is>
      </c>
    </row>
    <row r="61">
      <c r="A61" t="inlineStr">
        <is>
          <t>1384</t>
        </is>
      </c>
      <c r="B61" t="inlineStr">
        <is>
          <t>7632293334</t>
        </is>
      </c>
      <c r="C61" t="inlineStr">
        <is>
          <t>2025-12-30 16:10:55</t>
        </is>
      </c>
      <c r="D61" t="inlineStr">
        <is>
          <t>1</t>
        </is>
      </c>
      <c r="E61" t="inlineStr">
        <is>
          <t>Sha Sha - Shandaar Shawarma</t>
        </is>
      </c>
      <c r="F61" t="inlineStr">
        <is>
          <t>18557902</t>
        </is>
      </c>
      <c r="G61" t="inlineStr">
        <is>
          <t>NA</t>
        </is>
      </c>
      <c r="H61" t="inlineStr">
        <is>
          <t>ONLINE</t>
        </is>
      </c>
      <c r="I61" t="inlineStr">
        <is>
          <t>DELIVERED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O2</t>
        </is>
      </c>
      <c r="N61" t="inlineStr">
        <is>
          <t>36</t>
        </is>
      </c>
      <c r="O61" t="n">
        <v>229</v>
      </c>
      <c r="P61" t="n">
        <v>3.5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11.63</v>
      </c>
      <c r="W61" t="n">
        <v>244.13</v>
      </c>
      <c r="X61" t="n">
        <v>232.5</v>
      </c>
      <c r="Y61" t="n">
        <v>19</v>
      </c>
      <c r="Z61" t="n">
        <v>44.18</v>
      </c>
      <c r="AA61" t="n">
        <v>4.49</v>
      </c>
      <c r="AB61" t="n">
        <v>48.67</v>
      </c>
      <c r="AC61" t="n">
        <v>8.76</v>
      </c>
      <c r="AD61" t="n">
        <v>0</v>
      </c>
      <c r="AE61" t="n">
        <v>232.5</v>
      </c>
      <c r="AF61" t="n">
        <v>0</v>
      </c>
      <c r="AG61" t="n">
        <v>0</v>
      </c>
      <c r="AH61" t="n">
        <v>0.23</v>
      </c>
      <c r="AI61" t="n">
        <v>11.63</v>
      </c>
      <c r="AJ61" t="n">
        <v>0</v>
      </c>
      <c r="AK61" t="n">
        <v>20.62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69.29000000000001</v>
      </c>
      <c r="AV61" t="n">
        <v>0</v>
      </c>
      <c r="AW61" t="n">
        <v>174.84</v>
      </c>
      <c r="AX61" t="inlineStr">
        <is>
          <t>pending</t>
        </is>
      </c>
      <c r="AY61" t="inlineStr">
        <is>
          <t>NA</t>
        </is>
      </c>
      <c r="AZ61" t="inlineStr">
        <is>
          <t>NA</t>
        </is>
      </c>
      <c r="BA61" t="n">
        <v>174.84</v>
      </c>
      <c r="BB61" t="inlineStr">
        <is>
          <t>52c328c3b1a0b47a6ed4001e67856c7f64b1041115c26618aa169bf11b46a58f</t>
        </is>
      </c>
    </row>
    <row r="62">
      <c r="A62" t="inlineStr">
        <is>
          <t>1385</t>
        </is>
      </c>
      <c r="B62" t="inlineStr">
        <is>
          <t>7633329704</t>
        </is>
      </c>
      <c r="C62" t="inlineStr">
        <is>
          <t>2025-12-30 16:12:07</t>
        </is>
      </c>
      <c r="D62" t="inlineStr">
        <is>
          <t>1</t>
        </is>
      </c>
      <c r="E62" t="inlineStr">
        <is>
          <t>Sha Sha - Shandaar Shawarma</t>
        </is>
      </c>
      <c r="F62" t="inlineStr">
        <is>
          <t>18557902</t>
        </is>
      </c>
      <c r="G62" t="inlineStr">
        <is>
          <t>NA</t>
        </is>
      </c>
      <c r="H62" t="inlineStr">
        <is>
          <t>ONLINE</t>
        </is>
      </c>
      <c r="I62" t="inlineStr">
        <is>
          <t>DELIVERED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O2</t>
        </is>
      </c>
      <c r="N62" t="inlineStr">
        <is>
          <t>36</t>
        </is>
      </c>
      <c r="O62" t="n">
        <v>229</v>
      </c>
      <c r="P62" t="n">
        <v>3.5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11.63</v>
      </c>
      <c r="W62" t="n">
        <v>244.13</v>
      </c>
      <c r="X62" t="n">
        <v>232.5</v>
      </c>
      <c r="Y62" t="n">
        <v>19</v>
      </c>
      <c r="Z62" t="n">
        <v>44.18</v>
      </c>
      <c r="AA62" t="n">
        <v>4.49</v>
      </c>
      <c r="AB62" t="n">
        <v>48.67</v>
      </c>
      <c r="AC62" t="n">
        <v>8.76</v>
      </c>
      <c r="AD62" t="n">
        <v>0</v>
      </c>
      <c r="AE62" t="n">
        <v>232.5</v>
      </c>
      <c r="AF62" t="n">
        <v>0</v>
      </c>
      <c r="AG62" t="n">
        <v>0</v>
      </c>
      <c r="AH62" t="n">
        <v>0.23</v>
      </c>
      <c r="AI62" t="n">
        <v>11.63</v>
      </c>
      <c r="AJ62" t="n">
        <v>0</v>
      </c>
      <c r="AK62" t="n">
        <v>20.62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69.29000000000001</v>
      </c>
      <c r="AV62" t="n">
        <v>0</v>
      </c>
      <c r="AW62" t="n">
        <v>174.84</v>
      </c>
      <c r="AX62" t="inlineStr">
        <is>
          <t>pending</t>
        </is>
      </c>
      <c r="AY62" t="inlineStr">
        <is>
          <t>NA</t>
        </is>
      </c>
      <c r="AZ62" t="inlineStr">
        <is>
          <t>NA</t>
        </is>
      </c>
      <c r="BA62" t="n">
        <v>174.84</v>
      </c>
      <c r="BB62" t="inlineStr">
        <is>
          <t>fd5df61e9ff40e75ea79d7976b8600bbb4f2b93ef79206b654a6fd0e7a80a6c5</t>
        </is>
      </c>
    </row>
    <row r="63">
      <c r="A63" t="inlineStr">
        <is>
          <t>1386</t>
        </is>
      </c>
      <c r="B63" t="inlineStr">
        <is>
          <t>7624130183</t>
        </is>
      </c>
      <c r="C63" t="inlineStr">
        <is>
          <t>2025-12-30 17:13:29</t>
        </is>
      </c>
      <c r="D63" t="inlineStr">
        <is>
          <t>1</t>
        </is>
      </c>
      <c r="E63" t="inlineStr">
        <is>
          <t>Sha Sha - Shandaar Shawarma</t>
        </is>
      </c>
      <c r="F63" t="inlineStr">
        <is>
          <t>18557902</t>
        </is>
      </c>
      <c r="G63" t="inlineStr">
        <is>
          <t>NA</t>
        </is>
      </c>
      <c r="H63" t="inlineStr">
        <is>
          <t>ONLINE</t>
        </is>
      </c>
      <c r="I63" t="inlineStr">
        <is>
          <t>DELIVERED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O2</t>
        </is>
      </c>
      <c r="N63" t="inlineStr">
        <is>
          <t>36</t>
        </is>
      </c>
      <c r="O63" t="n">
        <v>229</v>
      </c>
      <c r="P63" t="n">
        <v>3.5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11.63</v>
      </c>
      <c r="W63" t="n">
        <v>244.13</v>
      </c>
      <c r="X63" t="n">
        <v>232.5</v>
      </c>
      <c r="Y63" t="n">
        <v>19</v>
      </c>
      <c r="Z63" t="n">
        <v>44.18</v>
      </c>
      <c r="AA63" t="n">
        <v>4.49</v>
      </c>
      <c r="AB63" t="n">
        <v>48.67</v>
      </c>
      <c r="AC63" t="n">
        <v>8.76</v>
      </c>
      <c r="AD63" t="n">
        <v>0</v>
      </c>
      <c r="AE63" t="n">
        <v>232.5</v>
      </c>
      <c r="AF63" t="n">
        <v>0</v>
      </c>
      <c r="AG63" t="n">
        <v>0</v>
      </c>
      <c r="AH63" t="n">
        <v>0.23</v>
      </c>
      <c r="AI63" t="n">
        <v>11.63</v>
      </c>
      <c r="AJ63" t="n">
        <v>0</v>
      </c>
      <c r="AK63" t="n">
        <v>20.62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69.29000000000001</v>
      </c>
      <c r="AV63" t="n">
        <v>0</v>
      </c>
      <c r="AW63" t="n">
        <v>174.84</v>
      </c>
      <c r="AX63" t="inlineStr">
        <is>
          <t>pending</t>
        </is>
      </c>
      <c r="AY63" t="inlineStr">
        <is>
          <t>NA</t>
        </is>
      </c>
      <c r="AZ63" t="inlineStr">
        <is>
          <t>NA</t>
        </is>
      </c>
      <c r="BA63" t="n">
        <v>174.84</v>
      </c>
      <c r="BB63" t="inlineStr">
        <is>
          <t>3b61bb722e31d88fcf6d03a4c46c0dabae8defbd436f8a4b5bd2004842a614ca</t>
        </is>
      </c>
    </row>
    <row r="64">
      <c r="A64" t="inlineStr">
        <is>
          <t>1387</t>
        </is>
      </c>
      <c r="B64" t="inlineStr">
        <is>
          <t>7636148914</t>
        </is>
      </c>
      <c r="C64" t="inlineStr">
        <is>
          <t>2025-12-30 17:18:04</t>
        </is>
      </c>
      <c r="D64" t="inlineStr">
        <is>
          <t>1</t>
        </is>
      </c>
      <c r="E64" t="inlineStr">
        <is>
          <t>Sha Sha - Shandaar Shawarma</t>
        </is>
      </c>
      <c r="F64" t="inlineStr">
        <is>
          <t>18557902</t>
        </is>
      </c>
      <c r="G64" t="inlineStr">
        <is>
          <t>30% off upto ₹75 (2025-06-25 - 2031-01-01)</t>
        </is>
      </c>
      <c r="H64" t="inlineStr">
        <is>
          <t>ONLINE</t>
        </is>
      </c>
      <c r="I64" t="inlineStr">
        <is>
          <t>DELIVERED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O2</t>
        </is>
      </c>
      <c r="N64" t="inlineStr">
        <is>
          <t>36</t>
        </is>
      </c>
      <c r="O64" t="n">
        <v>219</v>
      </c>
      <c r="P64" t="n">
        <v>3.5</v>
      </c>
      <c r="Q64" t="n">
        <v>0</v>
      </c>
      <c r="R64" t="n">
        <v>65.7</v>
      </c>
      <c r="S64" t="n">
        <v>0</v>
      </c>
      <c r="T64" t="n">
        <v>0</v>
      </c>
      <c r="U64" t="n">
        <v>0</v>
      </c>
      <c r="V64" t="n">
        <v>7.84</v>
      </c>
      <c r="W64" t="n">
        <v>164.64</v>
      </c>
      <c r="X64" t="n">
        <v>156.8</v>
      </c>
      <c r="Y64" t="n">
        <v>19</v>
      </c>
      <c r="Z64" t="n">
        <v>29.79</v>
      </c>
      <c r="AA64" t="n">
        <v>3.03</v>
      </c>
      <c r="AB64" t="n">
        <v>32.82</v>
      </c>
      <c r="AC64" t="n">
        <v>5.91</v>
      </c>
      <c r="AD64" t="n">
        <v>0</v>
      </c>
      <c r="AE64" t="n">
        <v>156.8</v>
      </c>
      <c r="AF64" t="n">
        <v>0</v>
      </c>
      <c r="AG64" t="n">
        <v>0</v>
      </c>
      <c r="AH64" t="n">
        <v>0.16</v>
      </c>
      <c r="AI64" t="n">
        <v>7.85</v>
      </c>
      <c r="AJ64" t="n">
        <v>-0.01</v>
      </c>
      <c r="AK64" t="n">
        <v>13.92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46.74</v>
      </c>
      <c r="AV64" t="n">
        <v>0</v>
      </c>
      <c r="AW64" t="n">
        <v>117.9</v>
      </c>
      <c r="AX64" t="inlineStr">
        <is>
          <t>pending</t>
        </is>
      </c>
      <c r="AY64" t="inlineStr">
        <is>
          <t>NA</t>
        </is>
      </c>
      <c r="AZ64" t="inlineStr">
        <is>
          <t>NA</t>
        </is>
      </c>
      <c r="BA64" t="n">
        <v>117.9</v>
      </c>
      <c r="BB64" t="inlineStr">
        <is>
          <t>5fe459e89ae2fd81a18f72cc4c86e0d5e3f7591e09dc5d167b10673430df1850</t>
        </is>
      </c>
    </row>
    <row r="65">
      <c r="A65" t="inlineStr">
        <is>
          <t>1388</t>
        </is>
      </c>
      <c r="B65" t="inlineStr">
        <is>
          <t>7631149938</t>
        </is>
      </c>
      <c r="C65" t="inlineStr">
        <is>
          <t>2025-12-30 17:55:15</t>
        </is>
      </c>
      <c r="D65" t="inlineStr">
        <is>
          <t>1</t>
        </is>
      </c>
      <c r="E65" t="inlineStr">
        <is>
          <t>Sha Sha - Shandaar Shawarma</t>
        </is>
      </c>
      <c r="F65" t="inlineStr">
        <is>
          <t>18557902</t>
        </is>
      </c>
      <c r="G65" t="inlineStr">
        <is>
          <t>30% off upto ₹75 (2025-06-25 - 2031-01-01)</t>
        </is>
      </c>
      <c r="H65" t="inlineStr">
        <is>
          <t>ONLINE</t>
        </is>
      </c>
      <c r="I65" t="inlineStr">
        <is>
          <t>DELIVERED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O2</t>
        </is>
      </c>
      <c r="N65" t="inlineStr">
        <is>
          <t>36</t>
        </is>
      </c>
      <c r="O65" t="n">
        <v>394</v>
      </c>
      <c r="P65" t="n">
        <v>3.5</v>
      </c>
      <c r="Q65" t="n">
        <v>0</v>
      </c>
      <c r="R65" t="n">
        <v>75</v>
      </c>
      <c r="S65" t="n">
        <v>0</v>
      </c>
      <c r="T65" t="n">
        <v>0</v>
      </c>
      <c r="U65" t="n">
        <v>0</v>
      </c>
      <c r="V65" t="n">
        <v>16.13</v>
      </c>
      <c r="W65" t="n">
        <v>338.63</v>
      </c>
      <c r="X65" t="n">
        <v>322.5</v>
      </c>
      <c r="Y65" t="n">
        <v>19</v>
      </c>
      <c r="Z65" t="n">
        <v>61.28</v>
      </c>
      <c r="AA65" t="n">
        <v>6.23</v>
      </c>
      <c r="AB65" t="n">
        <v>67.51000000000001</v>
      </c>
      <c r="AC65" t="n">
        <v>12.15</v>
      </c>
      <c r="AD65" t="n">
        <v>0</v>
      </c>
      <c r="AE65" t="n">
        <v>322.5</v>
      </c>
      <c r="AF65" t="n">
        <v>0</v>
      </c>
      <c r="AG65" t="n">
        <v>0</v>
      </c>
      <c r="AH65" t="n">
        <v>0.32</v>
      </c>
      <c r="AI65" t="n">
        <v>16.13</v>
      </c>
      <c r="AJ65" t="n">
        <v>0</v>
      </c>
      <c r="AK65" t="n">
        <v>28.6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96.11</v>
      </c>
      <c r="AV65" t="n">
        <v>0</v>
      </c>
      <c r="AW65" t="n">
        <v>242.52</v>
      </c>
      <c r="AX65" t="inlineStr">
        <is>
          <t>pending</t>
        </is>
      </c>
      <c r="AY65" t="inlineStr">
        <is>
          <t>NA</t>
        </is>
      </c>
      <c r="AZ65" t="inlineStr">
        <is>
          <t>NA</t>
        </is>
      </c>
      <c r="BA65" t="n">
        <v>242.52</v>
      </c>
      <c r="BB65" t="inlineStr">
        <is>
          <t>df0cd7a829eb5c08dc90d3d6721901475d426bd93586de79ff824cd7f20e4ce4</t>
        </is>
      </c>
    </row>
    <row r="66">
      <c r="A66" t="inlineStr">
        <is>
          <t>1389</t>
        </is>
      </c>
      <c r="B66" t="inlineStr">
        <is>
          <t>7625011420</t>
        </is>
      </c>
      <c r="C66" t="inlineStr">
        <is>
          <t>2025-12-30 19:58:37</t>
        </is>
      </c>
      <c r="D66" t="inlineStr">
        <is>
          <t>1</t>
        </is>
      </c>
      <c r="E66" t="inlineStr">
        <is>
          <t>Sha Sha - Shandaar Shawarma</t>
        </is>
      </c>
      <c r="F66" t="inlineStr">
        <is>
          <t>18557902</t>
        </is>
      </c>
      <c r="G66" t="inlineStr">
        <is>
          <t>30% off upto ₹75 (2025-06-25 - 2031-01-01)</t>
        </is>
      </c>
      <c r="H66" t="inlineStr">
        <is>
          <t>ONLINE</t>
        </is>
      </c>
      <c r="I66" t="inlineStr">
        <is>
          <t>DELIVERED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O2</t>
        </is>
      </c>
      <c r="N66" t="inlineStr">
        <is>
          <t>36</t>
        </is>
      </c>
      <c r="O66" t="n">
        <v>348</v>
      </c>
      <c r="P66" t="n">
        <v>3.5</v>
      </c>
      <c r="Q66" t="n">
        <v>0</v>
      </c>
      <c r="R66" t="n">
        <v>75</v>
      </c>
      <c r="S66" t="n">
        <v>0</v>
      </c>
      <c r="T66" t="n">
        <v>0</v>
      </c>
      <c r="U66" t="n">
        <v>0</v>
      </c>
      <c r="V66" t="n">
        <v>13.83</v>
      </c>
      <c r="W66" t="n">
        <v>290.33</v>
      </c>
      <c r="X66" t="n">
        <v>276.5</v>
      </c>
      <c r="Y66" t="n">
        <v>19</v>
      </c>
      <c r="Z66" t="n">
        <v>52.54</v>
      </c>
      <c r="AA66" t="n">
        <v>5.34</v>
      </c>
      <c r="AB66" t="n">
        <v>57.88</v>
      </c>
      <c r="AC66" t="n">
        <v>10.42</v>
      </c>
      <c r="AD66" t="n">
        <v>0</v>
      </c>
      <c r="AE66" t="n">
        <v>276.5</v>
      </c>
      <c r="AF66" t="n">
        <v>0</v>
      </c>
      <c r="AG66" t="n">
        <v>0</v>
      </c>
      <c r="AH66" t="n">
        <v>0.28</v>
      </c>
      <c r="AI66" t="n">
        <v>13.83</v>
      </c>
      <c r="AJ66" t="n">
        <v>0</v>
      </c>
      <c r="AK66" t="n">
        <v>24.53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82.41</v>
      </c>
      <c r="AV66" t="n">
        <v>0</v>
      </c>
      <c r="AW66" t="n">
        <v>207.92</v>
      </c>
      <c r="AX66" t="inlineStr">
        <is>
          <t>pending</t>
        </is>
      </c>
      <c r="AY66" t="inlineStr">
        <is>
          <t>NA</t>
        </is>
      </c>
      <c r="AZ66" t="inlineStr">
        <is>
          <t>NA</t>
        </is>
      </c>
      <c r="BA66" t="n">
        <v>207.92</v>
      </c>
      <c r="BB66" t="inlineStr">
        <is>
          <t>8ced41d5c09616d32fd8a7dfd7ce8a730e5359d9784036ffe881835bc8200ae2</t>
        </is>
      </c>
    </row>
    <row r="67">
      <c r="A67" t="inlineStr">
        <is>
          <t>1390</t>
        </is>
      </c>
      <c r="B67" t="inlineStr">
        <is>
          <t>7629139145</t>
        </is>
      </c>
      <c r="C67" t="inlineStr">
        <is>
          <t>2025-12-30 20:06:51</t>
        </is>
      </c>
      <c r="D67" t="inlineStr">
        <is>
          <t>1</t>
        </is>
      </c>
      <c r="E67" t="inlineStr">
        <is>
          <t>Sha Sha - Shandaar Shawarma</t>
        </is>
      </c>
      <c r="F67" t="inlineStr">
        <is>
          <t>18557902</t>
        </is>
      </c>
      <c r="G67" t="inlineStr">
        <is>
          <t>30% off upto ₹75 (2025-06-25 - 2031-01-01)</t>
        </is>
      </c>
      <c r="H67" t="inlineStr">
        <is>
          <t>ONLINE</t>
        </is>
      </c>
      <c r="I67" t="inlineStr">
        <is>
          <t>DELIVERED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O2</t>
        </is>
      </c>
      <c r="N67" t="inlineStr">
        <is>
          <t>36</t>
        </is>
      </c>
      <c r="O67" t="n">
        <v>229</v>
      </c>
      <c r="P67" t="n">
        <v>3.5</v>
      </c>
      <c r="Q67" t="n">
        <v>0</v>
      </c>
      <c r="R67" t="n">
        <v>68.7</v>
      </c>
      <c r="S67" t="n">
        <v>0</v>
      </c>
      <c r="T67" t="n">
        <v>0</v>
      </c>
      <c r="U67" t="n">
        <v>0</v>
      </c>
      <c r="V67" t="n">
        <v>8.19</v>
      </c>
      <c r="W67" t="n">
        <v>171.99</v>
      </c>
      <c r="X67" t="n">
        <v>163.8</v>
      </c>
      <c r="Y67" t="n">
        <v>19</v>
      </c>
      <c r="Z67" t="n">
        <v>31.12</v>
      </c>
      <c r="AA67" t="n">
        <v>3.16</v>
      </c>
      <c r="AB67" t="n">
        <v>34.28</v>
      </c>
      <c r="AC67" t="n">
        <v>6.17</v>
      </c>
      <c r="AD67" t="n">
        <v>0</v>
      </c>
      <c r="AE67" t="n">
        <v>163.8</v>
      </c>
      <c r="AF67" t="n">
        <v>0</v>
      </c>
      <c r="AG67" t="n">
        <v>0</v>
      </c>
      <c r="AH67" t="n">
        <v>0.16</v>
      </c>
      <c r="AI67" t="n">
        <v>8.199999999999999</v>
      </c>
      <c r="AJ67" t="n">
        <v>-0.01</v>
      </c>
      <c r="AK67" t="n">
        <v>14.53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48.81</v>
      </c>
      <c r="AV67" t="n">
        <v>0</v>
      </c>
      <c r="AW67" t="n">
        <v>123.18</v>
      </c>
      <c r="AX67" t="inlineStr">
        <is>
          <t>pending</t>
        </is>
      </c>
      <c r="AY67" t="inlineStr">
        <is>
          <t>NA</t>
        </is>
      </c>
      <c r="AZ67" t="inlineStr">
        <is>
          <t>NA</t>
        </is>
      </c>
      <c r="BA67" t="n">
        <v>123.18</v>
      </c>
      <c r="BB67" t="inlineStr">
        <is>
          <t>3684091827cfca7df187b72bdddf970f9e05223ac6672821e175ed209ab8a5b4</t>
        </is>
      </c>
    </row>
    <row r="68">
      <c r="A68" t="inlineStr">
        <is>
          <t>1391</t>
        </is>
      </c>
      <c r="B68" t="inlineStr">
        <is>
          <t>7634928039</t>
        </is>
      </c>
      <c r="C68" t="inlineStr">
        <is>
          <t>2025-12-30 20:29:42</t>
        </is>
      </c>
      <c r="D68" t="inlineStr">
        <is>
          <t>1</t>
        </is>
      </c>
      <c r="E68" t="inlineStr">
        <is>
          <t>Sha Sha - Shandaar Shawarma</t>
        </is>
      </c>
      <c r="F68" t="inlineStr">
        <is>
          <t>18557902</t>
        </is>
      </c>
      <c r="G68" t="inlineStr">
        <is>
          <t>NA</t>
        </is>
      </c>
      <c r="H68" t="inlineStr">
        <is>
          <t>ONLINE</t>
        </is>
      </c>
      <c r="I68" t="inlineStr">
        <is>
          <t>DELIVERED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O2</t>
        </is>
      </c>
      <c r="N68" t="inlineStr">
        <is>
          <t>36</t>
        </is>
      </c>
      <c r="O68" t="n">
        <v>737</v>
      </c>
      <c r="P68" t="n">
        <v>3.5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37.03</v>
      </c>
      <c r="W68" t="n">
        <v>777.53</v>
      </c>
      <c r="X68" t="n">
        <v>740.5</v>
      </c>
      <c r="Y68" t="n">
        <v>19</v>
      </c>
      <c r="Z68" t="n">
        <v>140.7</v>
      </c>
      <c r="AA68" t="n">
        <v>14.31</v>
      </c>
      <c r="AB68" t="n">
        <v>155.01</v>
      </c>
      <c r="AC68" t="n">
        <v>27.91</v>
      </c>
      <c r="AD68" t="n">
        <v>0</v>
      </c>
      <c r="AE68" t="n">
        <v>740.5</v>
      </c>
      <c r="AF68" t="n">
        <v>0</v>
      </c>
      <c r="AG68" t="n">
        <v>0</v>
      </c>
      <c r="AH68" t="n">
        <v>0.74</v>
      </c>
      <c r="AI68" t="n">
        <v>37.03</v>
      </c>
      <c r="AJ68" t="n">
        <v>0</v>
      </c>
      <c r="AK68" t="n">
        <v>65.68000000000001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220.69</v>
      </c>
      <c r="AV68" t="n">
        <v>0</v>
      </c>
      <c r="AW68" t="n">
        <v>556.84</v>
      </c>
      <c r="AX68" t="inlineStr">
        <is>
          <t>pending</t>
        </is>
      </c>
      <c r="AY68" t="inlineStr">
        <is>
          <t>NA</t>
        </is>
      </c>
      <c r="AZ68" t="inlineStr">
        <is>
          <t>NA</t>
        </is>
      </c>
      <c r="BA68" t="n">
        <v>556.84</v>
      </c>
      <c r="BB68" t="inlineStr">
        <is>
          <t>8adc66eb83932e8ca0218a4362140d3e07e9ae23942be4d2bc1dc93d291a3e51</t>
        </is>
      </c>
    </row>
    <row r="69">
      <c r="A69" t="inlineStr">
        <is>
          <t>1392</t>
        </is>
      </c>
      <c r="B69" t="inlineStr">
        <is>
          <t>7630574313</t>
        </is>
      </c>
      <c r="C69" t="inlineStr">
        <is>
          <t>2025-12-30 20:36:27</t>
        </is>
      </c>
      <c r="D69" t="inlineStr">
        <is>
          <t>1</t>
        </is>
      </c>
      <c r="E69" t="inlineStr">
        <is>
          <t>Sha Sha - Shandaar Shawarma</t>
        </is>
      </c>
      <c r="F69" t="inlineStr">
        <is>
          <t>18557902</t>
        </is>
      </c>
      <c r="G69" t="inlineStr">
        <is>
          <t>30% off upto ₹75 (2025-06-25 - 2031-01-01)</t>
        </is>
      </c>
      <c r="H69" t="inlineStr">
        <is>
          <t>ONLINE</t>
        </is>
      </c>
      <c r="I69" t="inlineStr">
        <is>
          <t>DELIVERED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O2</t>
        </is>
      </c>
      <c r="N69" t="inlineStr">
        <is>
          <t>36</t>
        </is>
      </c>
      <c r="O69" t="n">
        <v>219</v>
      </c>
      <c r="P69" t="n">
        <v>3.5</v>
      </c>
      <c r="Q69" t="n">
        <v>0</v>
      </c>
      <c r="R69" t="n">
        <v>65.7</v>
      </c>
      <c r="S69" t="n">
        <v>0</v>
      </c>
      <c r="T69" t="n">
        <v>0</v>
      </c>
      <c r="U69" t="n">
        <v>0</v>
      </c>
      <c r="V69" t="n">
        <v>7.84</v>
      </c>
      <c r="W69" t="n">
        <v>164.64</v>
      </c>
      <c r="X69" t="n">
        <v>156.8</v>
      </c>
      <c r="Y69" t="n">
        <v>19</v>
      </c>
      <c r="Z69" t="n">
        <v>29.79</v>
      </c>
      <c r="AA69" t="n">
        <v>3.03</v>
      </c>
      <c r="AB69" t="n">
        <v>32.82</v>
      </c>
      <c r="AC69" t="n">
        <v>5.91</v>
      </c>
      <c r="AD69" t="n">
        <v>0</v>
      </c>
      <c r="AE69" t="n">
        <v>156.8</v>
      </c>
      <c r="AF69" t="n">
        <v>0</v>
      </c>
      <c r="AG69" t="n">
        <v>0</v>
      </c>
      <c r="AH69" t="n">
        <v>0.16</v>
      </c>
      <c r="AI69" t="n">
        <v>7.85</v>
      </c>
      <c r="AJ69" t="n">
        <v>-0.01</v>
      </c>
      <c r="AK69" t="n">
        <v>13.92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46.74</v>
      </c>
      <c r="AV69" t="n">
        <v>0</v>
      </c>
      <c r="AW69" t="n">
        <v>117.9</v>
      </c>
      <c r="AX69" t="inlineStr">
        <is>
          <t>pending</t>
        </is>
      </c>
      <c r="AY69" t="inlineStr">
        <is>
          <t>NA</t>
        </is>
      </c>
      <c r="AZ69" t="inlineStr">
        <is>
          <t>NA</t>
        </is>
      </c>
      <c r="BA69" t="n">
        <v>117.9</v>
      </c>
      <c r="BB69" t="inlineStr">
        <is>
          <t>4db242cdfb5b0ce3a2a7b6feac1d6e8d02402ba74f6f265108078d83fa25b6f8</t>
        </is>
      </c>
    </row>
    <row r="70">
      <c r="A70" t="inlineStr">
        <is>
          <t>1393</t>
        </is>
      </c>
      <c r="B70" t="inlineStr">
        <is>
          <t>7633991196</t>
        </is>
      </c>
      <c r="C70" t="inlineStr">
        <is>
          <t>2025-12-30 21:07:17</t>
        </is>
      </c>
      <c r="D70" t="inlineStr">
        <is>
          <t>1</t>
        </is>
      </c>
      <c r="E70" t="inlineStr">
        <is>
          <t>Sha Sha - Shandaar Shawarma</t>
        </is>
      </c>
      <c r="F70" t="inlineStr">
        <is>
          <t>18557902</t>
        </is>
      </c>
      <c r="G70" t="inlineStr">
        <is>
          <t>30% off upto ₹75 (2025-06-25 - 2031-01-01)</t>
        </is>
      </c>
      <c r="H70" t="inlineStr">
        <is>
          <t>ONLINE</t>
        </is>
      </c>
      <c r="I70" t="inlineStr">
        <is>
          <t>DELIVERED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O2</t>
        </is>
      </c>
      <c r="N70" t="inlineStr">
        <is>
          <t>36</t>
        </is>
      </c>
      <c r="O70" t="n">
        <v>458</v>
      </c>
      <c r="P70" t="n">
        <v>3.5</v>
      </c>
      <c r="Q70" t="n">
        <v>0</v>
      </c>
      <c r="R70" t="n">
        <v>75</v>
      </c>
      <c r="S70" t="n">
        <v>0</v>
      </c>
      <c r="T70" t="n">
        <v>0</v>
      </c>
      <c r="U70" t="n">
        <v>0</v>
      </c>
      <c r="V70" t="n">
        <v>19.33</v>
      </c>
      <c r="W70" t="n">
        <v>405.83</v>
      </c>
      <c r="X70" t="n">
        <v>386.5</v>
      </c>
      <c r="Y70" t="n">
        <v>19</v>
      </c>
      <c r="Z70" t="n">
        <v>73.44</v>
      </c>
      <c r="AA70" t="n">
        <v>7.47</v>
      </c>
      <c r="AB70" t="n">
        <v>80.91</v>
      </c>
      <c r="AC70" t="n">
        <v>14.56</v>
      </c>
      <c r="AD70" t="n">
        <v>0</v>
      </c>
      <c r="AE70" t="n">
        <v>386.5</v>
      </c>
      <c r="AF70" t="n">
        <v>0</v>
      </c>
      <c r="AG70" t="n">
        <v>0</v>
      </c>
      <c r="AH70" t="n">
        <v>0.39</v>
      </c>
      <c r="AI70" t="n">
        <v>19.33</v>
      </c>
      <c r="AJ70" t="n">
        <v>0</v>
      </c>
      <c r="AK70" t="n">
        <v>34.28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115.19</v>
      </c>
      <c r="AV70" t="n">
        <v>0</v>
      </c>
      <c r="AW70" t="n">
        <v>290.64</v>
      </c>
      <c r="AX70" t="inlineStr">
        <is>
          <t>pending</t>
        </is>
      </c>
      <c r="AY70" t="inlineStr">
        <is>
          <t>NA</t>
        </is>
      </c>
      <c r="AZ70" t="inlineStr">
        <is>
          <t>NA</t>
        </is>
      </c>
      <c r="BA70" t="n">
        <v>290.64</v>
      </c>
      <c r="BB70" t="inlineStr">
        <is>
          <t>df96ce9a0582c1db1352525c195b73bebfaf666647edb4d34ad6fb0b0a01a4cb</t>
        </is>
      </c>
    </row>
    <row r="71">
      <c r="A71" t="inlineStr">
        <is>
          <t>1394</t>
        </is>
      </c>
      <c r="B71" t="inlineStr">
        <is>
          <t>7636094945</t>
        </is>
      </c>
      <c r="C71" t="inlineStr">
        <is>
          <t>2025-12-30 21:16:07</t>
        </is>
      </c>
      <c r="D71" t="inlineStr">
        <is>
          <t>1</t>
        </is>
      </c>
      <c r="E71" t="inlineStr">
        <is>
          <t>Sha Sha - Shandaar Shawarma</t>
        </is>
      </c>
      <c r="F71" t="inlineStr">
        <is>
          <t>18557902</t>
        </is>
      </c>
      <c r="G71" t="inlineStr">
        <is>
          <t>30% off upto ₹75 (2025-06-25 - 2031-01-01)</t>
        </is>
      </c>
      <c r="H71" t="inlineStr">
        <is>
          <t>ONLINE</t>
        </is>
      </c>
      <c r="I71" t="inlineStr">
        <is>
          <t>DELIVERED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O2</t>
        </is>
      </c>
      <c r="N71" t="inlineStr">
        <is>
          <t>36</t>
        </is>
      </c>
      <c r="O71" t="n">
        <v>229</v>
      </c>
      <c r="P71" t="n">
        <v>3.5</v>
      </c>
      <c r="Q71" t="n">
        <v>0</v>
      </c>
      <c r="R71" t="n">
        <v>68.7</v>
      </c>
      <c r="S71" t="n">
        <v>0</v>
      </c>
      <c r="T71" t="n">
        <v>0</v>
      </c>
      <c r="U71" t="n">
        <v>0</v>
      </c>
      <c r="V71" t="n">
        <v>8.19</v>
      </c>
      <c r="W71" t="n">
        <v>171.99</v>
      </c>
      <c r="X71" t="n">
        <v>163.8</v>
      </c>
      <c r="Y71" t="n">
        <v>19</v>
      </c>
      <c r="Z71" t="n">
        <v>31.12</v>
      </c>
      <c r="AA71" t="n">
        <v>3.16</v>
      </c>
      <c r="AB71" t="n">
        <v>34.28</v>
      </c>
      <c r="AC71" t="n">
        <v>6.17</v>
      </c>
      <c r="AD71" t="n">
        <v>0</v>
      </c>
      <c r="AE71" t="n">
        <v>163.8</v>
      </c>
      <c r="AF71" t="n">
        <v>0</v>
      </c>
      <c r="AG71" t="n">
        <v>0</v>
      </c>
      <c r="AH71" t="n">
        <v>0.16</v>
      </c>
      <c r="AI71" t="n">
        <v>8.199999999999999</v>
      </c>
      <c r="AJ71" t="n">
        <v>-0.01</v>
      </c>
      <c r="AK71" t="n">
        <v>14.53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48.81</v>
      </c>
      <c r="AV71" t="n">
        <v>0</v>
      </c>
      <c r="AW71" t="n">
        <v>123.18</v>
      </c>
      <c r="AX71" t="inlineStr">
        <is>
          <t>pending</t>
        </is>
      </c>
      <c r="AY71" t="inlineStr">
        <is>
          <t>NA</t>
        </is>
      </c>
      <c r="AZ71" t="inlineStr">
        <is>
          <t>NA</t>
        </is>
      </c>
      <c r="BA71" t="n">
        <v>123.18</v>
      </c>
      <c r="BB71" t="inlineStr">
        <is>
          <t>5e85b6fe2920b6c81cff4f03e2f0fc53c4d00a8fcd40bdd8f24942b8af628ff7</t>
        </is>
      </c>
    </row>
    <row r="72">
      <c r="A72" t="inlineStr">
        <is>
          <t>1395</t>
        </is>
      </c>
      <c r="B72" t="inlineStr">
        <is>
          <t>7637527538</t>
        </is>
      </c>
      <c r="C72" t="inlineStr">
        <is>
          <t>2025-12-30 22:03:55</t>
        </is>
      </c>
      <c r="D72" t="inlineStr">
        <is>
          <t>1</t>
        </is>
      </c>
      <c r="E72" t="inlineStr">
        <is>
          <t>Sha Sha - Shandaar Shawarma</t>
        </is>
      </c>
      <c r="F72" t="inlineStr">
        <is>
          <t>18557902</t>
        </is>
      </c>
      <c r="G72" t="inlineStr">
        <is>
          <t>30% off upto ₹75 (2025-06-25 - 2031-01-01)</t>
        </is>
      </c>
      <c r="H72" t="inlineStr">
        <is>
          <t>ONLINE</t>
        </is>
      </c>
      <c r="I72" t="inlineStr">
        <is>
          <t>DELIVERED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O2</t>
        </is>
      </c>
      <c r="N72" t="inlineStr">
        <is>
          <t>36</t>
        </is>
      </c>
      <c r="O72" t="n">
        <v>229</v>
      </c>
      <c r="P72" t="n">
        <v>3.5</v>
      </c>
      <c r="Q72" t="n">
        <v>0</v>
      </c>
      <c r="R72" t="n">
        <v>68.7</v>
      </c>
      <c r="S72" t="n">
        <v>0</v>
      </c>
      <c r="T72" t="n">
        <v>0</v>
      </c>
      <c r="U72" t="n">
        <v>0</v>
      </c>
      <c r="V72" t="n">
        <v>8.19</v>
      </c>
      <c r="W72" t="n">
        <v>171.99</v>
      </c>
      <c r="X72" t="n">
        <v>163.8</v>
      </c>
      <c r="Y72" t="n">
        <v>19</v>
      </c>
      <c r="Z72" t="n">
        <v>31.12</v>
      </c>
      <c r="AA72" t="n">
        <v>3.16</v>
      </c>
      <c r="AB72" t="n">
        <v>34.28</v>
      </c>
      <c r="AC72" t="n">
        <v>6.17</v>
      </c>
      <c r="AD72" t="n">
        <v>0</v>
      </c>
      <c r="AE72" t="n">
        <v>163.8</v>
      </c>
      <c r="AF72" t="n">
        <v>0</v>
      </c>
      <c r="AG72" t="n">
        <v>0</v>
      </c>
      <c r="AH72" t="n">
        <v>0.16</v>
      </c>
      <c r="AI72" t="n">
        <v>8.199999999999999</v>
      </c>
      <c r="AJ72" t="n">
        <v>-0.01</v>
      </c>
      <c r="AK72" t="n">
        <v>14.53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48.81</v>
      </c>
      <c r="AV72" t="n">
        <v>0</v>
      </c>
      <c r="AW72" t="n">
        <v>123.18</v>
      </c>
      <c r="AX72" t="inlineStr">
        <is>
          <t>pending</t>
        </is>
      </c>
      <c r="AY72" t="inlineStr">
        <is>
          <t>NA</t>
        </is>
      </c>
      <c r="AZ72" t="inlineStr">
        <is>
          <t>NA</t>
        </is>
      </c>
      <c r="BA72" t="n">
        <v>123.18</v>
      </c>
      <c r="BB72" t="inlineStr">
        <is>
          <t>40efdc526c0489e53e238e3b8d44abe3d2b1dff87401f92850b9cc04f4203b46</t>
        </is>
      </c>
    </row>
    <row r="73">
      <c r="A73" t="inlineStr">
        <is>
          <t>1396</t>
        </is>
      </c>
      <c r="B73" t="inlineStr">
        <is>
          <t>7625202324</t>
        </is>
      </c>
      <c r="C73" t="inlineStr">
        <is>
          <t>2025-12-30 22:06:33</t>
        </is>
      </c>
      <c r="D73" t="inlineStr">
        <is>
          <t>1</t>
        </is>
      </c>
      <c r="E73" t="inlineStr">
        <is>
          <t>Sha Sha - Shandaar Shawarma</t>
        </is>
      </c>
      <c r="F73" t="inlineStr">
        <is>
          <t>18557902</t>
        </is>
      </c>
      <c r="G73" t="inlineStr">
        <is>
          <t>NA</t>
        </is>
      </c>
      <c r="H73" t="inlineStr">
        <is>
          <t>ONLINE</t>
        </is>
      </c>
      <c r="I73" t="inlineStr">
        <is>
          <t>DELIVERED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O2</t>
        </is>
      </c>
      <c r="N73" t="inlineStr">
        <is>
          <t>36</t>
        </is>
      </c>
      <c r="O73" t="n">
        <v>289</v>
      </c>
      <c r="P73" t="n">
        <v>3.5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14.63</v>
      </c>
      <c r="W73" t="n">
        <v>307.13</v>
      </c>
      <c r="X73" t="n">
        <v>292.5</v>
      </c>
      <c r="Y73" t="n">
        <v>19</v>
      </c>
      <c r="Z73" t="n">
        <v>55.58</v>
      </c>
      <c r="AA73" t="n">
        <v>5.65</v>
      </c>
      <c r="AB73" t="n">
        <v>61.23</v>
      </c>
      <c r="AC73" t="n">
        <v>11.02</v>
      </c>
      <c r="AD73" t="n">
        <v>0</v>
      </c>
      <c r="AE73" t="n">
        <v>292.5</v>
      </c>
      <c r="AF73" t="n">
        <v>0</v>
      </c>
      <c r="AG73" t="n">
        <v>0</v>
      </c>
      <c r="AH73" t="n">
        <v>0.29</v>
      </c>
      <c r="AI73" t="n">
        <v>14.63</v>
      </c>
      <c r="AJ73" t="n">
        <v>0</v>
      </c>
      <c r="AK73" t="n">
        <v>25.94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87.17</v>
      </c>
      <c r="AV73" t="n">
        <v>0</v>
      </c>
      <c r="AW73" t="n">
        <v>219.96</v>
      </c>
      <c r="AX73" t="inlineStr">
        <is>
          <t>pending</t>
        </is>
      </c>
      <c r="AY73" t="inlineStr">
        <is>
          <t>NA</t>
        </is>
      </c>
      <c r="AZ73" t="inlineStr">
        <is>
          <t>NA</t>
        </is>
      </c>
      <c r="BA73" t="n">
        <v>219.96</v>
      </c>
      <c r="BB73" t="inlineStr">
        <is>
          <t>c4c7848848723fae8665741162a9bf9da2fc80754fb4deef21490f9574c2f327</t>
        </is>
      </c>
    </row>
    <row r="74">
      <c r="A74" t="inlineStr">
        <is>
          <t>1397</t>
        </is>
      </c>
      <c r="B74" t="inlineStr">
        <is>
          <t>7632776096</t>
        </is>
      </c>
      <c r="C74" t="inlineStr">
        <is>
          <t>2025-12-30 22:18:42</t>
        </is>
      </c>
      <c r="D74" t="inlineStr">
        <is>
          <t>1</t>
        </is>
      </c>
      <c r="E74" t="inlineStr">
        <is>
          <t>Sha Sha - Shandaar Shawarma</t>
        </is>
      </c>
      <c r="F74" t="inlineStr">
        <is>
          <t>18557902</t>
        </is>
      </c>
      <c r="G74" t="inlineStr">
        <is>
          <t>30% off upto ₹75 (2025-06-25 - 2031-01-01)</t>
        </is>
      </c>
      <c r="H74" t="inlineStr">
        <is>
          <t>ONLINE</t>
        </is>
      </c>
      <c r="I74" t="inlineStr">
        <is>
          <t>DELIVERED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O2</t>
        </is>
      </c>
      <c r="N74" t="inlineStr">
        <is>
          <t>36</t>
        </is>
      </c>
      <c r="O74" t="n">
        <v>368</v>
      </c>
      <c r="P74" t="n">
        <v>3.5</v>
      </c>
      <c r="Q74" t="n">
        <v>0</v>
      </c>
      <c r="R74" t="n">
        <v>75</v>
      </c>
      <c r="S74" t="n">
        <v>0</v>
      </c>
      <c r="T74" t="n">
        <v>0</v>
      </c>
      <c r="U74" t="n">
        <v>0</v>
      </c>
      <c r="V74" t="n">
        <v>14.83</v>
      </c>
      <c r="W74" t="n">
        <v>311.33</v>
      </c>
      <c r="X74" t="n">
        <v>296.5</v>
      </c>
      <c r="Y74" t="n">
        <v>19</v>
      </c>
      <c r="Z74" t="n">
        <v>56.34</v>
      </c>
      <c r="AA74" t="n">
        <v>5.73</v>
      </c>
      <c r="AB74" t="n">
        <v>62.07</v>
      </c>
      <c r="AC74" t="n">
        <v>11.17</v>
      </c>
      <c r="AD74" t="n">
        <v>0</v>
      </c>
      <c r="AE74" t="n">
        <v>296.5</v>
      </c>
      <c r="AF74" t="n">
        <v>0</v>
      </c>
      <c r="AG74" t="n">
        <v>0</v>
      </c>
      <c r="AH74" t="n">
        <v>0.3</v>
      </c>
      <c r="AI74" t="n">
        <v>14.83</v>
      </c>
      <c r="AJ74" t="n">
        <v>0</v>
      </c>
      <c r="AK74" t="n">
        <v>26.3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88.37</v>
      </c>
      <c r="AV74" t="n">
        <v>0</v>
      </c>
      <c r="AW74" t="n">
        <v>222.96</v>
      </c>
      <c r="AX74" t="inlineStr">
        <is>
          <t>pending</t>
        </is>
      </c>
      <c r="AY74" t="inlineStr">
        <is>
          <t>NA</t>
        </is>
      </c>
      <c r="AZ74" t="inlineStr">
        <is>
          <t>NA</t>
        </is>
      </c>
      <c r="BA74" t="n">
        <v>222.96</v>
      </c>
      <c r="BB74" t="inlineStr">
        <is>
          <t>71effb478dce12411c1abd56e20d07d43a26c776a2d69c0e86090552ea4e7c03</t>
        </is>
      </c>
    </row>
    <row r="75">
      <c r="A75" t="inlineStr">
        <is>
          <t>1398</t>
        </is>
      </c>
      <c r="B75" t="inlineStr">
        <is>
          <t>7635724628</t>
        </is>
      </c>
      <c r="C75" t="inlineStr">
        <is>
          <t>2025-12-30 22:26:22</t>
        </is>
      </c>
      <c r="D75" t="inlineStr">
        <is>
          <t>1</t>
        </is>
      </c>
      <c r="E75" t="inlineStr">
        <is>
          <t>Sha Sha - Shandaar Shawarma</t>
        </is>
      </c>
      <c r="F75" t="inlineStr">
        <is>
          <t>18557902</t>
        </is>
      </c>
      <c r="G75" t="inlineStr">
        <is>
          <t>30% off upto ₹75 (2025-06-25 - 2031-01-01)</t>
        </is>
      </c>
      <c r="H75" t="inlineStr">
        <is>
          <t>ONLINE</t>
        </is>
      </c>
      <c r="I75" t="inlineStr">
        <is>
          <t>DELIVERED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O2</t>
        </is>
      </c>
      <c r="N75" t="inlineStr">
        <is>
          <t>36</t>
        </is>
      </c>
      <c r="O75" t="n">
        <v>219</v>
      </c>
      <c r="P75" t="n">
        <v>3.5</v>
      </c>
      <c r="Q75" t="n">
        <v>0</v>
      </c>
      <c r="R75" t="n">
        <v>65.7</v>
      </c>
      <c r="S75" t="n">
        <v>0</v>
      </c>
      <c r="T75" t="n">
        <v>0</v>
      </c>
      <c r="U75" t="n">
        <v>0</v>
      </c>
      <c r="V75" t="n">
        <v>7.84</v>
      </c>
      <c r="W75" t="n">
        <v>164.64</v>
      </c>
      <c r="X75" t="n">
        <v>156.8</v>
      </c>
      <c r="Y75" t="n">
        <v>19</v>
      </c>
      <c r="Z75" t="n">
        <v>29.79</v>
      </c>
      <c r="AA75" t="n">
        <v>3.03</v>
      </c>
      <c r="AB75" t="n">
        <v>32.82</v>
      </c>
      <c r="AC75" t="n">
        <v>5.91</v>
      </c>
      <c r="AD75" t="n">
        <v>0</v>
      </c>
      <c r="AE75" t="n">
        <v>156.8</v>
      </c>
      <c r="AF75" t="n">
        <v>0</v>
      </c>
      <c r="AG75" t="n">
        <v>0</v>
      </c>
      <c r="AH75" t="n">
        <v>0.16</v>
      </c>
      <c r="AI75" t="n">
        <v>7.85</v>
      </c>
      <c r="AJ75" t="n">
        <v>-0.01</v>
      </c>
      <c r="AK75" t="n">
        <v>13.92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46.74</v>
      </c>
      <c r="AV75" t="n">
        <v>0</v>
      </c>
      <c r="AW75" t="n">
        <v>117.9</v>
      </c>
      <c r="AX75" t="inlineStr">
        <is>
          <t>pending</t>
        </is>
      </c>
      <c r="AY75" t="inlineStr">
        <is>
          <t>NA</t>
        </is>
      </c>
      <c r="AZ75" t="inlineStr">
        <is>
          <t>NA</t>
        </is>
      </c>
      <c r="BA75" t="n">
        <v>117.9</v>
      </c>
      <c r="BB75" t="inlineStr">
        <is>
          <t>591ef33ec4bf72a6eebf9fc9f5df606ec9fcb73ec2dd841f314ee4a2d7cf1a07</t>
        </is>
      </c>
    </row>
    <row r="76">
      <c r="A76" t="inlineStr">
        <is>
          <t>1399</t>
        </is>
      </c>
      <c r="B76" t="inlineStr">
        <is>
          <t>7637523822</t>
        </is>
      </c>
      <c r="C76" t="inlineStr">
        <is>
          <t>2025-12-30 23:01:49</t>
        </is>
      </c>
      <c r="D76" t="inlineStr">
        <is>
          <t>1</t>
        </is>
      </c>
      <c r="E76" t="inlineStr">
        <is>
          <t>Sha Sha - Shandaar Shawarma</t>
        </is>
      </c>
      <c r="F76" t="inlineStr">
        <is>
          <t>18557902</t>
        </is>
      </c>
      <c r="G76" t="inlineStr">
        <is>
          <t>30% off upto ₹75 (2025-06-25 - 2031-01-01)</t>
        </is>
      </c>
      <c r="H76" t="inlineStr">
        <is>
          <t>ONLINE</t>
        </is>
      </c>
      <c r="I76" t="inlineStr">
        <is>
          <t>DELIVERED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O2</t>
        </is>
      </c>
      <c r="N76" t="inlineStr">
        <is>
          <t>36</t>
        </is>
      </c>
      <c r="O76" t="n">
        <v>229</v>
      </c>
      <c r="P76" t="n">
        <v>3.5</v>
      </c>
      <c r="Q76" t="n">
        <v>0</v>
      </c>
      <c r="R76" t="n">
        <v>68.7</v>
      </c>
      <c r="S76" t="n">
        <v>0</v>
      </c>
      <c r="T76" t="n">
        <v>0</v>
      </c>
      <c r="U76" t="n">
        <v>0</v>
      </c>
      <c r="V76" t="n">
        <v>8.19</v>
      </c>
      <c r="W76" t="n">
        <v>171.99</v>
      </c>
      <c r="X76" t="n">
        <v>163.8</v>
      </c>
      <c r="Y76" t="n">
        <v>19</v>
      </c>
      <c r="Z76" t="n">
        <v>31.12</v>
      </c>
      <c r="AA76" t="n">
        <v>3.16</v>
      </c>
      <c r="AB76" t="n">
        <v>34.28</v>
      </c>
      <c r="AC76" t="n">
        <v>6.17</v>
      </c>
      <c r="AD76" t="n">
        <v>0</v>
      </c>
      <c r="AE76" t="n">
        <v>163.8</v>
      </c>
      <c r="AF76" t="n">
        <v>0</v>
      </c>
      <c r="AG76" t="n">
        <v>0</v>
      </c>
      <c r="AH76" t="n">
        <v>0.16</v>
      </c>
      <c r="AI76" t="n">
        <v>8.199999999999999</v>
      </c>
      <c r="AJ76" t="n">
        <v>-0.01</v>
      </c>
      <c r="AK76" t="n">
        <v>14.53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48.81</v>
      </c>
      <c r="AV76" t="n">
        <v>0</v>
      </c>
      <c r="AW76" t="n">
        <v>123.18</v>
      </c>
      <c r="AX76" t="inlineStr">
        <is>
          <t>pending</t>
        </is>
      </c>
      <c r="AY76" t="inlineStr">
        <is>
          <t>NA</t>
        </is>
      </c>
      <c r="AZ76" t="inlineStr">
        <is>
          <t>NA</t>
        </is>
      </c>
      <c r="BA76" t="n">
        <v>123.18</v>
      </c>
      <c r="BB76" t="inlineStr">
        <is>
          <t>21033e2ebedbe304dd2dde434593c8ff738d1318a8968d07635ae94e4c558b76</t>
        </is>
      </c>
    </row>
    <row r="77">
      <c r="A77" t="inlineStr">
        <is>
          <t>1400</t>
        </is>
      </c>
      <c r="B77" t="inlineStr">
        <is>
          <t>7633460373</t>
        </is>
      </c>
      <c r="C77" t="inlineStr">
        <is>
          <t>2025-12-30 23:12:03</t>
        </is>
      </c>
      <c r="D77" t="inlineStr">
        <is>
          <t>1</t>
        </is>
      </c>
      <c r="E77" t="inlineStr">
        <is>
          <t>Sha Sha - Shandaar Shawarma</t>
        </is>
      </c>
      <c r="F77" t="inlineStr">
        <is>
          <t>18557902</t>
        </is>
      </c>
      <c r="G77" t="inlineStr">
        <is>
          <t>30% off upto ₹75 (2025-06-25 - 2031-01-01)</t>
        </is>
      </c>
      <c r="H77" t="inlineStr">
        <is>
          <t>ONLINE</t>
        </is>
      </c>
      <c r="I77" t="inlineStr">
        <is>
          <t>DELIVERED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O2</t>
        </is>
      </c>
      <c r="N77" t="inlineStr">
        <is>
          <t>36</t>
        </is>
      </c>
      <c r="O77" t="n">
        <v>229</v>
      </c>
      <c r="P77" t="n">
        <v>3.5</v>
      </c>
      <c r="Q77" t="n">
        <v>0</v>
      </c>
      <c r="R77" t="n">
        <v>68.7</v>
      </c>
      <c r="S77" t="n">
        <v>0</v>
      </c>
      <c r="T77" t="n">
        <v>0</v>
      </c>
      <c r="U77" t="n">
        <v>0</v>
      </c>
      <c r="V77" t="n">
        <v>8.19</v>
      </c>
      <c r="W77" t="n">
        <v>171.99</v>
      </c>
      <c r="X77" t="n">
        <v>163.8</v>
      </c>
      <c r="Y77" t="n">
        <v>19</v>
      </c>
      <c r="Z77" t="n">
        <v>31.12</v>
      </c>
      <c r="AA77" t="n">
        <v>3.16</v>
      </c>
      <c r="AB77" t="n">
        <v>34.28</v>
      </c>
      <c r="AC77" t="n">
        <v>6.17</v>
      </c>
      <c r="AD77" t="n">
        <v>0</v>
      </c>
      <c r="AE77" t="n">
        <v>163.8</v>
      </c>
      <c r="AF77" t="n">
        <v>0</v>
      </c>
      <c r="AG77" t="n">
        <v>0</v>
      </c>
      <c r="AH77" t="n">
        <v>0.16</v>
      </c>
      <c r="AI77" t="n">
        <v>8.199999999999999</v>
      </c>
      <c r="AJ77" t="n">
        <v>-0.01</v>
      </c>
      <c r="AK77" t="n">
        <v>14.53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48.81</v>
      </c>
      <c r="AV77" t="n">
        <v>0</v>
      </c>
      <c r="AW77" t="n">
        <v>123.18</v>
      </c>
      <c r="AX77" t="inlineStr">
        <is>
          <t>pending</t>
        </is>
      </c>
      <c r="AY77" t="inlineStr">
        <is>
          <t>NA</t>
        </is>
      </c>
      <c r="AZ77" t="inlineStr">
        <is>
          <t>NA</t>
        </is>
      </c>
      <c r="BA77" t="n">
        <v>123.18</v>
      </c>
      <c r="BB77" t="inlineStr">
        <is>
          <t>6afe47f05825bd76d371fc8ba7b019de830b526cac21b09c32c26297c7fc638e</t>
        </is>
      </c>
    </row>
    <row r="78">
      <c r="A78" t="inlineStr">
        <is>
          <t>1401</t>
        </is>
      </c>
      <c r="B78" t="inlineStr">
        <is>
          <t>7637968663</t>
        </is>
      </c>
      <c r="C78" t="inlineStr">
        <is>
          <t>2025-12-30 23:37:33</t>
        </is>
      </c>
      <c r="D78" t="inlineStr">
        <is>
          <t>1</t>
        </is>
      </c>
      <c r="E78" t="inlineStr">
        <is>
          <t>Sha Sha - Shandaar Shawarma</t>
        </is>
      </c>
      <c r="F78" t="inlineStr">
        <is>
          <t>18557902</t>
        </is>
      </c>
      <c r="G78" t="inlineStr">
        <is>
          <t>30% off upto ₹75 (2025-06-25 - 2031-01-01)</t>
        </is>
      </c>
      <c r="H78" t="inlineStr">
        <is>
          <t>ONLINE</t>
        </is>
      </c>
      <c r="I78" t="inlineStr">
        <is>
          <t>DELIVERED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O2</t>
        </is>
      </c>
      <c r="N78" t="inlineStr">
        <is>
          <t>36</t>
        </is>
      </c>
      <c r="O78" t="n">
        <v>229</v>
      </c>
      <c r="P78" t="n">
        <v>3.5</v>
      </c>
      <c r="Q78" t="n">
        <v>0</v>
      </c>
      <c r="R78" t="n">
        <v>68.7</v>
      </c>
      <c r="S78" t="n">
        <v>0</v>
      </c>
      <c r="T78" t="n">
        <v>0</v>
      </c>
      <c r="U78" t="n">
        <v>0</v>
      </c>
      <c r="V78" t="n">
        <v>8.19</v>
      </c>
      <c r="W78" t="n">
        <v>171.99</v>
      </c>
      <c r="X78" t="n">
        <v>163.8</v>
      </c>
      <c r="Y78" t="n">
        <v>19</v>
      </c>
      <c r="Z78" t="n">
        <v>31.12</v>
      </c>
      <c r="AA78" t="n">
        <v>3.16</v>
      </c>
      <c r="AB78" t="n">
        <v>34.28</v>
      </c>
      <c r="AC78" t="n">
        <v>6.17</v>
      </c>
      <c r="AD78" t="n">
        <v>0</v>
      </c>
      <c r="AE78" t="n">
        <v>163.8</v>
      </c>
      <c r="AF78" t="n">
        <v>0</v>
      </c>
      <c r="AG78" t="n">
        <v>0</v>
      </c>
      <c r="AH78" t="n">
        <v>0.16</v>
      </c>
      <c r="AI78" t="n">
        <v>8.199999999999999</v>
      </c>
      <c r="AJ78" t="n">
        <v>-0.01</v>
      </c>
      <c r="AK78" t="n">
        <v>14.53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48.81</v>
      </c>
      <c r="AV78" t="n">
        <v>0</v>
      </c>
      <c r="AW78" t="n">
        <v>123.18</v>
      </c>
      <c r="AX78" t="inlineStr">
        <is>
          <t>pending</t>
        </is>
      </c>
      <c r="AY78" t="inlineStr">
        <is>
          <t>NA</t>
        </is>
      </c>
      <c r="AZ78" t="inlineStr">
        <is>
          <t>NA</t>
        </is>
      </c>
      <c r="BA78" t="n">
        <v>123.18</v>
      </c>
      <c r="BB78" t="inlineStr">
        <is>
          <t>aff79f8a6e7cba297a86476ef1e4be1564f00dec2bd565deaeadf002955cd545</t>
        </is>
      </c>
    </row>
    <row r="79">
      <c r="A79" t="inlineStr">
        <is>
          <t>1402</t>
        </is>
      </c>
      <c r="B79" t="inlineStr">
        <is>
          <t>7631674790</t>
        </is>
      </c>
      <c r="C79" t="inlineStr">
        <is>
          <t>2025-12-30 23:52:22</t>
        </is>
      </c>
      <c r="D79" t="inlineStr">
        <is>
          <t>1</t>
        </is>
      </c>
      <c r="E79" t="inlineStr">
        <is>
          <t>Sha Sha - Shandaar Shawarma</t>
        </is>
      </c>
      <c r="F79" t="inlineStr">
        <is>
          <t>18557902</t>
        </is>
      </c>
      <c r="G79" t="inlineStr">
        <is>
          <t>30% off upto ₹75 (2025-06-25 - 2031-01-01)</t>
        </is>
      </c>
      <c r="H79" t="inlineStr">
        <is>
          <t>ONLINE</t>
        </is>
      </c>
      <c r="I79" t="inlineStr">
        <is>
          <t>DELIVERED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O2</t>
        </is>
      </c>
      <c r="N79" t="inlineStr">
        <is>
          <t>36</t>
        </is>
      </c>
      <c r="O79" t="n">
        <v>229</v>
      </c>
      <c r="P79" t="n">
        <v>3.5</v>
      </c>
      <c r="Q79" t="n">
        <v>0</v>
      </c>
      <c r="R79" t="n">
        <v>68.7</v>
      </c>
      <c r="S79" t="n">
        <v>0</v>
      </c>
      <c r="T79" t="n">
        <v>0</v>
      </c>
      <c r="U79" t="n">
        <v>0</v>
      </c>
      <c r="V79" t="n">
        <v>8.19</v>
      </c>
      <c r="W79" t="n">
        <v>171.99</v>
      </c>
      <c r="X79" t="n">
        <v>163.8</v>
      </c>
      <c r="Y79" t="n">
        <v>19</v>
      </c>
      <c r="Z79" t="n">
        <v>31.12</v>
      </c>
      <c r="AA79" t="n">
        <v>3.16</v>
      </c>
      <c r="AB79" t="n">
        <v>34.28</v>
      </c>
      <c r="AC79" t="n">
        <v>6.17</v>
      </c>
      <c r="AD79" t="n">
        <v>0</v>
      </c>
      <c r="AE79" t="n">
        <v>163.8</v>
      </c>
      <c r="AF79" t="n">
        <v>0</v>
      </c>
      <c r="AG79" t="n">
        <v>0</v>
      </c>
      <c r="AH79" t="n">
        <v>0.16</v>
      </c>
      <c r="AI79" t="n">
        <v>8.199999999999999</v>
      </c>
      <c r="AJ79" t="n">
        <v>-0.01</v>
      </c>
      <c r="AK79" t="n">
        <v>14.53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48.81</v>
      </c>
      <c r="AV79" t="n">
        <v>0</v>
      </c>
      <c r="AW79" t="n">
        <v>123.18</v>
      </c>
      <c r="AX79" t="inlineStr">
        <is>
          <t>pending</t>
        </is>
      </c>
      <c r="AY79" t="inlineStr">
        <is>
          <t>NA</t>
        </is>
      </c>
      <c r="AZ79" t="inlineStr">
        <is>
          <t>NA</t>
        </is>
      </c>
      <c r="BA79" t="n">
        <v>123.18</v>
      </c>
      <c r="BB79" t="inlineStr">
        <is>
          <t>7fbc918ace8a36680f7238308e03194f38bf96fdec5a6e79a97cc4b76a783223</t>
        </is>
      </c>
    </row>
    <row r="80">
      <c r="A80" t="inlineStr">
        <is>
          <t>1403</t>
        </is>
      </c>
      <c r="B80" t="inlineStr">
        <is>
          <t>7637683200</t>
        </is>
      </c>
      <c r="C80" t="inlineStr">
        <is>
          <t>2025-12-31 00:15:59</t>
        </is>
      </c>
      <c r="D80" t="inlineStr">
        <is>
          <t>1</t>
        </is>
      </c>
      <c r="E80" t="inlineStr">
        <is>
          <t>Sha Sha - Shandaar Shawarma</t>
        </is>
      </c>
      <c r="F80" t="inlineStr">
        <is>
          <t>18557902</t>
        </is>
      </c>
      <c r="G80" t="inlineStr">
        <is>
          <t>30% off upto ₹75 (2025-06-25 - 2031-01-01)</t>
        </is>
      </c>
      <c r="H80" t="inlineStr">
        <is>
          <t>ONLINE</t>
        </is>
      </c>
      <c r="I80" t="inlineStr">
        <is>
          <t>DELIVERED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O2</t>
        </is>
      </c>
      <c r="N80" t="inlineStr">
        <is>
          <t>36</t>
        </is>
      </c>
      <c r="O80" t="n">
        <v>229</v>
      </c>
      <c r="P80" t="n">
        <v>3.5</v>
      </c>
      <c r="Q80" t="n">
        <v>0</v>
      </c>
      <c r="R80" t="n">
        <v>68.7</v>
      </c>
      <c r="S80" t="n">
        <v>0</v>
      </c>
      <c r="T80" t="n">
        <v>0</v>
      </c>
      <c r="U80" t="n">
        <v>0</v>
      </c>
      <c r="V80" t="n">
        <v>8.19</v>
      </c>
      <c r="W80" t="n">
        <v>171.99</v>
      </c>
      <c r="X80" t="n">
        <v>163.8</v>
      </c>
      <c r="Y80" t="n">
        <v>19</v>
      </c>
      <c r="Z80" t="n">
        <v>31.12</v>
      </c>
      <c r="AA80" t="n">
        <v>3.16</v>
      </c>
      <c r="AB80" t="n">
        <v>34.28</v>
      </c>
      <c r="AC80" t="n">
        <v>6.17</v>
      </c>
      <c r="AD80" t="n">
        <v>0</v>
      </c>
      <c r="AE80" t="n">
        <v>163.8</v>
      </c>
      <c r="AF80" t="n">
        <v>0</v>
      </c>
      <c r="AG80" t="n">
        <v>0</v>
      </c>
      <c r="AH80" t="n">
        <v>0.16</v>
      </c>
      <c r="AI80" t="n">
        <v>8.199999999999999</v>
      </c>
      <c r="AJ80" t="n">
        <v>-0.01</v>
      </c>
      <c r="AK80" t="n">
        <v>14.53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48.81</v>
      </c>
      <c r="AV80" t="n">
        <v>0</v>
      </c>
      <c r="AW80" t="n">
        <v>123.18</v>
      </c>
      <c r="AX80" t="inlineStr">
        <is>
          <t>pending</t>
        </is>
      </c>
      <c r="AY80" t="inlineStr">
        <is>
          <t>NA</t>
        </is>
      </c>
      <c r="AZ80" t="inlineStr">
        <is>
          <t>NA</t>
        </is>
      </c>
      <c r="BA80" t="n">
        <v>123.18</v>
      </c>
      <c r="BB80" t="inlineStr">
        <is>
          <t>27b97466b5e9fd26612a2e0a7f45ee11edab64a1d291e7fd67b3f453b2531d0b</t>
        </is>
      </c>
    </row>
    <row r="81">
      <c r="A81" t="inlineStr">
        <is>
          <t>1404</t>
        </is>
      </c>
      <c r="B81" t="inlineStr">
        <is>
          <t>7635509089</t>
        </is>
      </c>
      <c r="C81" t="inlineStr">
        <is>
          <t>2025-12-31 00:38:24</t>
        </is>
      </c>
      <c r="D81" t="inlineStr">
        <is>
          <t>1</t>
        </is>
      </c>
      <c r="E81" t="inlineStr">
        <is>
          <t>Sha Sha - Shandaar Shawarma</t>
        </is>
      </c>
      <c r="F81" t="inlineStr">
        <is>
          <t>18557902</t>
        </is>
      </c>
      <c r="G81" t="inlineStr">
        <is>
          <t>30% off upto ₹75 (2025-06-25 - 2031-01-01)</t>
        </is>
      </c>
      <c r="H81" t="inlineStr">
        <is>
          <t>ONLINE</t>
        </is>
      </c>
      <c r="I81" t="inlineStr">
        <is>
          <t>DELIVERED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O2</t>
        </is>
      </c>
      <c r="N81" t="inlineStr">
        <is>
          <t>36</t>
        </is>
      </c>
      <c r="O81" t="n">
        <v>219</v>
      </c>
      <c r="P81" t="n">
        <v>3.5</v>
      </c>
      <c r="Q81" t="n">
        <v>0</v>
      </c>
      <c r="R81" t="n">
        <v>65.7</v>
      </c>
      <c r="S81" t="n">
        <v>0</v>
      </c>
      <c r="T81" t="n">
        <v>0</v>
      </c>
      <c r="U81" t="n">
        <v>0</v>
      </c>
      <c r="V81" t="n">
        <v>7.84</v>
      </c>
      <c r="W81" t="n">
        <v>164.64</v>
      </c>
      <c r="X81" t="n">
        <v>156.8</v>
      </c>
      <c r="Y81" t="n">
        <v>19</v>
      </c>
      <c r="Z81" t="n">
        <v>29.79</v>
      </c>
      <c r="AA81" t="n">
        <v>3.03</v>
      </c>
      <c r="AB81" t="n">
        <v>32.82</v>
      </c>
      <c r="AC81" t="n">
        <v>5.91</v>
      </c>
      <c r="AD81" t="n">
        <v>0</v>
      </c>
      <c r="AE81" t="n">
        <v>156.8</v>
      </c>
      <c r="AF81" t="n">
        <v>0</v>
      </c>
      <c r="AG81" t="n">
        <v>0</v>
      </c>
      <c r="AH81" t="n">
        <v>0.16</v>
      </c>
      <c r="AI81" t="n">
        <v>7.85</v>
      </c>
      <c r="AJ81" t="n">
        <v>-0.01</v>
      </c>
      <c r="AK81" t="n">
        <v>13.92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46.74</v>
      </c>
      <c r="AV81" t="n">
        <v>0</v>
      </c>
      <c r="AW81" t="n">
        <v>117.9</v>
      </c>
      <c r="AX81" t="inlineStr">
        <is>
          <t>pending</t>
        </is>
      </c>
      <c r="AY81" t="inlineStr">
        <is>
          <t>NA</t>
        </is>
      </c>
      <c r="AZ81" t="inlineStr">
        <is>
          <t>NA</t>
        </is>
      </c>
      <c r="BA81" t="n">
        <v>117.9</v>
      </c>
      <c r="BB81" t="inlineStr">
        <is>
          <t>c821c1102c3fdabb0b66645320ebeab0a08c57f0507e55fbbd139ba8fdfd2de5</t>
        </is>
      </c>
    </row>
    <row r="82">
      <c r="A82" t="inlineStr">
        <is>
          <t>1405</t>
        </is>
      </c>
      <c r="B82" t="inlineStr">
        <is>
          <t>7637845999</t>
        </is>
      </c>
      <c r="C82" t="inlineStr">
        <is>
          <t>2025-12-31 00:53:48</t>
        </is>
      </c>
      <c r="D82" t="inlineStr">
        <is>
          <t>1</t>
        </is>
      </c>
      <c r="E82" t="inlineStr">
        <is>
          <t>Sha Sha - Shandaar Shawarma</t>
        </is>
      </c>
      <c r="F82" t="inlineStr">
        <is>
          <t>18557902</t>
        </is>
      </c>
      <c r="G82" t="inlineStr">
        <is>
          <t>NA</t>
        </is>
      </c>
      <c r="H82" t="inlineStr">
        <is>
          <t>ONLINE</t>
        </is>
      </c>
      <c r="I82" t="inlineStr">
        <is>
          <t>DELIVERED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O2</t>
        </is>
      </c>
      <c r="N82" t="inlineStr">
        <is>
          <t>36</t>
        </is>
      </c>
      <c r="O82" t="n">
        <v>229</v>
      </c>
      <c r="P82" t="n">
        <v>3.5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11.63</v>
      </c>
      <c r="W82" t="n">
        <v>244.13</v>
      </c>
      <c r="X82" t="n">
        <v>232.5</v>
      </c>
      <c r="Y82" t="n">
        <v>19</v>
      </c>
      <c r="Z82" t="n">
        <v>44.18</v>
      </c>
      <c r="AA82" t="n">
        <v>4.49</v>
      </c>
      <c r="AB82" t="n">
        <v>48.67</v>
      </c>
      <c r="AC82" t="n">
        <v>8.76</v>
      </c>
      <c r="AD82" t="n">
        <v>0</v>
      </c>
      <c r="AE82" t="n">
        <v>232.5</v>
      </c>
      <c r="AF82" t="n">
        <v>0</v>
      </c>
      <c r="AG82" t="n">
        <v>0</v>
      </c>
      <c r="AH82" t="n">
        <v>0.23</v>
      </c>
      <c r="AI82" t="n">
        <v>11.63</v>
      </c>
      <c r="AJ82" t="n">
        <v>0</v>
      </c>
      <c r="AK82" t="n">
        <v>20.62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69.29000000000001</v>
      </c>
      <c r="AV82" t="n">
        <v>0</v>
      </c>
      <c r="AW82" t="n">
        <v>174.84</v>
      </c>
      <c r="AX82" t="inlineStr">
        <is>
          <t>pending</t>
        </is>
      </c>
      <c r="AY82" t="inlineStr">
        <is>
          <t>NA</t>
        </is>
      </c>
      <c r="AZ82" t="inlineStr">
        <is>
          <t>NA</t>
        </is>
      </c>
      <c r="BA82" t="n">
        <v>174.84</v>
      </c>
      <c r="BB82" t="inlineStr">
        <is>
          <t>aca3ea8829f35f32eeb9c617b1f572fd528973fe5d98cd8653b3eae979a66190</t>
        </is>
      </c>
    </row>
    <row r="83">
      <c r="A83" t="inlineStr">
        <is>
          <t>1406</t>
        </is>
      </c>
      <c r="B83" t="inlineStr">
        <is>
          <t>7637076513</t>
        </is>
      </c>
      <c r="C83" t="inlineStr">
        <is>
          <t>2025-12-31 01:05:55</t>
        </is>
      </c>
      <c r="D83" t="inlineStr">
        <is>
          <t>1</t>
        </is>
      </c>
      <c r="E83" t="inlineStr">
        <is>
          <t>Sha Sha - Shandaar Shawarma</t>
        </is>
      </c>
      <c r="F83" t="inlineStr">
        <is>
          <t>18557902</t>
        </is>
      </c>
      <c r="G83" t="inlineStr">
        <is>
          <t>NA</t>
        </is>
      </c>
      <c r="H83" t="inlineStr">
        <is>
          <t>ONLINE</t>
        </is>
      </c>
      <c r="I83" t="inlineStr">
        <is>
          <t>DELIVERED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O2</t>
        </is>
      </c>
      <c r="N83" t="inlineStr">
        <is>
          <t>36</t>
        </is>
      </c>
      <c r="O83" t="n">
        <v>229</v>
      </c>
      <c r="P83" t="n">
        <v>3.5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11.63</v>
      </c>
      <c r="W83" t="n">
        <v>244.13</v>
      </c>
      <c r="X83" t="n">
        <v>232.5</v>
      </c>
      <c r="Y83" t="n">
        <v>19</v>
      </c>
      <c r="Z83" t="n">
        <v>44.18</v>
      </c>
      <c r="AA83" t="n">
        <v>4.49</v>
      </c>
      <c r="AB83" t="n">
        <v>48.67</v>
      </c>
      <c r="AC83" t="n">
        <v>8.76</v>
      </c>
      <c r="AD83" t="n">
        <v>0</v>
      </c>
      <c r="AE83" t="n">
        <v>232.5</v>
      </c>
      <c r="AF83" t="n">
        <v>0</v>
      </c>
      <c r="AG83" t="n">
        <v>0</v>
      </c>
      <c r="AH83" t="n">
        <v>0.23</v>
      </c>
      <c r="AI83" t="n">
        <v>11.63</v>
      </c>
      <c r="AJ83" t="n">
        <v>0</v>
      </c>
      <c r="AK83" t="n">
        <v>20.62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69.29000000000001</v>
      </c>
      <c r="AV83" t="n">
        <v>0</v>
      </c>
      <c r="AW83" t="n">
        <v>174.84</v>
      </c>
      <c r="AX83" t="inlineStr">
        <is>
          <t>pending</t>
        </is>
      </c>
      <c r="AY83" t="inlineStr">
        <is>
          <t>NA</t>
        </is>
      </c>
      <c r="AZ83" t="inlineStr">
        <is>
          <t>NA</t>
        </is>
      </c>
      <c r="BA83" t="n">
        <v>174.84</v>
      </c>
      <c r="BB83" t="inlineStr">
        <is>
          <t>4d3e1e3aa313cb3aa10f4f4467c30b58afe49d3d1a86619170ec9c6e33ddff55</t>
        </is>
      </c>
    </row>
    <row r="84">
      <c r="A84" t="inlineStr">
        <is>
          <t>1407</t>
        </is>
      </c>
      <c r="B84" t="inlineStr">
        <is>
          <t>7628026338</t>
        </is>
      </c>
      <c r="C84" t="inlineStr">
        <is>
          <t>2025-12-31 01:26:41</t>
        </is>
      </c>
      <c r="D84" t="inlineStr">
        <is>
          <t>1</t>
        </is>
      </c>
      <c r="E84" t="inlineStr">
        <is>
          <t>Sha Sha - Shandaar Shawarma</t>
        </is>
      </c>
      <c r="F84" t="inlineStr">
        <is>
          <t>18557902</t>
        </is>
      </c>
      <c r="G84" t="inlineStr">
        <is>
          <t>30% off upto ₹75 (2025-06-25 - 2031-01-01)</t>
        </is>
      </c>
      <c r="H84" t="inlineStr">
        <is>
          <t>ONLINE</t>
        </is>
      </c>
      <c r="I84" t="inlineStr">
        <is>
          <t>DELIVERED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O2</t>
        </is>
      </c>
      <c r="N84" t="inlineStr">
        <is>
          <t>36</t>
        </is>
      </c>
      <c r="O84" t="n">
        <v>229</v>
      </c>
      <c r="P84" t="n">
        <v>3.5</v>
      </c>
      <c r="Q84" t="n">
        <v>0</v>
      </c>
      <c r="R84" t="n">
        <v>68.7</v>
      </c>
      <c r="S84" t="n">
        <v>0</v>
      </c>
      <c r="T84" t="n">
        <v>0</v>
      </c>
      <c r="U84" t="n">
        <v>0</v>
      </c>
      <c r="V84" t="n">
        <v>8.19</v>
      </c>
      <c r="W84" t="n">
        <v>171.99</v>
      </c>
      <c r="X84" t="n">
        <v>163.8</v>
      </c>
      <c r="Y84" t="n">
        <v>19</v>
      </c>
      <c r="Z84" t="n">
        <v>31.12</v>
      </c>
      <c r="AA84" t="n">
        <v>3.16</v>
      </c>
      <c r="AB84" t="n">
        <v>34.28</v>
      </c>
      <c r="AC84" t="n">
        <v>6.17</v>
      </c>
      <c r="AD84" t="n">
        <v>0</v>
      </c>
      <c r="AE84" t="n">
        <v>163.8</v>
      </c>
      <c r="AF84" t="n">
        <v>0</v>
      </c>
      <c r="AG84" t="n">
        <v>0</v>
      </c>
      <c r="AH84" t="n">
        <v>0.16</v>
      </c>
      <c r="AI84" t="n">
        <v>8.199999999999999</v>
      </c>
      <c r="AJ84" t="n">
        <v>-0.01</v>
      </c>
      <c r="AK84" t="n">
        <v>14.53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48.81</v>
      </c>
      <c r="AV84" t="n">
        <v>0</v>
      </c>
      <c r="AW84" t="n">
        <v>123.18</v>
      </c>
      <c r="AX84" t="inlineStr">
        <is>
          <t>pending</t>
        </is>
      </c>
      <c r="AY84" t="inlineStr">
        <is>
          <t>NA</t>
        </is>
      </c>
      <c r="AZ84" t="inlineStr">
        <is>
          <t>NA</t>
        </is>
      </c>
      <c r="BA84" t="n">
        <v>123.18</v>
      </c>
      <c r="BB84" t="inlineStr">
        <is>
          <t>44c3865b944fc2da238c888c514d8c13d3409ef739b49c581cb7c1b8f28601e4</t>
        </is>
      </c>
    </row>
    <row r="85">
      <c r="A85" t="inlineStr">
        <is>
          <t>1408</t>
        </is>
      </c>
      <c r="B85" t="inlineStr">
        <is>
          <t>7636005033</t>
        </is>
      </c>
      <c r="C85" t="inlineStr">
        <is>
          <t>2025-12-31 02:02:31</t>
        </is>
      </c>
      <c r="D85" t="inlineStr">
        <is>
          <t>1</t>
        </is>
      </c>
      <c r="E85" t="inlineStr">
        <is>
          <t>Sha Sha - Shandaar Shawarma</t>
        </is>
      </c>
      <c r="F85" t="inlineStr">
        <is>
          <t>18557902</t>
        </is>
      </c>
      <c r="G85" t="inlineStr">
        <is>
          <t>30% off upto ₹75 (2025-06-25 - 2031-01-01)</t>
        </is>
      </c>
      <c r="H85" t="inlineStr">
        <is>
          <t>ONLINE</t>
        </is>
      </c>
      <c r="I85" t="inlineStr">
        <is>
          <t>DELIVERED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O2</t>
        </is>
      </c>
      <c r="N85" t="inlineStr">
        <is>
          <t>36</t>
        </is>
      </c>
      <c r="O85" t="n">
        <v>458</v>
      </c>
      <c r="P85" t="n">
        <v>3.5</v>
      </c>
      <c r="Q85" t="n">
        <v>0</v>
      </c>
      <c r="R85" t="n">
        <v>75</v>
      </c>
      <c r="S85" t="n">
        <v>0</v>
      </c>
      <c r="T85" t="n">
        <v>0</v>
      </c>
      <c r="U85" t="n">
        <v>0</v>
      </c>
      <c r="V85" t="n">
        <v>19.33</v>
      </c>
      <c r="W85" t="n">
        <v>405.83</v>
      </c>
      <c r="X85" t="n">
        <v>386.5</v>
      </c>
      <c r="Y85" t="n">
        <v>19</v>
      </c>
      <c r="Z85" t="n">
        <v>73.44</v>
      </c>
      <c r="AA85" t="n">
        <v>7.47</v>
      </c>
      <c r="AB85" t="n">
        <v>80.91</v>
      </c>
      <c r="AC85" t="n">
        <v>14.56</v>
      </c>
      <c r="AD85" t="n">
        <v>0</v>
      </c>
      <c r="AE85" t="n">
        <v>386.5</v>
      </c>
      <c r="AF85" t="n">
        <v>0</v>
      </c>
      <c r="AG85" t="n">
        <v>0</v>
      </c>
      <c r="AH85" t="n">
        <v>0.39</v>
      </c>
      <c r="AI85" t="n">
        <v>19.33</v>
      </c>
      <c r="AJ85" t="n">
        <v>0</v>
      </c>
      <c r="AK85" t="n">
        <v>34.28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115.19</v>
      </c>
      <c r="AV85" t="n">
        <v>0</v>
      </c>
      <c r="AW85" t="n">
        <v>290.64</v>
      </c>
      <c r="AX85" t="inlineStr">
        <is>
          <t>pending</t>
        </is>
      </c>
      <c r="AY85" t="inlineStr">
        <is>
          <t>NA</t>
        </is>
      </c>
      <c r="AZ85" t="inlineStr">
        <is>
          <t>NA</t>
        </is>
      </c>
      <c r="BA85" t="n">
        <v>290.64</v>
      </c>
      <c r="BB85" t="inlineStr">
        <is>
          <t>dcaf510612bd8735114e0e333ff982f77ce29624fb0dc20ff149f5d0a777599c</t>
        </is>
      </c>
    </row>
    <row r="86">
      <c r="A86" t="inlineStr">
        <is>
          <t>1409</t>
        </is>
      </c>
      <c r="B86" t="inlineStr">
        <is>
          <t>7634086052</t>
        </is>
      </c>
      <c r="C86" t="inlineStr">
        <is>
          <t>2025-12-31 02:02:36</t>
        </is>
      </c>
      <c r="D86" t="inlineStr">
        <is>
          <t>1</t>
        </is>
      </c>
      <c r="E86" t="inlineStr">
        <is>
          <t>Sha Sha - Shandaar Shawarma</t>
        </is>
      </c>
      <c r="F86" t="inlineStr">
        <is>
          <t>18557902</t>
        </is>
      </c>
      <c r="G86" t="inlineStr">
        <is>
          <t>30% off upto ₹75 (2025-06-25 - 2031-01-01)</t>
        </is>
      </c>
      <c r="H86" t="inlineStr">
        <is>
          <t>ONLINE</t>
        </is>
      </c>
      <c r="I86" t="inlineStr">
        <is>
          <t>DELIVERED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O2</t>
        </is>
      </c>
      <c r="N86" t="inlineStr">
        <is>
          <t>36</t>
        </is>
      </c>
      <c r="O86" t="n">
        <v>458</v>
      </c>
      <c r="P86" t="n">
        <v>3.5</v>
      </c>
      <c r="Q86" t="n">
        <v>0</v>
      </c>
      <c r="R86" t="n">
        <v>75</v>
      </c>
      <c r="S86" t="n">
        <v>0</v>
      </c>
      <c r="T86" t="n">
        <v>0</v>
      </c>
      <c r="U86" t="n">
        <v>0</v>
      </c>
      <c r="V86" t="n">
        <v>19.33</v>
      </c>
      <c r="W86" t="n">
        <v>405.83</v>
      </c>
      <c r="X86" t="n">
        <v>386.5</v>
      </c>
      <c r="Y86" t="n">
        <v>19</v>
      </c>
      <c r="Z86" t="n">
        <v>73.44</v>
      </c>
      <c r="AA86" t="n">
        <v>7.47</v>
      </c>
      <c r="AB86" t="n">
        <v>80.91</v>
      </c>
      <c r="AC86" t="n">
        <v>14.56</v>
      </c>
      <c r="AD86" t="n">
        <v>0</v>
      </c>
      <c r="AE86" t="n">
        <v>386.5</v>
      </c>
      <c r="AF86" t="n">
        <v>0</v>
      </c>
      <c r="AG86" t="n">
        <v>0</v>
      </c>
      <c r="AH86" t="n">
        <v>0.39</v>
      </c>
      <c r="AI86" t="n">
        <v>19.33</v>
      </c>
      <c r="AJ86" t="n">
        <v>0</v>
      </c>
      <c r="AK86" t="n">
        <v>34.28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115.19</v>
      </c>
      <c r="AV86" t="n">
        <v>0</v>
      </c>
      <c r="AW86" t="n">
        <v>290.64</v>
      </c>
      <c r="AX86" t="inlineStr">
        <is>
          <t>pending</t>
        </is>
      </c>
      <c r="AY86" t="inlineStr">
        <is>
          <t>NA</t>
        </is>
      </c>
      <c r="AZ86" t="inlineStr">
        <is>
          <t>NA</t>
        </is>
      </c>
      <c r="BA86" t="n">
        <v>290.64</v>
      </c>
      <c r="BB86" t="inlineStr">
        <is>
          <t>68f0a7ec65a14401c224f5b41cd0178928957e3cd437bc47f05e7b7324d2a8fc</t>
        </is>
      </c>
    </row>
    <row r="87">
      <c r="A87" t="inlineStr">
        <is>
          <t>1410</t>
        </is>
      </c>
      <c r="B87" t="inlineStr">
        <is>
          <t>7635238845</t>
        </is>
      </c>
      <c r="C87" t="inlineStr">
        <is>
          <t>2025-12-31 02:04:55</t>
        </is>
      </c>
      <c r="D87" t="inlineStr">
        <is>
          <t>1</t>
        </is>
      </c>
      <c r="E87" t="inlineStr">
        <is>
          <t>Sha Sha - Shandaar Shawarma</t>
        </is>
      </c>
      <c r="F87" t="inlineStr">
        <is>
          <t>18557902</t>
        </is>
      </c>
      <c r="G87" t="inlineStr">
        <is>
          <t>30% off upto ₹75 (2025-06-25 - 2031-01-01)</t>
        </is>
      </c>
      <c r="H87" t="inlineStr">
        <is>
          <t>ONLINE</t>
        </is>
      </c>
      <c r="I87" t="inlineStr">
        <is>
          <t>DELIVERED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O2</t>
        </is>
      </c>
      <c r="N87" t="inlineStr">
        <is>
          <t>36</t>
        </is>
      </c>
      <c r="O87" t="n">
        <v>229</v>
      </c>
      <c r="P87" t="n">
        <v>3.5</v>
      </c>
      <c r="Q87" t="n">
        <v>0</v>
      </c>
      <c r="R87" t="n">
        <v>68.7</v>
      </c>
      <c r="S87" t="n">
        <v>0</v>
      </c>
      <c r="T87" t="n">
        <v>0</v>
      </c>
      <c r="U87" t="n">
        <v>0</v>
      </c>
      <c r="V87" t="n">
        <v>8.19</v>
      </c>
      <c r="W87" t="n">
        <v>171.99</v>
      </c>
      <c r="X87" t="n">
        <v>163.8</v>
      </c>
      <c r="Y87" t="n">
        <v>19</v>
      </c>
      <c r="Z87" t="n">
        <v>31.12</v>
      </c>
      <c r="AA87" t="n">
        <v>3.16</v>
      </c>
      <c r="AB87" t="n">
        <v>34.28</v>
      </c>
      <c r="AC87" t="n">
        <v>6.17</v>
      </c>
      <c r="AD87" t="n">
        <v>0</v>
      </c>
      <c r="AE87" t="n">
        <v>163.8</v>
      </c>
      <c r="AF87" t="n">
        <v>0</v>
      </c>
      <c r="AG87" t="n">
        <v>0</v>
      </c>
      <c r="AH87" t="n">
        <v>0.16</v>
      </c>
      <c r="AI87" t="n">
        <v>8.199999999999999</v>
      </c>
      <c r="AJ87" t="n">
        <v>-0.01</v>
      </c>
      <c r="AK87" t="n">
        <v>14.53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48.81</v>
      </c>
      <c r="AV87" t="n">
        <v>0</v>
      </c>
      <c r="AW87" t="n">
        <v>123.18</v>
      </c>
      <c r="AX87" t="inlineStr">
        <is>
          <t>pending</t>
        </is>
      </c>
      <c r="AY87" t="inlineStr">
        <is>
          <t>NA</t>
        </is>
      </c>
      <c r="AZ87" t="inlineStr">
        <is>
          <t>NA</t>
        </is>
      </c>
      <c r="BA87" t="n">
        <v>123.18</v>
      </c>
      <c r="BB87" t="inlineStr">
        <is>
          <t>d2efe69d02a69f9148cc25e0962d4f421b0b750b3a1815e8774e7b19b991b3d0</t>
        </is>
      </c>
    </row>
    <row r="88">
      <c r="A88" t="inlineStr">
        <is>
          <t>1411</t>
        </is>
      </c>
      <c r="B88" t="inlineStr">
        <is>
          <t>7638557997</t>
        </is>
      </c>
      <c r="C88" t="inlineStr">
        <is>
          <t>2025-12-31 02:07:03</t>
        </is>
      </c>
      <c r="D88" t="inlineStr">
        <is>
          <t>1</t>
        </is>
      </c>
      <c r="E88" t="inlineStr">
        <is>
          <t>Sha Sha - Shandaar Shawarma</t>
        </is>
      </c>
      <c r="F88" t="inlineStr">
        <is>
          <t>18557902</t>
        </is>
      </c>
      <c r="G88" t="inlineStr">
        <is>
          <t>30% off upto ₹75 (2025-06-25 - 2031-01-01)</t>
        </is>
      </c>
      <c r="H88" t="inlineStr">
        <is>
          <t>ONLINE</t>
        </is>
      </c>
      <c r="I88" t="inlineStr">
        <is>
          <t>DELIVERED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O2</t>
        </is>
      </c>
      <c r="N88" t="inlineStr">
        <is>
          <t>36</t>
        </is>
      </c>
      <c r="O88" t="n">
        <v>229</v>
      </c>
      <c r="P88" t="n">
        <v>3.5</v>
      </c>
      <c r="Q88" t="n">
        <v>0</v>
      </c>
      <c r="R88" t="n">
        <v>68.7</v>
      </c>
      <c r="S88" t="n">
        <v>0</v>
      </c>
      <c r="T88" t="n">
        <v>0</v>
      </c>
      <c r="U88" t="n">
        <v>0</v>
      </c>
      <c r="V88" t="n">
        <v>8.19</v>
      </c>
      <c r="W88" t="n">
        <v>171.99</v>
      </c>
      <c r="X88" t="n">
        <v>163.8</v>
      </c>
      <c r="Y88" t="n">
        <v>19</v>
      </c>
      <c r="Z88" t="n">
        <v>31.12</v>
      </c>
      <c r="AA88" t="n">
        <v>3.16</v>
      </c>
      <c r="AB88" t="n">
        <v>34.28</v>
      </c>
      <c r="AC88" t="n">
        <v>6.17</v>
      </c>
      <c r="AD88" t="n">
        <v>0</v>
      </c>
      <c r="AE88" t="n">
        <v>163.8</v>
      </c>
      <c r="AF88" t="n">
        <v>0</v>
      </c>
      <c r="AG88" t="n">
        <v>0</v>
      </c>
      <c r="AH88" t="n">
        <v>0.16</v>
      </c>
      <c r="AI88" t="n">
        <v>8.199999999999999</v>
      </c>
      <c r="AJ88" t="n">
        <v>-0.01</v>
      </c>
      <c r="AK88" t="n">
        <v>14.53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48.81</v>
      </c>
      <c r="AV88" t="n">
        <v>0</v>
      </c>
      <c r="AW88" t="n">
        <v>123.18</v>
      </c>
      <c r="AX88" t="inlineStr">
        <is>
          <t>pending</t>
        </is>
      </c>
      <c r="AY88" t="inlineStr">
        <is>
          <t>NA</t>
        </is>
      </c>
      <c r="AZ88" t="inlineStr">
        <is>
          <t>NA</t>
        </is>
      </c>
      <c r="BA88" t="n">
        <v>123.18</v>
      </c>
      <c r="BB88" t="inlineStr">
        <is>
          <t>138aeb4198957dc70e7ae14894417fcdb13da7b16be45a17136bc3ef10ad91a3</t>
        </is>
      </c>
    </row>
    <row r="89">
      <c r="A89" t="inlineStr">
        <is>
          <t>1412</t>
        </is>
      </c>
      <c r="B89" t="inlineStr">
        <is>
          <t>7633476973</t>
        </is>
      </c>
      <c r="C89" t="inlineStr">
        <is>
          <t>2025-12-31 02:09:57</t>
        </is>
      </c>
      <c r="D89" t="inlineStr">
        <is>
          <t>1</t>
        </is>
      </c>
      <c r="E89" t="inlineStr">
        <is>
          <t>Sha Sha - Shandaar Shawarma</t>
        </is>
      </c>
      <c r="F89" t="inlineStr">
        <is>
          <t>18557902</t>
        </is>
      </c>
      <c r="G89" t="inlineStr">
        <is>
          <t>30% off upto ₹75 (2025-06-25 - 2031-01-01)</t>
        </is>
      </c>
      <c r="H89" t="inlineStr">
        <is>
          <t>ONLINE</t>
        </is>
      </c>
      <c r="I89" t="inlineStr">
        <is>
          <t>DELIVERED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O2</t>
        </is>
      </c>
      <c r="N89" t="inlineStr">
        <is>
          <t>36</t>
        </is>
      </c>
      <c r="O89" t="n">
        <v>438</v>
      </c>
      <c r="P89" t="n">
        <v>3.5</v>
      </c>
      <c r="Q89" t="n">
        <v>0</v>
      </c>
      <c r="R89" t="n">
        <v>75</v>
      </c>
      <c r="S89" t="n">
        <v>0</v>
      </c>
      <c r="T89" t="n">
        <v>0</v>
      </c>
      <c r="U89" t="n">
        <v>0</v>
      </c>
      <c r="V89" t="n">
        <v>18.33</v>
      </c>
      <c r="W89" t="n">
        <v>384.83</v>
      </c>
      <c r="X89" t="n">
        <v>366.5</v>
      </c>
      <c r="Y89" t="n">
        <v>19</v>
      </c>
      <c r="Z89" t="n">
        <v>69.64</v>
      </c>
      <c r="AA89" t="n">
        <v>7.08</v>
      </c>
      <c r="AB89" t="n">
        <v>76.72</v>
      </c>
      <c r="AC89" t="n">
        <v>13.81</v>
      </c>
      <c r="AD89" t="n">
        <v>0</v>
      </c>
      <c r="AE89" t="n">
        <v>366.5</v>
      </c>
      <c r="AF89" t="n">
        <v>0</v>
      </c>
      <c r="AG89" t="n">
        <v>0</v>
      </c>
      <c r="AH89" t="n">
        <v>0.37</v>
      </c>
      <c r="AI89" t="n">
        <v>18.33</v>
      </c>
      <c r="AJ89" t="n">
        <v>0</v>
      </c>
      <c r="AK89" t="n">
        <v>32.51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109.23</v>
      </c>
      <c r="AV89" t="n">
        <v>0</v>
      </c>
      <c r="AW89" t="n">
        <v>275.6</v>
      </c>
      <c r="AX89" t="inlineStr">
        <is>
          <t>pending</t>
        </is>
      </c>
      <c r="AY89" t="inlineStr">
        <is>
          <t>NA</t>
        </is>
      </c>
      <c r="AZ89" t="inlineStr">
        <is>
          <t>NA</t>
        </is>
      </c>
      <c r="BA89" t="n">
        <v>275.6</v>
      </c>
      <c r="BB89" t="inlineStr">
        <is>
          <t>36be9241bb1e7d09a916871f1c3094c3c3c8f9301338cc12987264dc81d31c8a</t>
        </is>
      </c>
    </row>
    <row r="90">
      <c r="A90" t="inlineStr">
        <is>
          <t>1413</t>
        </is>
      </c>
      <c r="B90" t="inlineStr">
        <is>
          <t>7638026138</t>
        </is>
      </c>
      <c r="C90" t="inlineStr">
        <is>
          <t>2025-12-31 02:13:05</t>
        </is>
      </c>
      <c r="D90" t="inlineStr">
        <is>
          <t>1</t>
        </is>
      </c>
      <c r="E90" t="inlineStr">
        <is>
          <t>Sha Sha - Shandaar Shawarma</t>
        </is>
      </c>
      <c r="F90" t="inlineStr">
        <is>
          <t>18557902</t>
        </is>
      </c>
      <c r="G90" t="inlineStr">
        <is>
          <t>30% off upto ₹75 (2025-06-25 - 2031-01-01)</t>
        </is>
      </c>
      <c r="H90" t="inlineStr">
        <is>
          <t>ONLINE</t>
        </is>
      </c>
      <c r="I90" t="inlineStr">
        <is>
          <t>DELIVERED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O2</t>
        </is>
      </c>
      <c r="N90" t="inlineStr">
        <is>
          <t>36</t>
        </is>
      </c>
      <c r="O90" t="n">
        <v>229</v>
      </c>
      <c r="P90" t="n">
        <v>3.5</v>
      </c>
      <c r="Q90" t="n">
        <v>0</v>
      </c>
      <c r="R90" t="n">
        <v>68.7</v>
      </c>
      <c r="S90" t="n">
        <v>0</v>
      </c>
      <c r="T90" t="n">
        <v>0</v>
      </c>
      <c r="U90" t="n">
        <v>0</v>
      </c>
      <c r="V90" t="n">
        <v>8.19</v>
      </c>
      <c r="W90" t="n">
        <v>171.99</v>
      </c>
      <c r="X90" t="n">
        <v>163.8</v>
      </c>
      <c r="Y90" t="n">
        <v>19</v>
      </c>
      <c r="Z90" t="n">
        <v>31.12</v>
      </c>
      <c r="AA90" t="n">
        <v>3.16</v>
      </c>
      <c r="AB90" t="n">
        <v>34.28</v>
      </c>
      <c r="AC90" t="n">
        <v>6.17</v>
      </c>
      <c r="AD90" t="n">
        <v>0</v>
      </c>
      <c r="AE90" t="n">
        <v>163.8</v>
      </c>
      <c r="AF90" t="n">
        <v>0</v>
      </c>
      <c r="AG90" t="n">
        <v>0</v>
      </c>
      <c r="AH90" t="n">
        <v>0.16</v>
      </c>
      <c r="AI90" t="n">
        <v>8.199999999999999</v>
      </c>
      <c r="AJ90" t="n">
        <v>-0.01</v>
      </c>
      <c r="AK90" t="n">
        <v>14.53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48.81</v>
      </c>
      <c r="AV90" t="n">
        <v>0</v>
      </c>
      <c r="AW90" t="n">
        <v>123.18</v>
      </c>
      <c r="AX90" t="inlineStr">
        <is>
          <t>pending</t>
        </is>
      </c>
      <c r="AY90" t="inlineStr">
        <is>
          <t>NA</t>
        </is>
      </c>
      <c r="AZ90" t="inlineStr">
        <is>
          <t>NA</t>
        </is>
      </c>
      <c r="BA90" t="n">
        <v>123.18</v>
      </c>
      <c r="BB90" t="inlineStr">
        <is>
          <t>445b4dc2a7357ce81c5d15d0b9f212ef9192389a9cb96d53100f1177ff6094b6</t>
        </is>
      </c>
    </row>
    <row r="91">
      <c r="A91" t="inlineStr">
        <is>
          <t>1414</t>
        </is>
      </c>
      <c r="B91" t="inlineStr">
        <is>
          <t>7634059203</t>
        </is>
      </c>
      <c r="C91" t="inlineStr">
        <is>
          <t>2025-12-31 02:29:51</t>
        </is>
      </c>
      <c r="D91" t="inlineStr">
        <is>
          <t>1</t>
        </is>
      </c>
      <c r="E91" t="inlineStr">
        <is>
          <t>Sha Sha - Shandaar Shawarma</t>
        </is>
      </c>
      <c r="F91" t="inlineStr">
        <is>
          <t>18557902</t>
        </is>
      </c>
      <c r="G91" t="inlineStr">
        <is>
          <t>NA</t>
        </is>
      </c>
      <c r="H91" t="inlineStr">
        <is>
          <t>ONLINE</t>
        </is>
      </c>
      <c r="I91" t="inlineStr">
        <is>
          <t>DELIVERED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O2</t>
        </is>
      </c>
      <c r="N91" t="inlineStr">
        <is>
          <t>36</t>
        </is>
      </c>
      <c r="O91" t="n">
        <v>229</v>
      </c>
      <c r="P91" t="n">
        <v>3.5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11.63</v>
      </c>
      <c r="W91" t="n">
        <v>244.13</v>
      </c>
      <c r="X91" t="n">
        <v>232.5</v>
      </c>
      <c r="Y91" t="n">
        <v>19</v>
      </c>
      <c r="Z91" t="n">
        <v>44.18</v>
      </c>
      <c r="AA91" t="n">
        <v>4.49</v>
      </c>
      <c r="AB91" t="n">
        <v>48.67</v>
      </c>
      <c r="AC91" t="n">
        <v>8.76</v>
      </c>
      <c r="AD91" t="n">
        <v>0</v>
      </c>
      <c r="AE91" t="n">
        <v>232.5</v>
      </c>
      <c r="AF91" t="n">
        <v>0</v>
      </c>
      <c r="AG91" t="n">
        <v>0</v>
      </c>
      <c r="AH91" t="n">
        <v>0.23</v>
      </c>
      <c r="AI91" t="n">
        <v>11.63</v>
      </c>
      <c r="AJ91" t="n">
        <v>0</v>
      </c>
      <c r="AK91" t="n">
        <v>20.62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69.29000000000001</v>
      </c>
      <c r="AV91" t="n">
        <v>0</v>
      </c>
      <c r="AW91" t="n">
        <v>174.84</v>
      </c>
      <c r="AX91" t="inlineStr">
        <is>
          <t>pending</t>
        </is>
      </c>
      <c r="AY91" t="inlineStr">
        <is>
          <t>NA</t>
        </is>
      </c>
      <c r="AZ91" t="inlineStr">
        <is>
          <t>NA</t>
        </is>
      </c>
      <c r="BA91" t="n">
        <v>174.84</v>
      </c>
      <c r="BB91" t="inlineStr">
        <is>
          <t>822e9154e9a36b1091a5124b3d146ca945eb50d40b357fa7b6fc7488317c9a94</t>
        </is>
      </c>
    </row>
    <row r="92">
      <c r="A92" t="inlineStr">
        <is>
          <t>1415</t>
        </is>
      </c>
      <c r="B92" t="inlineStr">
        <is>
          <t>7629803132</t>
        </is>
      </c>
      <c r="C92" t="inlineStr">
        <is>
          <t>2025-12-31 02:50:38</t>
        </is>
      </c>
      <c r="D92" t="inlineStr">
        <is>
          <t>1</t>
        </is>
      </c>
      <c r="E92" t="inlineStr">
        <is>
          <t>Sha Sha - Shandaar Shawarma</t>
        </is>
      </c>
      <c r="F92" t="inlineStr">
        <is>
          <t>18557902</t>
        </is>
      </c>
      <c r="G92" t="inlineStr">
        <is>
          <t>30% off upto ₹75 (2025-06-25 - 2031-01-01)</t>
        </is>
      </c>
      <c r="H92" t="inlineStr">
        <is>
          <t>ONLINE</t>
        </is>
      </c>
      <c r="I92" t="inlineStr">
        <is>
          <t>DELIVERED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O2</t>
        </is>
      </c>
      <c r="N92" t="inlineStr">
        <is>
          <t>36</t>
        </is>
      </c>
      <c r="O92" t="n">
        <v>229</v>
      </c>
      <c r="P92" t="n">
        <v>3.5</v>
      </c>
      <c r="Q92" t="n">
        <v>0</v>
      </c>
      <c r="R92" t="n">
        <v>68.7</v>
      </c>
      <c r="S92" t="n">
        <v>0</v>
      </c>
      <c r="T92" t="n">
        <v>0</v>
      </c>
      <c r="U92" t="n">
        <v>0</v>
      </c>
      <c r="V92" t="n">
        <v>8.19</v>
      </c>
      <c r="W92" t="n">
        <v>171.99</v>
      </c>
      <c r="X92" t="n">
        <v>163.8</v>
      </c>
      <c r="Y92" t="n">
        <v>19</v>
      </c>
      <c r="Z92" t="n">
        <v>31.12</v>
      </c>
      <c r="AA92" t="n">
        <v>3.16</v>
      </c>
      <c r="AB92" t="n">
        <v>34.28</v>
      </c>
      <c r="AC92" t="n">
        <v>6.17</v>
      </c>
      <c r="AD92" t="n">
        <v>0</v>
      </c>
      <c r="AE92" t="n">
        <v>163.8</v>
      </c>
      <c r="AF92" t="n">
        <v>0</v>
      </c>
      <c r="AG92" t="n">
        <v>0</v>
      </c>
      <c r="AH92" t="n">
        <v>0.16</v>
      </c>
      <c r="AI92" t="n">
        <v>8.199999999999999</v>
      </c>
      <c r="AJ92" t="n">
        <v>-0.01</v>
      </c>
      <c r="AK92" t="n">
        <v>14.53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48.81</v>
      </c>
      <c r="AV92" t="n">
        <v>0</v>
      </c>
      <c r="AW92" t="n">
        <v>123.18</v>
      </c>
      <c r="AX92" t="inlineStr">
        <is>
          <t>pending</t>
        </is>
      </c>
      <c r="AY92" t="inlineStr">
        <is>
          <t>NA</t>
        </is>
      </c>
      <c r="AZ92" t="inlineStr">
        <is>
          <t>NA</t>
        </is>
      </c>
      <c r="BA92" t="n">
        <v>123.18</v>
      </c>
      <c r="BB92" t="inlineStr">
        <is>
          <t>54ecc270c4afa18eb220d56aee8206127a12dadd75506b76fe0135869cfc39b9</t>
        </is>
      </c>
    </row>
    <row r="93">
      <c r="A93" t="inlineStr">
        <is>
          <t>1416</t>
        </is>
      </c>
      <c r="B93" t="inlineStr">
        <is>
          <t>7637127426</t>
        </is>
      </c>
      <c r="C93" t="inlineStr">
        <is>
          <t>2025-12-31 02:55:49</t>
        </is>
      </c>
      <c r="D93" t="inlineStr">
        <is>
          <t>1</t>
        </is>
      </c>
      <c r="E93" t="inlineStr">
        <is>
          <t>Sha Sha - Shandaar Shawarma</t>
        </is>
      </c>
      <c r="F93" t="inlineStr">
        <is>
          <t>18557902</t>
        </is>
      </c>
      <c r="G93" t="inlineStr">
        <is>
          <t>30% off upto ₹75 (2025-06-25 - 2031-01-01)</t>
        </is>
      </c>
      <c r="H93" t="inlineStr">
        <is>
          <t>ONLINE</t>
        </is>
      </c>
      <c r="I93" t="inlineStr">
        <is>
          <t>DELIVERED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O2</t>
        </is>
      </c>
      <c r="N93" t="inlineStr">
        <is>
          <t>36</t>
        </is>
      </c>
      <c r="O93" t="n">
        <v>229</v>
      </c>
      <c r="P93" t="n">
        <v>3.5</v>
      </c>
      <c r="Q93" t="n">
        <v>0</v>
      </c>
      <c r="R93" t="n">
        <v>68.7</v>
      </c>
      <c r="S93" t="n">
        <v>0</v>
      </c>
      <c r="T93" t="n">
        <v>0</v>
      </c>
      <c r="U93" t="n">
        <v>0</v>
      </c>
      <c r="V93" t="n">
        <v>8.19</v>
      </c>
      <c r="W93" t="n">
        <v>171.99</v>
      </c>
      <c r="X93" t="n">
        <v>163.8</v>
      </c>
      <c r="Y93" t="n">
        <v>19</v>
      </c>
      <c r="Z93" t="n">
        <v>31.12</v>
      </c>
      <c r="AA93" t="n">
        <v>3.16</v>
      </c>
      <c r="AB93" t="n">
        <v>34.28</v>
      </c>
      <c r="AC93" t="n">
        <v>6.17</v>
      </c>
      <c r="AD93" t="n">
        <v>0</v>
      </c>
      <c r="AE93" t="n">
        <v>163.8</v>
      </c>
      <c r="AF93" t="n">
        <v>0</v>
      </c>
      <c r="AG93" t="n">
        <v>0</v>
      </c>
      <c r="AH93" t="n">
        <v>0.16</v>
      </c>
      <c r="AI93" t="n">
        <v>8.199999999999999</v>
      </c>
      <c r="AJ93" t="n">
        <v>-0.01</v>
      </c>
      <c r="AK93" t="n">
        <v>14.53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48.81</v>
      </c>
      <c r="AV93" t="n">
        <v>0</v>
      </c>
      <c r="AW93" t="n">
        <v>123.18</v>
      </c>
      <c r="AX93" t="inlineStr">
        <is>
          <t>pending</t>
        </is>
      </c>
      <c r="AY93" t="inlineStr">
        <is>
          <t>NA</t>
        </is>
      </c>
      <c r="AZ93" t="inlineStr">
        <is>
          <t>NA</t>
        </is>
      </c>
      <c r="BA93" t="n">
        <v>123.18</v>
      </c>
      <c r="BB93" t="inlineStr">
        <is>
          <t>e4ff0741afe78e085c41c52e75c1891008b363859b9062f2b880c4f5f7b66fa5</t>
        </is>
      </c>
    </row>
    <row r="94">
      <c r="A94" t="inlineStr">
        <is>
          <t>1417</t>
        </is>
      </c>
      <c r="B94" t="inlineStr">
        <is>
          <t>7638586430</t>
        </is>
      </c>
      <c r="C94" t="inlineStr">
        <is>
          <t>2025-12-31 03:03:47</t>
        </is>
      </c>
      <c r="D94" t="inlineStr">
        <is>
          <t>1</t>
        </is>
      </c>
      <c r="E94" t="inlineStr">
        <is>
          <t>Sha Sha - Shandaar Shawarma</t>
        </is>
      </c>
      <c r="F94" t="inlineStr">
        <is>
          <t>18557902</t>
        </is>
      </c>
      <c r="G94" t="inlineStr">
        <is>
          <t>30% off upto ₹75 (2025-06-25 - 2031-01-01)</t>
        </is>
      </c>
      <c r="H94" t="inlineStr">
        <is>
          <t>ONLINE</t>
        </is>
      </c>
      <c r="I94" t="inlineStr">
        <is>
          <t>DELIVERED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O2</t>
        </is>
      </c>
      <c r="N94" t="inlineStr">
        <is>
          <t>36</t>
        </is>
      </c>
      <c r="O94" t="n">
        <v>477</v>
      </c>
      <c r="P94" t="n">
        <v>3.5</v>
      </c>
      <c r="Q94" t="n">
        <v>0</v>
      </c>
      <c r="R94" t="n">
        <v>75</v>
      </c>
      <c r="S94" t="n">
        <v>0</v>
      </c>
      <c r="T94" t="n">
        <v>0</v>
      </c>
      <c r="U94" t="n">
        <v>0</v>
      </c>
      <c r="V94" t="n">
        <v>20.28</v>
      </c>
      <c r="W94" t="n">
        <v>425.78</v>
      </c>
      <c r="X94" t="n">
        <v>405.5</v>
      </c>
      <c r="Y94" t="n">
        <v>19</v>
      </c>
      <c r="Z94" t="n">
        <v>77.04000000000001</v>
      </c>
      <c r="AA94" t="n">
        <v>7.83</v>
      </c>
      <c r="AB94" t="n">
        <v>84.87</v>
      </c>
      <c r="AC94" t="n">
        <v>15.28</v>
      </c>
      <c r="AD94" t="n">
        <v>0</v>
      </c>
      <c r="AE94" t="n">
        <v>405.5</v>
      </c>
      <c r="AF94" t="n">
        <v>0</v>
      </c>
      <c r="AG94" t="n">
        <v>0</v>
      </c>
      <c r="AH94" t="n">
        <v>0.41</v>
      </c>
      <c r="AI94" t="n">
        <v>20.28</v>
      </c>
      <c r="AJ94" t="n">
        <v>0</v>
      </c>
      <c r="AK94" t="n">
        <v>35.97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120.84</v>
      </c>
      <c r="AV94" t="n">
        <v>0</v>
      </c>
      <c r="AW94" t="n">
        <v>304.94</v>
      </c>
      <c r="AX94" t="inlineStr">
        <is>
          <t>pending</t>
        </is>
      </c>
      <c r="AY94" t="inlineStr">
        <is>
          <t>NA</t>
        </is>
      </c>
      <c r="AZ94" t="inlineStr">
        <is>
          <t>NA</t>
        </is>
      </c>
      <c r="BA94" t="n">
        <v>304.94</v>
      </c>
      <c r="BB94" t="inlineStr">
        <is>
          <t>25cbc0919ec42bf83496856c470a4ae8a0a6092827493fe2e73d5c36cfeaa987</t>
        </is>
      </c>
    </row>
    <row r="95">
      <c r="A95" t="inlineStr">
        <is>
          <t>1418</t>
        </is>
      </c>
      <c r="B95" t="inlineStr">
        <is>
          <t>7638292935</t>
        </is>
      </c>
      <c r="C95" t="inlineStr">
        <is>
          <t>2025-12-31 03:08:34</t>
        </is>
      </c>
      <c r="D95" t="inlineStr">
        <is>
          <t>1</t>
        </is>
      </c>
      <c r="E95" t="inlineStr">
        <is>
          <t>Sha Sha - Shandaar Shawarma</t>
        </is>
      </c>
      <c r="F95" t="inlineStr">
        <is>
          <t>18557902</t>
        </is>
      </c>
      <c r="G95" t="inlineStr">
        <is>
          <t>30% off upto ₹75 (2025-06-25 - 2031-01-01)</t>
        </is>
      </c>
      <c r="H95" t="inlineStr">
        <is>
          <t>ONLINE</t>
        </is>
      </c>
      <c r="I95" t="inlineStr">
        <is>
          <t>DELIVERED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O2</t>
        </is>
      </c>
      <c r="N95" t="inlineStr">
        <is>
          <t>36</t>
        </is>
      </c>
      <c r="O95" t="n">
        <v>229</v>
      </c>
      <c r="P95" t="n">
        <v>3.5</v>
      </c>
      <c r="Q95" t="n">
        <v>0</v>
      </c>
      <c r="R95" t="n">
        <v>68.7</v>
      </c>
      <c r="S95" t="n">
        <v>0</v>
      </c>
      <c r="T95" t="n">
        <v>0</v>
      </c>
      <c r="U95" t="n">
        <v>0</v>
      </c>
      <c r="V95" t="n">
        <v>8.19</v>
      </c>
      <c r="W95" t="n">
        <v>171.99</v>
      </c>
      <c r="X95" t="n">
        <v>163.8</v>
      </c>
      <c r="Y95" t="n">
        <v>19</v>
      </c>
      <c r="Z95" t="n">
        <v>31.12</v>
      </c>
      <c r="AA95" t="n">
        <v>3.16</v>
      </c>
      <c r="AB95" t="n">
        <v>34.28</v>
      </c>
      <c r="AC95" t="n">
        <v>6.17</v>
      </c>
      <c r="AD95" t="n">
        <v>0</v>
      </c>
      <c r="AE95" t="n">
        <v>163.8</v>
      </c>
      <c r="AF95" t="n">
        <v>0</v>
      </c>
      <c r="AG95" t="n">
        <v>0</v>
      </c>
      <c r="AH95" t="n">
        <v>0.16</v>
      </c>
      <c r="AI95" t="n">
        <v>8.199999999999999</v>
      </c>
      <c r="AJ95" t="n">
        <v>-0.01</v>
      </c>
      <c r="AK95" t="n">
        <v>14.53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48.81</v>
      </c>
      <c r="AV95" t="n">
        <v>0</v>
      </c>
      <c r="AW95" t="n">
        <v>123.18</v>
      </c>
      <c r="AX95" t="inlineStr">
        <is>
          <t>pending</t>
        </is>
      </c>
      <c r="AY95" t="inlineStr">
        <is>
          <t>NA</t>
        </is>
      </c>
      <c r="AZ95" t="inlineStr">
        <is>
          <t>NA</t>
        </is>
      </c>
      <c r="BA95" t="n">
        <v>123.18</v>
      </c>
      <c r="BB95" t="inlineStr">
        <is>
          <t>086eb64a4406da57842778c6082a9230b85bb5b57da53f1130965a0162a57f1d</t>
        </is>
      </c>
    </row>
    <row r="96">
      <c r="A96" t="inlineStr">
        <is>
          <t>1419</t>
        </is>
      </c>
      <c r="B96" t="inlineStr">
        <is>
          <t>7626856981</t>
        </is>
      </c>
      <c r="C96" t="inlineStr">
        <is>
          <t>2025-12-31 04:19:13</t>
        </is>
      </c>
      <c r="D96" t="inlineStr">
        <is>
          <t>1</t>
        </is>
      </c>
      <c r="E96" t="inlineStr">
        <is>
          <t>Sha Sha - Shandaar Shawarma</t>
        </is>
      </c>
      <c r="F96" t="inlineStr">
        <is>
          <t>18557902</t>
        </is>
      </c>
      <c r="G96" t="inlineStr">
        <is>
          <t>30% off upto ₹75 (2025-06-25 - 2031-01-01)</t>
        </is>
      </c>
      <c r="H96" t="inlineStr">
        <is>
          <t>ONLINE</t>
        </is>
      </c>
      <c r="I96" t="inlineStr">
        <is>
          <t>DELIVERED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O2</t>
        </is>
      </c>
      <c r="N96" t="inlineStr">
        <is>
          <t>36</t>
        </is>
      </c>
      <c r="O96" t="n">
        <v>229</v>
      </c>
      <c r="P96" t="n">
        <v>3.5</v>
      </c>
      <c r="Q96" t="n">
        <v>0</v>
      </c>
      <c r="R96" t="n">
        <v>68.7</v>
      </c>
      <c r="S96" t="n">
        <v>0</v>
      </c>
      <c r="T96" t="n">
        <v>0</v>
      </c>
      <c r="U96" t="n">
        <v>0</v>
      </c>
      <c r="V96" t="n">
        <v>8.19</v>
      </c>
      <c r="W96" t="n">
        <v>171.99</v>
      </c>
      <c r="X96" t="n">
        <v>163.8</v>
      </c>
      <c r="Y96" t="n">
        <v>19</v>
      </c>
      <c r="Z96" t="n">
        <v>31.12</v>
      </c>
      <c r="AA96" t="n">
        <v>3.16</v>
      </c>
      <c r="AB96" t="n">
        <v>34.28</v>
      </c>
      <c r="AC96" t="n">
        <v>6.17</v>
      </c>
      <c r="AD96" t="n">
        <v>0</v>
      </c>
      <c r="AE96" t="n">
        <v>163.8</v>
      </c>
      <c r="AF96" t="n">
        <v>0</v>
      </c>
      <c r="AG96" t="n">
        <v>0</v>
      </c>
      <c r="AH96" t="n">
        <v>0.16</v>
      </c>
      <c r="AI96" t="n">
        <v>8.199999999999999</v>
      </c>
      <c r="AJ96" t="n">
        <v>-0.01</v>
      </c>
      <c r="AK96" t="n">
        <v>14.53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48.81</v>
      </c>
      <c r="AV96" t="n">
        <v>0</v>
      </c>
      <c r="AW96" t="n">
        <v>123.18</v>
      </c>
      <c r="AX96" t="inlineStr">
        <is>
          <t>pending</t>
        </is>
      </c>
      <c r="AY96" t="inlineStr">
        <is>
          <t>NA</t>
        </is>
      </c>
      <c r="AZ96" t="inlineStr">
        <is>
          <t>NA</t>
        </is>
      </c>
      <c r="BA96" t="n">
        <v>123.18</v>
      </c>
      <c r="BB96" t="inlineStr">
        <is>
          <t>2ddbea0390193a58cc75243a265ae6f8fbedc5c8e007ea480bc1ac8a1b2db28e</t>
        </is>
      </c>
    </row>
    <row r="97">
      <c r="A97" t="inlineStr">
        <is>
          <t>1420</t>
        </is>
      </c>
      <c r="B97" t="inlineStr">
        <is>
          <t>7632808215</t>
        </is>
      </c>
      <c r="C97" t="inlineStr">
        <is>
          <t>2025-12-31 11:02:40</t>
        </is>
      </c>
      <c r="D97" t="inlineStr">
        <is>
          <t>1</t>
        </is>
      </c>
      <c r="E97" t="inlineStr">
        <is>
          <t>Sha Sha - Shandaar Shawarma</t>
        </is>
      </c>
      <c r="F97" t="inlineStr">
        <is>
          <t>18557902</t>
        </is>
      </c>
      <c r="G97" t="inlineStr">
        <is>
          <t>30% off upto ₹75 (2025-06-25 - 2031-01-01)</t>
        </is>
      </c>
      <c r="H97" t="inlineStr">
        <is>
          <t>ONLINE</t>
        </is>
      </c>
      <c r="I97" t="inlineStr">
        <is>
          <t>DELIVERED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O2</t>
        </is>
      </c>
      <c r="N97" t="inlineStr">
        <is>
          <t>36</t>
        </is>
      </c>
      <c r="O97" t="n">
        <v>258</v>
      </c>
      <c r="P97" t="n">
        <v>3.5</v>
      </c>
      <c r="Q97" t="n">
        <v>0</v>
      </c>
      <c r="R97" t="n">
        <v>75</v>
      </c>
      <c r="S97" t="n">
        <v>0</v>
      </c>
      <c r="T97" t="n">
        <v>0</v>
      </c>
      <c r="U97" t="n">
        <v>0</v>
      </c>
      <c r="V97" t="n">
        <v>9.33</v>
      </c>
      <c r="W97" t="n">
        <v>195.83</v>
      </c>
      <c r="X97" t="n">
        <v>186.5</v>
      </c>
      <c r="Y97" t="n">
        <v>19</v>
      </c>
      <c r="Z97" t="n">
        <v>35.44</v>
      </c>
      <c r="AA97" t="n">
        <v>3.6</v>
      </c>
      <c r="AB97" t="n">
        <v>39.04</v>
      </c>
      <c r="AC97" t="n">
        <v>7.03</v>
      </c>
      <c r="AD97" t="n">
        <v>0</v>
      </c>
      <c r="AE97" t="n">
        <v>186.5</v>
      </c>
      <c r="AF97" t="n">
        <v>0</v>
      </c>
      <c r="AG97" t="n">
        <v>0</v>
      </c>
      <c r="AH97" t="n">
        <v>0.19</v>
      </c>
      <c r="AI97" t="n">
        <v>9.33</v>
      </c>
      <c r="AJ97" t="n">
        <v>0</v>
      </c>
      <c r="AK97" t="n">
        <v>16.55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55.59</v>
      </c>
      <c r="AV97" t="n">
        <v>0</v>
      </c>
      <c r="AW97" t="n">
        <v>140.24</v>
      </c>
      <c r="AX97" t="inlineStr">
        <is>
          <t>pending</t>
        </is>
      </c>
      <c r="AY97" t="inlineStr">
        <is>
          <t>NA</t>
        </is>
      </c>
      <c r="AZ97" t="inlineStr">
        <is>
          <t>NA</t>
        </is>
      </c>
      <c r="BA97" t="n">
        <v>140.24</v>
      </c>
      <c r="BB97" t="inlineStr">
        <is>
          <t>7b3e0c5f7d4ee79710e461e5ebd6046f70f6c89a988ff9b2fea8a342d96554eb</t>
        </is>
      </c>
    </row>
    <row r="98">
      <c r="A98" t="inlineStr">
        <is>
          <t>1421</t>
        </is>
      </c>
      <c r="B98" t="inlineStr">
        <is>
          <t>7638515322</t>
        </is>
      </c>
      <c r="C98" t="inlineStr">
        <is>
          <t>2025-12-31 13:02:22</t>
        </is>
      </c>
      <c r="D98" t="inlineStr">
        <is>
          <t>1</t>
        </is>
      </c>
      <c r="E98" t="inlineStr">
        <is>
          <t>Sha Sha - Shandaar Shawarma</t>
        </is>
      </c>
      <c r="F98" t="inlineStr">
        <is>
          <t>18557902</t>
        </is>
      </c>
      <c r="G98" t="inlineStr">
        <is>
          <t>30% off upto ₹75 (2025-06-25 - 2031-01-01)</t>
        </is>
      </c>
      <c r="H98" t="inlineStr">
        <is>
          <t>ONLINE</t>
        </is>
      </c>
      <c r="I98" t="inlineStr">
        <is>
          <t>DELIVERED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O2</t>
        </is>
      </c>
      <c r="N98" t="inlineStr">
        <is>
          <t>36</t>
        </is>
      </c>
      <c r="O98" t="n">
        <v>458</v>
      </c>
      <c r="P98" t="n">
        <v>3.5</v>
      </c>
      <c r="Q98" t="n">
        <v>0</v>
      </c>
      <c r="R98" t="n">
        <v>75</v>
      </c>
      <c r="S98" t="n">
        <v>0</v>
      </c>
      <c r="T98" t="n">
        <v>0</v>
      </c>
      <c r="U98" t="n">
        <v>0</v>
      </c>
      <c r="V98" t="n">
        <v>19.33</v>
      </c>
      <c r="W98" t="n">
        <v>405.83</v>
      </c>
      <c r="X98" t="n">
        <v>386.5</v>
      </c>
      <c r="Y98" t="n">
        <v>19</v>
      </c>
      <c r="Z98" t="n">
        <v>73.44</v>
      </c>
      <c r="AA98" t="n">
        <v>7.47</v>
      </c>
      <c r="AB98" t="n">
        <v>80.91</v>
      </c>
      <c r="AC98" t="n">
        <v>14.56</v>
      </c>
      <c r="AD98" t="n">
        <v>0</v>
      </c>
      <c r="AE98" t="n">
        <v>386.5</v>
      </c>
      <c r="AF98" t="n">
        <v>0</v>
      </c>
      <c r="AG98" t="n">
        <v>0</v>
      </c>
      <c r="AH98" t="n">
        <v>0.39</v>
      </c>
      <c r="AI98" t="n">
        <v>19.33</v>
      </c>
      <c r="AJ98" t="n">
        <v>0</v>
      </c>
      <c r="AK98" t="n">
        <v>34.28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115.19</v>
      </c>
      <c r="AV98" t="n">
        <v>0</v>
      </c>
      <c r="AW98" t="n">
        <v>290.64</v>
      </c>
      <c r="AX98" t="inlineStr">
        <is>
          <t>pending</t>
        </is>
      </c>
      <c r="AY98" t="inlineStr">
        <is>
          <t>NA</t>
        </is>
      </c>
      <c r="AZ98" t="inlineStr">
        <is>
          <t>NA</t>
        </is>
      </c>
      <c r="BA98" t="n">
        <v>290.64</v>
      </c>
      <c r="BB98" t="inlineStr">
        <is>
          <t>d53174c010d89311ca6bfaa8cc917c5bf5f89373192fd48a6f980e44e2de3dd4</t>
        </is>
      </c>
    </row>
    <row r="99">
      <c r="A99" t="inlineStr">
        <is>
          <t>1422</t>
        </is>
      </c>
      <c r="B99" t="inlineStr">
        <is>
          <t>7639199806</t>
        </is>
      </c>
      <c r="C99" t="inlineStr">
        <is>
          <t>2025-12-31 13:09:28</t>
        </is>
      </c>
      <c r="D99" t="inlineStr">
        <is>
          <t>1</t>
        </is>
      </c>
      <c r="E99" t="inlineStr">
        <is>
          <t>Sha Sha - Shandaar Shawarma</t>
        </is>
      </c>
      <c r="F99" t="inlineStr">
        <is>
          <t>18557902</t>
        </is>
      </c>
      <c r="G99" t="inlineStr">
        <is>
          <t>30% off upto ₹75 (2025-06-25 - 2031-01-01)</t>
        </is>
      </c>
      <c r="H99" t="inlineStr">
        <is>
          <t>ONLINE</t>
        </is>
      </c>
      <c r="I99" t="inlineStr">
        <is>
          <t>DELIVERED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O2</t>
        </is>
      </c>
      <c r="N99" t="inlineStr">
        <is>
          <t>36</t>
        </is>
      </c>
      <c r="O99" t="n">
        <v>458</v>
      </c>
      <c r="P99" t="n">
        <v>3.5</v>
      </c>
      <c r="Q99" t="n">
        <v>0</v>
      </c>
      <c r="R99" t="n">
        <v>75</v>
      </c>
      <c r="S99" t="n">
        <v>0</v>
      </c>
      <c r="T99" t="n">
        <v>0</v>
      </c>
      <c r="U99" t="n">
        <v>0</v>
      </c>
      <c r="V99" t="n">
        <v>19.33</v>
      </c>
      <c r="W99" t="n">
        <v>405.83</v>
      </c>
      <c r="X99" t="n">
        <v>386.5</v>
      </c>
      <c r="Y99" t="n">
        <v>19</v>
      </c>
      <c r="Z99" t="n">
        <v>73.44</v>
      </c>
      <c r="AA99" t="n">
        <v>7.47</v>
      </c>
      <c r="AB99" t="n">
        <v>80.91</v>
      </c>
      <c r="AC99" t="n">
        <v>14.56</v>
      </c>
      <c r="AD99" t="n">
        <v>0</v>
      </c>
      <c r="AE99" t="n">
        <v>386.5</v>
      </c>
      <c r="AF99" t="n">
        <v>0</v>
      </c>
      <c r="AG99" t="n">
        <v>0</v>
      </c>
      <c r="AH99" t="n">
        <v>0.39</v>
      </c>
      <c r="AI99" t="n">
        <v>19.33</v>
      </c>
      <c r="AJ99" t="n">
        <v>0</v>
      </c>
      <c r="AK99" t="n">
        <v>34.28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115.19</v>
      </c>
      <c r="AV99" t="n">
        <v>0</v>
      </c>
      <c r="AW99" t="n">
        <v>290.64</v>
      </c>
      <c r="AX99" t="inlineStr">
        <is>
          <t>pending</t>
        </is>
      </c>
      <c r="AY99" t="inlineStr">
        <is>
          <t>NA</t>
        </is>
      </c>
      <c r="AZ99" t="inlineStr">
        <is>
          <t>NA</t>
        </is>
      </c>
      <c r="BA99" t="n">
        <v>290.64</v>
      </c>
      <c r="BB99" t="inlineStr">
        <is>
          <t>d5804c7e83c32c3f58b175ac45d3916aa0ed585f098726ed79fa6332233084e4</t>
        </is>
      </c>
    </row>
    <row r="100">
      <c r="A100" t="inlineStr">
        <is>
          <t>1423</t>
        </is>
      </c>
      <c r="B100" t="inlineStr">
        <is>
          <t>7633453649</t>
        </is>
      </c>
      <c r="C100" t="inlineStr">
        <is>
          <t>2025-12-31 13:23:27</t>
        </is>
      </c>
      <c r="D100" t="inlineStr">
        <is>
          <t>1</t>
        </is>
      </c>
      <c r="E100" t="inlineStr">
        <is>
          <t>Sha Sha - Shandaar Shawarma</t>
        </is>
      </c>
      <c r="F100" t="inlineStr">
        <is>
          <t>18557902</t>
        </is>
      </c>
      <c r="G100" t="inlineStr">
        <is>
          <t>30% off upto ₹75 (2025-06-25 - 2031-01-01)</t>
        </is>
      </c>
      <c r="H100" t="inlineStr">
        <is>
          <t>ONLINE</t>
        </is>
      </c>
      <c r="I100" t="inlineStr">
        <is>
          <t>DELIVERED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O2</t>
        </is>
      </c>
      <c r="N100" t="inlineStr">
        <is>
          <t>36</t>
        </is>
      </c>
      <c r="O100" t="n">
        <v>428</v>
      </c>
      <c r="P100" t="n">
        <v>3.5</v>
      </c>
      <c r="Q100" t="n">
        <v>0</v>
      </c>
      <c r="R100" t="n">
        <v>75</v>
      </c>
      <c r="S100" t="n">
        <v>0</v>
      </c>
      <c r="T100" t="n">
        <v>0</v>
      </c>
      <c r="U100" t="n">
        <v>0</v>
      </c>
      <c r="V100" t="n">
        <v>17.83</v>
      </c>
      <c r="W100" t="n">
        <v>374.33</v>
      </c>
      <c r="X100" t="n">
        <v>356.5</v>
      </c>
      <c r="Y100" t="n">
        <v>19</v>
      </c>
      <c r="Z100" t="n">
        <v>67.73999999999999</v>
      </c>
      <c r="AA100" t="n">
        <v>6.89</v>
      </c>
      <c r="AB100" t="n">
        <v>74.63</v>
      </c>
      <c r="AC100" t="n">
        <v>13.43</v>
      </c>
      <c r="AD100" t="n">
        <v>0</v>
      </c>
      <c r="AE100" t="n">
        <v>356.5</v>
      </c>
      <c r="AF100" t="n">
        <v>0</v>
      </c>
      <c r="AG100" t="n">
        <v>0</v>
      </c>
      <c r="AH100" t="n">
        <v>0.36</v>
      </c>
      <c r="AI100" t="n">
        <v>17.83</v>
      </c>
      <c r="AJ100" t="n">
        <v>0</v>
      </c>
      <c r="AK100" t="n">
        <v>31.62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106.25</v>
      </c>
      <c r="AV100" t="n">
        <v>0</v>
      </c>
      <c r="AW100" t="n">
        <v>268.08</v>
      </c>
      <c r="AX100" t="inlineStr">
        <is>
          <t>pending</t>
        </is>
      </c>
      <c r="AY100" t="inlineStr">
        <is>
          <t>NA</t>
        </is>
      </c>
      <c r="AZ100" t="inlineStr">
        <is>
          <t>NA</t>
        </is>
      </c>
      <c r="BA100" t="n">
        <v>268.08</v>
      </c>
      <c r="BB100" t="inlineStr">
        <is>
          <t>da95d0914c095c1f6225950eba7ba56e408f7fde6f2a0080219fa8baa710539b</t>
        </is>
      </c>
    </row>
    <row r="101">
      <c r="A101" t="inlineStr">
        <is>
          <t>1424</t>
        </is>
      </c>
      <c r="B101" t="inlineStr">
        <is>
          <t>7636431515</t>
        </is>
      </c>
      <c r="C101" t="inlineStr">
        <is>
          <t>2025-12-31 14:41:08</t>
        </is>
      </c>
      <c r="D101" t="inlineStr">
        <is>
          <t>1</t>
        </is>
      </c>
      <c r="E101" t="inlineStr">
        <is>
          <t>Sha Sha - Shandaar Shawarma</t>
        </is>
      </c>
      <c r="F101" t="inlineStr">
        <is>
          <t>18557902</t>
        </is>
      </c>
      <c r="G101" t="inlineStr">
        <is>
          <t>30% off upto ₹75 (2025-06-25 - 2031-01-01)</t>
        </is>
      </c>
      <c r="H101" t="inlineStr">
        <is>
          <t>ONLINE</t>
        </is>
      </c>
      <c r="I101" t="inlineStr">
        <is>
          <t>DELIVERED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O2</t>
        </is>
      </c>
      <c r="N101" t="inlineStr">
        <is>
          <t>36</t>
        </is>
      </c>
      <c r="O101" t="n">
        <v>229</v>
      </c>
      <c r="P101" t="n">
        <v>3.5</v>
      </c>
      <c r="Q101" t="n">
        <v>0</v>
      </c>
      <c r="R101" t="n">
        <v>68.7</v>
      </c>
      <c r="S101" t="n">
        <v>0</v>
      </c>
      <c r="T101" t="n">
        <v>0</v>
      </c>
      <c r="U101" t="n">
        <v>0</v>
      </c>
      <c r="V101" t="n">
        <v>8.19</v>
      </c>
      <c r="W101" t="n">
        <v>171.99</v>
      </c>
      <c r="X101" t="n">
        <v>163.8</v>
      </c>
      <c r="Y101" t="n">
        <v>19</v>
      </c>
      <c r="Z101" t="n">
        <v>31.12</v>
      </c>
      <c r="AA101" t="n">
        <v>3.16</v>
      </c>
      <c r="AB101" t="n">
        <v>34.28</v>
      </c>
      <c r="AC101" t="n">
        <v>6.17</v>
      </c>
      <c r="AD101" t="n">
        <v>0</v>
      </c>
      <c r="AE101" t="n">
        <v>163.8</v>
      </c>
      <c r="AF101" t="n">
        <v>0</v>
      </c>
      <c r="AG101" t="n">
        <v>0</v>
      </c>
      <c r="AH101" t="n">
        <v>0.16</v>
      </c>
      <c r="AI101" t="n">
        <v>8.199999999999999</v>
      </c>
      <c r="AJ101" t="n">
        <v>-0.01</v>
      </c>
      <c r="AK101" t="n">
        <v>14.53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48.81</v>
      </c>
      <c r="AV101" t="n">
        <v>0</v>
      </c>
      <c r="AW101" t="n">
        <v>123.18</v>
      </c>
      <c r="AX101" t="inlineStr">
        <is>
          <t>pending</t>
        </is>
      </c>
      <c r="AY101" t="inlineStr">
        <is>
          <t>NA</t>
        </is>
      </c>
      <c r="AZ101" t="inlineStr">
        <is>
          <t>NA</t>
        </is>
      </c>
      <c r="BA101" t="n">
        <v>123.18</v>
      </c>
      <c r="BB101" t="inlineStr">
        <is>
          <t>934953a96a8e49b5327fd0f6bb62519002b733feacaa709a6c497885e41f9b9e</t>
        </is>
      </c>
    </row>
    <row r="102">
      <c r="A102" t="inlineStr">
        <is>
          <t>1425</t>
        </is>
      </c>
      <c r="B102" t="inlineStr">
        <is>
          <t>7635197464</t>
        </is>
      </c>
      <c r="C102" t="inlineStr">
        <is>
          <t>2025-12-31 15:04:54</t>
        </is>
      </c>
      <c r="D102" t="inlineStr">
        <is>
          <t>1</t>
        </is>
      </c>
      <c r="E102" t="inlineStr">
        <is>
          <t>Sha Sha - Shandaar Shawarma</t>
        </is>
      </c>
      <c r="F102" t="inlineStr">
        <is>
          <t>18557902</t>
        </is>
      </c>
      <c r="G102" t="inlineStr">
        <is>
          <t>30% off upto ₹75 (2025-06-25 - 2031-01-01)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O2</t>
        </is>
      </c>
      <c r="N102" t="inlineStr">
        <is>
          <t>36</t>
        </is>
      </c>
      <c r="O102" t="n">
        <v>219</v>
      </c>
      <c r="P102" t="n">
        <v>3.5</v>
      </c>
      <c r="Q102" t="n">
        <v>0</v>
      </c>
      <c r="R102" t="n">
        <v>65.7</v>
      </c>
      <c r="S102" t="n">
        <v>0</v>
      </c>
      <c r="T102" t="n">
        <v>0</v>
      </c>
      <c r="U102" t="n">
        <v>0</v>
      </c>
      <c r="V102" t="n">
        <v>7.84</v>
      </c>
      <c r="W102" t="n">
        <v>164.64</v>
      </c>
      <c r="X102" t="n">
        <v>156.8</v>
      </c>
      <c r="Y102" t="n">
        <v>19</v>
      </c>
      <c r="Z102" t="n">
        <v>29.79</v>
      </c>
      <c r="AA102" t="n">
        <v>3.03</v>
      </c>
      <c r="AB102" t="n">
        <v>32.82</v>
      </c>
      <c r="AC102" t="n">
        <v>5.91</v>
      </c>
      <c r="AD102" t="n">
        <v>0</v>
      </c>
      <c r="AE102" t="n">
        <v>156.8</v>
      </c>
      <c r="AF102" t="n">
        <v>0</v>
      </c>
      <c r="AG102" t="n">
        <v>0</v>
      </c>
      <c r="AH102" t="n">
        <v>0.16</v>
      </c>
      <c r="AI102" t="n">
        <v>7.85</v>
      </c>
      <c r="AJ102" t="n">
        <v>-0.01</v>
      </c>
      <c r="AK102" t="n">
        <v>13.92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46.74</v>
      </c>
      <c r="AV102" t="n">
        <v>0</v>
      </c>
      <c r="AW102" t="n">
        <v>117.9</v>
      </c>
      <c r="AX102" t="inlineStr">
        <is>
          <t>pending</t>
        </is>
      </c>
      <c r="AY102" t="inlineStr">
        <is>
          <t>NA</t>
        </is>
      </c>
      <c r="AZ102" t="inlineStr">
        <is>
          <t>NA</t>
        </is>
      </c>
      <c r="BA102" t="n">
        <v>117.9</v>
      </c>
      <c r="BB102" t="inlineStr">
        <is>
          <t>286d1e6a984bf571bb1a96eae29eaa85b2bf8369c4dbfcba1d3fc1328ef7d5b3</t>
        </is>
      </c>
    </row>
    <row r="103">
      <c r="A103" t="inlineStr">
        <is>
          <t>1426</t>
        </is>
      </c>
      <c r="B103" t="inlineStr">
        <is>
          <t>7633292993</t>
        </is>
      </c>
      <c r="C103" t="inlineStr">
        <is>
          <t>2025-12-31 15:29:49</t>
        </is>
      </c>
      <c r="D103" t="inlineStr">
        <is>
          <t>1</t>
        </is>
      </c>
      <c r="E103" t="inlineStr">
        <is>
          <t>Sha Sha - Shandaar Shawarma</t>
        </is>
      </c>
      <c r="F103" t="inlineStr">
        <is>
          <t>18557902</t>
        </is>
      </c>
      <c r="G103" t="inlineStr">
        <is>
          <t>30% off upto ₹75 (2025-06-25 - 2031-01-01)</t>
        </is>
      </c>
      <c r="H103" t="inlineStr">
        <is>
          <t>ONLINE</t>
        </is>
      </c>
      <c r="I103" t="inlineStr">
        <is>
          <t>DELIVERED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O2</t>
        </is>
      </c>
      <c r="N103" t="inlineStr">
        <is>
          <t>36</t>
        </is>
      </c>
      <c r="O103" t="n">
        <v>358</v>
      </c>
      <c r="P103" t="n">
        <v>3.5</v>
      </c>
      <c r="Q103" t="n">
        <v>0</v>
      </c>
      <c r="R103" t="n">
        <v>75</v>
      </c>
      <c r="S103" t="n">
        <v>0</v>
      </c>
      <c r="T103" t="n">
        <v>0</v>
      </c>
      <c r="U103" t="n">
        <v>0</v>
      </c>
      <c r="V103" t="n">
        <v>14.33</v>
      </c>
      <c r="W103" t="n">
        <v>300.83</v>
      </c>
      <c r="X103" t="n">
        <v>286.5</v>
      </c>
      <c r="Y103" t="n">
        <v>19</v>
      </c>
      <c r="Z103" t="n">
        <v>54.44</v>
      </c>
      <c r="AA103" t="n">
        <v>5.54</v>
      </c>
      <c r="AB103" t="n">
        <v>59.98</v>
      </c>
      <c r="AC103" t="n">
        <v>10.8</v>
      </c>
      <c r="AD103" t="n">
        <v>0</v>
      </c>
      <c r="AE103" t="n">
        <v>286.5</v>
      </c>
      <c r="AF103" t="n">
        <v>0</v>
      </c>
      <c r="AG103" t="n">
        <v>0</v>
      </c>
      <c r="AH103" t="n">
        <v>0.29</v>
      </c>
      <c r="AI103" t="n">
        <v>14.33</v>
      </c>
      <c r="AJ103" t="n">
        <v>0</v>
      </c>
      <c r="AK103" t="n">
        <v>25.42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85.40000000000001</v>
      </c>
      <c r="AV103" t="n">
        <v>0</v>
      </c>
      <c r="AW103" t="n">
        <v>215.43</v>
      </c>
      <c r="AX103" t="inlineStr">
        <is>
          <t>pending</t>
        </is>
      </c>
      <c r="AY103" t="inlineStr">
        <is>
          <t>NA</t>
        </is>
      </c>
      <c r="AZ103" t="inlineStr">
        <is>
          <t>NA</t>
        </is>
      </c>
      <c r="BA103" t="n">
        <v>215.43</v>
      </c>
      <c r="BB103" t="inlineStr">
        <is>
          <t>2bab3d93986f1b3285732e8d7dedda3829255466766a8df83ed2882e23f3d186</t>
        </is>
      </c>
    </row>
    <row r="104">
      <c r="A104" t="inlineStr">
        <is>
          <t>1427</t>
        </is>
      </c>
      <c r="B104" t="inlineStr">
        <is>
          <t>7637307876</t>
        </is>
      </c>
      <c r="C104" t="inlineStr">
        <is>
          <t>2025-12-31 15:59:28</t>
        </is>
      </c>
      <c r="D104" t="inlineStr">
        <is>
          <t>1</t>
        </is>
      </c>
      <c r="E104" t="inlineStr">
        <is>
          <t>Sha Sha - Shandaar Shawarma</t>
        </is>
      </c>
      <c r="F104" t="inlineStr">
        <is>
          <t>18557902</t>
        </is>
      </c>
      <c r="G104" t="inlineStr">
        <is>
          <t>30% off upto ₹75 (2025-06-25 - 2031-01-01)</t>
        </is>
      </c>
      <c r="H104" t="inlineStr">
        <is>
          <t>ONLINE</t>
        </is>
      </c>
      <c r="I104" t="inlineStr">
        <is>
          <t>DELIVERED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O2</t>
        </is>
      </c>
      <c r="N104" t="inlineStr">
        <is>
          <t>36</t>
        </is>
      </c>
      <c r="O104" t="n">
        <v>229</v>
      </c>
      <c r="P104" t="n">
        <v>3.5</v>
      </c>
      <c r="Q104" t="n">
        <v>0</v>
      </c>
      <c r="R104" t="n">
        <v>68.7</v>
      </c>
      <c r="S104" t="n">
        <v>0</v>
      </c>
      <c r="T104" t="n">
        <v>0</v>
      </c>
      <c r="U104" t="n">
        <v>0</v>
      </c>
      <c r="V104" t="n">
        <v>8.19</v>
      </c>
      <c r="W104" t="n">
        <v>171.99</v>
      </c>
      <c r="X104" t="n">
        <v>163.8</v>
      </c>
      <c r="Y104" t="n">
        <v>19</v>
      </c>
      <c r="Z104" t="n">
        <v>31.12</v>
      </c>
      <c r="AA104" t="n">
        <v>3.16</v>
      </c>
      <c r="AB104" t="n">
        <v>34.28</v>
      </c>
      <c r="AC104" t="n">
        <v>6.17</v>
      </c>
      <c r="AD104" t="n">
        <v>0</v>
      </c>
      <c r="AE104" t="n">
        <v>163.8</v>
      </c>
      <c r="AF104" t="n">
        <v>0</v>
      </c>
      <c r="AG104" t="n">
        <v>0</v>
      </c>
      <c r="AH104" t="n">
        <v>0.16</v>
      </c>
      <c r="AI104" t="n">
        <v>8.199999999999999</v>
      </c>
      <c r="AJ104" t="n">
        <v>-0.01</v>
      </c>
      <c r="AK104" t="n">
        <v>14.53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48.81</v>
      </c>
      <c r="AV104" t="n">
        <v>0</v>
      </c>
      <c r="AW104" t="n">
        <v>123.18</v>
      </c>
      <c r="AX104" t="inlineStr">
        <is>
          <t>pending</t>
        </is>
      </c>
      <c r="AY104" t="inlineStr">
        <is>
          <t>NA</t>
        </is>
      </c>
      <c r="AZ104" t="inlineStr">
        <is>
          <t>NA</t>
        </is>
      </c>
      <c r="BA104" t="n">
        <v>123.18</v>
      </c>
      <c r="BB104" t="inlineStr">
        <is>
          <t>a8289c0ab7b0794a2bf461d7692afd20edbfc4cd1f56899853e6c5cc7298dd5a</t>
        </is>
      </c>
    </row>
    <row r="105">
      <c r="A105" t="inlineStr">
        <is>
          <t>1428</t>
        </is>
      </c>
      <c r="B105" t="inlineStr">
        <is>
          <t>7632957080</t>
        </is>
      </c>
      <c r="C105" t="inlineStr">
        <is>
          <t>2025-12-31 16:01:47</t>
        </is>
      </c>
      <c r="D105" t="inlineStr">
        <is>
          <t>1</t>
        </is>
      </c>
      <c r="E105" t="inlineStr">
        <is>
          <t>Sha Sha - Shandaar Shawarma</t>
        </is>
      </c>
      <c r="F105" t="inlineStr">
        <is>
          <t>18557902</t>
        </is>
      </c>
      <c r="G105" t="inlineStr">
        <is>
          <t>NA</t>
        </is>
      </c>
      <c r="H105" t="inlineStr">
        <is>
          <t>ONLINE</t>
        </is>
      </c>
      <c r="I105" t="inlineStr">
        <is>
          <t>DELIVERED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O2</t>
        </is>
      </c>
      <c r="N105" t="inlineStr">
        <is>
          <t>36</t>
        </is>
      </c>
      <c r="O105" t="n">
        <v>219</v>
      </c>
      <c r="P105" t="n">
        <v>3.5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11.13</v>
      </c>
      <c r="W105" t="n">
        <v>233.63</v>
      </c>
      <c r="X105" t="n">
        <v>222.5</v>
      </c>
      <c r="Y105" t="n">
        <v>19</v>
      </c>
      <c r="Z105" t="n">
        <v>42.28</v>
      </c>
      <c r="AA105" t="n">
        <v>4.3</v>
      </c>
      <c r="AB105" t="n">
        <v>46.58</v>
      </c>
      <c r="AC105" t="n">
        <v>8.380000000000001</v>
      </c>
      <c r="AD105" t="n">
        <v>0</v>
      </c>
      <c r="AE105" t="n">
        <v>222.5</v>
      </c>
      <c r="AF105" t="n">
        <v>0</v>
      </c>
      <c r="AG105" t="n">
        <v>0</v>
      </c>
      <c r="AH105" t="n">
        <v>0.22</v>
      </c>
      <c r="AI105" t="n">
        <v>11.13</v>
      </c>
      <c r="AJ105" t="n">
        <v>0</v>
      </c>
      <c r="AK105" t="n">
        <v>19.73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66.31</v>
      </c>
      <c r="AV105" t="n">
        <v>0</v>
      </c>
      <c r="AW105" t="n">
        <v>167.32</v>
      </c>
      <c r="AX105" t="inlineStr">
        <is>
          <t>pending</t>
        </is>
      </c>
      <c r="AY105" t="inlineStr">
        <is>
          <t>NA</t>
        </is>
      </c>
      <c r="AZ105" t="inlineStr">
        <is>
          <t>NA</t>
        </is>
      </c>
      <c r="BA105" t="n">
        <v>167.32</v>
      </c>
      <c r="BB105" t="inlineStr">
        <is>
          <t>85c429d96e1263cec7c9bb67fd222eb538edb689ca542ad1266468d641aa6153</t>
        </is>
      </c>
    </row>
    <row r="106">
      <c r="A106" t="inlineStr">
        <is>
          <t>1429</t>
        </is>
      </c>
      <c r="B106" t="inlineStr">
        <is>
          <t>7639660820</t>
        </is>
      </c>
      <c r="C106" t="inlineStr">
        <is>
          <t>2025-12-31 16:17:08</t>
        </is>
      </c>
      <c r="D106" t="inlineStr">
        <is>
          <t>1</t>
        </is>
      </c>
      <c r="E106" t="inlineStr">
        <is>
          <t>Sha Sha - Shandaar Shawarma</t>
        </is>
      </c>
      <c r="F106" t="inlineStr">
        <is>
          <t>18557902</t>
        </is>
      </c>
      <c r="G106" t="inlineStr">
        <is>
          <t>NA</t>
        </is>
      </c>
      <c r="H106" t="inlineStr">
        <is>
          <t>ONLINE</t>
        </is>
      </c>
      <c r="I106" t="inlineStr">
        <is>
          <t>DELIVERED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O2</t>
        </is>
      </c>
      <c r="N106" t="inlineStr">
        <is>
          <t>36</t>
        </is>
      </c>
      <c r="O106" t="n">
        <v>229</v>
      </c>
      <c r="P106" t="n">
        <v>3.5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11.63</v>
      </c>
      <c r="W106" t="n">
        <v>244.13</v>
      </c>
      <c r="X106" t="n">
        <v>232.5</v>
      </c>
      <c r="Y106" t="n">
        <v>19</v>
      </c>
      <c r="Z106" t="n">
        <v>44.18</v>
      </c>
      <c r="AA106" t="n">
        <v>4.49</v>
      </c>
      <c r="AB106" t="n">
        <v>48.67</v>
      </c>
      <c r="AC106" t="n">
        <v>8.76</v>
      </c>
      <c r="AD106" t="n">
        <v>0</v>
      </c>
      <c r="AE106" t="n">
        <v>232.5</v>
      </c>
      <c r="AF106" t="n">
        <v>0</v>
      </c>
      <c r="AG106" t="n">
        <v>0</v>
      </c>
      <c r="AH106" t="n">
        <v>0.23</v>
      </c>
      <c r="AI106" t="n">
        <v>11.63</v>
      </c>
      <c r="AJ106" t="n">
        <v>0</v>
      </c>
      <c r="AK106" t="n">
        <v>20.62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69.29000000000001</v>
      </c>
      <c r="AV106" t="n">
        <v>0</v>
      </c>
      <c r="AW106" t="n">
        <v>174.84</v>
      </c>
      <c r="AX106" t="inlineStr">
        <is>
          <t>pending</t>
        </is>
      </c>
      <c r="AY106" t="inlineStr">
        <is>
          <t>NA</t>
        </is>
      </c>
      <c r="AZ106" t="inlineStr">
        <is>
          <t>NA</t>
        </is>
      </c>
      <c r="BA106" t="n">
        <v>174.84</v>
      </c>
      <c r="BB106" t="inlineStr">
        <is>
          <t>15a9ea97e49d91094e9062064c7b1ace46dc4689f4e97b86162ed4a337870165</t>
        </is>
      </c>
    </row>
    <row r="107">
      <c r="A107" t="inlineStr">
        <is>
          <t>1430</t>
        </is>
      </c>
      <c r="B107" t="inlineStr">
        <is>
          <t>7638229243</t>
        </is>
      </c>
      <c r="C107" t="inlineStr">
        <is>
          <t>2025-12-31 16:29:52</t>
        </is>
      </c>
      <c r="D107" t="inlineStr">
        <is>
          <t>1</t>
        </is>
      </c>
      <c r="E107" t="inlineStr">
        <is>
          <t>Sha Sha - Shandaar Shawarma</t>
        </is>
      </c>
      <c r="F107" t="inlineStr">
        <is>
          <t>18557902</t>
        </is>
      </c>
      <c r="G107" t="inlineStr">
        <is>
          <t>30% off upto ₹75 (2025-06-25 - 2031-01-01)</t>
        </is>
      </c>
      <c r="H107" t="inlineStr">
        <is>
          <t>ONLINE</t>
        </is>
      </c>
      <c r="I107" t="inlineStr">
        <is>
          <t>DELIVERED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O2</t>
        </is>
      </c>
      <c r="N107" t="inlineStr">
        <is>
          <t>36</t>
        </is>
      </c>
      <c r="O107" t="n">
        <v>229</v>
      </c>
      <c r="P107" t="n">
        <v>3.5</v>
      </c>
      <c r="Q107" t="n">
        <v>0</v>
      </c>
      <c r="R107" t="n">
        <v>68.7</v>
      </c>
      <c r="S107" t="n">
        <v>0</v>
      </c>
      <c r="T107" t="n">
        <v>0</v>
      </c>
      <c r="U107" t="n">
        <v>0</v>
      </c>
      <c r="V107" t="n">
        <v>8.19</v>
      </c>
      <c r="W107" t="n">
        <v>171.99</v>
      </c>
      <c r="X107" t="n">
        <v>163.8</v>
      </c>
      <c r="Y107" t="n">
        <v>19</v>
      </c>
      <c r="Z107" t="n">
        <v>31.12</v>
      </c>
      <c r="AA107" t="n">
        <v>3.16</v>
      </c>
      <c r="AB107" t="n">
        <v>34.28</v>
      </c>
      <c r="AC107" t="n">
        <v>6.17</v>
      </c>
      <c r="AD107" t="n">
        <v>0</v>
      </c>
      <c r="AE107" t="n">
        <v>163.8</v>
      </c>
      <c r="AF107" t="n">
        <v>0</v>
      </c>
      <c r="AG107" t="n">
        <v>0</v>
      </c>
      <c r="AH107" t="n">
        <v>0.16</v>
      </c>
      <c r="AI107" t="n">
        <v>8.199999999999999</v>
      </c>
      <c r="AJ107" t="n">
        <v>-0.01</v>
      </c>
      <c r="AK107" t="n">
        <v>14.53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48.81</v>
      </c>
      <c r="AV107" t="n">
        <v>0</v>
      </c>
      <c r="AW107" t="n">
        <v>123.18</v>
      </c>
      <c r="AX107" t="inlineStr">
        <is>
          <t>pending</t>
        </is>
      </c>
      <c r="AY107" t="inlineStr">
        <is>
          <t>NA</t>
        </is>
      </c>
      <c r="AZ107" t="inlineStr">
        <is>
          <t>NA</t>
        </is>
      </c>
      <c r="BA107" t="n">
        <v>123.18</v>
      </c>
      <c r="BB107" t="inlineStr">
        <is>
          <t>9c8f1b49e84f86e5853a44c805b05c510ee48e4a01725c9542153a29f55da055</t>
        </is>
      </c>
    </row>
    <row r="108">
      <c r="A108" t="inlineStr">
        <is>
          <t>1431</t>
        </is>
      </c>
      <c r="B108" t="inlineStr">
        <is>
          <t>7637092339</t>
        </is>
      </c>
      <c r="C108" t="inlineStr">
        <is>
          <t>2025-12-31 18:12:32</t>
        </is>
      </c>
      <c r="D108" t="inlineStr">
        <is>
          <t>1</t>
        </is>
      </c>
      <c r="E108" t="inlineStr">
        <is>
          <t>Sha Sha - Shandaar Shawarma</t>
        </is>
      </c>
      <c r="F108" t="inlineStr">
        <is>
          <t>18557902</t>
        </is>
      </c>
      <c r="G108" t="inlineStr">
        <is>
          <t>30% off upto ₹75 (2025-06-25 - 2031-01-01)</t>
        </is>
      </c>
      <c r="H108" t="inlineStr">
        <is>
          <t>ONLINE</t>
        </is>
      </c>
      <c r="I108" t="inlineStr">
        <is>
          <t>DELIVERED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O2</t>
        </is>
      </c>
      <c r="N108" t="inlineStr">
        <is>
          <t>36</t>
        </is>
      </c>
      <c r="O108" t="n">
        <v>458</v>
      </c>
      <c r="P108" t="n">
        <v>3.5</v>
      </c>
      <c r="Q108" t="n">
        <v>0</v>
      </c>
      <c r="R108" t="n">
        <v>75</v>
      </c>
      <c r="S108" t="n">
        <v>0</v>
      </c>
      <c r="T108" t="n">
        <v>0</v>
      </c>
      <c r="U108" t="n">
        <v>0</v>
      </c>
      <c r="V108" t="n">
        <v>19.33</v>
      </c>
      <c r="W108" t="n">
        <v>405.83</v>
      </c>
      <c r="X108" t="n">
        <v>386.5</v>
      </c>
      <c r="Y108" t="n">
        <v>19</v>
      </c>
      <c r="Z108" t="n">
        <v>73.44</v>
      </c>
      <c r="AA108" t="n">
        <v>7.47</v>
      </c>
      <c r="AB108" t="n">
        <v>80.91</v>
      </c>
      <c r="AC108" t="n">
        <v>14.56</v>
      </c>
      <c r="AD108" t="n">
        <v>0</v>
      </c>
      <c r="AE108" t="n">
        <v>386.5</v>
      </c>
      <c r="AF108" t="n">
        <v>0</v>
      </c>
      <c r="AG108" t="n">
        <v>0</v>
      </c>
      <c r="AH108" t="n">
        <v>0.39</v>
      </c>
      <c r="AI108" t="n">
        <v>19.33</v>
      </c>
      <c r="AJ108" t="n">
        <v>0</v>
      </c>
      <c r="AK108" t="n">
        <v>34.28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115.19</v>
      </c>
      <c r="AV108" t="n">
        <v>0</v>
      </c>
      <c r="AW108" t="n">
        <v>290.64</v>
      </c>
      <c r="AX108" t="inlineStr">
        <is>
          <t>pending</t>
        </is>
      </c>
      <c r="AY108" t="inlineStr">
        <is>
          <t>NA</t>
        </is>
      </c>
      <c r="AZ108" t="inlineStr">
        <is>
          <t>NA</t>
        </is>
      </c>
      <c r="BA108" t="n">
        <v>290.64</v>
      </c>
      <c r="BB108" t="inlineStr">
        <is>
          <t>131e75b7e3be313a635e65875521a11e5513c556130619e816be62379ce836e8</t>
        </is>
      </c>
    </row>
    <row r="109">
      <c r="A109" t="inlineStr">
        <is>
          <t>1432</t>
        </is>
      </c>
      <c r="B109" t="inlineStr">
        <is>
          <t>7640614368</t>
        </is>
      </c>
      <c r="C109" t="inlineStr">
        <is>
          <t>2025-12-31 18:55:49</t>
        </is>
      </c>
      <c r="D109" t="inlineStr">
        <is>
          <t>1</t>
        </is>
      </c>
      <c r="E109" t="inlineStr">
        <is>
          <t>Sha Sha - Shandaar Shawarma</t>
        </is>
      </c>
      <c r="F109" t="inlineStr">
        <is>
          <t>18557902</t>
        </is>
      </c>
      <c r="G109" t="inlineStr">
        <is>
          <t>30% off upto ₹75 (2025-06-25 - 2031-01-01)</t>
        </is>
      </c>
      <c r="H109" t="inlineStr">
        <is>
          <t>ONLINE</t>
        </is>
      </c>
      <c r="I109" t="inlineStr">
        <is>
          <t>DELIVERED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O2</t>
        </is>
      </c>
      <c r="N109" t="inlineStr">
        <is>
          <t>36</t>
        </is>
      </c>
      <c r="O109" t="n">
        <v>229</v>
      </c>
      <c r="P109" t="n">
        <v>3.5</v>
      </c>
      <c r="Q109" t="n">
        <v>0</v>
      </c>
      <c r="R109" t="n">
        <v>68.7</v>
      </c>
      <c r="S109" t="n">
        <v>0</v>
      </c>
      <c r="T109" t="n">
        <v>0</v>
      </c>
      <c r="U109" t="n">
        <v>0</v>
      </c>
      <c r="V109" t="n">
        <v>8.19</v>
      </c>
      <c r="W109" t="n">
        <v>171.99</v>
      </c>
      <c r="X109" t="n">
        <v>163.8</v>
      </c>
      <c r="Y109" t="n">
        <v>19</v>
      </c>
      <c r="Z109" t="n">
        <v>31.12</v>
      </c>
      <c r="AA109" t="n">
        <v>3.16</v>
      </c>
      <c r="AB109" t="n">
        <v>34.28</v>
      </c>
      <c r="AC109" t="n">
        <v>6.17</v>
      </c>
      <c r="AD109" t="n">
        <v>0</v>
      </c>
      <c r="AE109" t="n">
        <v>163.8</v>
      </c>
      <c r="AF109" t="n">
        <v>0</v>
      </c>
      <c r="AG109" t="n">
        <v>0</v>
      </c>
      <c r="AH109" t="n">
        <v>0.16</v>
      </c>
      <c r="AI109" t="n">
        <v>8.199999999999999</v>
      </c>
      <c r="AJ109" t="n">
        <v>-0.01</v>
      </c>
      <c r="AK109" t="n">
        <v>14.53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48.81</v>
      </c>
      <c r="AV109" t="n">
        <v>0</v>
      </c>
      <c r="AW109" t="n">
        <v>123.18</v>
      </c>
      <c r="AX109" t="inlineStr">
        <is>
          <t>pending</t>
        </is>
      </c>
      <c r="AY109" t="inlineStr">
        <is>
          <t>NA</t>
        </is>
      </c>
      <c r="AZ109" t="inlineStr">
        <is>
          <t>NA</t>
        </is>
      </c>
      <c r="BA109" t="n">
        <v>123.18</v>
      </c>
      <c r="BB109" t="inlineStr">
        <is>
          <t>4321c9b99762ca375461444f6a7a8743cfadf4f3fc0207969570898537d26648</t>
        </is>
      </c>
    </row>
    <row r="110">
      <c r="A110" t="inlineStr">
        <is>
          <t>1433</t>
        </is>
      </c>
      <c r="B110" t="inlineStr">
        <is>
          <t>7634143403</t>
        </is>
      </c>
      <c r="C110" t="inlineStr">
        <is>
          <t>2025-12-31 19:17:11</t>
        </is>
      </c>
      <c r="D110" t="inlineStr">
        <is>
          <t>1</t>
        </is>
      </c>
      <c r="E110" t="inlineStr">
        <is>
          <t>Sha Sha - Shandaar Shawarma</t>
        </is>
      </c>
      <c r="F110" t="inlineStr">
        <is>
          <t>18557902</t>
        </is>
      </c>
      <c r="G110" t="inlineStr">
        <is>
          <t>30% off upto ₹75 (2025-06-25 - 2031-01-01)</t>
        </is>
      </c>
      <c r="H110" t="inlineStr">
        <is>
          <t>ONLINE</t>
        </is>
      </c>
      <c r="I110" t="inlineStr">
        <is>
          <t>DELIVERED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O2</t>
        </is>
      </c>
      <c r="N110" t="inlineStr">
        <is>
          <t>36</t>
        </is>
      </c>
      <c r="O110" t="n">
        <v>219</v>
      </c>
      <c r="P110" t="n">
        <v>3.5</v>
      </c>
      <c r="Q110" t="n">
        <v>0</v>
      </c>
      <c r="R110" t="n">
        <v>65.7</v>
      </c>
      <c r="S110" t="n">
        <v>0</v>
      </c>
      <c r="T110" t="n">
        <v>0</v>
      </c>
      <c r="U110" t="n">
        <v>0</v>
      </c>
      <c r="V110" t="n">
        <v>7.84</v>
      </c>
      <c r="W110" t="n">
        <v>164.64</v>
      </c>
      <c r="X110" t="n">
        <v>156.8</v>
      </c>
      <c r="Y110" t="n">
        <v>19</v>
      </c>
      <c r="Z110" t="n">
        <v>29.79</v>
      </c>
      <c r="AA110" t="n">
        <v>3.03</v>
      </c>
      <c r="AB110" t="n">
        <v>32.82</v>
      </c>
      <c r="AC110" t="n">
        <v>5.91</v>
      </c>
      <c r="AD110" t="n">
        <v>0</v>
      </c>
      <c r="AE110" t="n">
        <v>156.8</v>
      </c>
      <c r="AF110" t="n">
        <v>0</v>
      </c>
      <c r="AG110" t="n">
        <v>0</v>
      </c>
      <c r="AH110" t="n">
        <v>0.16</v>
      </c>
      <c r="AI110" t="n">
        <v>7.85</v>
      </c>
      <c r="AJ110" t="n">
        <v>-0.01</v>
      </c>
      <c r="AK110" t="n">
        <v>13.92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46.74</v>
      </c>
      <c r="AV110" t="n">
        <v>0</v>
      </c>
      <c r="AW110" t="n">
        <v>117.9</v>
      </c>
      <c r="AX110" t="inlineStr">
        <is>
          <t>pending</t>
        </is>
      </c>
      <c r="AY110" t="inlineStr">
        <is>
          <t>NA</t>
        </is>
      </c>
      <c r="AZ110" t="inlineStr">
        <is>
          <t>NA</t>
        </is>
      </c>
      <c r="BA110" t="n">
        <v>117.9</v>
      </c>
      <c r="BB110" t="inlineStr">
        <is>
          <t>e38c0df0bcfe9fc605624d0ef368764782fc4ec59eece6a8db204efd42f24f8a</t>
        </is>
      </c>
    </row>
    <row r="111">
      <c r="A111" t="inlineStr">
        <is>
          <t>1434</t>
        </is>
      </c>
      <c r="B111" t="inlineStr">
        <is>
          <t>7639887632</t>
        </is>
      </c>
      <c r="C111" t="inlineStr">
        <is>
          <t>2025-12-31 19:41:36</t>
        </is>
      </c>
      <c r="D111" t="inlineStr">
        <is>
          <t>1</t>
        </is>
      </c>
      <c r="E111" t="inlineStr">
        <is>
          <t>Sha Sha - Shandaar Shawarma</t>
        </is>
      </c>
      <c r="F111" t="inlineStr">
        <is>
          <t>18557902</t>
        </is>
      </c>
      <c r="G111" t="inlineStr">
        <is>
          <t>30% off upto ₹75 (2025-06-25 - 2031-01-01)</t>
        </is>
      </c>
      <c r="H111" t="inlineStr">
        <is>
          <t>ONLINE</t>
        </is>
      </c>
      <c r="I111" t="inlineStr">
        <is>
          <t>DELIVERED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O2</t>
        </is>
      </c>
      <c r="N111" t="inlineStr">
        <is>
          <t>36</t>
        </is>
      </c>
      <c r="O111" t="n">
        <v>268</v>
      </c>
      <c r="P111" t="n">
        <v>3.5</v>
      </c>
      <c r="Q111" t="n">
        <v>0</v>
      </c>
      <c r="R111" t="n">
        <v>75</v>
      </c>
      <c r="S111" t="n">
        <v>0</v>
      </c>
      <c r="T111" t="n">
        <v>0</v>
      </c>
      <c r="U111" t="n">
        <v>0</v>
      </c>
      <c r="V111" t="n">
        <v>9.83</v>
      </c>
      <c r="W111" t="n">
        <v>206.33</v>
      </c>
      <c r="X111" t="n">
        <v>196.5</v>
      </c>
      <c r="Y111" t="n">
        <v>19</v>
      </c>
      <c r="Z111" t="n">
        <v>37.34</v>
      </c>
      <c r="AA111" t="n">
        <v>3.8</v>
      </c>
      <c r="AB111" t="n">
        <v>41.14</v>
      </c>
      <c r="AC111" t="n">
        <v>7.4</v>
      </c>
      <c r="AD111" t="n">
        <v>0</v>
      </c>
      <c r="AE111" t="n">
        <v>196.5</v>
      </c>
      <c r="AF111" t="n">
        <v>0</v>
      </c>
      <c r="AG111" t="n">
        <v>0</v>
      </c>
      <c r="AH111" t="n">
        <v>0.2</v>
      </c>
      <c r="AI111" t="n">
        <v>9.83</v>
      </c>
      <c r="AJ111" t="n">
        <v>0</v>
      </c>
      <c r="AK111" t="n">
        <v>17.43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58.57</v>
      </c>
      <c r="AV111" t="n">
        <v>0</v>
      </c>
      <c r="AW111" t="n">
        <v>147.76</v>
      </c>
      <c r="AX111" t="inlineStr">
        <is>
          <t>pending</t>
        </is>
      </c>
      <c r="AY111" t="inlineStr">
        <is>
          <t>NA</t>
        </is>
      </c>
      <c r="AZ111" t="inlineStr">
        <is>
          <t>NA</t>
        </is>
      </c>
      <c r="BA111" t="n">
        <v>147.76</v>
      </c>
      <c r="BB111" t="inlineStr">
        <is>
          <t>c2d9bf7417e2e87d5dbe28e2da88200435f27fdda1a7ee9787bdf29f8825c7f7</t>
        </is>
      </c>
    </row>
    <row r="112">
      <c r="A112" t="inlineStr">
        <is>
          <t>1435</t>
        </is>
      </c>
      <c r="B112" t="inlineStr">
        <is>
          <t>7638401915</t>
        </is>
      </c>
      <c r="C112" t="inlineStr">
        <is>
          <t>2025-12-31 19:43:09</t>
        </is>
      </c>
      <c r="D112" t="inlineStr">
        <is>
          <t>1</t>
        </is>
      </c>
      <c r="E112" t="inlineStr">
        <is>
          <t>Sha Sha - Shandaar Shawarma</t>
        </is>
      </c>
      <c r="F112" t="inlineStr">
        <is>
          <t>18557902</t>
        </is>
      </c>
      <c r="G112" t="inlineStr">
        <is>
          <t>30% off upto ₹75 (2025-06-25 - 2031-01-01)</t>
        </is>
      </c>
      <c r="H112" t="inlineStr">
        <is>
          <t>ONLINE</t>
        </is>
      </c>
      <c r="I112" t="inlineStr">
        <is>
          <t>DELIVERED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O2</t>
        </is>
      </c>
      <c r="N112" t="inlineStr">
        <is>
          <t>36</t>
        </is>
      </c>
      <c r="O112" t="n">
        <v>448</v>
      </c>
      <c r="P112" t="n">
        <v>3.5</v>
      </c>
      <c r="Q112" t="n">
        <v>0</v>
      </c>
      <c r="R112" t="n">
        <v>75</v>
      </c>
      <c r="S112" t="n">
        <v>0</v>
      </c>
      <c r="T112" t="n">
        <v>0</v>
      </c>
      <c r="U112" t="n">
        <v>0</v>
      </c>
      <c r="V112" t="n">
        <v>18.83</v>
      </c>
      <c r="W112" t="n">
        <v>395.33</v>
      </c>
      <c r="X112" t="n">
        <v>376.5</v>
      </c>
      <c r="Y112" t="n">
        <v>19</v>
      </c>
      <c r="Z112" t="n">
        <v>71.54000000000001</v>
      </c>
      <c r="AA112" t="n">
        <v>7.27</v>
      </c>
      <c r="AB112" t="n">
        <v>78.81</v>
      </c>
      <c r="AC112" t="n">
        <v>14.19</v>
      </c>
      <c r="AD112" t="n">
        <v>0</v>
      </c>
      <c r="AE112" t="n">
        <v>376.5</v>
      </c>
      <c r="AF112" t="n">
        <v>0</v>
      </c>
      <c r="AG112" t="n">
        <v>0</v>
      </c>
      <c r="AH112" t="n">
        <v>0.38</v>
      </c>
      <c r="AI112" t="n">
        <v>18.83</v>
      </c>
      <c r="AJ112" t="n">
        <v>0</v>
      </c>
      <c r="AK112" t="n">
        <v>33.4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112.21</v>
      </c>
      <c r="AV112" t="n">
        <v>0</v>
      </c>
      <c r="AW112" t="n">
        <v>283.12</v>
      </c>
      <c r="AX112" t="inlineStr">
        <is>
          <t>pending</t>
        </is>
      </c>
      <c r="AY112" t="inlineStr">
        <is>
          <t>NA</t>
        </is>
      </c>
      <c r="AZ112" t="inlineStr">
        <is>
          <t>NA</t>
        </is>
      </c>
      <c r="BA112" t="n">
        <v>283.12</v>
      </c>
      <c r="BB112" t="inlineStr">
        <is>
          <t>c1eff19146fa622e57dfacda682fc0476168dec211240f2af942caca6a27bf58</t>
        </is>
      </c>
    </row>
    <row r="113">
      <c r="A113" t="inlineStr">
        <is>
          <t>1436</t>
        </is>
      </c>
      <c r="B113" t="inlineStr">
        <is>
          <t>7638101815</t>
        </is>
      </c>
      <c r="C113" t="inlineStr">
        <is>
          <t>2025-12-31 19:43:52</t>
        </is>
      </c>
      <c r="D113" t="inlineStr">
        <is>
          <t>1</t>
        </is>
      </c>
      <c r="E113" t="inlineStr">
        <is>
          <t>Sha Sha - Shandaar Shawarma</t>
        </is>
      </c>
      <c r="F113" t="inlineStr">
        <is>
          <t>18557902</t>
        </is>
      </c>
      <c r="G113" t="inlineStr">
        <is>
          <t>30% off upto ₹75 (2025-06-25 - 2031-01-01)</t>
        </is>
      </c>
      <c r="H113" t="inlineStr">
        <is>
          <t>ONLINE</t>
        </is>
      </c>
      <c r="I113" t="inlineStr">
        <is>
          <t>DELIVERED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O2</t>
        </is>
      </c>
      <c r="N113" t="inlineStr">
        <is>
          <t>36</t>
        </is>
      </c>
      <c r="O113" t="n">
        <v>229</v>
      </c>
      <c r="P113" t="n">
        <v>3.5</v>
      </c>
      <c r="Q113" t="n">
        <v>0</v>
      </c>
      <c r="R113" t="n">
        <v>68.7</v>
      </c>
      <c r="S113" t="n">
        <v>0</v>
      </c>
      <c r="T113" t="n">
        <v>0</v>
      </c>
      <c r="U113" t="n">
        <v>0</v>
      </c>
      <c r="V113" t="n">
        <v>8.19</v>
      </c>
      <c r="W113" t="n">
        <v>171.99</v>
      </c>
      <c r="X113" t="n">
        <v>163.8</v>
      </c>
      <c r="Y113" t="n">
        <v>19</v>
      </c>
      <c r="Z113" t="n">
        <v>31.12</v>
      </c>
      <c r="AA113" t="n">
        <v>3.16</v>
      </c>
      <c r="AB113" t="n">
        <v>34.28</v>
      </c>
      <c r="AC113" t="n">
        <v>6.17</v>
      </c>
      <c r="AD113" t="n">
        <v>0</v>
      </c>
      <c r="AE113" t="n">
        <v>163.8</v>
      </c>
      <c r="AF113" t="n">
        <v>0</v>
      </c>
      <c r="AG113" t="n">
        <v>0</v>
      </c>
      <c r="AH113" t="n">
        <v>0.16</v>
      </c>
      <c r="AI113" t="n">
        <v>8.199999999999999</v>
      </c>
      <c r="AJ113" t="n">
        <v>-0.01</v>
      </c>
      <c r="AK113" t="n">
        <v>14.53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48.81</v>
      </c>
      <c r="AV113" t="n">
        <v>0</v>
      </c>
      <c r="AW113" t="n">
        <v>123.18</v>
      </c>
      <c r="AX113" t="inlineStr">
        <is>
          <t>pending</t>
        </is>
      </c>
      <c r="AY113" t="inlineStr">
        <is>
          <t>NA</t>
        </is>
      </c>
      <c r="AZ113" t="inlineStr">
        <is>
          <t>NA</t>
        </is>
      </c>
      <c r="BA113" t="n">
        <v>123.18</v>
      </c>
      <c r="BB113" t="inlineStr">
        <is>
          <t>4bc59a7b91051bd45715d4c6c383b5635eed7ed966b586e2812e835cb647b359</t>
        </is>
      </c>
    </row>
    <row r="114">
      <c r="A114" t="inlineStr">
        <is>
          <t>1437</t>
        </is>
      </c>
      <c r="B114" t="inlineStr">
        <is>
          <t>7640327242</t>
        </is>
      </c>
      <c r="C114" t="inlineStr">
        <is>
          <t>2025-12-31 19:53:17</t>
        </is>
      </c>
      <c r="D114" t="inlineStr">
        <is>
          <t>1</t>
        </is>
      </c>
      <c r="E114" t="inlineStr">
        <is>
          <t>Sha Sha - Shandaar Shawarma</t>
        </is>
      </c>
      <c r="F114" t="inlineStr">
        <is>
          <t>18557902</t>
        </is>
      </c>
      <c r="G114" t="inlineStr">
        <is>
          <t>30% off upto ₹75 (2025-06-25 - 2031-01-01)</t>
        </is>
      </c>
      <c r="H114" t="inlineStr">
        <is>
          <t>ONLINE</t>
        </is>
      </c>
      <c r="I114" t="inlineStr">
        <is>
          <t>DELIVERED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O2</t>
        </is>
      </c>
      <c r="N114" t="inlineStr">
        <is>
          <t>36</t>
        </is>
      </c>
      <c r="O114" t="n">
        <v>219</v>
      </c>
      <c r="P114" t="n">
        <v>3.5</v>
      </c>
      <c r="Q114" t="n">
        <v>0</v>
      </c>
      <c r="R114" t="n">
        <v>65.7</v>
      </c>
      <c r="S114" t="n">
        <v>0</v>
      </c>
      <c r="T114" t="n">
        <v>0</v>
      </c>
      <c r="U114" t="n">
        <v>0</v>
      </c>
      <c r="V114" t="n">
        <v>7.84</v>
      </c>
      <c r="W114" t="n">
        <v>164.64</v>
      </c>
      <c r="X114" t="n">
        <v>156.8</v>
      </c>
      <c r="Y114" t="n">
        <v>19</v>
      </c>
      <c r="Z114" t="n">
        <v>29.79</v>
      </c>
      <c r="AA114" t="n">
        <v>3.03</v>
      </c>
      <c r="AB114" t="n">
        <v>32.82</v>
      </c>
      <c r="AC114" t="n">
        <v>5.91</v>
      </c>
      <c r="AD114" t="n">
        <v>0</v>
      </c>
      <c r="AE114" t="n">
        <v>156.8</v>
      </c>
      <c r="AF114" t="n">
        <v>0</v>
      </c>
      <c r="AG114" t="n">
        <v>0</v>
      </c>
      <c r="AH114" t="n">
        <v>0.16</v>
      </c>
      <c r="AI114" t="n">
        <v>7.85</v>
      </c>
      <c r="AJ114" t="n">
        <v>-0.01</v>
      </c>
      <c r="AK114" t="n">
        <v>13.92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46.74</v>
      </c>
      <c r="AV114" t="n">
        <v>0</v>
      </c>
      <c r="AW114" t="n">
        <v>117.9</v>
      </c>
      <c r="AX114" t="inlineStr">
        <is>
          <t>pending</t>
        </is>
      </c>
      <c r="AY114" t="inlineStr">
        <is>
          <t>NA</t>
        </is>
      </c>
      <c r="AZ114" t="inlineStr">
        <is>
          <t>NA</t>
        </is>
      </c>
      <c r="BA114" t="n">
        <v>117.9</v>
      </c>
      <c r="BB114" t="inlineStr">
        <is>
          <t>4a9cc0f4ecf11207125fa515feb92572848a52b7cd439c13d6d06c6d40ae3777</t>
        </is>
      </c>
    </row>
    <row r="115">
      <c r="A115" t="inlineStr">
        <is>
          <t>1438</t>
        </is>
      </c>
      <c r="B115" t="inlineStr">
        <is>
          <t>7639333541</t>
        </is>
      </c>
      <c r="C115" t="inlineStr">
        <is>
          <t>2025-12-31 20:21:47</t>
        </is>
      </c>
      <c r="D115" t="inlineStr">
        <is>
          <t>1</t>
        </is>
      </c>
      <c r="E115" t="inlineStr">
        <is>
          <t>Sha Sha - Shandaar Shawarma</t>
        </is>
      </c>
      <c r="F115" t="inlineStr">
        <is>
          <t>18557902</t>
        </is>
      </c>
      <c r="G115" t="inlineStr">
        <is>
          <t>30% off upto ₹75 (2025-06-25 - 2031-01-01)</t>
        </is>
      </c>
      <c r="H115" t="inlineStr">
        <is>
          <t>ONLINE</t>
        </is>
      </c>
      <c r="I115" t="inlineStr">
        <is>
          <t>CANCELLED</t>
        </is>
      </c>
      <c r="J115" t="inlineStr">
        <is>
          <t>0%</t>
        </is>
      </c>
      <c r="K115" t="inlineStr">
        <is>
          <t>Customer cancellation within 1 minute</t>
        </is>
      </c>
      <c r="L115" t="inlineStr">
        <is>
          <t>Order accepted</t>
        </is>
      </c>
      <c r="M115" t="inlineStr">
        <is>
          <t>O2</t>
        </is>
      </c>
      <c r="N115" t="inlineStr">
        <is>
          <t>NA</t>
        </is>
      </c>
      <c r="O115" t="n">
        <v>229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229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inlineStr">
        <is>
          <t>settled</t>
        </is>
      </c>
      <c r="AY115" t="inlineStr">
        <is>
          <t>NA</t>
        </is>
      </c>
      <c r="AZ115" t="inlineStr">
        <is>
          <t>NA</t>
        </is>
      </c>
      <c r="BA115" t="n">
        <v>0</v>
      </c>
      <c r="BB115" t="inlineStr">
        <is>
          <t>NA</t>
        </is>
      </c>
    </row>
    <row r="116">
      <c r="A116" t="inlineStr">
        <is>
          <t>1439</t>
        </is>
      </c>
      <c r="B116" t="inlineStr">
        <is>
          <t>7633559252</t>
        </is>
      </c>
      <c r="C116" t="inlineStr">
        <is>
          <t>2025-12-31 20:22:20</t>
        </is>
      </c>
      <c r="D116" t="inlineStr">
        <is>
          <t>1</t>
        </is>
      </c>
      <c r="E116" t="inlineStr">
        <is>
          <t>Sha Sha - Shandaar Shawarma</t>
        </is>
      </c>
      <c r="F116" t="inlineStr">
        <is>
          <t>18557902</t>
        </is>
      </c>
      <c r="G116" t="inlineStr">
        <is>
          <t>30% off upto ₹75 (2025-06-25 - 2031-01-01)</t>
        </is>
      </c>
      <c r="H116" t="inlineStr">
        <is>
          <t>ONLINE</t>
        </is>
      </c>
      <c r="I116" t="inlineStr">
        <is>
          <t>DELIVERED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O2</t>
        </is>
      </c>
      <c r="N116" t="inlineStr">
        <is>
          <t>36</t>
        </is>
      </c>
      <c r="O116" t="n">
        <v>289</v>
      </c>
      <c r="P116" t="n">
        <v>3.5</v>
      </c>
      <c r="Q116" t="n">
        <v>0</v>
      </c>
      <c r="R116" t="n">
        <v>75</v>
      </c>
      <c r="S116" t="n">
        <v>0</v>
      </c>
      <c r="T116" t="n">
        <v>0</v>
      </c>
      <c r="U116" t="n">
        <v>0</v>
      </c>
      <c r="V116" t="n">
        <v>10.88</v>
      </c>
      <c r="W116" t="n">
        <v>228.38</v>
      </c>
      <c r="X116" t="n">
        <v>217.5</v>
      </c>
      <c r="Y116" t="n">
        <v>19</v>
      </c>
      <c r="Z116" t="n">
        <v>41.32</v>
      </c>
      <c r="AA116" t="n">
        <v>4.2</v>
      </c>
      <c r="AB116" t="n">
        <v>45.52</v>
      </c>
      <c r="AC116" t="n">
        <v>8.199999999999999</v>
      </c>
      <c r="AD116" t="n">
        <v>0</v>
      </c>
      <c r="AE116" t="n">
        <v>217.5</v>
      </c>
      <c r="AF116" t="n">
        <v>0</v>
      </c>
      <c r="AG116" t="n">
        <v>0</v>
      </c>
      <c r="AH116" t="n">
        <v>0.22</v>
      </c>
      <c r="AI116" t="n">
        <v>10.88</v>
      </c>
      <c r="AJ116" t="n">
        <v>0</v>
      </c>
      <c r="AK116" t="n">
        <v>19.3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64.81999999999999</v>
      </c>
      <c r="AV116" t="n">
        <v>0</v>
      </c>
      <c r="AW116" t="n">
        <v>163.56</v>
      </c>
      <c r="AX116" t="inlineStr">
        <is>
          <t>pending</t>
        </is>
      </c>
      <c r="AY116" t="inlineStr">
        <is>
          <t>NA</t>
        </is>
      </c>
      <c r="AZ116" t="inlineStr">
        <is>
          <t>NA</t>
        </is>
      </c>
      <c r="BA116" t="n">
        <v>163.56</v>
      </c>
      <c r="BB116" t="inlineStr">
        <is>
          <t>e6d3ad110dee25423070949abf23b57b0760adbf4a8edb67fdea845a21fec6c9</t>
        </is>
      </c>
    </row>
    <row r="117">
      <c r="A117" t="inlineStr">
        <is>
          <t>1440</t>
        </is>
      </c>
      <c r="B117" t="inlineStr">
        <is>
          <t>7639688027</t>
        </is>
      </c>
      <c r="C117" t="inlineStr">
        <is>
          <t>2025-12-31 20:42:29</t>
        </is>
      </c>
      <c r="D117" t="inlineStr">
        <is>
          <t>1</t>
        </is>
      </c>
      <c r="E117" t="inlineStr">
        <is>
          <t>Sha Sha - Shandaar Shawarma</t>
        </is>
      </c>
      <c r="F117" t="inlineStr">
        <is>
          <t>18557902</t>
        </is>
      </c>
      <c r="G117" t="inlineStr">
        <is>
          <t>30% off upto ₹75 (2025-06-25 - 2031-01-01)</t>
        </is>
      </c>
      <c r="H117" t="inlineStr">
        <is>
          <t>ONLINE</t>
        </is>
      </c>
      <c r="I117" t="inlineStr">
        <is>
          <t>DELIVERED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O2</t>
        </is>
      </c>
      <c r="N117" t="inlineStr">
        <is>
          <t>36</t>
        </is>
      </c>
      <c r="O117" t="n">
        <v>229</v>
      </c>
      <c r="P117" t="n">
        <v>3.5</v>
      </c>
      <c r="Q117" t="n">
        <v>0</v>
      </c>
      <c r="R117" t="n">
        <v>68.7</v>
      </c>
      <c r="S117" t="n">
        <v>0</v>
      </c>
      <c r="T117" t="n">
        <v>0</v>
      </c>
      <c r="U117" t="n">
        <v>0</v>
      </c>
      <c r="V117" t="n">
        <v>8.19</v>
      </c>
      <c r="W117" t="n">
        <v>171.99</v>
      </c>
      <c r="X117" t="n">
        <v>163.8</v>
      </c>
      <c r="Y117" t="n">
        <v>19</v>
      </c>
      <c r="Z117" t="n">
        <v>31.12</v>
      </c>
      <c r="AA117" t="n">
        <v>3.16</v>
      </c>
      <c r="AB117" t="n">
        <v>34.28</v>
      </c>
      <c r="AC117" t="n">
        <v>6.17</v>
      </c>
      <c r="AD117" t="n">
        <v>0</v>
      </c>
      <c r="AE117" t="n">
        <v>163.8</v>
      </c>
      <c r="AF117" t="n">
        <v>0</v>
      </c>
      <c r="AG117" t="n">
        <v>0</v>
      </c>
      <c r="AH117" t="n">
        <v>0.16</v>
      </c>
      <c r="AI117" t="n">
        <v>8.199999999999999</v>
      </c>
      <c r="AJ117" t="n">
        <v>-0.01</v>
      </c>
      <c r="AK117" t="n">
        <v>14.53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48.81</v>
      </c>
      <c r="AV117" t="n">
        <v>0</v>
      </c>
      <c r="AW117" t="n">
        <v>123.18</v>
      </c>
      <c r="AX117" t="inlineStr">
        <is>
          <t>pending</t>
        </is>
      </c>
      <c r="AY117" t="inlineStr">
        <is>
          <t>NA</t>
        </is>
      </c>
      <c r="AZ117" t="inlineStr">
        <is>
          <t>NA</t>
        </is>
      </c>
      <c r="BA117" t="n">
        <v>123.18</v>
      </c>
      <c r="BB117" t="inlineStr">
        <is>
          <t>2e1cc1d6f4a5d94da43f9a866d8d06c31f7fff7f873d06f6e50908e4c1abdefb</t>
        </is>
      </c>
    </row>
    <row r="118">
      <c r="A118" t="inlineStr">
        <is>
          <t>1441</t>
        </is>
      </c>
      <c r="B118" t="inlineStr">
        <is>
          <t>7640169489</t>
        </is>
      </c>
      <c r="C118" t="inlineStr">
        <is>
          <t>2025-12-31 21:34:41</t>
        </is>
      </c>
      <c r="D118" t="inlineStr">
        <is>
          <t>1</t>
        </is>
      </c>
      <c r="E118" t="inlineStr">
        <is>
          <t>Sha Sha - Shandaar Shawarma</t>
        </is>
      </c>
      <c r="F118" t="inlineStr">
        <is>
          <t>18557902</t>
        </is>
      </c>
      <c r="G118" t="inlineStr">
        <is>
          <t>30% off upto ₹75 (2025-06-25 - 2031-01-01)</t>
        </is>
      </c>
      <c r="H118" t="inlineStr">
        <is>
          <t>ONLINE</t>
        </is>
      </c>
      <c r="I118" t="inlineStr">
        <is>
          <t>DELIVERED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O2</t>
        </is>
      </c>
      <c r="N118" t="inlineStr">
        <is>
          <t>36</t>
        </is>
      </c>
      <c r="O118" t="n">
        <v>458</v>
      </c>
      <c r="P118" t="n">
        <v>3.5</v>
      </c>
      <c r="Q118" t="n">
        <v>0</v>
      </c>
      <c r="R118" t="n">
        <v>75</v>
      </c>
      <c r="S118" t="n">
        <v>0</v>
      </c>
      <c r="T118" t="n">
        <v>0</v>
      </c>
      <c r="U118" t="n">
        <v>0</v>
      </c>
      <c r="V118" t="n">
        <v>19.33</v>
      </c>
      <c r="W118" t="n">
        <v>405.83</v>
      </c>
      <c r="X118" t="n">
        <v>386.5</v>
      </c>
      <c r="Y118" t="n">
        <v>19</v>
      </c>
      <c r="Z118" t="n">
        <v>73.44</v>
      </c>
      <c r="AA118" t="n">
        <v>7.47</v>
      </c>
      <c r="AB118" t="n">
        <v>80.91</v>
      </c>
      <c r="AC118" t="n">
        <v>14.56</v>
      </c>
      <c r="AD118" t="n">
        <v>0</v>
      </c>
      <c r="AE118" t="n">
        <v>386.5</v>
      </c>
      <c r="AF118" t="n">
        <v>0</v>
      </c>
      <c r="AG118" t="n">
        <v>0</v>
      </c>
      <c r="AH118" t="n">
        <v>0.39</v>
      </c>
      <c r="AI118" t="n">
        <v>19.33</v>
      </c>
      <c r="AJ118" t="n">
        <v>0</v>
      </c>
      <c r="AK118" t="n">
        <v>34.28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115.19</v>
      </c>
      <c r="AV118" t="n">
        <v>0</v>
      </c>
      <c r="AW118" t="n">
        <v>290.64</v>
      </c>
      <c r="AX118" t="inlineStr">
        <is>
          <t>pending</t>
        </is>
      </c>
      <c r="AY118" t="inlineStr">
        <is>
          <t>NA</t>
        </is>
      </c>
      <c r="AZ118" t="inlineStr">
        <is>
          <t>NA</t>
        </is>
      </c>
      <c r="BA118" t="n">
        <v>290.64</v>
      </c>
      <c r="BB118" t="inlineStr">
        <is>
          <t>3658e2ca00050e625417d4314013c3bbb0c6161bac49f0bc36cc9c84ccc8597a</t>
        </is>
      </c>
    </row>
    <row r="119">
      <c r="A119" t="inlineStr">
        <is>
          <t>1442</t>
        </is>
      </c>
      <c r="B119" t="inlineStr">
        <is>
          <t>7629323892</t>
        </is>
      </c>
      <c r="C119" t="inlineStr">
        <is>
          <t>2025-12-31 22:33:04</t>
        </is>
      </c>
      <c r="D119" t="inlineStr">
        <is>
          <t>1</t>
        </is>
      </c>
      <c r="E119" t="inlineStr">
        <is>
          <t>Sha Sha - Shandaar Shawarma</t>
        </is>
      </c>
      <c r="F119" t="inlineStr">
        <is>
          <t>18557902</t>
        </is>
      </c>
      <c r="G119" t="inlineStr">
        <is>
          <t>30% off upto ₹75 (2025-06-25 - 2031-01-01)</t>
        </is>
      </c>
      <c r="H119" t="inlineStr">
        <is>
          <t>ONLINE</t>
        </is>
      </c>
      <c r="I119" t="inlineStr">
        <is>
          <t>DELIVERED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O2</t>
        </is>
      </c>
      <c r="N119" t="inlineStr">
        <is>
          <t>36</t>
        </is>
      </c>
      <c r="O119" t="n">
        <v>229</v>
      </c>
      <c r="P119" t="n">
        <v>3.5</v>
      </c>
      <c r="Q119" t="n">
        <v>0</v>
      </c>
      <c r="R119" t="n">
        <v>68.7</v>
      </c>
      <c r="S119" t="n">
        <v>0</v>
      </c>
      <c r="T119" t="n">
        <v>0</v>
      </c>
      <c r="U119" t="n">
        <v>0</v>
      </c>
      <c r="V119" t="n">
        <v>8.19</v>
      </c>
      <c r="W119" t="n">
        <v>171.99</v>
      </c>
      <c r="X119" t="n">
        <v>163.8</v>
      </c>
      <c r="Y119" t="n">
        <v>19</v>
      </c>
      <c r="Z119" t="n">
        <v>31.12</v>
      </c>
      <c r="AA119" t="n">
        <v>3.16</v>
      </c>
      <c r="AB119" t="n">
        <v>34.28</v>
      </c>
      <c r="AC119" t="n">
        <v>6.17</v>
      </c>
      <c r="AD119" t="n">
        <v>0</v>
      </c>
      <c r="AE119" t="n">
        <v>163.8</v>
      </c>
      <c r="AF119" t="n">
        <v>0</v>
      </c>
      <c r="AG119" t="n">
        <v>0</v>
      </c>
      <c r="AH119" t="n">
        <v>0.16</v>
      </c>
      <c r="AI119" t="n">
        <v>8.199999999999999</v>
      </c>
      <c r="AJ119" t="n">
        <v>-0.01</v>
      </c>
      <c r="AK119" t="n">
        <v>14.53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48.81</v>
      </c>
      <c r="AV119" t="n">
        <v>0</v>
      </c>
      <c r="AW119" t="n">
        <v>123.18</v>
      </c>
      <c r="AX119" t="inlineStr">
        <is>
          <t>pending</t>
        </is>
      </c>
      <c r="AY119" t="inlineStr">
        <is>
          <t>NA</t>
        </is>
      </c>
      <c r="AZ119" t="inlineStr">
        <is>
          <t>NA</t>
        </is>
      </c>
      <c r="BA119" t="n">
        <v>123.18</v>
      </c>
      <c r="BB119" t="inlineStr">
        <is>
          <t>9386be0ed685c40cf128f754538dbd1ecc68a58dfe5c9d1079263f614028d237</t>
        </is>
      </c>
    </row>
    <row r="120">
      <c r="A120" t="inlineStr">
        <is>
          <t>1443</t>
        </is>
      </c>
      <c r="B120" t="inlineStr">
        <is>
          <t>7642581989</t>
        </is>
      </c>
      <c r="C120" t="inlineStr">
        <is>
          <t>2025-12-31 22:43:36</t>
        </is>
      </c>
      <c r="D120" t="inlineStr">
        <is>
          <t>1</t>
        </is>
      </c>
      <c r="E120" t="inlineStr">
        <is>
          <t>Sha Sha - Shandaar Shawarma</t>
        </is>
      </c>
      <c r="F120" t="inlineStr">
        <is>
          <t>18557902</t>
        </is>
      </c>
      <c r="G120" t="inlineStr">
        <is>
          <t>30% off upto ₹75 (2025-06-25 - 2031-01-01)</t>
        </is>
      </c>
      <c r="H120" t="inlineStr">
        <is>
          <t>ONLINE</t>
        </is>
      </c>
      <c r="I120" t="inlineStr">
        <is>
          <t>DELIVERED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O2</t>
        </is>
      </c>
      <c r="N120" t="inlineStr">
        <is>
          <t>36</t>
        </is>
      </c>
      <c r="O120" t="n">
        <v>229</v>
      </c>
      <c r="P120" t="n">
        <v>3.5</v>
      </c>
      <c r="Q120" t="n">
        <v>0</v>
      </c>
      <c r="R120" t="n">
        <v>68.7</v>
      </c>
      <c r="S120" t="n">
        <v>0</v>
      </c>
      <c r="T120" t="n">
        <v>0</v>
      </c>
      <c r="U120" t="n">
        <v>0</v>
      </c>
      <c r="V120" t="n">
        <v>8.19</v>
      </c>
      <c r="W120" t="n">
        <v>171.99</v>
      </c>
      <c r="X120" t="n">
        <v>163.8</v>
      </c>
      <c r="Y120" t="n">
        <v>19</v>
      </c>
      <c r="Z120" t="n">
        <v>31.12</v>
      </c>
      <c r="AA120" t="n">
        <v>3.16</v>
      </c>
      <c r="AB120" t="n">
        <v>34.28</v>
      </c>
      <c r="AC120" t="n">
        <v>6.17</v>
      </c>
      <c r="AD120" t="n">
        <v>0</v>
      </c>
      <c r="AE120" t="n">
        <v>163.8</v>
      </c>
      <c r="AF120" t="n">
        <v>0</v>
      </c>
      <c r="AG120" t="n">
        <v>0</v>
      </c>
      <c r="AH120" t="n">
        <v>0.16</v>
      </c>
      <c r="AI120" t="n">
        <v>8.199999999999999</v>
      </c>
      <c r="AJ120" t="n">
        <v>-0.01</v>
      </c>
      <c r="AK120" t="n">
        <v>14.53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48.81</v>
      </c>
      <c r="AV120" t="n">
        <v>0</v>
      </c>
      <c r="AW120" t="n">
        <v>123.18</v>
      </c>
      <c r="AX120" t="inlineStr">
        <is>
          <t>pending</t>
        </is>
      </c>
      <c r="AY120" t="inlineStr">
        <is>
          <t>NA</t>
        </is>
      </c>
      <c r="AZ120" t="inlineStr">
        <is>
          <t>NA</t>
        </is>
      </c>
      <c r="BA120" t="n">
        <v>123.18</v>
      </c>
      <c r="BB120" t="inlineStr">
        <is>
          <t>d9c66d8e5421768c50927802f531271325204d901af44f6a4188d21cc1bd5115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Nikhitha</dc:creator>
  <dcterms:created xsi:type="dcterms:W3CDTF">2025-07-09T03:45:13Z</dcterms:created>
  <dcterms:modified xsi:type="dcterms:W3CDTF">2026-02-01T06:47:27Z</dcterms:modified>
  <cp:lastModifiedBy>varun reddy</cp:lastModifiedBy>
  <cp:lastPrinted>2026-01-30T20:02:20Z</cp:lastPrinted>
</cp:coreProperties>
</file>